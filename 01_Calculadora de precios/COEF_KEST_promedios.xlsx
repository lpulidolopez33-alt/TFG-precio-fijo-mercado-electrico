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86ca502eb72de09/Desktop/TFG/"/>
    </mc:Choice>
  </mc:AlternateContent>
  <xr:revisionPtr revIDLastSave="1114" documentId="8_{5D7BBF8C-8C8F-45C7-85FF-7B90615C4C0C}" xr6:coauthVersionLast="47" xr6:coauthVersionMax="47" xr10:uidLastSave="{64790F75-9394-48A8-B678-240F01669A33}"/>
  <bookViews>
    <workbookView xWindow="-110" yWindow="-110" windowWidth="19420" windowHeight="11500" activeTab="3" xr2:uid="{00000000-000D-0000-FFFF-FFFF00000000}"/>
  </bookViews>
  <sheets>
    <sheet name="KEST_2023" sheetId="5" r:id="rId1"/>
    <sheet name="KEST_2024" sheetId="3" r:id="rId2"/>
    <sheet name="KEST_2025" sheetId="1" r:id="rId3"/>
    <sheet name="KEST_2026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" i="5" l="1"/>
  <c r="G5" i="5" s="1"/>
  <c r="H6" i="5"/>
  <c r="H4" i="5" s="1"/>
  <c r="I6" i="5"/>
  <c r="I4" i="5" s="1"/>
  <c r="J6" i="5"/>
  <c r="K6" i="5"/>
  <c r="K5" i="5" s="1"/>
  <c r="L6" i="5"/>
  <c r="L5" i="5" s="1"/>
  <c r="M6" i="5"/>
  <c r="M4" i="5" s="1"/>
  <c r="N6" i="5"/>
  <c r="N5" i="5" s="1"/>
  <c r="O6" i="5"/>
  <c r="O5" i="5" s="1"/>
  <c r="P6" i="5"/>
  <c r="P5" i="5" s="1"/>
  <c r="Q6" i="5"/>
  <c r="Q4" i="5" s="1"/>
  <c r="R6" i="5"/>
  <c r="R4" i="5" s="1"/>
  <c r="S6" i="5"/>
  <c r="S5" i="5" s="1"/>
  <c r="T6" i="5"/>
  <c r="T4" i="5" s="1"/>
  <c r="U6" i="5"/>
  <c r="U4" i="5" s="1"/>
  <c r="V6" i="5"/>
  <c r="W6" i="5"/>
  <c r="W5" i="5" s="1"/>
  <c r="X6" i="5"/>
  <c r="X5" i="5" s="1"/>
  <c r="Y6" i="5"/>
  <c r="Y4" i="5" s="1"/>
  <c r="Z6" i="5"/>
  <c r="Z5" i="5" s="1"/>
  <c r="AA6" i="5"/>
  <c r="AA5" i="5" s="1"/>
  <c r="AB6" i="5"/>
  <c r="AB5" i="5" s="1"/>
  <c r="AC6" i="5"/>
  <c r="AC4" i="5" s="1"/>
  <c r="AD6" i="5"/>
  <c r="AD4" i="5" s="1"/>
  <c r="AE6" i="5"/>
  <c r="AE5" i="5" s="1"/>
  <c r="AF6" i="5"/>
  <c r="AF4" i="5" s="1"/>
  <c r="AG6" i="5"/>
  <c r="AG4" i="5" s="1"/>
  <c r="AH6" i="5"/>
  <c r="AI6" i="5"/>
  <c r="AI5" i="5" s="1"/>
  <c r="AJ6" i="5"/>
  <c r="AJ5" i="5" s="1"/>
  <c r="F6" i="5"/>
  <c r="F5" i="5" s="1"/>
  <c r="AJ391" i="5"/>
  <c r="AJ390" i="5" s="1"/>
  <c r="AI391" i="5"/>
  <c r="AI390" i="5" s="1"/>
  <c r="AH391" i="5"/>
  <c r="AH389" i="5" s="1"/>
  <c r="AG391" i="5"/>
  <c r="AG390" i="5" s="1"/>
  <c r="AF391" i="5"/>
  <c r="AF389" i="5" s="1"/>
  <c r="AE391" i="5"/>
  <c r="AE389" i="5" s="1"/>
  <c r="AD391" i="5"/>
  <c r="AD389" i="5" s="1"/>
  <c r="AC391" i="5"/>
  <c r="AB391" i="5"/>
  <c r="AB390" i="5" s="1"/>
  <c r="AA391" i="5"/>
  <c r="AA389" i="5" s="1"/>
  <c r="Z391" i="5"/>
  <c r="Z389" i="5" s="1"/>
  <c r="Y391" i="5"/>
  <c r="X391" i="5"/>
  <c r="X390" i="5" s="1"/>
  <c r="W391" i="5"/>
  <c r="W390" i="5" s="1"/>
  <c r="V391" i="5"/>
  <c r="V389" i="5" s="1"/>
  <c r="U391" i="5"/>
  <c r="U390" i="5" s="1"/>
  <c r="T391" i="5"/>
  <c r="T389" i="5" s="1"/>
  <c r="S391" i="5"/>
  <c r="S389" i="5" s="1"/>
  <c r="R391" i="5"/>
  <c r="R389" i="5" s="1"/>
  <c r="Q391" i="5"/>
  <c r="P391" i="5"/>
  <c r="P390" i="5" s="1"/>
  <c r="O391" i="5"/>
  <c r="O389" i="5" s="1"/>
  <c r="N391" i="5"/>
  <c r="N390" i="5" s="1"/>
  <c r="M391" i="5"/>
  <c r="L391" i="5"/>
  <c r="L390" i="5" s="1"/>
  <c r="K391" i="5"/>
  <c r="K390" i="5" s="1"/>
  <c r="J391" i="5"/>
  <c r="J389" i="5" s="1"/>
  <c r="I391" i="5"/>
  <c r="I390" i="5" s="1"/>
  <c r="H391" i="5"/>
  <c r="H389" i="5" s="1"/>
  <c r="G391" i="5"/>
  <c r="G389" i="5" s="1"/>
  <c r="F391" i="5"/>
  <c r="F390" i="5" s="1"/>
  <c r="AI356" i="5"/>
  <c r="AH356" i="5"/>
  <c r="AG356" i="5"/>
  <c r="AG354" i="5" s="1"/>
  <c r="AF356" i="5"/>
  <c r="AF355" i="5" s="1"/>
  <c r="AE356" i="5"/>
  <c r="AE355" i="5" s="1"/>
  <c r="AD356" i="5"/>
  <c r="AD355" i="5" s="1"/>
  <c r="AC356" i="5"/>
  <c r="AC354" i="5" s="1"/>
  <c r="AB356" i="5"/>
  <c r="AB354" i="5" s="1"/>
  <c r="AA356" i="5"/>
  <c r="Z356" i="5"/>
  <c r="Z355" i="5" s="1"/>
  <c r="Y356" i="5"/>
  <c r="Y354" i="5" s="1"/>
  <c r="X356" i="5"/>
  <c r="X355" i="5" s="1"/>
  <c r="W356" i="5"/>
  <c r="V356" i="5"/>
  <c r="U356" i="5"/>
  <c r="U354" i="5" s="1"/>
  <c r="T356" i="5"/>
  <c r="T355" i="5" s="1"/>
  <c r="S356" i="5"/>
  <c r="S355" i="5" s="1"/>
  <c r="R356" i="5"/>
  <c r="R355" i="5" s="1"/>
  <c r="Q356" i="5"/>
  <c r="Q354" i="5" s="1"/>
  <c r="P356" i="5"/>
  <c r="P354" i="5" s="1"/>
  <c r="O356" i="5"/>
  <c r="N356" i="5"/>
  <c r="N354" i="5" s="1"/>
  <c r="M356" i="5"/>
  <c r="M354" i="5" s="1"/>
  <c r="L356" i="5"/>
  <c r="L355" i="5" s="1"/>
  <c r="K356" i="5"/>
  <c r="J356" i="5"/>
  <c r="I356" i="5"/>
  <c r="I354" i="5" s="1"/>
  <c r="H356" i="5"/>
  <c r="H355" i="5" s="1"/>
  <c r="G356" i="5"/>
  <c r="G355" i="5" s="1"/>
  <c r="F356" i="5"/>
  <c r="F354" i="5" s="1"/>
  <c r="AJ321" i="5"/>
  <c r="AJ319" i="5" s="1"/>
  <c r="AI321" i="5"/>
  <c r="AI320" i="5" s="1"/>
  <c r="AH321" i="5"/>
  <c r="AG321" i="5"/>
  <c r="AG320" i="5" s="1"/>
  <c r="AF321" i="5"/>
  <c r="AF320" i="5" s="1"/>
  <c r="AE321" i="5"/>
  <c r="AE320" i="5" s="1"/>
  <c r="AD321" i="5"/>
  <c r="AD320" i="5" s="1"/>
  <c r="AC321" i="5"/>
  <c r="AB321" i="5"/>
  <c r="AB319" i="5" s="1"/>
  <c r="AA321" i="5"/>
  <c r="AA319" i="5" s="1"/>
  <c r="Z321" i="5"/>
  <c r="Z320" i="5" s="1"/>
  <c r="Y321" i="5"/>
  <c r="Y319" i="5" s="1"/>
  <c r="X321" i="5"/>
  <c r="X319" i="5" s="1"/>
  <c r="W321" i="5"/>
  <c r="W320" i="5" s="1"/>
  <c r="V321" i="5"/>
  <c r="U321" i="5"/>
  <c r="U320" i="5" s="1"/>
  <c r="T321" i="5"/>
  <c r="T320" i="5" s="1"/>
  <c r="S321" i="5"/>
  <c r="S320" i="5" s="1"/>
  <c r="R321" i="5"/>
  <c r="R320" i="5" s="1"/>
  <c r="Q321" i="5"/>
  <c r="P321" i="5"/>
  <c r="P319" i="5" s="1"/>
  <c r="O321" i="5"/>
  <c r="O319" i="5" s="1"/>
  <c r="N321" i="5"/>
  <c r="N320" i="5" s="1"/>
  <c r="M321" i="5"/>
  <c r="M319" i="5" s="1"/>
  <c r="L321" i="5"/>
  <c r="L319" i="5" s="1"/>
  <c r="K321" i="5"/>
  <c r="K320" i="5" s="1"/>
  <c r="J321" i="5"/>
  <c r="I321" i="5"/>
  <c r="I320" i="5" s="1"/>
  <c r="H321" i="5"/>
  <c r="H320" i="5" s="1"/>
  <c r="G321" i="5"/>
  <c r="G320" i="5" s="1"/>
  <c r="F321" i="5"/>
  <c r="F319" i="5" s="1"/>
  <c r="AI286" i="5"/>
  <c r="AH286" i="5"/>
  <c r="AH284" i="5" s="1"/>
  <c r="AG286" i="5"/>
  <c r="AG285" i="5" s="1"/>
  <c r="AF286" i="5"/>
  <c r="AF285" i="5" s="1"/>
  <c r="AE286" i="5"/>
  <c r="AE284" i="5" s="1"/>
  <c r="AD286" i="5"/>
  <c r="AD284" i="5" s="1"/>
  <c r="AC286" i="5"/>
  <c r="AC285" i="5" s="1"/>
  <c r="AB286" i="5"/>
  <c r="AA286" i="5"/>
  <c r="AA284" i="5" s="1"/>
  <c r="Z286" i="5"/>
  <c r="Z285" i="5" s="1"/>
  <c r="Y286" i="5"/>
  <c r="Y284" i="5" s="1"/>
  <c r="X286" i="5"/>
  <c r="X285" i="5" s="1"/>
  <c r="W286" i="5"/>
  <c r="V286" i="5"/>
  <c r="V285" i="5" s="1"/>
  <c r="U286" i="5"/>
  <c r="U285" i="5" s="1"/>
  <c r="T286" i="5"/>
  <c r="T284" i="5" s="1"/>
  <c r="S286" i="5"/>
  <c r="S284" i="5" s="1"/>
  <c r="R286" i="5"/>
  <c r="R285" i="5" s="1"/>
  <c r="Q286" i="5"/>
  <c r="Q285" i="5" s="1"/>
  <c r="P286" i="5"/>
  <c r="O286" i="5"/>
  <c r="N286" i="5"/>
  <c r="N284" i="5" s="1"/>
  <c r="M286" i="5"/>
  <c r="M284" i="5" s="1"/>
  <c r="L286" i="5"/>
  <c r="L285" i="5" s="1"/>
  <c r="K286" i="5"/>
  <c r="K284" i="5" s="1"/>
  <c r="J286" i="5"/>
  <c r="J285" i="5" s="1"/>
  <c r="I286" i="5"/>
  <c r="I285" i="5" s="1"/>
  <c r="H286" i="5"/>
  <c r="H285" i="5" s="1"/>
  <c r="G286" i="5"/>
  <c r="G285" i="5" s="1"/>
  <c r="F286" i="5"/>
  <c r="F284" i="5" s="1"/>
  <c r="AJ251" i="5"/>
  <c r="AJ250" i="5" s="1"/>
  <c r="AI251" i="5"/>
  <c r="AI249" i="5" s="1"/>
  <c r="AH251" i="5"/>
  <c r="AH249" i="5" s="1"/>
  <c r="AG251" i="5"/>
  <c r="AG250" i="5" s="1"/>
  <c r="AF251" i="5"/>
  <c r="AF250" i="5" s="1"/>
  <c r="AE251" i="5"/>
  <c r="AD251" i="5"/>
  <c r="AD250" i="5" s="1"/>
  <c r="AC251" i="5"/>
  <c r="AC250" i="5" s="1"/>
  <c r="AB251" i="5"/>
  <c r="AB249" i="5" s="1"/>
  <c r="AA251" i="5"/>
  <c r="Z251" i="5"/>
  <c r="Z249" i="5" s="1"/>
  <c r="Y251" i="5"/>
  <c r="Y249" i="5" s="1"/>
  <c r="X251" i="5"/>
  <c r="X250" i="5" s="1"/>
  <c r="W251" i="5"/>
  <c r="W249" i="5" s="1"/>
  <c r="V251" i="5"/>
  <c r="V249" i="5" s="1"/>
  <c r="U251" i="5"/>
  <c r="U250" i="5" s="1"/>
  <c r="T251" i="5"/>
  <c r="T250" i="5" s="1"/>
  <c r="S251" i="5"/>
  <c r="R251" i="5"/>
  <c r="R249" i="5" s="1"/>
  <c r="Q251" i="5"/>
  <c r="Q250" i="5" s="1"/>
  <c r="P251" i="5"/>
  <c r="P249" i="5" s="1"/>
  <c r="O251" i="5"/>
  <c r="N251" i="5"/>
  <c r="N249" i="5" s="1"/>
  <c r="M251" i="5"/>
  <c r="M249" i="5" s="1"/>
  <c r="L251" i="5"/>
  <c r="L249" i="5" s="1"/>
  <c r="K251" i="5"/>
  <c r="K249" i="5" s="1"/>
  <c r="J251" i="5"/>
  <c r="J249" i="5" s="1"/>
  <c r="I251" i="5"/>
  <c r="I250" i="5" s="1"/>
  <c r="H251" i="5"/>
  <c r="H250" i="5" s="1"/>
  <c r="G251" i="5"/>
  <c r="F251" i="5"/>
  <c r="F249" i="5" s="1"/>
  <c r="AJ216" i="5"/>
  <c r="AJ214" i="5" s="1"/>
  <c r="AI216" i="5"/>
  <c r="AI214" i="5" s="1"/>
  <c r="AH216" i="5"/>
  <c r="AG216" i="5"/>
  <c r="AF216" i="5"/>
  <c r="AE216" i="5"/>
  <c r="AE215" i="5" s="1"/>
  <c r="AD216" i="5"/>
  <c r="AD215" i="5" s="1"/>
  <c r="AC216" i="5"/>
  <c r="AC215" i="5" s="1"/>
  <c r="AB216" i="5"/>
  <c r="AA216" i="5"/>
  <c r="Z216" i="5"/>
  <c r="Z214" i="5" s="1"/>
  <c r="Y216" i="5"/>
  <c r="Y214" i="5" s="1"/>
  <c r="X216" i="5"/>
  <c r="X214" i="5" s="1"/>
  <c r="W216" i="5"/>
  <c r="W215" i="5" s="1"/>
  <c r="V216" i="5"/>
  <c r="V215" i="5" s="1"/>
  <c r="U216" i="5"/>
  <c r="T216" i="5"/>
  <c r="T214" i="5" s="1"/>
  <c r="S216" i="5"/>
  <c r="R216" i="5"/>
  <c r="R214" i="5" s="1"/>
  <c r="Q216" i="5"/>
  <c r="Q214" i="5" s="1"/>
  <c r="P216" i="5"/>
  <c r="O216" i="5"/>
  <c r="N216" i="5"/>
  <c r="N215" i="5" s="1"/>
  <c r="M216" i="5"/>
  <c r="M215" i="5" s="1"/>
  <c r="L216" i="5"/>
  <c r="L215" i="5" s="1"/>
  <c r="K216" i="5"/>
  <c r="K215" i="5" s="1"/>
  <c r="J216" i="5"/>
  <c r="I216" i="5"/>
  <c r="H216" i="5"/>
  <c r="G216" i="5"/>
  <c r="F216" i="5"/>
  <c r="AI181" i="5"/>
  <c r="AI180" i="5" s="1"/>
  <c r="AH181" i="5"/>
  <c r="AH179" i="5" s="1"/>
  <c r="AG181" i="5"/>
  <c r="AG180" i="5" s="1"/>
  <c r="AF181" i="5"/>
  <c r="AF180" i="5" s="1"/>
  <c r="AE181" i="5"/>
  <c r="AE180" i="5" s="1"/>
  <c r="AD181" i="5"/>
  <c r="AC181" i="5"/>
  <c r="AC179" i="5" s="1"/>
  <c r="AB181" i="5"/>
  <c r="AA181" i="5"/>
  <c r="Z181" i="5"/>
  <c r="Y181" i="5"/>
  <c r="Y180" i="5" s="1"/>
  <c r="X181" i="5"/>
  <c r="X180" i="5" s="1"/>
  <c r="W181" i="5"/>
  <c r="W180" i="5" s="1"/>
  <c r="V181" i="5"/>
  <c r="V180" i="5" s="1"/>
  <c r="U181" i="5"/>
  <c r="U179" i="5" s="1"/>
  <c r="T181" i="5"/>
  <c r="T180" i="5" s="1"/>
  <c r="S181" i="5"/>
  <c r="S180" i="5" s="1"/>
  <c r="R181" i="5"/>
  <c r="Q181" i="5"/>
  <c r="Q179" i="5" s="1"/>
  <c r="P181" i="5"/>
  <c r="P179" i="5" s="1"/>
  <c r="O181" i="5"/>
  <c r="O179" i="5" s="1"/>
  <c r="N181" i="5"/>
  <c r="M181" i="5"/>
  <c r="M180" i="5" s="1"/>
  <c r="L181" i="5"/>
  <c r="L180" i="5" s="1"/>
  <c r="K181" i="5"/>
  <c r="K180" i="5" s="1"/>
  <c r="J181" i="5"/>
  <c r="J180" i="5" s="1"/>
  <c r="I181" i="5"/>
  <c r="I179" i="5" s="1"/>
  <c r="H181" i="5"/>
  <c r="H180" i="5" s="1"/>
  <c r="G181" i="5"/>
  <c r="G180" i="5" s="1"/>
  <c r="F181" i="5"/>
  <c r="F180" i="5" s="1"/>
  <c r="AJ146" i="5"/>
  <c r="AJ144" i="5" s="1"/>
  <c r="AI146" i="5"/>
  <c r="AI144" i="5" s="1"/>
  <c r="AH146" i="5"/>
  <c r="AH145" i="5" s="1"/>
  <c r="AG146" i="5"/>
  <c r="AG144" i="5" s="1"/>
  <c r="AF146" i="5"/>
  <c r="AF144" i="5" s="1"/>
  <c r="AE146" i="5"/>
  <c r="AE145" i="5" s="1"/>
  <c r="AD146" i="5"/>
  <c r="AD145" i="5" s="1"/>
  <c r="AC146" i="5"/>
  <c r="AC145" i="5" s="1"/>
  <c r="AB146" i="5"/>
  <c r="AB144" i="5" s="1"/>
  <c r="AA146" i="5"/>
  <c r="AA145" i="5" s="1"/>
  <c r="Z146" i="5"/>
  <c r="Z145" i="5" s="1"/>
  <c r="Y146" i="5"/>
  <c r="X146" i="5"/>
  <c r="X144" i="5" s="1"/>
  <c r="W146" i="5"/>
  <c r="W144" i="5" s="1"/>
  <c r="V146" i="5"/>
  <c r="V145" i="5" s="1"/>
  <c r="U146" i="5"/>
  <c r="U144" i="5" s="1"/>
  <c r="T146" i="5"/>
  <c r="T144" i="5" s="1"/>
  <c r="S146" i="5"/>
  <c r="S145" i="5" s="1"/>
  <c r="R146" i="5"/>
  <c r="R145" i="5" s="1"/>
  <c r="Q146" i="5"/>
  <c r="Q145" i="5" s="1"/>
  <c r="P146" i="5"/>
  <c r="P145" i="5" s="1"/>
  <c r="O146" i="5"/>
  <c r="O145" i="5" s="1"/>
  <c r="N146" i="5"/>
  <c r="N145" i="5" s="1"/>
  <c r="M146" i="5"/>
  <c r="L146" i="5"/>
  <c r="L144" i="5" s="1"/>
  <c r="K146" i="5"/>
  <c r="K144" i="5" s="1"/>
  <c r="J146" i="5"/>
  <c r="J145" i="5" s="1"/>
  <c r="I146" i="5"/>
  <c r="I144" i="5" s="1"/>
  <c r="H146" i="5"/>
  <c r="H144" i="5" s="1"/>
  <c r="G146" i="5"/>
  <c r="G145" i="5" s="1"/>
  <c r="F146" i="5"/>
  <c r="AI111" i="5"/>
  <c r="AI110" i="5" s="1"/>
  <c r="AH111" i="5"/>
  <c r="AH110" i="5" s="1"/>
  <c r="AG111" i="5"/>
  <c r="AF111" i="5"/>
  <c r="AE111" i="5"/>
  <c r="AD111" i="5"/>
  <c r="AC111" i="5"/>
  <c r="AC110" i="5" s="1"/>
  <c r="AB111" i="5"/>
  <c r="AB110" i="5" s="1"/>
  <c r="AA111" i="5"/>
  <c r="AA110" i="5" s="1"/>
  <c r="Z111" i="5"/>
  <c r="Z109" i="5" s="1"/>
  <c r="Y111" i="5"/>
  <c r="Y109" i="5" s="1"/>
  <c r="X111" i="5"/>
  <c r="X109" i="5" s="1"/>
  <c r="W111" i="5"/>
  <c r="W109" i="5" s="1"/>
  <c r="V111" i="5"/>
  <c r="V110" i="5" s="1"/>
  <c r="U111" i="5"/>
  <c r="T111" i="5"/>
  <c r="S111" i="5"/>
  <c r="R111" i="5"/>
  <c r="Q111" i="5"/>
  <c r="Q110" i="5" s="1"/>
  <c r="P111" i="5"/>
  <c r="O111" i="5"/>
  <c r="O110" i="5" s="1"/>
  <c r="N111" i="5"/>
  <c r="N110" i="5" s="1"/>
  <c r="M111" i="5"/>
  <c r="M110" i="5" s="1"/>
  <c r="L111" i="5"/>
  <c r="L110" i="5" s="1"/>
  <c r="K111" i="5"/>
  <c r="K110" i="5" s="1"/>
  <c r="J111" i="5"/>
  <c r="J110" i="5" s="1"/>
  <c r="I111" i="5"/>
  <c r="H111" i="5"/>
  <c r="G111" i="5"/>
  <c r="F111" i="5"/>
  <c r="AJ76" i="5"/>
  <c r="AJ74" i="5" s="1"/>
  <c r="AI76" i="5"/>
  <c r="AI74" i="5" s="1"/>
  <c r="AH76" i="5"/>
  <c r="AH74" i="5" s="1"/>
  <c r="AG76" i="5"/>
  <c r="AG74" i="5" s="1"/>
  <c r="AF76" i="5"/>
  <c r="AF74" i="5" s="1"/>
  <c r="AE76" i="5"/>
  <c r="AE75" i="5" s="1"/>
  <c r="AD76" i="5"/>
  <c r="AD74" i="5" s="1"/>
  <c r="AC76" i="5"/>
  <c r="AB76" i="5"/>
  <c r="AA76" i="5"/>
  <c r="Z76" i="5"/>
  <c r="Z75" i="5" s="1"/>
  <c r="Y76" i="5"/>
  <c r="Y75" i="5" s="1"/>
  <c r="X76" i="5"/>
  <c r="X74" i="5" s="1"/>
  <c r="W76" i="5"/>
  <c r="W75" i="5" s="1"/>
  <c r="V76" i="5"/>
  <c r="V74" i="5" s="1"/>
  <c r="U76" i="5"/>
  <c r="U74" i="5" s="1"/>
  <c r="T76" i="5"/>
  <c r="T74" i="5" s="1"/>
  <c r="S76" i="5"/>
  <c r="S75" i="5" s="1"/>
  <c r="R76" i="5"/>
  <c r="Q76" i="5"/>
  <c r="P76" i="5"/>
  <c r="P75" i="5" s="1"/>
  <c r="O76" i="5"/>
  <c r="O75" i="5" s="1"/>
  <c r="N76" i="5"/>
  <c r="N75" i="5" s="1"/>
  <c r="M76" i="5"/>
  <c r="M75" i="5" s="1"/>
  <c r="L76" i="5"/>
  <c r="L74" i="5" s="1"/>
  <c r="K76" i="5"/>
  <c r="K75" i="5" s="1"/>
  <c r="J76" i="5"/>
  <c r="I76" i="5"/>
  <c r="I74" i="5" s="1"/>
  <c r="H76" i="5"/>
  <c r="H74" i="5" s="1"/>
  <c r="G76" i="5"/>
  <c r="G75" i="5" s="1"/>
  <c r="F76" i="5"/>
  <c r="F74" i="5" s="1"/>
  <c r="AG41" i="5"/>
  <c r="AG39" i="5" s="1"/>
  <c r="AF41" i="5"/>
  <c r="AF39" i="5" s="1"/>
  <c r="AE41" i="5"/>
  <c r="AE39" i="5" s="1"/>
  <c r="AD41" i="5"/>
  <c r="AD40" i="5" s="1"/>
  <c r="AC41" i="5"/>
  <c r="AB41" i="5"/>
  <c r="AB39" i="5" s="1"/>
  <c r="AA41" i="5"/>
  <c r="Z41" i="5"/>
  <c r="Y41" i="5"/>
  <c r="Y40" i="5" s="1"/>
  <c r="X41" i="5"/>
  <c r="X40" i="5" s="1"/>
  <c r="W41" i="5"/>
  <c r="W40" i="5" s="1"/>
  <c r="V41" i="5"/>
  <c r="V39" i="5" s="1"/>
  <c r="U41" i="5"/>
  <c r="U40" i="5" s="1"/>
  <c r="T41" i="5"/>
  <c r="T40" i="5" s="1"/>
  <c r="S41" i="5"/>
  <c r="S39" i="5" s="1"/>
  <c r="R41" i="5"/>
  <c r="R40" i="5" s="1"/>
  <c r="Q41" i="5"/>
  <c r="P41" i="5"/>
  <c r="P39" i="5" s="1"/>
  <c r="O41" i="5"/>
  <c r="N41" i="5"/>
  <c r="M41" i="5"/>
  <c r="M40" i="5" s="1"/>
  <c r="L41" i="5"/>
  <c r="L39" i="5" s="1"/>
  <c r="K41" i="5"/>
  <c r="J41" i="5"/>
  <c r="J39" i="5" s="1"/>
  <c r="I41" i="5"/>
  <c r="I40" i="5" s="1"/>
  <c r="H41" i="5"/>
  <c r="H40" i="5" s="1"/>
  <c r="G41" i="5"/>
  <c r="G39" i="5" s="1"/>
  <c r="F41" i="5"/>
  <c r="F39" i="5" s="1"/>
  <c r="AH41" i="3"/>
  <c r="AH39" i="3" s="1"/>
  <c r="J5" i="1"/>
  <c r="K5" i="1"/>
  <c r="L5" i="1"/>
  <c r="N4" i="1"/>
  <c r="O4" i="1"/>
  <c r="P4" i="1"/>
  <c r="Q4" i="1"/>
  <c r="R4" i="1"/>
  <c r="V5" i="1"/>
  <c r="W5" i="1"/>
  <c r="X5" i="1"/>
  <c r="Z4" i="1"/>
  <c r="AA4" i="1"/>
  <c r="AB4" i="1"/>
  <c r="AC4" i="1"/>
  <c r="AD4" i="1"/>
  <c r="G6" i="3"/>
  <c r="G4" i="3" s="1"/>
  <c r="H6" i="3"/>
  <c r="H4" i="3" s="1"/>
  <c r="I6" i="3"/>
  <c r="J6" i="3"/>
  <c r="J5" i="3" s="1"/>
  <c r="K6" i="3"/>
  <c r="K5" i="3" s="1"/>
  <c r="L6" i="3"/>
  <c r="L4" i="3" s="1"/>
  <c r="M6" i="3"/>
  <c r="M5" i="3" s="1"/>
  <c r="N6" i="3"/>
  <c r="N5" i="3" s="1"/>
  <c r="O6" i="3"/>
  <c r="O4" i="3" s="1"/>
  <c r="P6" i="3"/>
  <c r="P4" i="3" s="1"/>
  <c r="Q6" i="3"/>
  <c r="Q4" i="3" s="1"/>
  <c r="R6" i="3"/>
  <c r="R4" i="3" s="1"/>
  <c r="S6" i="3"/>
  <c r="S4" i="3" s="1"/>
  <c r="T6" i="3"/>
  <c r="T4" i="3" s="1"/>
  <c r="U6" i="3"/>
  <c r="V6" i="3"/>
  <c r="V5" i="3" s="1"/>
  <c r="W6" i="3"/>
  <c r="W5" i="3" s="1"/>
  <c r="X6" i="3"/>
  <c r="X4" i="3" s="1"/>
  <c r="Y6" i="3"/>
  <c r="Y5" i="3" s="1"/>
  <c r="Z6" i="3"/>
  <c r="Z4" i="3" s="1"/>
  <c r="AA6" i="3"/>
  <c r="AA4" i="3" s="1"/>
  <c r="AB6" i="3"/>
  <c r="AB4" i="3" s="1"/>
  <c r="AC6" i="3"/>
  <c r="AC4" i="3" s="1"/>
  <c r="AD6" i="3"/>
  <c r="AD5" i="3" s="1"/>
  <c r="AE6" i="3"/>
  <c r="AE4" i="3" s="1"/>
  <c r="AF6" i="3"/>
  <c r="AF5" i="3" s="1"/>
  <c r="AG6" i="3"/>
  <c r="AH6" i="3"/>
  <c r="AH5" i="3" s="1"/>
  <c r="AI6" i="3"/>
  <c r="AI5" i="3" s="1"/>
  <c r="AJ6" i="3"/>
  <c r="AJ4" i="3" s="1"/>
  <c r="F6" i="3"/>
  <c r="F4" i="3" s="1"/>
  <c r="AJ391" i="3"/>
  <c r="AJ389" i="3" s="1"/>
  <c r="AI391" i="3"/>
  <c r="AI390" i="3" s="1"/>
  <c r="AH391" i="3"/>
  <c r="AH389" i="3" s="1"/>
  <c r="AG391" i="3"/>
  <c r="AG389" i="3" s="1"/>
  <c r="AF391" i="3"/>
  <c r="AE391" i="3"/>
  <c r="AE390" i="3" s="1"/>
  <c r="AD391" i="3"/>
  <c r="AC391" i="3"/>
  <c r="AC389" i="3" s="1"/>
  <c r="AB391" i="3"/>
  <c r="AB390" i="3" s="1"/>
  <c r="AA391" i="3"/>
  <c r="AA390" i="3" s="1"/>
  <c r="Z391" i="3"/>
  <c r="Y391" i="3"/>
  <c r="Y389" i="3" s="1"/>
  <c r="X391" i="3"/>
  <c r="X389" i="3" s="1"/>
  <c r="W391" i="3"/>
  <c r="W390" i="3" s="1"/>
  <c r="V391" i="3"/>
  <c r="V389" i="3" s="1"/>
  <c r="U391" i="3"/>
  <c r="U389" i="3" s="1"/>
  <c r="T391" i="3"/>
  <c r="S391" i="3"/>
  <c r="S390" i="3" s="1"/>
  <c r="R391" i="3"/>
  <c r="Q391" i="3"/>
  <c r="Q389" i="3" s="1"/>
  <c r="P391" i="3"/>
  <c r="P390" i="3" s="1"/>
  <c r="O391" i="3"/>
  <c r="O390" i="3" s="1"/>
  <c r="N391" i="3"/>
  <c r="M391" i="3"/>
  <c r="M389" i="3" s="1"/>
  <c r="L391" i="3"/>
  <c r="L389" i="3" s="1"/>
  <c r="K391" i="3"/>
  <c r="K390" i="3" s="1"/>
  <c r="J391" i="3"/>
  <c r="J389" i="3" s="1"/>
  <c r="I391" i="3"/>
  <c r="I389" i="3" s="1"/>
  <c r="H391" i="3"/>
  <c r="G391" i="3"/>
  <c r="G390" i="3" s="1"/>
  <c r="F391" i="3"/>
  <c r="F389" i="3" s="1"/>
  <c r="AI356" i="3"/>
  <c r="AH356" i="3"/>
  <c r="AG356" i="3"/>
  <c r="AG354" i="3" s="1"/>
  <c r="AF356" i="3"/>
  <c r="AF354" i="3" s="1"/>
  <c r="AE356" i="3"/>
  <c r="AE355" i="3" s="1"/>
  <c r="AD356" i="3"/>
  <c r="AD355" i="3" s="1"/>
  <c r="AC356" i="3"/>
  <c r="AC355" i="3" s="1"/>
  <c r="AB356" i="3"/>
  <c r="AB354" i="3" s="1"/>
  <c r="AA356" i="3"/>
  <c r="AA354" i="3" s="1"/>
  <c r="Z356" i="3"/>
  <c r="Z355" i="3" s="1"/>
  <c r="Y356" i="3"/>
  <c r="Y355" i="3" s="1"/>
  <c r="X356" i="3"/>
  <c r="X354" i="3" s="1"/>
  <c r="W356" i="3"/>
  <c r="V356" i="3"/>
  <c r="U356" i="3"/>
  <c r="U355" i="3" s="1"/>
  <c r="T356" i="3"/>
  <c r="T354" i="3" s="1"/>
  <c r="S356" i="3"/>
  <c r="S355" i="3" s="1"/>
  <c r="R356" i="3"/>
  <c r="R355" i="3" s="1"/>
  <c r="Q356" i="3"/>
  <c r="Q355" i="3" s="1"/>
  <c r="P356" i="3"/>
  <c r="P354" i="3" s="1"/>
  <c r="O356" i="3"/>
  <c r="O354" i="3" s="1"/>
  <c r="N356" i="3"/>
  <c r="N355" i="3" s="1"/>
  <c r="M356" i="3"/>
  <c r="M355" i="3" s="1"/>
  <c r="L356" i="3"/>
  <c r="L354" i="3" s="1"/>
  <c r="K356" i="3"/>
  <c r="J356" i="3"/>
  <c r="I356" i="3"/>
  <c r="I355" i="3" s="1"/>
  <c r="H356" i="3"/>
  <c r="H354" i="3" s="1"/>
  <c r="G356" i="3"/>
  <c r="G355" i="3" s="1"/>
  <c r="F356" i="3"/>
  <c r="F355" i="3" s="1"/>
  <c r="AJ321" i="3"/>
  <c r="AJ320" i="3" s="1"/>
  <c r="AI321" i="3"/>
  <c r="AH321" i="3"/>
  <c r="AH319" i="3" s="1"/>
  <c r="AG321" i="3"/>
  <c r="AF321" i="3"/>
  <c r="AF320" i="3" s="1"/>
  <c r="AE321" i="3"/>
  <c r="AE319" i="3" s="1"/>
  <c r="AD321" i="3"/>
  <c r="AD319" i="3" s="1"/>
  <c r="AC321" i="3"/>
  <c r="AB321" i="3"/>
  <c r="AB320" i="3" s="1"/>
  <c r="AA321" i="3"/>
  <c r="Z321" i="3"/>
  <c r="Z319" i="3" s="1"/>
  <c r="Y321" i="3"/>
  <c r="Y320" i="3" s="1"/>
  <c r="X321" i="3"/>
  <c r="X320" i="3" s="1"/>
  <c r="W321" i="3"/>
  <c r="V321" i="3"/>
  <c r="V319" i="3" s="1"/>
  <c r="U321" i="3"/>
  <c r="T321" i="3"/>
  <c r="T320" i="3" s="1"/>
  <c r="S321" i="3"/>
  <c r="S319" i="3" s="1"/>
  <c r="R321" i="3"/>
  <c r="R319" i="3" s="1"/>
  <c r="Q321" i="3"/>
  <c r="P321" i="3"/>
  <c r="P320" i="3" s="1"/>
  <c r="O321" i="3"/>
  <c r="N321" i="3"/>
  <c r="N319" i="3" s="1"/>
  <c r="M321" i="3"/>
  <c r="M320" i="3" s="1"/>
  <c r="L321" i="3"/>
  <c r="L320" i="3" s="1"/>
  <c r="K321" i="3"/>
  <c r="J321" i="3"/>
  <c r="J319" i="3" s="1"/>
  <c r="I321" i="3"/>
  <c r="H321" i="3"/>
  <c r="H320" i="3" s="1"/>
  <c r="G321" i="3"/>
  <c r="G319" i="3" s="1"/>
  <c r="F321" i="3"/>
  <c r="F319" i="3" s="1"/>
  <c r="AI286" i="3"/>
  <c r="AI285" i="3" s="1"/>
  <c r="AH286" i="3"/>
  <c r="AG286" i="3"/>
  <c r="AF286" i="3"/>
  <c r="AE286" i="3"/>
  <c r="AE285" i="3" s="1"/>
  <c r="AD286" i="3"/>
  <c r="AD285" i="3" s="1"/>
  <c r="AC286" i="3"/>
  <c r="AC285" i="3" s="1"/>
  <c r="AB286" i="3"/>
  <c r="AB285" i="3" s="1"/>
  <c r="AA286" i="3"/>
  <c r="AA285" i="3" s="1"/>
  <c r="Z286" i="3"/>
  <c r="Z285" i="3" s="1"/>
  <c r="Y286" i="3"/>
  <c r="Y284" i="3" s="1"/>
  <c r="X286" i="3"/>
  <c r="W286" i="3"/>
  <c r="W285" i="3" s="1"/>
  <c r="V286" i="3"/>
  <c r="V284" i="3" s="1"/>
  <c r="U286" i="3"/>
  <c r="T286" i="3"/>
  <c r="S286" i="3"/>
  <c r="S285" i="3" s="1"/>
  <c r="R286" i="3"/>
  <c r="R284" i="3" s="1"/>
  <c r="Q286" i="3"/>
  <c r="Q285" i="3" s="1"/>
  <c r="P286" i="3"/>
  <c r="P284" i="3" s="1"/>
  <c r="O286" i="3"/>
  <c r="N286" i="3"/>
  <c r="N284" i="3" s="1"/>
  <c r="M286" i="3"/>
  <c r="L286" i="3"/>
  <c r="L285" i="3" s="1"/>
  <c r="K286" i="3"/>
  <c r="K285" i="3" s="1"/>
  <c r="J286" i="3"/>
  <c r="J284" i="3" s="1"/>
  <c r="I286" i="3"/>
  <c r="H286" i="3"/>
  <c r="G286" i="3"/>
  <c r="G285" i="3" s="1"/>
  <c r="F286" i="3"/>
  <c r="F285" i="3" s="1"/>
  <c r="AJ251" i="3"/>
  <c r="AJ250" i="3" s="1"/>
  <c r="AI251" i="3"/>
  <c r="AI249" i="3" s="1"/>
  <c r="AH251" i="3"/>
  <c r="AH250" i="3" s="1"/>
  <c r="AG251" i="3"/>
  <c r="AG250" i="3" s="1"/>
  <c r="AF251" i="3"/>
  <c r="AF249" i="3" s="1"/>
  <c r="AE251" i="3"/>
  <c r="AE249" i="3" s="1"/>
  <c r="AD251" i="3"/>
  <c r="AC251" i="3"/>
  <c r="AC250" i="3" s="1"/>
  <c r="AB251" i="3"/>
  <c r="AB249" i="3" s="1"/>
  <c r="AA251" i="3"/>
  <c r="AA249" i="3" s="1"/>
  <c r="Z251" i="3"/>
  <c r="Z250" i="3" s="1"/>
  <c r="Y251" i="3"/>
  <c r="Y250" i="3" s="1"/>
  <c r="X251" i="3"/>
  <c r="X250" i="3" s="1"/>
  <c r="W251" i="3"/>
  <c r="W249" i="3" s="1"/>
  <c r="V251" i="3"/>
  <c r="V250" i="3" s="1"/>
  <c r="U251" i="3"/>
  <c r="U250" i="3" s="1"/>
  <c r="T251" i="3"/>
  <c r="T249" i="3" s="1"/>
  <c r="S251" i="3"/>
  <c r="S249" i="3" s="1"/>
  <c r="R251" i="3"/>
  <c r="Q251" i="3"/>
  <c r="Q250" i="3" s="1"/>
  <c r="P251" i="3"/>
  <c r="P249" i="3" s="1"/>
  <c r="O251" i="3"/>
  <c r="O249" i="3" s="1"/>
  <c r="N251" i="3"/>
  <c r="N250" i="3" s="1"/>
  <c r="M251" i="3"/>
  <c r="M250" i="3" s="1"/>
  <c r="L251" i="3"/>
  <c r="L250" i="3" s="1"/>
  <c r="K251" i="3"/>
  <c r="K249" i="3" s="1"/>
  <c r="J251" i="3"/>
  <c r="J250" i="3" s="1"/>
  <c r="I251" i="3"/>
  <c r="I250" i="3" s="1"/>
  <c r="H251" i="3"/>
  <c r="H249" i="3" s="1"/>
  <c r="G251" i="3"/>
  <c r="G249" i="3" s="1"/>
  <c r="F251" i="3"/>
  <c r="AJ216" i="3"/>
  <c r="AJ214" i="3" s="1"/>
  <c r="AI216" i="3"/>
  <c r="AH216" i="3"/>
  <c r="AH214" i="3" s="1"/>
  <c r="AG216" i="3"/>
  <c r="AF216" i="3"/>
  <c r="AF215" i="3" s="1"/>
  <c r="AE216" i="3"/>
  <c r="AE214" i="3" s="1"/>
  <c r="AD216" i="3"/>
  <c r="AD215" i="3" s="1"/>
  <c r="AC216" i="3"/>
  <c r="AC214" i="3" s="1"/>
  <c r="AB216" i="3"/>
  <c r="AB214" i="3" s="1"/>
  <c r="AA216" i="3"/>
  <c r="AA214" i="3" s="1"/>
  <c r="Z216" i="3"/>
  <c r="Z215" i="3" s="1"/>
  <c r="Y216" i="3"/>
  <c r="Y215" i="3" s="1"/>
  <c r="X216" i="3"/>
  <c r="X214" i="3" s="1"/>
  <c r="W216" i="3"/>
  <c r="W215" i="3" s="1"/>
  <c r="V216" i="3"/>
  <c r="U216" i="3"/>
  <c r="T216" i="3"/>
  <c r="T214" i="3" s="1"/>
  <c r="S216" i="3"/>
  <c r="S215" i="3" s="1"/>
  <c r="R216" i="3"/>
  <c r="R215" i="3" s="1"/>
  <c r="Q216" i="3"/>
  <c r="P216" i="3"/>
  <c r="P214" i="3" s="1"/>
  <c r="O216" i="3"/>
  <c r="N216" i="3"/>
  <c r="N214" i="3" s="1"/>
  <c r="M216" i="3"/>
  <c r="M214" i="3" s="1"/>
  <c r="L216" i="3"/>
  <c r="K216" i="3"/>
  <c r="K214" i="3" s="1"/>
  <c r="J216" i="3"/>
  <c r="J214" i="3" s="1"/>
  <c r="I216" i="3"/>
  <c r="H216" i="3"/>
  <c r="H215" i="3" s="1"/>
  <c r="G216" i="3"/>
  <c r="G214" i="3" s="1"/>
  <c r="F216" i="3"/>
  <c r="F215" i="3" s="1"/>
  <c r="AI181" i="3"/>
  <c r="AI179" i="3" s="1"/>
  <c r="AH181" i="3"/>
  <c r="AH180" i="3" s="1"/>
  <c r="AG181" i="3"/>
  <c r="AG179" i="3" s="1"/>
  <c r="AF181" i="3"/>
  <c r="AF179" i="3" s="1"/>
  <c r="AE181" i="3"/>
  <c r="AD181" i="3"/>
  <c r="AC181" i="3"/>
  <c r="AC180" i="3" s="1"/>
  <c r="AB181" i="3"/>
  <c r="AB180" i="3" s="1"/>
  <c r="AA181" i="3"/>
  <c r="AA180" i="3" s="1"/>
  <c r="Z181" i="3"/>
  <c r="Y181" i="3"/>
  <c r="X181" i="3"/>
  <c r="X180" i="3" s="1"/>
  <c r="W181" i="3"/>
  <c r="V181" i="3"/>
  <c r="V180" i="3" s="1"/>
  <c r="U181" i="3"/>
  <c r="U179" i="3" s="1"/>
  <c r="T181" i="3"/>
  <c r="T179" i="3" s="1"/>
  <c r="S181" i="3"/>
  <c r="R181" i="3"/>
  <c r="R179" i="3" s="1"/>
  <c r="Q181" i="3"/>
  <c r="Q179" i="3" s="1"/>
  <c r="P181" i="3"/>
  <c r="O181" i="3"/>
  <c r="O180" i="3" s="1"/>
  <c r="N181" i="3"/>
  <c r="N180" i="3" s="1"/>
  <c r="M181" i="3"/>
  <c r="M180" i="3" s="1"/>
  <c r="L181" i="3"/>
  <c r="L179" i="3" s="1"/>
  <c r="K181" i="3"/>
  <c r="K179" i="3" s="1"/>
  <c r="J181" i="3"/>
  <c r="J179" i="3" s="1"/>
  <c r="I181" i="3"/>
  <c r="I179" i="3" s="1"/>
  <c r="H181" i="3"/>
  <c r="H179" i="3" s="1"/>
  <c r="G181" i="3"/>
  <c r="F181" i="3"/>
  <c r="AJ146" i="3"/>
  <c r="AJ145" i="3" s="1"/>
  <c r="AI146" i="3"/>
  <c r="AI144" i="3" s="1"/>
  <c r="AH146" i="3"/>
  <c r="AH144" i="3" s="1"/>
  <c r="AG146" i="3"/>
  <c r="AG145" i="3" s="1"/>
  <c r="AF146" i="3"/>
  <c r="AF145" i="3" s="1"/>
  <c r="AE146" i="3"/>
  <c r="AE145" i="3" s="1"/>
  <c r="AD146" i="3"/>
  <c r="AD144" i="3" s="1"/>
  <c r="AC146" i="3"/>
  <c r="AC145" i="3" s="1"/>
  <c r="AB146" i="3"/>
  <c r="AB145" i="3" s="1"/>
  <c r="AA146" i="3"/>
  <c r="AA144" i="3" s="1"/>
  <c r="Z146" i="3"/>
  <c r="Z144" i="3" s="1"/>
  <c r="Y146" i="3"/>
  <c r="X146" i="3"/>
  <c r="X145" i="3" s="1"/>
  <c r="W146" i="3"/>
  <c r="W144" i="3" s="1"/>
  <c r="V146" i="3"/>
  <c r="V144" i="3" s="1"/>
  <c r="U146" i="3"/>
  <c r="U145" i="3" s="1"/>
  <c r="T146" i="3"/>
  <c r="T145" i="3" s="1"/>
  <c r="S146" i="3"/>
  <c r="S145" i="3" s="1"/>
  <c r="R146" i="3"/>
  <c r="R144" i="3" s="1"/>
  <c r="Q146" i="3"/>
  <c r="Q145" i="3" s="1"/>
  <c r="P146" i="3"/>
  <c r="P145" i="3" s="1"/>
  <c r="O146" i="3"/>
  <c r="O144" i="3" s="1"/>
  <c r="N146" i="3"/>
  <c r="N144" i="3" s="1"/>
  <c r="M146" i="3"/>
  <c r="L146" i="3"/>
  <c r="L145" i="3" s="1"/>
  <c r="K146" i="3"/>
  <c r="K144" i="3" s="1"/>
  <c r="J146" i="3"/>
  <c r="J144" i="3" s="1"/>
  <c r="I146" i="3"/>
  <c r="I145" i="3" s="1"/>
  <c r="H146" i="3"/>
  <c r="H145" i="3" s="1"/>
  <c r="G146" i="3"/>
  <c r="G145" i="3" s="1"/>
  <c r="F146" i="3"/>
  <c r="F144" i="3" s="1"/>
  <c r="AI111" i="3"/>
  <c r="AI110" i="3" s="1"/>
  <c r="AH111" i="3"/>
  <c r="AH110" i="3" s="1"/>
  <c r="AG111" i="3"/>
  <c r="AG109" i="3" s="1"/>
  <c r="AF111" i="3"/>
  <c r="AF110" i="3" s="1"/>
  <c r="AE111" i="3"/>
  <c r="AE110" i="3" s="1"/>
  <c r="AD111" i="3"/>
  <c r="AD109" i="3" s="1"/>
  <c r="AC111" i="3"/>
  <c r="AC109" i="3" s="1"/>
  <c r="AB111" i="3"/>
  <c r="AA111" i="3"/>
  <c r="AA110" i="3" s="1"/>
  <c r="Z111" i="3"/>
  <c r="Z110" i="3" s="1"/>
  <c r="Y111" i="3"/>
  <c r="Y110" i="3" s="1"/>
  <c r="X111" i="3"/>
  <c r="X110" i="3" s="1"/>
  <c r="W111" i="3"/>
  <c r="V111" i="3"/>
  <c r="V110" i="3" s="1"/>
  <c r="U111" i="3"/>
  <c r="U110" i="3" s="1"/>
  <c r="T111" i="3"/>
  <c r="T110" i="3" s="1"/>
  <c r="S111" i="3"/>
  <c r="S110" i="3" s="1"/>
  <c r="R111" i="3"/>
  <c r="R109" i="3" s="1"/>
  <c r="Q111" i="3"/>
  <c r="Q109" i="3" s="1"/>
  <c r="P111" i="3"/>
  <c r="P109" i="3" s="1"/>
  <c r="O111" i="3"/>
  <c r="O109" i="3" s="1"/>
  <c r="N111" i="3"/>
  <c r="N110" i="3" s="1"/>
  <c r="M111" i="3"/>
  <c r="M110" i="3" s="1"/>
  <c r="L111" i="3"/>
  <c r="L110" i="3" s="1"/>
  <c r="K111" i="3"/>
  <c r="J111" i="3"/>
  <c r="I111" i="3"/>
  <c r="I110" i="3" s="1"/>
  <c r="H111" i="3"/>
  <c r="H110" i="3" s="1"/>
  <c r="G111" i="3"/>
  <c r="G110" i="3" s="1"/>
  <c r="F111" i="3"/>
  <c r="F109" i="3" s="1"/>
  <c r="AJ76" i="3"/>
  <c r="AJ74" i="3" s="1"/>
  <c r="AI76" i="3"/>
  <c r="AI74" i="3" s="1"/>
  <c r="AH76" i="3"/>
  <c r="AH75" i="3" s="1"/>
  <c r="AG76" i="3"/>
  <c r="AG75" i="3" s="1"/>
  <c r="AF76" i="3"/>
  <c r="AF75" i="3" s="1"/>
  <c r="AE76" i="3"/>
  <c r="AD76" i="3"/>
  <c r="AC76" i="3"/>
  <c r="AB76" i="3"/>
  <c r="AA76" i="3"/>
  <c r="AA75" i="3" s="1"/>
  <c r="Z76" i="3"/>
  <c r="Y76" i="3"/>
  <c r="Y75" i="3" s="1"/>
  <c r="X76" i="3"/>
  <c r="X75" i="3" s="1"/>
  <c r="W76" i="3"/>
  <c r="W75" i="3" s="1"/>
  <c r="V76" i="3"/>
  <c r="V75" i="3" s="1"/>
  <c r="U76" i="3"/>
  <c r="U75" i="3" s="1"/>
  <c r="T76" i="3"/>
  <c r="T74" i="3" s="1"/>
  <c r="S76" i="3"/>
  <c r="S74" i="3" s="1"/>
  <c r="R76" i="3"/>
  <c r="Q76" i="3"/>
  <c r="P76" i="3"/>
  <c r="O76" i="3"/>
  <c r="O74" i="3" s="1"/>
  <c r="N76" i="3"/>
  <c r="N75" i="3" s="1"/>
  <c r="M76" i="3"/>
  <c r="M75" i="3" s="1"/>
  <c r="L76" i="3"/>
  <c r="L75" i="3" s="1"/>
  <c r="K76" i="3"/>
  <c r="K75" i="3" s="1"/>
  <c r="J76" i="3"/>
  <c r="J75" i="3" s="1"/>
  <c r="I76" i="3"/>
  <c r="I75" i="3" s="1"/>
  <c r="H76" i="3"/>
  <c r="H74" i="3" s="1"/>
  <c r="G76" i="3"/>
  <c r="F76" i="3"/>
  <c r="F74" i="3" s="1"/>
  <c r="AG41" i="3"/>
  <c r="AG39" i="3" s="1"/>
  <c r="AF41" i="3"/>
  <c r="AF39" i="3" s="1"/>
  <c r="AE41" i="3"/>
  <c r="AD41" i="3"/>
  <c r="AD40" i="3" s="1"/>
  <c r="AC41" i="3"/>
  <c r="AB41" i="3"/>
  <c r="AA41" i="3"/>
  <c r="AA39" i="3" s="1"/>
  <c r="Z41" i="3"/>
  <c r="Y41" i="3"/>
  <c r="Y39" i="3" s="1"/>
  <c r="X41" i="3"/>
  <c r="X39" i="3" s="1"/>
  <c r="W41" i="3"/>
  <c r="W39" i="3" s="1"/>
  <c r="V41" i="3"/>
  <c r="V40" i="3" s="1"/>
  <c r="U41" i="3"/>
  <c r="U39" i="3" s="1"/>
  <c r="T41" i="3"/>
  <c r="S41" i="3"/>
  <c r="S39" i="3" s="1"/>
  <c r="R41" i="3"/>
  <c r="R40" i="3" s="1"/>
  <c r="Q41" i="3"/>
  <c r="P41" i="3"/>
  <c r="O41" i="3"/>
  <c r="O40" i="3" s="1"/>
  <c r="N41" i="3"/>
  <c r="N39" i="3" s="1"/>
  <c r="M41" i="3"/>
  <c r="M40" i="3" s="1"/>
  <c r="L41" i="3"/>
  <c r="L40" i="3" s="1"/>
  <c r="K41" i="3"/>
  <c r="K39" i="3" s="1"/>
  <c r="J41" i="3"/>
  <c r="J40" i="3" s="1"/>
  <c r="I41" i="3"/>
  <c r="I40" i="3" s="1"/>
  <c r="H41" i="3"/>
  <c r="H39" i="3" s="1"/>
  <c r="G41" i="3"/>
  <c r="G39" i="3" s="1"/>
  <c r="F41" i="3"/>
  <c r="F39" i="3" s="1"/>
  <c r="G6" i="4"/>
  <c r="G5" i="4" s="1"/>
  <c r="H6" i="4"/>
  <c r="H5" i="4" s="1"/>
  <c r="I6" i="4"/>
  <c r="I5" i="4" s="1"/>
  <c r="J6" i="4"/>
  <c r="J5" i="4" s="1"/>
  <c r="K6" i="4"/>
  <c r="K4" i="4" s="1"/>
  <c r="L6" i="4"/>
  <c r="L4" i="4" s="1"/>
  <c r="M6" i="4"/>
  <c r="M4" i="4" s="1"/>
  <c r="N6" i="4"/>
  <c r="N4" i="4" s="1"/>
  <c r="O6" i="4"/>
  <c r="O4" i="4" s="1"/>
  <c r="P6" i="4"/>
  <c r="P4" i="4" s="1"/>
  <c r="Q6" i="4"/>
  <c r="Q4" i="4" s="1"/>
  <c r="R6" i="4"/>
  <c r="R5" i="4" s="1"/>
  <c r="S6" i="4"/>
  <c r="S5" i="4" s="1"/>
  <c r="T6" i="4"/>
  <c r="T4" i="4" s="1"/>
  <c r="U6" i="4"/>
  <c r="U4" i="4" s="1"/>
  <c r="V6" i="4"/>
  <c r="V5" i="4" s="1"/>
  <c r="W6" i="4"/>
  <c r="W4" i="4" s="1"/>
  <c r="X6" i="4"/>
  <c r="X4" i="4" s="1"/>
  <c r="Y6" i="4"/>
  <c r="Y4" i="4" s="1"/>
  <c r="Z6" i="4"/>
  <c r="Z4" i="4" s="1"/>
  <c r="AA6" i="4"/>
  <c r="AA4" i="4" s="1"/>
  <c r="AB6" i="4"/>
  <c r="AB4" i="4" s="1"/>
  <c r="AC6" i="4"/>
  <c r="AC4" i="4" s="1"/>
  <c r="AD6" i="4"/>
  <c r="AD5" i="4" s="1"/>
  <c r="AE6" i="4"/>
  <c r="AE4" i="4" s="1"/>
  <c r="AF6" i="4"/>
  <c r="AF4" i="4" s="1"/>
  <c r="AG6" i="4"/>
  <c r="AG4" i="4" s="1"/>
  <c r="AH6" i="4"/>
  <c r="AH4" i="4" s="1"/>
  <c r="AI6" i="4"/>
  <c r="AI4" i="4" s="1"/>
  <c r="AJ6" i="4"/>
  <c r="AJ4" i="4" s="1"/>
  <c r="F6" i="4"/>
  <c r="F4" i="4" s="1"/>
  <c r="AJ391" i="4"/>
  <c r="AJ389" i="4" s="1"/>
  <c r="AI391" i="4"/>
  <c r="AI390" i="4" s="1"/>
  <c r="AH391" i="4"/>
  <c r="AH390" i="4" s="1"/>
  <c r="AG391" i="4"/>
  <c r="AG390" i="4" s="1"/>
  <c r="AF391" i="4"/>
  <c r="AF389" i="4" s="1"/>
  <c r="AE391" i="4"/>
  <c r="AE389" i="4" s="1"/>
  <c r="AD391" i="4"/>
  <c r="AD389" i="4" s="1"/>
  <c r="AC391" i="4"/>
  <c r="AC389" i="4" s="1"/>
  <c r="AB391" i="4"/>
  <c r="AB389" i="4" s="1"/>
  <c r="AA391" i="4"/>
  <c r="AA390" i="4" s="1"/>
  <c r="Z391" i="4"/>
  <c r="Z389" i="4" s="1"/>
  <c r="Y391" i="4"/>
  <c r="Y390" i="4" s="1"/>
  <c r="X391" i="4"/>
  <c r="X390" i="4" s="1"/>
  <c r="W391" i="4"/>
  <c r="W390" i="4" s="1"/>
  <c r="V391" i="4"/>
  <c r="V390" i="4" s="1"/>
  <c r="U391" i="4"/>
  <c r="U390" i="4" s="1"/>
  <c r="T391" i="4"/>
  <c r="T389" i="4" s="1"/>
  <c r="S391" i="4"/>
  <c r="S389" i="4" s="1"/>
  <c r="R391" i="4"/>
  <c r="R389" i="4" s="1"/>
  <c r="Q391" i="4"/>
  <c r="Q389" i="4" s="1"/>
  <c r="P391" i="4"/>
  <c r="P389" i="4" s="1"/>
  <c r="O391" i="4"/>
  <c r="O389" i="4" s="1"/>
  <c r="N391" i="4"/>
  <c r="N389" i="4" s="1"/>
  <c r="M391" i="4"/>
  <c r="M390" i="4" s="1"/>
  <c r="L391" i="4"/>
  <c r="L390" i="4" s="1"/>
  <c r="K391" i="4"/>
  <c r="K390" i="4" s="1"/>
  <c r="J391" i="4"/>
  <c r="J390" i="4" s="1"/>
  <c r="I391" i="4"/>
  <c r="I390" i="4" s="1"/>
  <c r="H391" i="4"/>
  <c r="G391" i="4"/>
  <c r="G390" i="4" s="1"/>
  <c r="F391" i="4"/>
  <c r="F390" i="4" s="1"/>
  <c r="AI356" i="4"/>
  <c r="AI355" i="4" s="1"/>
  <c r="AH356" i="4"/>
  <c r="AH354" i="4" s="1"/>
  <c r="AG356" i="4"/>
  <c r="AF356" i="4"/>
  <c r="AF355" i="4" s="1"/>
  <c r="AE356" i="4"/>
  <c r="AE355" i="4" s="1"/>
  <c r="AD356" i="4"/>
  <c r="AD355" i="4" s="1"/>
  <c r="AC356" i="4"/>
  <c r="AC354" i="4" s="1"/>
  <c r="AB356" i="4"/>
  <c r="AB355" i="4" s="1"/>
  <c r="AA356" i="4"/>
  <c r="AA355" i="4" s="1"/>
  <c r="Z356" i="4"/>
  <c r="Z355" i="4" s="1"/>
  <c r="Y356" i="4"/>
  <c r="Y355" i="4" s="1"/>
  <c r="X356" i="4"/>
  <c r="X355" i="4" s="1"/>
  <c r="W356" i="4"/>
  <c r="W355" i="4" s="1"/>
  <c r="V356" i="4"/>
  <c r="V355" i="4" s="1"/>
  <c r="U356" i="4"/>
  <c r="T356" i="4"/>
  <c r="T355" i="4" s="1"/>
  <c r="S356" i="4"/>
  <c r="S355" i="4" s="1"/>
  <c r="R356" i="4"/>
  <c r="R355" i="4" s="1"/>
  <c r="Q356" i="4"/>
  <c r="Q355" i="4" s="1"/>
  <c r="P356" i="4"/>
  <c r="P355" i="4" s="1"/>
  <c r="O356" i="4"/>
  <c r="O355" i="4" s="1"/>
  <c r="N356" i="4"/>
  <c r="N355" i="4" s="1"/>
  <c r="M356" i="4"/>
  <c r="M355" i="4" s="1"/>
  <c r="L356" i="4"/>
  <c r="L354" i="4" s="1"/>
  <c r="K356" i="4"/>
  <c r="K355" i="4" s="1"/>
  <c r="J356" i="4"/>
  <c r="J354" i="4" s="1"/>
  <c r="I356" i="4"/>
  <c r="I354" i="4" s="1"/>
  <c r="H356" i="4"/>
  <c r="H354" i="4" s="1"/>
  <c r="G356" i="4"/>
  <c r="G354" i="4" s="1"/>
  <c r="F356" i="4"/>
  <c r="F355" i="4" s="1"/>
  <c r="AJ321" i="4"/>
  <c r="AJ320" i="4" s="1"/>
  <c r="AI321" i="4"/>
  <c r="AI320" i="4" s="1"/>
  <c r="AH321" i="4"/>
  <c r="AH320" i="4" s="1"/>
  <c r="AG321" i="4"/>
  <c r="AG319" i="4" s="1"/>
  <c r="AF321" i="4"/>
  <c r="AF319" i="4" s="1"/>
  <c r="AE321" i="4"/>
  <c r="AE320" i="4" s="1"/>
  <c r="AD321" i="4"/>
  <c r="AD319" i="4" s="1"/>
  <c r="AC321" i="4"/>
  <c r="AC319" i="4" s="1"/>
  <c r="AB321" i="4"/>
  <c r="AB320" i="4" s="1"/>
  <c r="AA321" i="4"/>
  <c r="AA319" i="4" s="1"/>
  <c r="Z321" i="4"/>
  <c r="Z319" i="4" s="1"/>
  <c r="Y321" i="4"/>
  <c r="Y319" i="4" s="1"/>
  <c r="X321" i="4"/>
  <c r="X320" i="4" s="1"/>
  <c r="W321" i="4"/>
  <c r="W320" i="4" s="1"/>
  <c r="V321" i="4"/>
  <c r="V320" i="4" s="1"/>
  <c r="U321" i="4"/>
  <c r="U319" i="4" s="1"/>
  <c r="T321" i="4"/>
  <c r="T319" i="4" s="1"/>
  <c r="S321" i="4"/>
  <c r="S320" i="4" s="1"/>
  <c r="R321" i="4"/>
  <c r="R319" i="4" s="1"/>
  <c r="Q321" i="4"/>
  <c r="Q319" i="4" s="1"/>
  <c r="P321" i="4"/>
  <c r="P320" i="4" s="1"/>
  <c r="O321" i="4"/>
  <c r="O319" i="4" s="1"/>
  <c r="N321" i="4"/>
  <c r="N319" i="4" s="1"/>
  <c r="M321" i="4"/>
  <c r="M319" i="4" s="1"/>
  <c r="L321" i="4"/>
  <c r="L320" i="4" s="1"/>
  <c r="K321" i="4"/>
  <c r="K320" i="4" s="1"/>
  <c r="J321" i="4"/>
  <c r="J320" i="4" s="1"/>
  <c r="I321" i="4"/>
  <c r="I319" i="4" s="1"/>
  <c r="H321" i="4"/>
  <c r="H319" i="4" s="1"/>
  <c r="G321" i="4"/>
  <c r="G320" i="4" s="1"/>
  <c r="F321" i="4"/>
  <c r="F320" i="4" s="1"/>
  <c r="AI286" i="4"/>
  <c r="AI285" i="4" s="1"/>
  <c r="AH286" i="4"/>
  <c r="AH284" i="4" s="1"/>
  <c r="AG286" i="4"/>
  <c r="AG285" i="4" s="1"/>
  <c r="AF286" i="4"/>
  <c r="AF284" i="4" s="1"/>
  <c r="AE286" i="4"/>
  <c r="AE285" i="4" s="1"/>
  <c r="AD286" i="4"/>
  <c r="AC286" i="4"/>
  <c r="AB286" i="4"/>
  <c r="AA286" i="4"/>
  <c r="Z286" i="4"/>
  <c r="Y286" i="4"/>
  <c r="Y284" i="4" s="1"/>
  <c r="X286" i="4"/>
  <c r="W286" i="4"/>
  <c r="W285" i="4" s="1"/>
  <c r="V286" i="4"/>
  <c r="V285" i="4" s="1"/>
  <c r="U286" i="4"/>
  <c r="U284" i="4" s="1"/>
  <c r="T286" i="4"/>
  <c r="T284" i="4" s="1"/>
  <c r="S286" i="4"/>
  <c r="S285" i="4" s="1"/>
  <c r="R286" i="4"/>
  <c r="R284" i="4" s="1"/>
  <c r="Q286" i="4"/>
  <c r="Q284" i="4" s="1"/>
  <c r="P286" i="4"/>
  <c r="P284" i="4" s="1"/>
  <c r="O286" i="4"/>
  <c r="N286" i="4"/>
  <c r="M286" i="4"/>
  <c r="M285" i="4" s="1"/>
  <c r="L286" i="4"/>
  <c r="K286" i="4"/>
  <c r="K285" i="4" s="1"/>
  <c r="J286" i="4"/>
  <c r="J284" i="4" s="1"/>
  <c r="I286" i="4"/>
  <c r="I284" i="4" s="1"/>
  <c r="H286" i="4"/>
  <c r="H284" i="4" s="1"/>
  <c r="G286" i="4"/>
  <c r="G285" i="4" s="1"/>
  <c r="F286" i="4"/>
  <c r="F284" i="4" s="1"/>
  <c r="AJ251" i="4"/>
  <c r="AJ249" i="4" s="1"/>
  <c r="AI251" i="4"/>
  <c r="AI249" i="4" s="1"/>
  <c r="AH251" i="4"/>
  <c r="AH250" i="4" s="1"/>
  <c r="AG251" i="4"/>
  <c r="AG250" i="4" s="1"/>
  <c r="AF251" i="4"/>
  <c r="AF249" i="4" s="1"/>
  <c r="AE251" i="4"/>
  <c r="AE250" i="4" s="1"/>
  <c r="AD251" i="4"/>
  <c r="AD250" i="4" s="1"/>
  <c r="AC251" i="4"/>
  <c r="AC250" i="4" s="1"/>
  <c r="AB251" i="4"/>
  <c r="AB249" i="4" s="1"/>
  <c r="AA251" i="4"/>
  <c r="AA249" i="4" s="1"/>
  <c r="Z251" i="4"/>
  <c r="Z249" i="4" s="1"/>
  <c r="Y251" i="4"/>
  <c r="Y249" i="4" s="1"/>
  <c r="X251" i="4"/>
  <c r="X249" i="4" s="1"/>
  <c r="W251" i="4"/>
  <c r="W249" i="4" s="1"/>
  <c r="V251" i="4"/>
  <c r="V250" i="4" s="1"/>
  <c r="U251" i="4"/>
  <c r="U250" i="4" s="1"/>
  <c r="T251" i="4"/>
  <c r="T249" i="4" s="1"/>
  <c r="S251" i="4"/>
  <c r="S250" i="4" s="1"/>
  <c r="R251" i="4"/>
  <c r="R250" i="4" s="1"/>
  <c r="Q251" i="4"/>
  <c r="Q250" i="4" s="1"/>
  <c r="P251" i="4"/>
  <c r="P249" i="4" s="1"/>
  <c r="O251" i="4"/>
  <c r="O249" i="4" s="1"/>
  <c r="N251" i="4"/>
  <c r="N249" i="4" s="1"/>
  <c r="M251" i="4"/>
  <c r="M249" i="4" s="1"/>
  <c r="L251" i="4"/>
  <c r="L249" i="4" s="1"/>
  <c r="K251" i="4"/>
  <c r="K249" i="4" s="1"/>
  <c r="J251" i="4"/>
  <c r="J250" i="4" s="1"/>
  <c r="I251" i="4"/>
  <c r="I250" i="4" s="1"/>
  <c r="H251" i="4"/>
  <c r="H250" i="4" s="1"/>
  <c r="G251" i="4"/>
  <c r="G250" i="4" s="1"/>
  <c r="F251" i="4"/>
  <c r="F250" i="4" s="1"/>
  <c r="AJ216" i="4"/>
  <c r="AJ214" i="4" s="1"/>
  <c r="AI216" i="4"/>
  <c r="AI214" i="4" s="1"/>
  <c r="AH216" i="4"/>
  <c r="AH215" i="4" s="1"/>
  <c r="AG216" i="4"/>
  <c r="AG214" i="4" s="1"/>
  <c r="AF216" i="4"/>
  <c r="AF215" i="4" s="1"/>
  <c r="AE216" i="4"/>
  <c r="AD216" i="4"/>
  <c r="AC216" i="4"/>
  <c r="AC215" i="4" s="1"/>
  <c r="AB216" i="4"/>
  <c r="AB215" i="4" s="1"/>
  <c r="AA216" i="4"/>
  <c r="AA215" i="4" s="1"/>
  <c r="Z216" i="4"/>
  <c r="Y216" i="4"/>
  <c r="Y215" i="4" s="1"/>
  <c r="X216" i="4"/>
  <c r="X214" i="4" s="1"/>
  <c r="W216" i="4"/>
  <c r="W214" i="4" s="1"/>
  <c r="V216" i="4"/>
  <c r="V214" i="4" s="1"/>
  <c r="U216" i="4"/>
  <c r="U214" i="4" s="1"/>
  <c r="T216" i="4"/>
  <c r="T215" i="4" s="1"/>
  <c r="S216" i="4"/>
  <c r="S215" i="4" s="1"/>
  <c r="R216" i="4"/>
  <c r="R214" i="4" s="1"/>
  <c r="Q216" i="4"/>
  <c r="P216" i="4"/>
  <c r="P214" i="4" s="1"/>
  <c r="O216" i="4"/>
  <c r="O215" i="4" s="1"/>
  <c r="N216" i="4"/>
  <c r="N214" i="4" s="1"/>
  <c r="M216" i="4"/>
  <c r="M215" i="4" s="1"/>
  <c r="L216" i="4"/>
  <c r="L215" i="4" s="1"/>
  <c r="K216" i="4"/>
  <c r="K215" i="4" s="1"/>
  <c r="J216" i="4"/>
  <c r="J214" i="4" s="1"/>
  <c r="I216" i="4"/>
  <c r="I214" i="4" s="1"/>
  <c r="H216" i="4"/>
  <c r="H214" i="4" s="1"/>
  <c r="G216" i="4"/>
  <c r="G215" i="4" s="1"/>
  <c r="F216" i="4"/>
  <c r="AI181" i="4"/>
  <c r="AI179" i="4" s="1"/>
  <c r="AH181" i="4"/>
  <c r="AH180" i="4" s="1"/>
  <c r="AG181" i="4"/>
  <c r="AG179" i="4" s="1"/>
  <c r="AF181" i="4"/>
  <c r="AF179" i="4" s="1"/>
  <c r="AE181" i="4"/>
  <c r="AD181" i="4"/>
  <c r="AC181" i="4"/>
  <c r="AC180" i="4" s="1"/>
  <c r="AB181" i="4"/>
  <c r="AB180" i="4" s="1"/>
  <c r="AA181" i="4"/>
  <c r="Z181" i="4"/>
  <c r="Z180" i="4" s="1"/>
  <c r="Y181" i="4"/>
  <c r="Y179" i="4" s="1"/>
  <c r="X181" i="4"/>
  <c r="X179" i="4" s="1"/>
  <c r="W181" i="4"/>
  <c r="W179" i="4" s="1"/>
  <c r="V181" i="4"/>
  <c r="V180" i="4" s="1"/>
  <c r="U181" i="4"/>
  <c r="U179" i="4" s="1"/>
  <c r="T181" i="4"/>
  <c r="T179" i="4" s="1"/>
  <c r="S181" i="4"/>
  <c r="S179" i="4" s="1"/>
  <c r="R181" i="4"/>
  <c r="R179" i="4" s="1"/>
  <c r="Q181" i="4"/>
  <c r="P181" i="4"/>
  <c r="P180" i="4" s="1"/>
  <c r="O181" i="4"/>
  <c r="N181" i="4"/>
  <c r="N180" i="4" s="1"/>
  <c r="M181" i="4"/>
  <c r="M180" i="4" s="1"/>
  <c r="L181" i="4"/>
  <c r="L179" i="4" s="1"/>
  <c r="K181" i="4"/>
  <c r="J181" i="4"/>
  <c r="J180" i="4" s="1"/>
  <c r="I181" i="4"/>
  <c r="I180" i="4" s="1"/>
  <c r="H181" i="4"/>
  <c r="H180" i="4" s="1"/>
  <c r="G181" i="4"/>
  <c r="G179" i="4" s="1"/>
  <c r="F181" i="4"/>
  <c r="F179" i="4" s="1"/>
  <c r="AJ146" i="4"/>
  <c r="AJ144" i="4" s="1"/>
  <c r="AI146" i="4"/>
  <c r="AI144" i="4" s="1"/>
  <c r="AH146" i="4"/>
  <c r="AH144" i="4" s="1"/>
  <c r="AG146" i="4"/>
  <c r="AG145" i="4" s="1"/>
  <c r="AF146" i="4"/>
  <c r="AF145" i="4" s="1"/>
  <c r="AE146" i="4"/>
  <c r="AE145" i="4" s="1"/>
  <c r="AD146" i="4"/>
  <c r="AD144" i="4" s="1"/>
  <c r="AC146" i="4"/>
  <c r="AC145" i="4" s="1"/>
  <c r="AB146" i="4"/>
  <c r="AB145" i="4" s="1"/>
  <c r="AA146" i="4"/>
  <c r="AA145" i="4" s="1"/>
  <c r="Z146" i="4"/>
  <c r="Z144" i="4" s="1"/>
  <c r="Y146" i="4"/>
  <c r="Y144" i="4" s="1"/>
  <c r="X146" i="4"/>
  <c r="X144" i="4" s="1"/>
  <c r="W146" i="4"/>
  <c r="W144" i="4" s="1"/>
  <c r="V146" i="4"/>
  <c r="V144" i="4" s="1"/>
  <c r="U146" i="4"/>
  <c r="U145" i="4" s="1"/>
  <c r="T146" i="4"/>
  <c r="T145" i="4" s="1"/>
  <c r="S146" i="4"/>
  <c r="S145" i="4" s="1"/>
  <c r="R146" i="4"/>
  <c r="R144" i="4" s="1"/>
  <c r="Q146" i="4"/>
  <c r="Q145" i="4" s="1"/>
  <c r="P146" i="4"/>
  <c r="P145" i="4" s="1"/>
  <c r="O146" i="4"/>
  <c r="O145" i="4" s="1"/>
  <c r="N146" i="4"/>
  <c r="N144" i="4" s="1"/>
  <c r="M146" i="4"/>
  <c r="M144" i="4" s="1"/>
  <c r="L146" i="4"/>
  <c r="L144" i="4" s="1"/>
  <c r="K146" i="4"/>
  <c r="K144" i="4" s="1"/>
  <c r="J146" i="4"/>
  <c r="J144" i="4" s="1"/>
  <c r="I146" i="4"/>
  <c r="I144" i="4" s="1"/>
  <c r="H146" i="4"/>
  <c r="H145" i="4" s="1"/>
  <c r="G146" i="4"/>
  <c r="G145" i="4" s="1"/>
  <c r="F146" i="4"/>
  <c r="F144" i="4" s="1"/>
  <c r="AI111" i="4"/>
  <c r="AI110" i="4" s="1"/>
  <c r="AH111" i="4"/>
  <c r="AH109" i="4" s="1"/>
  <c r="AG111" i="4"/>
  <c r="AG109" i="4" s="1"/>
  <c r="AF111" i="4"/>
  <c r="AF110" i="4" s="1"/>
  <c r="AE111" i="4"/>
  <c r="AE110" i="4" s="1"/>
  <c r="AD111" i="4"/>
  <c r="AD110" i="4" s="1"/>
  <c r="AC111" i="4"/>
  <c r="AC109" i="4" s="1"/>
  <c r="AB111" i="4"/>
  <c r="AA111" i="4"/>
  <c r="AA110" i="4" s="1"/>
  <c r="Z111" i="4"/>
  <c r="Z110" i="4" s="1"/>
  <c r="Y111" i="4"/>
  <c r="Y110" i="4" s="1"/>
  <c r="X111" i="4"/>
  <c r="X110" i="4" s="1"/>
  <c r="W111" i="4"/>
  <c r="W110" i="4" s="1"/>
  <c r="V111" i="4"/>
  <c r="V110" i="4" s="1"/>
  <c r="U111" i="4"/>
  <c r="U109" i="4" s="1"/>
  <c r="T111" i="4"/>
  <c r="T109" i="4" s="1"/>
  <c r="S111" i="4"/>
  <c r="S109" i="4" s="1"/>
  <c r="R111" i="4"/>
  <c r="R110" i="4" s="1"/>
  <c r="Q111" i="4"/>
  <c r="Q109" i="4" s="1"/>
  <c r="P111" i="4"/>
  <c r="P109" i="4" s="1"/>
  <c r="O111" i="4"/>
  <c r="O110" i="4" s="1"/>
  <c r="N111" i="4"/>
  <c r="N110" i="4" s="1"/>
  <c r="M111" i="4"/>
  <c r="M110" i="4" s="1"/>
  <c r="L111" i="4"/>
  <c r="L109" i="4" s="1"/>
  <c r="K111" i="4"/>
  <c r="K110" i="4" s="1"/>
  <c r="J111" i="4"/>
  <c r="J110" i="4" s="1"/>
  <c r="I111" i="4"/>
  <c r="I110" i="4" s="1"/>
  <c r="H111" i="4"/>
  <c r="H110" i="4" s="1"/>
  <c r="G111" i="4"/>
  <c r="G110" i="4" s="1"/>
  <c r="F111" i="4"/>
  <c r="F110" i="4" s="1"/>
  <c r="AJ76" i="4"/>
  <c r="AJ74" i="4" s="1"/>
  <c r="AI76" i="4"/>
  <c r="AI75" i="4" s="1"/>
  <c r="AH76" i="4"/>
  <c r="AH75" i="4" s="1"/>
  <c r="AG76" i="4"/>
  <c r="AG75" i="4" s="1"/>
  <c r="AF76" i="4"/>
  <c r="AE76" i="4"/>
  <c r="AE75" i="4" s="1"/>
  <c r="AD76" i="4"/>
  <c r="AD74" i="4" s="1"/>
  <c r="AC76" i="4"/>
  <c r="AC74" i="4" s="1"/>
  <c r="AB76" i="4"/>
  <c r="AB74" i="4" s="1"/>
  <c r="AA76" i="4"/>
  <c r="AA74" i="4" s="1"/>
  <c r="Z76" i="4"/>
  <c r="Z74" i="4" s="1"/>
  <c r="Y76" i="4"/>
  <c r="Y74" i="4" s="1"/>
  <c r="X76" i="4"/>
  <c r="X74" i="4" s="1"/>
  <c r="W76" i="4"/>
  <c r="W75" i="4" s="1"/>
  <c r="V76" i="4"/>
  <c r="U76" i="4"/>
  <c r="T76" i="4"/>
  <c r="T74" i="4" s="1"/>
  <c r="S76" i="4"/>
  <c r="S75" i="4" s="1"/>
  <c r="R76" i="4"/>
  <c r="R74" i="4" s="1"/>
  <c r="Q76" i="4"/>
  <c r="Q74" i="4" s="1"/>
  <c r="P76" i="4"/>
  <c r="P74" i="4" s="1"/>
  <c r="O76" i="4"/>
  <c r="O74" i="4" s="1"/>
  <c r="N76" i="4"/>
  <c r="N74" i="4" s="1"/>
  <c r="M76" i="4"/>
  <c r="M75" i="4" s="1"/>
  <c r="L76" i="4"/>
  <c r="L75" i="4" s="1"/>
  <c r="K76" i="4"/>
  <c r="K75" i="4" s="1"/>
  <c r="J76" i="4"/>
  <c r="I76" i="4"/>
  <c r="H76" i="4"/>
  <c r="G76" i="4"/>
  <c r="G75" i="4" s="1"/>
  <c r="F76" i="4"/>
  <c r="AG41" i="4"/>
  <c r="AG40" i="4" s="1"/>
  <c r="AF41" i="4"/>
  <c r="AF40" i="4" s="1"/>
  <c r="AE41" i="4"/>
  <c r="AE40" i="4" s="1"/>
  <c r="AD41" i="4"/>
  <c r="AD40" i="4" s="1"/>
  <c r="AC41" i="4"/>
  <c r="AC39" i="4" s="1"/>
  <c r="AB41" i="4"/>
  <c r="AB39" i="4" s="1"/>
  <c r="AA41" i="4"/>
  <c r="AA40" i="4" s="1"/>
  <c r="Z41" i="4"/>
  <c r="Z39" i="4" s="1"/>
  <c r="Y41" i="4"/>
  <c r="Y39" i="4" s="1"/>
  <c r="X41" i="4"/>
  <c r="W41" i="4"/>
  <c r="V41" i="4"/>
  <c r="V40" i="4" s="1"/>
  <c r="U41" i="4"/>
  <c r="U40" i="4" s="1"/>
  <c r="T41" i="4"/>
  <c r="T40" i="4" s="1"/>
  <c r="S41" i="4"/>
  <c r="S40" i="4" s="1"/>
  <c r="R41" i="4"/>
  <c r="R40" i="4" s="1"/>
  <c r="Q41" i="4"/>
  <c r="Q39" i="4" s="1"/>
  <c r="P41" i="4"/>
  <c r="P40" i="4" s="1"/>
  <c r="O41" i="4"/>
  <c r="O39" i="4" s="1"/>
  <c r="N41" i="4"/>
  <c r="N39" i="4" s="1"/>
  <c r="M41" i="4"/>
  <c r="L41" i="4"/>
  <c r="K41" i="4"/>
  <c r="J41" i="4"/>
  <c r="I41" i="4"/>
  <c r="I40" i="4" s="1"/>
  <c r="H41" i="4"/>
  <c r="H39" i="4" s="1"/>
  <c r="G41" i="4"/>
  <c r="G40" i="4" s="1"/>
  <c r="F41" i="4"/>
  <c r="F40" i="4" s="1"/>
  <c r="G391" i="1"/>
  <c r="G389" i="1" s="1"/>
  <c r="H391" i="1"/>
  <c r="H390" i="1" s="1"/>
  <c r="I391" i="1"/>
  <c r="I389" i="1" s="1"/>
  <c r="J391" i="1"/>
  <c r="J390" i="1" s="1"/>
  <c r="K391" i="1"/>
  <c r="K390" i="1" s="1"/>
  <c r="L391" i="1"/>
  <c r="L389" i="1" s="1"/>
  <c r="M391" i="1"/>
  <c r="M390" i="1" s="1"/>
  <c r="N391" i="1"/>
  <c r="N390" i="1" s="1"/>
  <c r="O391" i="1"/>
  <c r="O390" i="1" s="1"/>
  <c r="P391" i="1"/>
  <c r="P390" i="1" s="1"/>
  <c r="Q391" i="1"/>
  <c r="Q390" i="1" s="1"/>
  <c r="R391" i="1"/>
  <c r="R390" i="1" s="1"/>
  <c r="S391" i="1"/>
  <c r="S389" i="1" s="1"/>
  <c r="T391" i="1"/>
  <c r="T389" i="1" s="1"/>
  <c r="U391" i="1"/>
  <c r="U389" i="1" s="1"/>
  <c r="V391" i="1"/>
  <c r="V389" i="1" s="1"/>
  <c r="W391" i="1"/>
  <c r="W390" i="1" s="1"/>
  <c r="X391" i="1"/>
  <c r="X389" i="1" s="1"/>
  <c r="Y391" i="1"/>
  <c r="Y390" i="1" s="1"/>
  <c r="Z391" i="1"/>
  <c r="Z390" i="1" s="1"/>
  <c r="AA391" i="1"/>
  <c r="AA390" i="1" s="1"/>
  <c r="AB391" i="1"/>
  <c r="AB390" i="1" s="1"/>
  <c r="AC391" i="1"/>
  <c r="AC390" i="1" s="1"/>
  <c r="AD391" i="1"/>
  <c r="AD390" i="1" s="1"/>
  <c r="AE391" i="1"/>
  <c r="AE389" i="1" s="1"/>
  <c r="AF391" i="1"/>
  <c r="AF389" i="1" s="1"/>
  <c r="AG391" i="1"/>
  <c r="AG389" i="1" s="1"/>
  <c r="AH391" i="1"/>
  <c r="AH390" i="1" s="1"/>
  <c r="AI391" i="1"/>
  <c r="AI390" i="1" s="1"/>
  <c r="AJ391" i="1"/>
  <c r="AJ389" i="1" s="1"/>
  <c r="F391" i="1"/>
  <c r="F390" i="1" s="1"/>
  <c r="G356" i="1"/>
  <c r="G355" i="1" s="1"/>
  <c r="H356" i="1"/>
  <c r="H355" i="1" s="1"/>
  <c r="I356" i="1"/>
  <c r="I355" i="1" s="1"/>
  <c r="J356" i="1"/>
  <c r="J355" i="1" s="1"/>
  <c r="K356" i="1"/>
  <c r="L356" i="1"/>
  <c r="L354" i="1" s="1"/>
  <c r="M356" i="1"/>
  <c r="M354" i="1" s="1"/>
  <c r="N356" i="1"/>
  <c r="N354" i="1" s="1"/>
  <c r="O356" i="1"/>
  <c r="O354" i="1" s="1"/>
  <c r="P356" i="1"/>
  <c r="P354" i="1" s="1"/>
  <c r="Q356" i="1"/>
  <c r="Q354" i="1" s="1"/>
  <c r="R356" i="1"/>
  <c r="R354" i="1" s="1"/>
  <c r="S356" i="1"/>
  <c r="S355" i="1" s="1"/>
  <c r="T356" i="1"/>
  <c r="T355" i="1" s="1"/>
  <c r="U356" i="1"/>
  <c r="U355" i="1" s="1"/>
  <c r="V356" i="1"/>
  <c r="V355" i="1" s="1"/>
  <c r="W356" i="1"/>
  <c r="X356" i="1"/>
  <c r="X354" i="1" s="1"/>
  <c r="Y356" i="1"/>
  <c r="Y354" i="1" s="1"/>
  <c r="Z356" i="1"/>
  <c r="Z354" i="1" s="1"/>
  <c r="AA356" i="1"/>
  <c r="AA355" i="1" s="1"/>
  <c r="AB356" i="1"/>
  <c r="AB354" i="1" s="1"/>
  <c r="AC356" i="1"/>
  <c r="AC355" i="1" s="1"/>
  <c r="AD356" i="1"/>
  <c r="AD355" i="1" s="1"/>
  <c r="AE356" i="1"/>
  <c r="AE355" i="1" s="1"/>
  <c r="AF356" i="1"/>
  <c r="AF355" i="1" s="1"/>
  <c r="AG356" i="1"/>
  <c r="AG355" i="1" s="1"/>
  <c r="AH356" i="1"/>
  <c r="AH354" i="1" s="1"/>
  <c r="AI356" i="1"/>
  <c r="F356" i="1"/>
  <c r="F354" i="1" s="1"/>
  <c r="G321" i="1"/>
  <c r="G319" i="1" s="1"/>
  <c r="H321" i="1"/>
  <c r="H319" i="1" s="1"/>
  <c r="I321" i="1"/>
  <c r="I319" i="1" s="1"/>
  <c r="J321" i="1"/>
  <c r="J319" i="1" s="1"/>
  <c r="K321" i="1"/>
  <c r="K320" i="1" s="1"/>
  <c r="L321" i="1"/>
  <c r="L320" i="1" s="1"/>
  <c r="M321" i="1"/>
  <c r="M320" i="1" s="1"/>
  <c r="N321" i="1"/>
  <c r="N320" i="1" s="1"/>
  <c r="O321" i="1"/>
  <c r="O320" i="1" s="1"/>
  <c r="P321" i="1"/>
  <c r="P320" i="1" s="1"/>
  <c r="Q321" i="1"/>
  <c r="Q319" i="1" s="1"/>
  <c r="R321" i="1"/>
  <c r="R319" i="1" s="1"/>
  <c r="S321" i="1"/>
  <c r="S320" i="1" s="1"/>
  <c r="T321" i="1"/>
  <c r="T319" i="1" s="1"/>
  <c r="U321" i="1"/>
  <c r="U319" i="1" s="1"/>
  <c r="V321" i="1"/>
  <c r="V319" i="1" s="1"/>
  <c r="W321" i="1"/>
  <c r="W319" i="1" s="1"/>
  <c r="X321" i="1"/>
  <c r="X319" i="1" s="1"/>
  <c r="Y321" i="1"/>
  <c r="Y319" i="1" s="1"/>
  <c r="Z321" i="1"/>
  <c r="AA321" i="1"/>
  <c r="AA320" i="1" s="1"/>
  <c r="AB321" i="1"/>
  <c r="AB320" i="1" s="1"/>
  <c r="AC321" i="1"/>
  <c r="AC320" i="1" s="1"/>
  <c r="AD321" i="1"/>
  <c r="AD319" i="1" s="1"/>
  <c r="AE321" i="1"/>
  <c r="AE319" i="1" s="1"/>
  <c r="AF321" i="1"/>
  <c r="AF319" i="1" s="1"/>
  <c r="AG321" i="1"/>
  <c r="AG319" i="1" s="1"/>
  <c r="AH321" i="1"/>
  <c r="AH319" i="1" s="1"/>
  <c r="AI321" i="1"/>
  <c r="AJ321" i="1"/>
  <c r="AJ320" i="1" s="1"/>
  <c r="F321" i="1"/>
  <c r="F319" i="1" s="1"/>
  <c r="G286" i="1"/>
  <c r="G284" i="1" s="1"/>
  <c r="H286" i="1"/>
  <c r="H284" i="1" s="1"/>
  <c r="I286" i="1"/>
  <c r="J286" i="1"/>
  <c r="K286" i="1"/>
  <c r="K285" i="1" s="1"/>
  <c r="L286" i="1"/>
  <c r="L285" i="1" s="1"/>
  <c r="M286" i="1"/>
  <c r="M285" i="1" s="1"/>
  <c r="N286" i="1"/>
  <c r="N285" i="1" s="1"/>
  <c r="O286" i="1"/>
  <c r="O285" i="1" s="1"/>
  <c r="P286" i="1"/>
  <c r="P284" i="1" s="1"/>
  <c r="Q286" i="1"/>
  <c r="Q285" i="1" s="1"/>
  <c r="R286" i="1"/>
  <c r="R284" i="1" s="1"/>
  <c r="S286" i="1"/>
  <c r="S284" i="1" s="1"/>
  <c r="T286" i="1"/>
  <c r="T284" i="1" s="1"/>
  <c r="U286" i="1"/>
  <c r="U284" i="1" s="1"/>
  <c r="V286" i="1"/>
  <c r="V284" i="1" s="1"/>
  <c r="W286" i="1"/>
  <c r="W285" i="1" s="1"/>
  <c r="X286" i="1"/>
  <c r="X284" i="1" s="1"/>
  <c r="Y286" i="1"/>
  <c r="Y285" i="1" s="1"/>
  <c r="Z286" i="1"/>
  <c r="Z285" i="1" s="1"/>
  <c r="AA286" i="1"/>
  <c r="AA285" i="1" s="1"/>
  <c r="AB286" i="1"/>
  <c r="AB285" i="1" s="1"/>
  <c r="AC286" i="1"/>
  <c r="AC285" i="1" s="1"/>
  <c r="AD286" i="1"/>
  <c r="AD284" i="1" s="1"/>
  <c r="AE286" i="1"/>
  <c r="AF286" i="1"/>
  <c r="AF284" i="1" s="1"/>
  <c r="AG286" i="1"/>
  <c r="AG285" i="1" s="1"/>
  <c r="AH286" i="1"/>
  <c r="AH284" i="1" s="1"/>
  <c r="AI286" i="1"/>
  <c r="AI284" i="1" s="1"/>
  <c r="F286" i="1"/>
  <c r="F284" i="1" s="1"/>
  <c r="G251" i="1"/>
  <c r="G249" i="1" s="1"/>
  <c r="H251" i="1"/>
  <c r="H249" i="1" s="1"/>
  <c r="I251" i="1"/>
  <c r="I249" i="1" s="1"/>
  <c r="J251" i="1"/>
  <c r="J250" i="1" s="1"/>
  <c r="K251" i="1"/>
  <c r="K250" i="1" s="1"/>
  <c r="L251" i="1"/>
  <c r="L250" i="1" s="1"/>
  <c r="M251" i="1"/>
  <c r="M250" i="1" s="1"/>
  <c r="N251" i="1"/>
  <c r="N250" i="1" s="1"/>
  <c r="O251" i="1"/>
  <c r="O250" i="1" s="1"/>
  <c r="P251" i="1"/>
  <c r="P250" i="1" s="1"/>
  <c r="Q251" i="1"/>
  <c r="Q249" i="1" s="1"/>
  <c r="R251" i="1"/>
  <c r="R249" i="1" s="1"/>
  <c r="S251" i="1"/>
  <c r="S249" i="1" s="1"/>
  <c r="T251" i="1"/>
  <c r="T249" i="1" s="1"/>
  <c r="U251" i="1"/>
  <c r="U249" i="1" s="1"/>
  <c r="V251" i="1"/>
  <c r="V250" i="1" s="1"/>
  <c r="W251" i="1"/>
  <c r="W249" i="1" s="1"/>
  <c r="X251" i="1"/>
  <c r="X250" i="1" s="1"/>
  <c r="Y251" i="1"/>
  <c r="Y250" i="1" s="1"/>
  <c r="Z251" i="1"/>
  <c r="Z250" i="1" s="1"/>
  <c r="AA251" i="1"/>
  <c r="AA250" i="1" s="1"/>
  <c r="AB251" i="1"/>
  <c r="AB250" i="1" s="1"/>
  <c r="AC251" i="1"/>
  <c r="AC249" i="1" s="1"/>
  <c r="AD251" i="1"/>
  <c r="AD249" i="1" s="1"/>
  <c r="AE251" i="1"/>
  <c r="AE249" i="1" s="1"/>
  <c r="AF251" i="1"/>
  <c r="AF249" i="1" s="1"/>
  <c r="AG251" i="1"/>
  <c r="AG249" i="1" s="1"/>
  <c r="AH251" i="1"/>
  <c r="AH250" i="1" s="1"/>
  <c r="AI251" i="1"/>
  <c r="AI250" i="1" s="1"/>
  <c r="AJ251" i="1"/>
  <c r="F251" i="1"/>
  <c r="F250" i="1" s="1"/>
  <c r="G216" i="1"/>
  <c r="G215" i="1" s="1"/>
  <c r="H216" i="1"/>
  <c r="H215" i="1" s="1"/>
  <c r="I216" i="1"/>
  <c r="I214" i="1" s="1"/>
  <c r="J216" i="1"/>
  <c r="J214" i="1" s="1"/>
  <c r="K216" i="1"/>
  <c r="K214" i="1" s="1"/>
  <c r="L216" i="1"/>
  <c r="L214" i="1" s="1"/>
  <c r="M216" i="1"/>
  <c r="M214" i="1" s="1"/>
  <c r="N216" i="1"/>
  <c r="N214" i="1" s="1"/>
  <c r="O216" i="1"/>
  <c r="O214" i="1" s="1"/>
  <c r="P216" i="1"/>
  <c r="P215" i="1" s="1"/>
  <c r="Q216" i="1"/>
  <c r="R216" i="1"/>
  <c r="S216" i="1"/>
  <c r="S215" i="1" s="1"/>
  <c r="T216" i="1"/>
  <c r="T215" i="1" s="1"/>
  <c r="U216" i="1"/>
  <c r="U215" i="1" s="1"/>
  <c r="V216" i="1"/>
  <c r="V214" i="1" s="1"/>
  <c r="W216" i="1"/>
  <c r="W214" i="1" s="1"/>
  <c r="X216" i="1"/>
  <c r="X214" i="1" s="1"/>
  <c r="Y216" i="1"/>
  <c r="Y215" i="1" s="1"/>
  <c r="Z216" i="1"/>
  <c r="Z215" i="1" s="1"/>
  <c r="AA216" i="1"/>
  <c r="AA215" i="1" s="1"/>
  <c r="AB216" i="1"/>
  <c r="AB215" i="1" s="1"/>
  <c r="AC216" i="1"/>
  <c r="AD216" i="1"/>
  <c r="AE216" i="1"/>
  <c r="AE214" i="1" s="1"/>
  <c r="AF216" i="1"/>
  <c r="AF215" i="1" s="1"/>
  <c r="AG216" i="1"/>
  <c r="AG215" i="1" s="1"/>
  <c r="AH216" i="1"/>
  <c r="AH214" i="1" s="1"/>
  <c r="AI216" i="1"/>
  <c r="AJ216" i="1"/>
  <c r="AJ214" i="1" s="1"/>
  <c r="F216" i="1"/>
  <c r="F215" i="1" s="1"/>
  <c r="G181" i="1"/>
  <c r="G179" i="1" s="1"/>
  <c r="H181" i="1"/>
  <c r="H179" i="1" s="1"/>
  <c r="I181" i="1"/>
  <c r="I179" i="1" s="1"/>
  <c r="J181" i="1"/>
  <c r="J179" i="1" s="1"/>
  <c r="K181" i="1"/>
  <c r="K180" i="1" s="1"/>
  <c r="L181" i="1"/>
  <c r="L179" i="1" s="1"/>
  <c r="M181" i="1"/>
  <c r="M180" i="1" s="1"/>
  <c r="N181" i="1"/>
  <c r="N179" i="1" s="1"/>
  <c r="O181" i="1"/>
  <c r="O180" i="1" s="1"/>
  <c r="P181" i="1"/>
  <c r="P180" i="1" s="1"/>
  <c r="Q181" i="1"/>
  <c r="Q180" i="1" s="1"/>
  <c r="R181" i="1"/>
  <c r="R179" i="1" s="1"/>
  <c r="S181" i="1"/>
  <c r="S179" i="1" s="1"/>
  <c r="T181" i="1"/>
  <c r="T179" i="1" s="1"/>
  <c r="U181" i="1"/>
  <c r="U179" i="1" s="1"/>
  <c r="V181" i="1"/>
  <c r="V179" i="1" s="1"/>
  <c r="W181" i="1"/>
  <c r="X181" i="1"/>
  <c r="Y181" i="1"/>
  <c r="Z181" i="1"/>
  <c r="Z180" i="1" s="1"/>
  <c r="AA181" i="1"/>
  <c r="AA180" i="1" s="1"/>
  <c r="AB181" i="1"/>
  <c r="AB180" i="1" s="1"/>
  <c r="AC181" i="1"/>
  <c r="AC180" i="1" s="1"/>
  <c r="AD181" i="1"/>
  <c r="AD180" i="1" s="1"/>
  <c r="AE181" i="1"/>
  <c r="AE179" i="1" s="1"/>
  <c r="AF181" i="1"/>
  <c r="AF179" i="1" s="1"/>
  <c r="AG181" i="1"/>
  <c r="AG179" i="1" s="1"/>
  <c r="AH181" i="1"/>
  <c r="AH179" i="1" s="1"/>
  <c r="AI181" i="1"/>
  <c r="AI179" i="1" s="1"/>
  <c r="F181" i="1"/>
  <c r="F179" i="1" s="1"/>
  <c r="G146" i="1"/>
  <c r="G144" i="1" s="1"/>
  <c r="H146" i="1"/>
  <c r="H145" i="1" s="1"/>
  <c r="I146" i="1"/>
  <c r="J146" i="1"/>
  <c r="J144" i="1" s="1"/>
  <c r="K146" i="1"/>
  <c r="K144" i="1" s="1"/>
  <c r="L146" i="1"/>
  <c r="L144" i="1" s="1"/>
  <c r="M146" i="1"/>
  <c r="M144" i="1" s="1"/>
  <c r="N146" i="1"/>
  <c r="N144" i="1" s="1"/>
  <c r="O146" i="1"/>
  <c r="O144" i="1" s="1"/>
  <c r="P146" i="1"/>
  <c r="P145" i="1" s="1"/>
  <c r="Q146" i="1"/>
  <c r="R146" i="1"/>
  <c r="S146" i="1"/>
  <c r="T146" i="1"/>
  <c r="T144" i="1" s="1"/>
  <c r="U146" i="1"/>
  <c r="U145" i="1" s="1"/>
  <c r="V146" i="1"/>
  <c r="V144" i="1" s="1"/>
  <c r="W146" i="1"/>
  <c r="W144" i="1" s="1"/>
  <c r="X146" i="1"/>
  <c r="X144" i="1" s="1"/>
  <c r="Y146" i="1"/>
  <c r="Y145" i="1" s="1"/>
  <c r="Z146" i="1"/>
  <c r="Z145" i="1" s="1"/>
  <c r="AA146" i="1"/>
  <c r="AA145" i="1" s="1"/>
  <c r="AB146" i="1"/>
  <c r="AB145" i="1" s="1"/>
  <c r="AC146" i="1"/>
  <c r="AD146" i="1"/>
  <c r="AE146" i="1"/>
  <c r="AF146" i="1"/>
  <c r="AF144" i="1" s="1"/>
  <c r="AG146" i="1"/>
  <c r="AG144" i="1" s="1"/>
  <c r="AH146" i="1"/>
  <c r="AH144" i="1" s="1"/>
  <c r="AI146" i="1"/>
  <c r="AJ146" i="1"/>
  <c r="AJ144" i="1" s="1"/>
  <c r="F146" i="1"/>
  <c r="F144" i="1" s="1"/>
  <c r="G111" i="1"/>
  <c r="G109" i="1" s="1"/>
  <c r="H111" i="1"/>
  <c r="H109" i="1" s="1"/>
  <c r="I111" i="1"/>
  <c r="I109" i="1" s="1"/>
  <c r="J111" i="1"/>
  <c r="J110" i="1" s="1"/>
  <c r="K111" i="1"/>
  <c r="K110" i="1" s="1"/>
  <c r="L111" i="1"/>
  <c r="L110" i="1" s="1"/>
  <c r="M111" i="1"/>
  <c r="N111" i="1"/>
  <c r="N110" i="1" s="1"/>
  <c r="O111" i="1"/>
  <c r="O110" i="1" s="1"/>
  <c r="P111" i="1"/>
  <c r="P110" i="1" s="1"/>
  <c r="Q111" i="1"/>
  <c r="Q109" i="1" s="1"/>
  <c r="R111" i="1"/>
  <c r="R109" i="1" s="1"/>
  <c r="S111" i="1"/>
  <c r="S109" i="1" s="1"/>
  <c r="T111" i="1"/>
  <c r="T109" i="1" s="1"/>
  <c r="U111" i="1"/>
  <c r="U109" i="1" s="1"/>
  <c r="V111" i="1"/>
  <c r="W111" i="1"/>
  <c r="X111" i="1"/>
  <c r="Y111" i="1"/>
  <c r="Z111" i="1"/>
  <c r="Z110" i="1" s="1"/>
  <c r="AA111" i="1"/>
  <c r="AA110" i="1" s="1"/>
  <c r="AB111" i="1"/>
  <c r="AB110" i="1" s="1"/>
  <c r="AC111" i="1"/>
  <c r="AC110" i="1" s="1"/>
  <c r="AD111" i="1"/>
  <c r="AD109" i="1" s="1"/>
  <c r="AE111" i="1"/>
  <c r="AE109" i="1" s="1"/>
  <c r="AF111" i="1"/>
  <c r="AF109" i="1" s="1"/>
  <c r="AG111" i="1"/>
  <c r="AG109" i="1" s="1"/>
  <c r="AH111" i="1"/>
  <c r="AH110" i="1" s="1"/>
  <c r="AI111" i="1"/>
  <c r="F111" i="1"/>
  <c r="G76" i="1"/>
  <c r="H76" i="1"/>
  <c r="H74" i="1" s="1"/>
  <c r="I76" i="1"/>
  <c r="I74" i="1" s="1"/>
  <c r="J76" i="1"/>
  <c r="J74" i="1" s="1"/>
  <c r="K76" i="1"/>
  <c r="K75" i="1" s="1"/>
  <c r="L76" i="1"/>
  <c r="L74" i="1" s="1"/>
  <c r="M76" i="1"/>
  <c r="N76" i="1"/>
  <c r="O76" i="1"/>
  <c r="P76" i="1"/>
  <c r="Q76" i="1"/>
  <c r="Q75" i="1" s="1"/>
  <c r="R76" i="1"/>
  <c r="R75" i="1" s="1"/>
  <c r="S76" i="1"/>
  <c r="T76" i="1"/>
  <c r="T74" i="1" s="1"/>
  <c r="U76" i="1"/>
  <c r="U74" i="1" s="1"/>
  <c r="V76" i="1"/>
  <c r="V74" i="1" s="1"/>
  <c r="W76" i="1"/>
  <c r="W74" i="1" s="1"/>
  <c r="X76" i="1"/>
  <c r="X74" i="1" s="1"/>
  <c r="Y76" i="1"/>
  <c r="Z76" i="1"/>
  <c r="AA76" i="1"/>
  <c r="AB76" i="1"/>
  <c r="AC76" i="1"/>
  <c r="AC75" i="1" s="1"/>
  <c r="AD76" i="1"/>
  <c r="AD75" i="1" s="1"/>
  <c r="AE76" i="1"/>
  <c r="AE75" i="1" s="1"/>
  <c r="AF76" i="1"/>
  <c r="AF74" i="1" s="1"/>
  <c r="AG76" i="1"/>
  <c r="AG74" i="1" s="1"/>
  <c r="AH76" i="1"/>
  <c r="AH74" i="1" s="1"/>
  <c r="AI76" i="1"/>
  <c r="AI74" i="1" s="1"/>
  <c r="AJ76" i="1"/>
  <c r="AJ74" i="1" s="1"/>
  <c r="F76" i="1"/>
  <c r="F41" i="1"/>
  <c r="G41" i="1"/>
  <c r="G40" i="1" s="1"/>
  <c r="H41" i="1"/>
  <c r="I41" i="1"/>
  <c r="J41" i="1"/>
  <c r="J40" i="1" s="1"/>
  <c r="K41" i="1"/>
  <c r="L41" i="1"/>
  <c r="L39" i="1" s="1"/>
  <c r="M41" i="1"/>
  <c r="M39" i="1" s="1"/>
  <c r="N41" i="1"/>
  <c r="N39" i="1" s="1"/>
  <c r="O41" i="1"/>
  <c r="O40" i="1" s="1"/>
  <c r="P41" i="1"/>
  <c r="P39" i="1" s="1"/>
  <c r="Q41" i="1"/>
  <c r="Q40" i="1" s="1"/>
  <c r="R41" i="1"/>
  <c r="R40" i="1" s="1"/>
  <c r="S41" i="1"/>
  <c r="S40" i="1" s="1"/>
  <c r="T41" i="1"/>
  <c r="T40" i="1" s="1"/>
  <c r="U41" i="1"/>
  <c r="U40" i="1" s="1"/>
  <c r="V41" i="1"/>
  <c r="V40" i="1" s="1"/>
  <c r="W41" i="1"/>
  <c r="X41" i="1"/>
  <c r="X39" i="1" s="1"/>
  <c r="Y41" i="1"/>
  <c r="Y39" i="1" s="1"/>
  <c r="Z41" i="1"/>
  <c r="Z39" i="1" s="1"/>
  <c r="AA41" i="1"/>
  <c r="AA40" i="1" s="1"/>
  <c r="AB41" i="1"/>
  <c r="AB40" i="1" s="1"/>
  <c r="AC41" i="1"/>
  <c r="AC39" i="1" s="1"/>
  <c r="AD41" i="1"/>
  <c r="AD40" i="1" s="1"/>
  <c r="AE41" i="1"/>
  <c r="AF41" i="1"/>
  <c r="AG41" i="1"/>
  <c r="G4" i="1"/>
  <c r="H4" i="1"/>
  <c r="I4" i="1"/>
  <c r="J4" i="1"/>
  <c r="K4" i="1"/>
  <c r="L4" i="1"/>
  <c r="M4" i="1"/>
  <c r="S4" i="1"/>
  <c r="T4" i="1"/>
  <c r="U4" i="1"/>
  <c r="V4" i="1"/>
  <c r="W4" i="1"/>
  <c r="X4" i="1"/>
  <c r="Y4" i="1"/>
  <c r="AE4" i="1"/>
  <c r="AF4" i="1"/>
  <c r="AG4" i="1"/>
  <c r="AH4" i="1"/>
  <c r="AI4" i="1"/>
  <c r="AJ4" i="1"/>
  <c r="F4" i="1"/>
  <c r="AJ5" i="1"/>
  <c r="AI5" i="1"/>
  <c r="AH5" i="1"/>
  <c r="AG5" i="1"/>
  <c r="AF5" i="1"/>
  <c r="AE5" i="1"/>
  <c r="AA5" i="1"/>
  <c r="Z5" i="1"/>
  <c r="Y5" i="1"/>
  <c r="U5" i="1"/>
  <c r="T5" i="1"/>
  <c r="S5" i="1"/>
  <c r="O5" i="1"/>
  <c r="N5" i="1"/>
  <c r="M5" i="1"/>
  <c r="I5" i="1"/>
  <c r="H5" i="1"/>
  <c r="G5" i="1"/>
  <c r="F5" i="1"/>
  <c r="AG40" i="3" l="1"/>
  <c r="U40" i="3"/>
  <c r="AC215" i="3"/>
  <c r="W5" i="4"/>
  <c r="AD285" i="5"/>
  <c r="AD75" i="5"/>
  <c r="J4" i="4"/>
  <c r="H4" i="4"/>
  <c r="AJ75" i="4"/>
  <c r="T75" i="5"/>
  <c r="AF5" i="4"/>
  <c r="AI5" i="4"/>
  <c r="L74" i="4"/>
  <c r="AB5" i="4"/>
  <c r="P354" i="4"/>
  <c r="X75" i="4"/>
  <c r="X5" i="4"/>
  <c r="N285" i="5"/>
  <c r="T5" i="4"/>
  <c r="K5" i="4"/>
  <c r="AJ250" i="4"/>
  <c r="I355" i="4"/>
  <c r="I39" i="3"/>
  <c r="W214" i="5"/>
  <c r="R39" i="3"/>
  <c r="AA75" i="4"/>
  <c r="O39" i="3"/>
  <c r="AE285" i="5"/>
  <c r="U5" i="4"/>
  <c r="T215" i="5"/>
  <c r="Q40" i="4"/>
  <c r="AA284" i="3"/>
  <c r="AI215" i="5"/>
  <c r="O40" i="4"/>
  <c r="AB284" i="3"/>
  <c r="X109" i="4"/>
  <c r="AE354" i="4"/>
  <c r="X74" i="3"/>
  <c r="W179" i="5"/>
  <c r="O180" i="5"/>
  <c r="K354" i="4"/>
  <c r="AB215" i="3"/>
  <c r="K74" i="4"/>
  <c r="L5" i="4"/>
  <c r="X40" i="3"/>
  <c r="X39" i="5"/>
  <c r="R284" i="5"/>
  <c r="W39" i="5"/>
  <c r="V40" i="5"/>
  <c r="V284" i="5"/>
  <c r="G284" i="5"/>
  <c r="W74" i="4"/>
  <c r="Z5" i="3"/>
  <c r="F285" i="5"/>
  <c r="Q110" i="4"/>
  <c r="S214" i="4"/>
  <c r="AJ5" i="4"/>
  <c r="V179" i="3"/>
  <c r="R5" i="3"/>
  <c r="AG40" i="5"/>
  <c r="K214" i="5"/>
  <c r="AC40" i="4"/>
  <c r="Q180" i="5"/>
  <c r="AD145" i="3"/>
  <c r="T214" i="4"/>
  <c r="X179" i="3"/>
  <c r="N4" i="3"/>
  <c r="AB75" i="4"/>
  <c r="N354" i="4"/>
  <c r="M109" i="4"/>
  <c r="AG5" i="4"/>
  <c r="V4" i="4"/>
  <c r="M145" i="4"/>
  <c r="S285" i="5"/>
  <c r="AF145" i="5"/>
  <c r="Q354" i="4"/>
  <c r="F75" i="3"/>
  <c r="AF75" i="5"/>
  <c r="AI4" i="5"/>
  <c r="AA74" i="3"/>
  <c r="L144" i="3"/>
  <c r="W180" i="4"/>
  <c r="O5" i="4"/>
  <c r="H320" i="4"/>
  <c r="AA40" i="3"/>
  <c r="O5" i="3"/>
  <c r="M249" i="3"/>
  <c r="L250" i="5"/>
  <c r="Z75" i="4"/>
  <c r="AG249" i="4"/>
  <c r="P285" i="3"/>
  <c r="Q5" i="3"/>
  <c r="P5" i="4"/>
  <c r="AI180" i="4"/>
  <c r="M284" i="4"/>
  <c r="P319" i="4"/>
  <c r="W4" i="3"/>
  <c r="T319" i="3"/>
  <c r="Y179" i="5"/>
  <c r="I249" i="4"/>
  <c r="AH179" i="4"/>
  <c r="P5" i="3"/>
  <c r="AA39" i="4"/>
  <c r="AI74" i="4"/>
  <c r="AI284" i="4"/>
  <c r="K319" i="4"/>
  <c r="Y354" i="3"/>
  <c r="Q284" i="5"/>
  <c r="AF319" i="5"/>
  <c r="AC355" i="4"/>
  <c r="AA389" i="3"/>
  <c r="S74" i="5"/>
  <c r="Q355" i="5"/>
  <c r="O75" i="3"/>
  <c r="AH40" i="3"/>
  <c r="P144" i="5"/>
  <c r="T390" i="4"/>
  <c r="K215" i="3"/>
  <c r="O390" i="4"/>
  <c r="U39" i="5"/>
  <c r="H75" i="5"/>
  <c r="AH109" i="5"/>
  <c r="AH390" i="5"/>
  <c r="AC180" i="5"/>
  <c r="F319" i="4"/>
  <c r="AH285" i="4"/>
  <c r="AH5" i="4"/>
  <c r="G109" i="4"/>
  <c r="J389" i="4"/>
  <c r="O110" i="3"/>
  <c r="AJ389" i="5"/>
  <c r="S4" i="4"/>
  <c r="F145" i="4"/>
  <c r="J145" i="4"/>
  <c r="AI250" i="4"/>
  <c r="AH249" i="4"/>
  <c r="H249" i="4"/>
  <c r="I320" i="4"/>
  <c r="L319" i="4"/>
  <c r="S390" i="4"/>
  <c r="Z284" i="3"/>
  <c r="W145" i="3"/>
  <c r="H144" i="3"/>
  <c r="J249" i="3"/>
  <c r="P319" i="3"/>
  <c r="U354" i="3"/>
  <c r="W389" i="3"/>
  <c r="I75" i="5"/>
  <c r="AE4" i="5"/>
  <c r="AB145" i="5"/>
  <c r="O144" i="5"/>
  <c r="J250" i="5"/>
  <c r="H249" i="5"/>
  <c r="AE319" i="5"/>
  <c r="N355" i="5"/>
  <c r="AF390" i="5"/>
  <c r="M320" i="4"/>
  <c r="I145" i="4"/>
  <c r="AF250" i="4"/>
  <c r="V145" i="3"/>
  <c r="AH320" i="3"/>
  <c r="M319" i="3"/>
  <c r="Q354" i="3"/>
  <c r="S389" i="3"/>
  <c r="F4" i="5"/>
  <c r="AA4" i="5"/>
  <c r="X145" i="5"/>
  <c r="F250" i="5"/>
  <c r="AJ249" i="5"/>
  <c r="AJ320" i="5"/>
  <c r="T319" i="5"/>
  <c r="M355" i="5"/>
  <c r="AD390" i="5"/>
  <c r="AH145" i="4"/>
  <c r="AG144" i="4"/>
  <c r="AB250" i="4"/>
  <c r="AG320" i="4"/>
  <c r="AJ319" i="4"/>
  <c r="M4" i="3"/>
  <c r="R145" i="3"/>
  <c r="Z320" i="3"/>
  <c r="L319" i="3"/>
  <c r="M354" i="3"/>
  <c r="O389" i="3"/>
  <c r="AG5" i="5"/>
  <c r="X4" i="5"/>
  <c r="U145" i="5"/>
  <c r="AF249" i="5"/>
  <c r="S319" i="5"/>
  <c r="I355" i="5"/>
  <c r="AA390" i="5"/>
  <c r="AB389" i="5"/>
  <c r="W284" i="3"/>
  <c r="R354" i="4"/>
  <c r="AF144" i="4"/>
  <c r="Y250" i="4"/>
  <c r="AC249" i="4"/>
  <c r="AF320" i="4"/>
  <c r="AI319" i="4"/>
  <c r="AI389" i="4"/>
  <c r="N285" i="3"/>
  <c r="F5" i="3"/>
  <c r="K4" i="3"/>
  <c r="N145" i="3"/>
  <c r="V320" i="3"/>
  <c r="H319" i="3"/>
  <c r="I354" i="3"/>
  <c r="K389" i="3"/>
  <c r="U75" i="5"/>
  <c r="AC109" i="5"/>
  <c r="W4" i="5"/>
  <c r="T145" i="5"/>
  <c r="AH250" i="5"/>
  <c r="AD249" i="5"/>
  <c r="AB320" i="5"/>
  <c r="H319" i="5"/>
  <c r="AF354" i="5"/>
  <c r="Z390" i="5"/>
  <c r="K284" i="4"/>
  <c r="AD354" i="4"/>
  <c r="G4" i="4"/>
  <c r="AD145" i="4"/>
  <c r="AE144" i="4"/>
  <c r="X250" i="4"/>
  <c r="AD320" i="4"/>
  <c r="AH389" i="4"/>
  <c r="F40" i="3"/>
  <c r="AJ5" i="3"/>
  <c r="H5" i="3"/>
  <c r="K145" i="3"/>
  <c r="AB250" i="3"/>
  <c r="N320" i="3"/>
  <c r="F354" i="3"/>
  <c r="AG390" i="3"/>
  <c r="G389" i="3"/>
  <c r="AD5" i="5"/>
  <c r="S4" i="5"/>
  <c r="AC249" i="5"/>
  <c r="Y320" i="5"/>
  <c r="G319" i="5"/>
  <c r="AD354" i="5"/>
  <c r="V390" i="5"/>
  <c r="X389" i="5"/>
  <c r="H109" i="4"/>
  <c r="AE5" i="4"/>
  <c r="Z145" i="4"/>
  <c r="U144" i="4"/>
  <c r="W250" i="4"/>
  <c r="V249" i="4"/>
  <c r="AC320" i="4"/>
  <c r="AA389" i="4"/>
  <c r="Y74" i="3"/>
  <c r="P110" i="3"/>
  <c r="AC5" i="3"/>
  <c r="AF144" i="3"/>
  <c r="P250" i="3"/>
  <c r="J320" i="3"/>
  <c r="AG355" i="3"/>
  <c r="Y390" i="3"/>
  <c r="U5" i="5"/>
  <c r="O4" i="5"/>
  <c r="L145" i="5"/>
  <c r="AB250" i="5"/>
  <c r="X320" i="5"/>
  <c r="F355" i="5"/>
  <c r="Z354" i="5"/>
  <c r="T390" i="5"/>
  <c r="AF354" i="4"/>
  <c r="Y145" i="4"/>
  <c r="T144" i="4"/>
  <c r="T250" i="4"/>
  <c r="U249" i="4"/>
  <c r="Y320" i="4"/>
  <c r="AB319" i="4"/>
  <c r="AF390" i="4"/>
  <c r="W389" i="4"/>
  <c r="S40" i="3"/>
  <c r="AB5" i="3"/>
  <c r="AI4" i="3"/>
  <c r="AC144" i="3"/>
  <c r="AH249" i="3"/>
  <c r="AJ319" i="3"/>
  <c r="U390" i="3"/>
  <c r="AG75" i="5"/>
  <c r="L4" i="5"/>
  <c r="I145" i="5"/>
  <c r="Z250" i="5"/>
  <c r="X249" i="5"/>
  <c r="AG355" i="5"/>
  <c r="T354" i="5"/>
  <c r="R390" i="5"/>
  <c r="M179" i="4"/>
  <c r="H355" i="4"/>
  <c r="V145" i="4"/>
  <c r="S144" i="4"/>
  <c r="P250" i="4"/>
  <c r="U320" i="4"/>
  <c r="X319" i="4"/>
  <c r="AE390" i="4"/>
  <c r="V389" i="4"/>
  <c r="AA5" i="3"/>
  <c r="AF4" i="3"/>
  <c r="AB144" i="3"/>
  <c r="AG249" i="3"/>
  <c r="AF319" i="3"/>
  <c r="T355" i="3"/>
  <c r="M390" i="3"/>
  <c r="O74" i="5"/>
  <c r="AH75" i="5"/>
  <c r="R5" i="5"/>
  <c r="K4" i="5"/>
  <c r="H145" i="5"/>
  <c r="T249" i="5"/>
  <c r="P320" i="5"/>
  <c r="AC355" i="5"/>
  <c r="R354" i="5"/>
  <c r="O390" i="5"/>
  <c r="N389" i="5"/>
  <c r="M250" i="4"/>
  <c r="Q249" i="4"/>
  <c r="T320" i="4"/>
  <c r="W319" i="4"/>
  <c r="AD4" i="3"/>
  <c r="T144" i="3"/>
  <c r="Y249" i="3"/>
  <c r="AB319" i="3"/>
  <c r="I390" i="3"/>
  <c r="I5" i="5"/>
  <c r="G4" i="5"/>
  <c r="AD144" i="5"/>
  <c r="R250" i="5"/>
  <c r="M320" i="5"/>
  <c r="L389" i="5"/>
  <c r="R145" i="4"/>
  <c r="H144" i="4"/>
  <c r="L250" i="4"/>
  <c r="R320" i="4"/>
  <c r="M389" i="4"/>
  <c r="Y40" i="3"/>
  <c r="X5" i="3"/>
  <c r="AI145" i="3"/>
  <c r="Q144" i="3"/>
  <c r="V249" i="3"/>
  <c r="Y319" i="3"/>
  <c r="AI389" i="3"/>
  <c r="J40" i="5"/>
  <c r="AJ145" i="5"/>
  <c r="P250" i="5"/>
  <c r="Q249" i="5"/>
  <c r="L320" i="5"/>
  <c r="Y355" i="5"/>
  <c r="H354" i="5"/>
  <c r="J390" i="5"/>
  <c r="J179" i="4"/>
  <c r="K214" i="4"/>
  <c r="N145" i="4"/>
  <c r="G144" i="4"/>
  <c r="K250" i="4"/>
  <c r="J249" i="4"/>
  <c r="Q320" i="4"/>
  <c r="K389" i="4"/>
  <c r="S284" i="3"/>
  <c r="T5" i="3"/>
  <c r="Y4" i="3"/>
  <c r="AH145" i="3"/>
  <c r="P144" i="3"/>
  <c r="U249" i="3"/>
  <c r="X319" i="3"/>
  <c r="AC354" i="3"/>
  <c r="AE389" i="3"/>
  <c r="L40" i="5"/>
  <c r="AJ4" i="5"/>
  <c r="AG145" i="5"/>
  <c r="AA144" i="5"/>
  <c r="N250" i="5"/>
  <c r="U355" i="5"/>
  <c r="F389" i="5"/>
  <c r="H390" i="5"/>
  <c r="AI250" i="5"/>
  <c r="K250" i="5"/>
  <c r="AD320" i="3"/>
  <c r="I109" i="4"/>
  <c r="N179" i="4"/>
  <c r="J215" i="4"/>
  <c r="O354" i="4"/>
  <c r="J355" i="4"/>
  <c r="I4" i="4"/>
  <c r="AJ145" i="4"/>
  <c r="X145" i="4"/>
  <c r="L145" i="4"/>
  <c r="F249" i="4"/>
  <c r="Z250" i="4"/>
  <c r="N250" i="4"/>
  <c r="AH319" i="4"/>
  <c r="V319" i="4"/>
  <c r="J319" i="4"/>
  <c r="AD390" i="4"/>
  <c r="R390" i="4"/>
  <c r="AG389" i="4"/>
  <c r="L389" i="4"/>
  <c r="L214" i="3"/>
  <c r="L215" i="3"/>
  <c r="M284" i="3"/>
  <c r="M285" i="3"/>
  <c r="R390" i="3"/>
  <c r="R389" i="3"/>
  <c r="AD390" i="3"/>
  <c r="AD389" i="3"/>
  <c r="AI250" i="3"/>
  <c r="AC249" i="3"/>
  <c r="P355" i="3"/>
  <c r="J320" i="5"/>
  <c r="J319" i="5"/>
  <c r="V320" i="5"/>
  <c r="V319" i="5"/>
  <c r="AH320" i="5"/>
  <c r="AH319" i="5"/>
  <c r="O354" i="5"/>
  <c r="O355" i="5"/>
  <c r="AA354" i="5"/>
  <c r="AA355" i="5"/>
  <c r="AA250" i="4"/>
  <c r="K354" i="3"/>
  <c r="K355" i="3"/>
  <c r="AI354" i="3"/>
  <c r="AI355" i="3"/>
  <c r="AG4" i="3"/>
  <c r="AG5" i="3"/>
  <c r="I4" i="3"/>
  <c r="I5" i="3"/>
  <c r="P110" i="5"/>
  <c r="P109" i="5"/>
  <c r="AC75" i="4"/>
  <c r="K109" i="4"/>
  <c r="V179" i="4"/>
  <c r="I285" i="4"/>
  <c r="Q5" i="4"/>
  <c r="AI145" i="4"/>
  <c r="W145" i="4"/>
  <c r="K145" i="4"/>
  <c r="AC144" i="4"/>
  <c r="Q144" i="4"/>
  <c r="AE249" i="4"/>
  <c r="S249" i="4"/>
  <c r="G249" i="4"/>
  <c r="AA320" i="4"/>
  <c r="O320" i="4"/>
  <c r="AC390" i="4"/>
  <c r="Q390" i="4"/>
  <c r="AB109" i="3"/>
  <c r="AB110" i="3"/>
  <c r="W180" i="3"/>
  <c r="W179" i="3"/>
  <c r="F249" i="3"/>
  <c r="F250" i="3"/>
  <c r="R249" i="3"/>
  <c r="R250" i="3"/>
  <c r="AD249" i="3"/>
  <c r="AD250" i="3"/>
  <c r="AE250" i="3"/>
  <c r="L355" i="3"/>
  <c r="F390" i="3"/>
  <c r="K39" i="5"/>
  <c r="K40" i="5"/>
  <c r="N74" i="5"/>
  <c r="F320" i="5"/>
  <c r="S354" i="5"/>
  <c r="J354" i="3"/>
  <c r="J355" i="3"/>
  <c r="U215" i="4"/>
  <c r="J285" i="4"/>
  <c r="H389" i="4"/>
  <c r="H390" i="4"/>
  <c r="AC5" i="4"/>
  <c r="AB144" i="4"/>
  <c r="P144" i="4"/>
  <c r="AD249" i="4"/>
  <c r="R249" i="4"/>
  <c r="Z320" i="4"/>
  <c r="N320" i="4"/>
  <c r="AB390" i="4"/>
  <c r="P390" i="4"/>
  <c r="Z75" i="3"/>
  <c r="Z74" i="3"/>
  <c r="J215" i="3"/>
  <c r="I319" i="3"/>
  <c r="I320" i="3"/>
  <c r="U319" i="3"/>
  <c r="U320" i="3"/>
  <c r="AG319" i="3"/>
  <c r="AG320" i="3"/>
  <c r="H390" i="3"/>
  <c r="H389" i="3"/>
  <c r="T390" i="3"/>
  <c r="T389" i="3"/>
  <c r="AF390" i="3"/>
  <c r="AF389" i="3"/>
  <c r="J145" i="3"/>
  <c r="S320" i="3"/>
  <c r="AH390" i="3"/>
  <c r="AB389" i="3"/>
  <c r="M144" i="5"/>
  <c r="M145" i="5"/>
  <c r="Y144" i="5"/>
  <c r="Y145" i="5"/>
  <c r="H284" i="5"/>
  <c r="Z144" i="5"/>
  <c r="AD319" i="5"/>
  <c r="AC320" i="3"/>
  <c r="AC319" i="3"/>
  <c r="O250" i="4"/>
  <c r="U4" i="3"/>
  <c r="U5" i="3"/>
  <c r="V215" i="4"/>
  <c r="O144" i="4"/>
  <c r="AE319" i="4"/>
  <c r="S319" i="4"/>
  <c r="G319" i="4"/>
  <c r="Y180" i="3"/>
  <c r="Y179" i="3"/>
  <c r="AJ144" i="3"/>
  <c r="AA250" i="3"/>
  <c r="R320" i="3"/>
  <c r="H355" i="3"/>
  <c r="V179" i="5"/>
  <c r="J214" i="5"/>
  <c r="J215" i="5"/>
  <c r="AH214" i="5"/>
  <c r="AH215" i="5"/>
  <c r="O249" i="5"/>
  <c r="O250" i="5"/>
  <c r="AA249" i="5"/>
  <c r="AA250" i="5"/>
  <c r="AC5" i="5"/>
  <c r="V144" i="5"/>
  <c r="Z319" i="5"/>
  <c r="U389" i="5"/>
  <c r="Q320" i="3"/>
  <c r="Q319" i="3"/>
  <c r="AH354" i="3"/>
  <c r="AH355" i="3"/>
  <c r="W354" i="3"/>
  <c r="W355" i="3"/>
  <c r="AA144" i="4"/>
  <c r="I389" i="4"/>
  <c r="AG74" i="4"/>
  <c r="Y109" i="4"/>
  <c r="W215" i="4"/>
  <c r="S354" i="4"/>
  <c r="AA5" i="4"/>
  <c r="N5" i="4"/>
  <c r="F389" i="4"/>
  <c r="Z390" i="4"/>
  <c r="N390" i="4"/>
  <c r="Y389" i="4"/>
  <c r="G389" i="4"/>
  <c r="Z39" i="3"/>
  <c r="Z40" i="3"/>
  <c r="M144" i="3"/>
  <c r="M145" i="3"/>
  <c r="Y144" i="3"/>
  <c r="Y145" i="3"/>
  <c r="M179" i="3"/>
  <c r="K319" i="3"/>
  <c r="K320" i="3"/>
  <c r="W319" i="3"/>
  <c r="W320" i="3"/>
  <c r="AI319" i="3"/>
  <c r="AI320" i="3"/>
  <c r="V4" i="3"/>
  <c r="F145" i="3"/>
  <c r="W250" i="3"/>
  <c r="Q249" i="3"/>
  <c r="AC390" i="3"/>
  <c r="R75" i="5"/>
  <c r="R74" i="5"/>
  <c r="M390" i="5"/>
  <c r="M389" i="5"/>
  <c r="Y390" i="5"/>
  <c r="Y389" i="5"/>
  <c r="Y5" i="5"/>
  <c r="R144" i="5"/>
  <c r="T39" i="3"/>
  <c r="T40" i="3"/>
  <c r="AH74" i="4"/>
  <c r="L110" i="4"/>
  <c r="U180" i="4"/>
  <c r="AG215" i="4"/>
  <c r="Y285" i="4"/>
  <c r="T354" i="4"/>
  <c r="AH355" i="4"/>
  <c r="Z5" i="4"/>
  <c r="M5" i="4"/>
  <c r="X389" i="4"/>
  <c r="S75" i="3"/>
  <c r="L5" i="3"/>
  <c r="S250" i="3"/>
  <c r="W250" i="5"/>
  <c r="G354" i="5"/>
  <c r="P389" i="5"/>
  <c r="J4" i="3"/>
  <c r="AH214" i="4"/>
  <c r="H40" i="3"/>
  <c r="X285" i="3"/>
  <c r="X284" i="3"/>
  <c r="Y5" i="4"/>
  <c r="AJ390" i="4"/>
  <c r="AF40" i="3"/>
  <c r="G320" i="3"/>
  <c r="Z354" i="3"/>
  <c r="V390" i="3"/>
  <c r="P389" i="3"/>
  <c r="AE40" i="5"/>
  <c r="F75" i="5"/>
  <c r="V250" i="5"/>
  <c r="R319" i="5"/>
  <c r="F5" i="4"/>
  <c r="G74" i="3"/>
  <c r="G75" i="3"/>
  <c r="X144" i="3"/>
  <c r="O250" i="3"/>
  <c r="I249" i="3"/>
  <c r="AF355" i="3"/>
  <c r="F144" i="5"/>
  <c r="F145" i="5"/>
  <c r="G250" i="5"/>
  <c r="G249" i="5"/>
  <c r="S250" i="5"/>
  <c r="S249" i="5"/>
  <c r="AE250" i="5"/>
  <c r="AE249" i="5"/>
  <c r="Q319" i="5"/>
  <c r="Q320" i="5"/>
  <c r="AC319" i="5"/>
  <c r="AC320" i="5"/>
  <c r="J355" i="5"/>
  <c r="J354" i="5"/>
  <c r="V355" i="5"/>
  <c r="V354" i="5"/>
  <c r="AH355" i="5"/>
  <c r="AH354" i="5"/>
  <c r="AH4" i="5"/>
  <c r="AH5" i="5"/>
  <c r="V4" i="5"/>
  <c r="V5" i="5"/>
  <c r="J4" i="5"/>
  <c r="J5" i="5"/>
  <c r="N144" i="5"/>
  <c r="N319" i="5"/>
  <c r="V354" i="3"/>
  <c r="V355" i="3"/>
  <c r="H179" i="4"/>
  <c r="AF180" i="4"/>
  <c r="U389" i="4"/>
  <c r="O320" i="3"/>
  <c r="O319" i="3"/>
  <c r="AA320" i="3"/>
  <c r="AA319" i="3"/>
  <c r="N389" i="3"/>
  <c r="N390" i="3"/>
  <c r="Z389" i="3"/>
  <c r="Z390" i="3"/>
  <c r="Z145" i="3"/>
  <c r="K250" i="3"/>
  <c r="F320" i="3"/>
  <c r="AB355" i="3"/>
  <c r="Q390" i="3"/>
  <c r="J74" i="5"/>
  <c r="J75" i="5"/>
  <c r="K355" i="5"/>
  <c r="K354" i="5"/>
  <c r="W355" i="5"/>
  <c r="W354" i="5"/>
  <c r="AI355" i="5"/>
  <c r="AI354" i="5"/>
  <c r="Q389" i="5"/>
  <c r="Q390" i="5"/>
  <c r="AC389" i="5"/>
  <c r="AC390" i="5"/>
  <c r="Q5" i="5"/>
  <c r="J144" i="5"/>
  <c r="I179" i="4"/>
  <c r="AG180" i="4"/>
  <c r="G355" i="4"/>
  <c r="AD39" i="3"/>
  <c r="AH4" i="3"/>
  <c r="G250" i="3"/>
  <c r="X355" i="3"/>
  <c r="M5" i="5"/>
  <c r="AE354" i="5"/>
  <c r="AG389" i="5"/>
  <c r="I389" i="5"/>
  <c r="AE320" i="3"/>
  <c r="N354" i="3"/>
  <c r="J390" i="3"/>
  <c r="AH144" i="5"/>
  <c r="AA355" i="3"/>
  <c r="O355" i="3"/>
  <c r="P180" i="5"/>
  <c r="AE354" i="3"/>
  <c r="S354" i="3"/>
  <c r="G354" i="3"/>
  <c r="P74" i="5"/>
  <c r="X354" i="5"/>
  <c r="L354" i="5"/>
  <c r="AA145" i="3"/>
  <c r="O145" i="3"/>
  <c r="AG144" i="3"/>
  <c r="U144" i="3"/>
  <c r="I144" i="3"/>
  <c r="AF250" i="3"/>
  <c r="T250" i="3"/>
  <c r="H250" i="3"/>
  <c r="Z249" i="3"/>
  <c r="N249" i="3"/>
  <c r="AD354" i="3"/>
  <c r="R354" i="3"/>
  <c r="X75" i="5"/>
  <c r="AB4" i="5"/>
  <c r="P4" i="5"/>
  <c r="AE144" i="5"/>
  <c r="S144" i="5"/>
  <c r="G144" i="5"/>
  <c r="AG249" i="5"/>
  <c r="U249" i="5"/>
  <c r="I249" i="5"/>
  <c r="AI319" i="5"/>
  <c r="W319" i="5"/>
  <c r="K319" i="5"/>
  <c r="AE390" i="5"/>
  <c r="S390" i="5"/>
  <c r="G390" i="5"/>
  <c r="AE5" i="3"/>
  <c r="S5" i="3"/>
  <c r="G5" i="3"/>
  <c r="AE144" i="3"/>
  <c r="S144" i="3"/>
  <c r="G144" i="3"/>
  <c r="AJ249" i="3"/>
  <c r="X249" i="3"/>
  <c r="L249" i="3"/>
  <c r="AJ390" i="3"/>
  <c r="X390" i="3"/>
  <c r="L390" i="3"/>
  <c r="T39" i="5"/>
  <c r="AF40" i="5"/>
  <c r="AF5" i="5"/>
  <c r="T5" i="5"/>
  <c r="H5" i="5"/>
  <c r="Z4" i="5"/>
  <c r="N4" i="5"/>
  <c r="AI145" i="5"/>
  <c r="W145" i="5"/>
  <c r="K145" i="5"/>
  <c r="AC144" i="5"/>
  <c r="Q144" i="5"/>
  <c r="Y250" i="5"/>
  <c r="M250" i="5"/>
  <c r="AA320" i="5"/>
  <c r="O320" i="5"/>
  <c r="AG319" i="5"/>
  <c r="U319" i="5"/>
  <c r="I319" i="5"/>
  <c r="AB355" i="5"/>
  <c r="P355" i="5"/>
  <c r="AI389" i="5"/>
  <c r="W389" i="5"/>
  <c r="K389" i="5"/>
  <c r="X284" i="5"/>
  <c r="Z284" i="5"/>
  <c r="AC284" i="5"/>
  <c r="AC214" i="5"/>
  <c r="AD214" i="5"/>
  <c r="AE214" i="5"/>
  <c r="N109" i="5"/>
  <c r="X110" i="5"/>
  <c r="Q109" i="5"/>
  <c r="V109" i="5"/>
  <c r="J109" i="5"/>
  <c r="Z110" i="5"/>
  <c r="AA109" i="5"/>
  <c r="K109" i="5"/>
  <c r="M109" i="5"/>
  <c r="W110" i="5"/>
  <c r="O109" i="5"/>
  <c r="Y110" i="5"/>
  <c r="AB109" i="5"/>
  <c r="AI75" i="5"/>
  <c r="AE74" i="5"/>
  <c r="L75" i="5"/>
  <c r="V75" i="5"/>
  <c r="W74" i="5"/>
  <c r="AJ75" i="5"/>
  <c r="Z74" i="5"/>
  <c r="M74" i="5"/>
  <c r="Y39" i="5"/>
  <c r="R39" i="5"/>
  <c r="F40" i="5"/>
  <c r="AB40" i="5"/>
  <c r="P40" i="5"/>
  <c r="I39" i="5"/>
  <c r="AD39" i="5"/>
  <c r="M39" i="5"/>
  <c r="L109" i="5"/>
  <c r="AI109" i="5"/>
  <c r="G179" i="5"/>
  <c r="AI179" i="5"/>
  <c r="T179" i="5"/>
  <c r="I180" i="5"/>
  <c r="AH180" i="5"/>
  <c r="H179" i="5"/>
  <c r="AE179" i="5"/>
  <c r="U180" i="5"/>
  <c r="J179" i="5"/>
  <c r="AF179" i="5"/>
  <c r="L179" i="5"/>
  <c r="AG179" i="5"/>
  <c r="M179" i="5"/>
  <c r="S179" i="5"/>
  <c r="X215" i="5"/>
  <c r="Z215" i="5"/>
  <c r="AJ215" i="5"/>
  <c r="L214" i="5"/>
  <c r="N214" i="5"/>
  <c r="V214" i="5"/>
  <c r="Q215" i="5"/>
  <c r="J284" i="5"/>
  <c r="AH285" i="5"/>
  <c r="K285" i="5"/>
  <c r="I284" i="5"/>
  <c r="L284" i="5"/>
  <c r="AG284" i="5"/>
  <c r="U284" i="5"/>
  <c r="M285" i="5"/>
  <c r="Q75" i="5"/>
  <c r="Q74" i="5"/>
  <c r="AC75" i="5"/>
  <c r="AC74" i="5"/>
  <c r="O40" i="5"/>
  <c r="O39" i="5"/>
  <c r="AA40" i="5"/>
  <c r="AA39" i="5"/>
  <c r="N39" i="5"/>
  <c r="N40" i="5"/>
  <c r="Z39" i="5"/>
  <c r="Z40" i="5"/>
  <c r="F110" i="5"/>
  <c r="F109" i="5"/>
  <c r="R110" i="5"/>
  <c r="R109" i="5"/>
  <c r="AD110" i="5"/>
  <c r="AD109" i="5"/>
  <c r="G110" i="5"/>
  <c r="G109" i="5"/>
  <c r="S110" i="5"/>
  <c r="S109" i="5"/>
  <c r="AE110" i="5"/>
  <c r="AE109" i="5"/>
  <c r="R180" i="5"/>
  <c r="R179" i="5"/>
  <c r="AD180" i="5"/>
  <c r="AD179" i="5"/>
  <c r="H110" i="5"/>
  <c r="H109" i="5"/>
  <c r="T110" i="5"/>
  <c r="T109" i="5"/>
  <c r="AF110" i="5"/>
  <c r="AF109" i="5"/>
  <c r="I110" i="5"/>
  <c r="I109" i="5"/>
  <c r="U110" i="5"/>
  <c r="U109" i="5"/>
  <c r="AG110" i="5"/>
  <c r="AG109" i="5"/>
  <c r="F179" i="5"/>
  <c r="AA75" i="5"/>
  <c r="AA74" i="5"/>
  <c r="AA179" i="5"/>
  <c r="AA180" i="5"/>
  <c r="AB75" i="5"/>
  <c r="AB74" i="5"/>
  <c r="AB180" i="5"/>
  <c r="AB179" i="5"/>
  <c r="O215" i="5"/>
  <c r="O214" i="5"/>
  <c r="Q40" i="5"/>
  <c r="Q39" i="5"/>
  <c r="AC40" i="5"/>
  <c r="AC39" i="5"/>
  <c r="P214" i="5"/>
  <c r="P215" i="5"/>
  <c r="AB214" i="5"/>
  <c r="AB215" i="5"/>
  <c r="AA214" i="5"/>
  <c r="AA215" i="5"/>
  <c r="S40" i="5"/>
  <c r="G74" i="5"/>
  <c r="Y74" i="5"/>
  <c r="AA285" i="5"/>
  <c r="F215" i="5"/>
  <c r="F214" i="5"/>
  <c r="K74" i="5"/>
  <c r="G214" i="5"/>
  <c r="G215" i="5"/>
  <c r="S215" i="5"/>
  <c r="S214" i="5"/>
  <c r="O284" i="5"/>
  <c r="O285" i="5"/>
  <c r="G40" i="5"/>
  <c r="H214" i="5"/>
  <c r="H215" i="5"/>
  <c r="AF215" i="5"/>
  <c r="AF214" i="5"/>
  <c r="P284" i="5"/>
  <c r="P285" i="5"/>
  <c r="AB285" i="5"/>
  <c r="AB284" i="5"/>
  <c r="H39" i="5"/>
  <c r="N180" i="5"/>
  <c r="N179" i="5"/>
  <c r="Z180" i="5"/>
  <c r="Z179" i="5"/>
  <c r="R215" i="5"/>
  <c r="M214" i="5"/>
  <c r="I215" i="5"/>
  <c r="I214" i="5"/>
  <c r="U215" i="5"/>
  <c r="U214" i="5"/>
  <c r="AG215" i="5"/>
  <c r="AG214" i="5"/>
  <c r="K179" i="5"/>
  <c r="X179" i="5"/>
  <c r="Y215" i="5"/>
  <c r="AF284" i="5"/>
  <c r="T285" i="5"/>
  <c r="Y285" i="5"/>
  <c r="W284" i="5"/>
  <c r="W285" i="5"/>
  <c r="AI284" i="5"/>
  <c r="AI285" i="5"/>
  <c r="AE284" i="3"/>
  <c r="F284" i="3"/>
  <c r="G284" i="3"/>
  <c r="AC284" i="3"/>
  <c r="Q284" i="3"/>
  <c r="H214" i="3"/>
  <c r="S214" i="3"/>
  <c r="G215" i="3"/>
  <c r="X215" i="3"/>
  <c r="W214" i="3"/>
  <c r="AE215" i="3"/>
  <c r="AF214" i="3"/>
  <c r="AH215" i="3"/>
  <c r="AJ215" i="3"/>
  <c r="T180" i="3"/>
  <c r="U180" i="3"/>
  <c r="AH179" i="3"/>
  <c r="I180" i="3"/>
  <c r="AG180" i="3"/>
  <c r="J180" i="3"/>
  <c r="AF180" i="3"/>
  <c r="K180" i="3"/>
  <c r="AI180" i="3"/>
  <c r="L180" i="3"/>
  <c r="V109" i="3"/>
  <c r="S109" i="3"/>
  <c r="T109" i="3"/>
  <c r="U109" i="3"/>
  <c r="AG110" i="3"/>
  <c r="W74" i="3"/>
  <c r="M39" i="3"/>
  <c r="W40" i="3"/>
  <c r="P5" i="1"/>
  <c r="AB5" i="1"/>
  <c r="Q5" i="1"/>
  <c r="AD5" i="1"/>
  <c r="AC5" i="1"/>
  <c r="R5" i="1"/>
  <c r="L39" i="3"/>
  <c r="K40" i="3"/>
  <c r="N40" i="3"/>
  <c r="V39" i="3"/>
  <c r="J39" i="3"/>
  <c r="L74" i="3"/>
  <c r="T75" i="3"/>
  <c r="J74" i="3"/>
  <c r="M74" i="3"/>
  <c r="H75" i="3"/>
  <c r="AI75" i="3"/>
  <c r="K74" i="3"/>
  <c r="N74" i="3"/>
  <c r="AJ75" i="3"/>
  <c r="I74" i="3"/>
  <c r="V74" i="3"/>
  <c r="AF109" i="3"/>
  <c r="AH109" i="3"/>
  <c r="F110" i="3"/>
  <c r="AC110" i="3"/>
  <c r="G109" i="3"/>
  <c r="AD110" i="3"/>
  <c r="AE109" i="3"/>
  <c r="H109" i="3"/>
  <c r="R110" i="3"/>
  <c r="I109" i="3"/>
  <c r="O179" i="3"/>
  <c r="AA179" i="3"/>
  <c r="AB179" i="3"/>
  <c r="N179" i="3"/>
  <c r="H180" i="3"/>
  <c r="P215" i="3"/>
  <c r="AD214" i="3"/>
  <c r="T215" i="3"/>
  <c r="Z214" i="3"/>
  <c r="N215" i="3"/>
  <c r="AA215" i="3"/>
  <c r="K284" i="3"/>
  <c r="AI284" i="3"/>
  <c r="Y285" i="3"/>
  <c r="L284" i="3"/>
  <c r="V285" i="3"/>
  <c r="J285" i="3"/>
  <c r="AE40" i="3"/>
  <c r="AE39" i="3"/>
  <c r="AC179" i="3"/>
  <c r="J110" i="3"/>
  <c r="J109" i="3"/>
  <c r="G180" i="3"/>
  <c r="G179" i="3"/>
  <c r="AE180" i="3"/>
  <c r="AE179" i="3"/>
  <c r="H285" i="3"/>
  <c r="H284" i="3"/>
  <c r="G40" i="3"/>
  <c r="P74" i="3"/>
  <c r="P75" i="3"/>
  <c r="AB74" i="3"/>
  <c r="AB75" i="3"/>
  <c r="I284" i="3"/>
  <c r="I285" i="3"/>
  <c r="U284" i="3"/>
  <c r="U285" i="3"/>
  <c r="AG284" i="3"/>
  <c r="AG285" i="3"/>
  <c r="R180" i="3"/>
  <c r="Q74" i="3"/>
  <c r="Q75" i="3"/>
  <c r="AC74" i="3"/>
  <c r="AC75" i="3"/>
  <c r="AC40" i="3"/>
  <c r="AC39" i="3"/>
  <c r="F179" i="3"/>
  <c r="F180" i="3"/>
  <c r="AI109" i="3"/>
  <c r="R75" i="3"/>
  <c r="R74" i="3"/>
  <c r="AD75" i="3"/>
  <c r="AD74" i="3"/>
  <c r="P40" i="3"/>
  <c r="P39" i="3"/>
  <c r="AB40" i="3"/>
  <c r="AB39" i="3"/>
  <c r="Q40" i="3"/>
  <c r="Q39" i="3"/>
  <c r="Q180" i="3"/>
  <c r="AD179" i="3"/>
  <c r="AD180" i="3"/>
  <c r="K110" i="3"/>
  <c r="K109" i="3"/>
  <c r="W110" i="3"/>
  <c r="W109" i="3"/>
  <c r="T285" i="3"/>
  <c r="T284" i="3"/>
  <c r="AF284" i="3"/>
  <c r="AF285" i="3"/>
  <c r="AE75" i="3"/>
  <c r="AE74" i="3"/>
  <c r="S180" i="3"/>
  <c r="S179" i="3"/>
  <c r="P180" i="3"/>
  <c r="P179" i="3"/>
  <c r="Y109" i="3"/>
  <c r="O214" i="3"/>
  <c r="O215" i="3"/>
  <c r="X109" i="3"/>
  <c r="Z109" i="3"/>
  <c r="Y214" i="3"/>
  <c r="AF74" i="3"/>
  <c r="L109" i="3"/>
  <c r="AA109" i="3"/>
  <c r="Q110" i="3"/>
  <c r="Q215" i="3"/>
  <c r="Q214" i="3"/>
  <c r="AG74" i="3"/>
  <c r="M109" i="3"/>
  <c r="M215" i="3"/>
  <c r="AH74" i="3"/>
  <c r="N109" i="3"/>
  <c r="Z180" i="3"/>
  <c r="Z179" i="3"/>
  <c r="U74" i="3"/>
  <c r="O285" i="3"/>
  <c r="O284" i="3"/>
  <c r="I215" i="3"/>
  <c r="I214" i="3"/>
  <c r="U215" i="3"/>
  <c r="U214" i="3"/>
  <c r="AG215" i="3"/>
  <c r="AG214" i="3"/>
  <c r="V214" i="3"/>
  <c r="V215" i="3"/>
  <c r="AI214" i="3"/>
  <c r="AI215" i="3"/>
  <c r="R214" i="3"/>
  <c r="AH285" i="3"/>
  <c r="AH284" i="3"/>
  <c r="F214" i="3"/>
  <c r="AD284" i="3"/>
  <c r="R285" i="3"/>
  <c r="AA354" i="4"/>
  <c r="Z354" i="4"/>
  <c r="AB354" i="4"/>
  <c r="Y354" i="4"/>
  <c r="M354" i="4"/>
  <c r="S284" i="4"/>
  <c r="T285" i="4"/>
  <c r="V284" i="4"/>
  <c r="AE284" i="4"/>
  <c r="U285" i="4"/>
  <c r="AG284" i="4"/>
  <c r="AF285" i="4"/>
  <c r="W284" i="4"/>
  <c r="X215" i="4"/>
  <c r="L214" i="4"/>
  <c r="H215" i="4"/>
  <c r="O214" i="4"/>
  <c r="Y180" i="4"/>
  <c r="L180" i="4"/>
  <c r="X180" i="4"/>
  <c r="Z179" i="4"/>
  <c r="AA109" i="4"/>
  <c r="AC110" i="4"/>
  <c r="R109" i="4"/>
  <c r="AD109" i="4"/>
  <c r="H40" i="4"/>
  <c r="Y40" i="4"/>
  <c r="AB40" i="4"/>
  <c r="Z40" i="4"/>
  <c r="R4" i="4"/>
  <c r="AD4" i="4"/>
  <c r="F354" i="4"/>
  <c r="V354" i="4"/>
  <c r="AI354" i="4"/>
  <c r="L355" i="4"/>
  <c r="W354" i="4"/>
  <c r="X354" i="4"/>
  <c r="P285" i="4"/>
  <c r="R285" i="4"/>
  <c r="G284" i="4"/>
  <c r="Q285" i="4"/>
  <c r="H285" i="4"/>
  <c r="M214" i="4"/>
  <c r="AJ215" i="4"/>
  <c r="N215" i="4"/>
  <c r="P215" i="4"/>
  <c r="G214" i="4"/>
  <c r="Y214" i="4"/>
  <c r="AI215" i="4"/>
  <c r="AC214" i="4"/>
  <c r="AF214" i="4"/>
  <c r="S180" i="4"/>
  <c r="AB179" i="4"/>
  <c r="T180" i="4"/>
  <c r="P179" i="4"/>
  <c r="G180" i="4"/>
  <c r="F180" i="4"/>
  <c r="R180" i="4"/>
  <c r="T110" i="4"/>
  <c r="U110" i="4"/>
  <c r="AF109" i="4"/>
  <c r="AG110" i="4"/>
  <c r="V109" i="4"/>
  <c r="AH110" i="4"/>
  <c r="S110" i="4"/>
  <c r="AE109" i="4"/>
  <c r="AI109" i="4"/>
  <c r="W109" i="4"/>
  <c r="N75" i="4"/>
  <c r="M74" i="4"/>
  <c r="O75" i="4"/>
  <c r="P75" i="4"/>
  <c r="S74" i="4"/>
  <c r="Q75" i="4"/>
  <c r="R75" i="4"/>
  <c r="Y75" i="4"/>
  <c r="R39" i="4"/>
  <c r="F39" i="4"/>
  <c r="AD39" i="4"/>
  <c r="T39" i="4"/>
  <c r="G39" i="4"/>
  <c r="AE39" i="4"/>
  <c r="S39" i="4"/>
  <c r="AF39" i="4"/>
  <c r="U39" i="4"/>
  <c r="AG39" i="4"/>
  <c r="P39" i="4"/>
  <c r="I75" i="4"/>
  <c r="I74" i="4"/>
  <c r="U75" i="4"/>
  <c r="U74" i="4"/>
  <c r="T75" i="4"/>
  <c r="J75" i="4"/>
  <c r="J74" i="4"/>
  <c r="V75" i="4"/>
  <c r="V74" i="4"/>
  <c r="W40" i="4"/>
  <c r="W39" i="4"/>
  <c r="Z109" i="4"/>
  <c r="P110" i="4"/>
  <c r="AB109" i="4"/>
  <c r="AB110" i="4"/>
  <c r="K40" i="4"/>
  <c r="K39" i="4"/>
  <c r="L39" i="4"/>
  <c r="L40" i="4"/>
  <c r="X40" i="4"/>
  <c r="X39" i="4"/>
  <c r="N109" i="4"/>
  <c r="H75" i="4"/>
  <c r="H74" i="4"/>
  <c r="AF74" i="4"/>
  <c r="AF75" i="4"/>
  <c r="M39" i="4"/>
  <c r="M40" i="4"/>
  <c r="O109" i="4"/>
  <c r="AA285" i="4"/>
  <c r="AA284" i="4"/>
  <c r="V39" i="4"/>
  <c r="N40" i="4"/>
  <c r="AC179" i="4"/>
  <c r="AE179" i="4"/>
  <c r="AE180" i="4"/>
  <c r="AB284" i="4"/>
  <c r="AB285" i="4"/>
  <c r="AA180" i="4"/>
  <c r="AA179" i="4"/>
  <c r="F109" i="4"/>
  <c r="O285" i="4"/>
  <c r="O284" i="4"/>
  <c r="G74" i="4"/>
  <c r="AD75" i="4"/>
  <c r="Q215" i="4"/>
  <c r="Q214" i="4"/>
  <c r="AC285" i="4"/>
  <c r="AC284" i="4"/>
  <c r="AA214" i="4"/>
  <c r="F215" i="4"/>
  <c r="F214" i="4"/>
  <c r="AD215" i="4"/>
  <c r="AD214" i="4"/>
  <c r="O180" i="4"/>
  <c r="O179" i="4"/>
  <c r="Q180" i="4"/>
  <c r="Q179" i="4"/>
  <c r="I39" i="4"/>
  <c r="J109" i="4"/>
  <c r="AB214" i="4"/>
  <c r="R215" i="4"/>
  <c r="AE74" i="4"/>
  <c r="F74" i="4"/>
  <c r="F75" i="4"/>
  <c r="K180" i="4"/>
  <c r="K179" i="4"/>
  <c r="J40" i="4"/>
  <c r="J39" i="4"/>
  <c r="AD180" i="4"/>
  <c r="AD179" i="4"/>
  <c r="Z214" i="4"/>
  <c r="Z215" i="4"/>
  <c r="N285" i="4"/>
  <c r="N284" i="4"/>
  <c r="Z285" i="4"/>
  <c r="Z284" i="4"/>
  <c r="AE215" i="4"/>
  <c r="AE214" i="4"/>
  <c r="AD284" i="4"/>
  <c r="AD285" i="4"/>
  <c r="I215" i="4"/>
  <c r="F285" i="4"/>
  <c r="U354" i="4"/>
  <c r="U355" i="4"/>
  <c r="AG354" i="4"/>
  <c r="AG355" i="4"/>
  <c r="L285" i="4"/>
  <c r="L284" i="4"/>
  <c r="X285" i="4"/>
  <c r="X284" i="4"/>
  <c r="M179" i="1"/>
  <c r="O249" i="1"/>
  <c r="N249" i="1"/>
  <c r="M249" i="1"/>
  <c r="L249" i="1"/>
  <c r="AR17" i="1" a="1"/>
  <c r="AR17" i="1" s="1"/>
  <c r="I144" i="1"/>
  <c r="I145" i="1"/>
  <c r="AO17" i="1" a="1"/>
  <c r="AO17" i="1" s="1"/>
  <c r="AN17" i="1" a="1"/>
  <c r="AN17" i="1" s="1"/>
  <c r="AP17" i="1" a="1"/>
  <c r="AP17" i="1" s="1"/>
  <c r="AR27" i="1" a="1"/>
  <c r="AR27" i="1" s="1"/>
  <c r="AM17" i="1" a="1"/>
  <c r="AM17" i="1" s="1"/>
  <c r="AN27" i="1" a="1"/>
  <c r="AN27" i="1" s="1"/>
  <c r="AM27" i="1" a="1"/>
  <c r="AM27" i="1" s="1"/>
  <c r="AQ27" i="1" a="1"/>
  <c r="AQ27" i="1" s="1"/>
  <c r="AM7" i="1" a="1"/>
  <c r="AM7" i="1" s="1"/>
  <c r="AP27" i="1" a="1"/>
  <c r="AP27" i="1" s="1"/>
  <c r="AO27" i="1" a="1"/>
  <c r="AO27" i="1" s="1"/>
  <c r="AI320" i="1"/>
  <c r="AI319" i="1"/>
  <c r="Y389" i="1"/>
  <c r="AQ17" i="1" a="1"/>
  <c r="AQ17" i="1" s="1"/>
  <c r="AJ250" i="1"/>
  <c r="AJ249" i="1"/>
  <c r="AA389" i="1"/>
  <c r="Z389" i="1"/>
  <c r="P249" i="1"/>
  <c r="I250" i="1"/>
  <c r="R389" i="1"/>
  <c r="P285" i="1"/>
  <c r="AG250" i="1"/>
  <c r="AH249" i="1"/>
  <c r="O389" i="1"/>
  <c r="AC284" i="1"/>
  <c r="AF250" i="1"/>
  <c r="AB249" i="1"/>
  <c r="K249" i="1"/>
  <c r="N389" i="1"/>
  <c r="V249" i="1"/>
  <c r="F145" i="1"/>
  <c r="Q389" i="1"/>
  <c r="AI249" i="1"/>
  <c r="AJ145" i="1"/>
  <c r="F180" i="1"/>
  <c r="AH215" i="1"/>
  <c r="AB284" i="1"/>
  <c r="W250" i="1"/>
  <c r="AA249" i="1"/>
  <c r="J249" i="1"/>
  <c r="M389" i="1"/>
  <c r="T75" i="1"/>
  <c r="R39" i="1"/>
  <c r="AH145" i="1"/>
  <c r="X215" i="1"/>
  <c r="AA284" i="1"/>
  <c r="Z249" i="1"/>
  <c r="AD389" i="1"/>
  <c r="Y144" i="1"/>
  <c r="AG145" i="1"/>
  <c r="AA179" i="1"/>
  <c r="Q284" i="1"/>
  <c r="U250" i="1"/>
  <c r="Y249" i="1"/>
  <c r="AC389" i="1"/>
  <c r="L319" i="1"/>
  <c r="H250" i="1"/>
  <c r="P389" i="1"/>
  <c r="J145" i="1"/>
  <c r="Z179" i="1"/>
  <c r="V320" i="1"/>
  <c r="T250" i="1"/>
  <c r="X249" i="1"/>
  <c r="AB389" i="1"/>
  <c r="AJ390" i="1"/>
  <c r="X390" i="1"/>
  <c r="L390" i="1"/>
  <c r="V390" i="1"/>
  <c r="AE250" i="1"/>
  <c r="S250" i="1"/>
  <c r="G250" i="1"/>
  <c r="R250" i="1"/>
  <c r="AB39" i="1"/>
  <c r="AA144" i="1"/>
  <c r="L180" i="1"/>
  <c r="O284" i="1"/>
  <c r="M355" i="1"/>
  <c r="AI389" i="1"/>
  <c r="W389" i="1"/>
  <c r="K389" i="1"/>
  <c r="L215" i="1"/>
  <c r="AG390" i="1"/>
  <c r="I390" i="1"/>
  <c r="AD250" i="1"/>
  <c r="S390" i="1"/>
  <c r="V39" i="1"/>
  <c r="X75" i="1"/>
  <c r="Z144" i="1"/>
  <c r="AD179" i="1"/>
  <c r="M284" i="1"/>
  <c r="AF354" i="1"/>
  <c r="F249" i="1"/>
  <c r="AH389" i="1"/>
  <c r="J389" i="1"/>
  <c r="M215" i="1"/>
  <c r="U390" i="1"/>
  <c r="K215" i="1"/>
  <c r="AF390" i="1"/>
  <c r="AC250" i="1"/>
  <c r="W75" i="1"/>
  <c r="AC179" i="1"/>
  <c r="F214" i="1"/>
  <c r="AE354" i="1"/>
  <c r="T390" i="1"/>
  <c r="J215" i="1"/>
  <c r="AE390" i="1"/>
  <c r="G390" i="1"/>
  <c r="T39" i="1"/>
  <c r="S39" i="1"/>
  <c r="V75" i="1"/>
  <c r="U144" i="1"/>
  <c r="AB179" i="1"/>
  <c r="AJ319" i="1"/>
  <c r="AD354" i="1"/>
  <c r="F389" i="1"/>
  <c r="H389" i="1"/>
  <c r="Q250" i="1"/>
  <c r="U75" i="1"/>
  <c r="AJ215" i="1"/>
  <c r="Q110" i="1"/>
  <c r="G145" i="1"/>
  <c r="U320" i="1"/>
  <c r="AF145" i="1"/>
  <c r="AI180" i="1"/>
  <c r="AA214" i="1"/>
  <c r="N319" i="1"/>
  <c r="M145" i="1"/>
  <c r="S180" i="1"/>
  <c r="V215" i="1"/>
  <c r="U214" i="1"/>
  <c r="M319" i="1"/>
  <c r="R355" i="1"/>
  <c r="AF320" i="1"/>
  <c r="R110" i="1"/>
  <c r="P109" i="1"/>
  <c r="AB214" i="1"/>
  <c r="R74" i="1"/>
  <c r="F355" i="1"/>
  <c r="T145" i="1"/>
  <c r="U180" i="1"/>
  <c r="Z214" i="1"/>
  <c r="N145" i="1"/>
  <c r="L145" i="1"/>
  <c r="H144" i="1"/>
  <c r="R180" i="1"/>
  <c r="G214" i="1"/>
  <c r="S110" i="1"/>
  <c r="AG214" i="1"/>
  <c r="T320" i="1"/>
  <c r="AC74" i="1"/>
  <c r="H320" i="1"/>
  <c r="O109" i="1"/>
  <c r="Q74" i="1"/>
  <c r="W284" i="1"/>
  <c r="AH355" i="1"/>
  <c r="T180" i="1"/>
  <c r="Y214" i="1"/>
  <c r="AA39" i="1"/>
  <c r="K145" i="1"/>
  <c r="N180" i="1"/>
  <c r="N215" i="1"/>
  <c r="N284" i="1"/>
  <c r="K319" i="1"/>
  <c r="L355" i="1"/>
  <c r="AC40" i="1"/>
  <c r="H214" i="1"/>
  <c r="J109" i="1"/>
  <c r="J75" i="1"/>
  <c r="AG180" i="1"/>
  <c r="K284" i="1"/>
  <c r="R320" i="1"/>
  <c r="AA319" i="1"/>
  <c r="X355" i="1"/>
  <c r="M40" i="1"/>
  <c r="O39" i="1"/>
  <c r="AI75" i="1"/>
  <c r="I75" i="1"/>
  <c r="K74" i="1"/>
  <c r="AD110" i="1"/>
  <c r="AC109" i="1"/>
  <c r="X145" i="1"/>
  <c r="AF180" i="1"/>
  <c r="I180" i="1"/>
  <c r="AE215" i="1"/>
  <c r="S214" i="1"/>
  <c r="T285" i="1"/>
  <c r="S319" i="1"/>
  <c r="F285" i="1"/>
  <c r="AI285" i="1"/>
  <c r="AD320" i="1"/>
  <c r="AH285" i="1"/>
  <c r="AB355" i="1"/>
  <c r="P40" i="1"/>
  <c r="AH109" i="1"/>
  <c r="AH180" i="1"/>
  <c r="L284" i="1"/>
  <c r="AC319" i="1"/>
  <c r="N40" i="1"/>
  <c r="J180" i="1"/>
  <c r="AA354" i="1"/>
  <c r="J354" i="1"/>
  <c r="L40" i="1"/>
  <c r="J39" i="1"/>
  <c r="AH75" i="1"/>
  <c r="H75" i="1"/>
  <c r="AB109" i="1"/>
  <c r="W145" i="1"/>
  <c r="AE180" i="1"/>
  <c r="H180" i="1"/>
  <c r="I215" i="1"/>
  <c r="S285" i="1"/>
  <c r="Z284" i="1"/>
  <c r="Q355" i="1"/>
  <c r="I354" i="1"/>
  <c r="AF214" i="1"/>
  <c r="AE320" i="1"/>
  <c r="H110" i="1"/>
  <c r="X285" i="1"/>
  <c r="L75" i="1"/>
  <c r="AG110" i="1"/>
  <c r="G110" i="1"/>
  <c r="AG284" i="1"/>
  <c r="AC354" i="1"/>
  <c r="Q39" i="1"/>
  <c r="AF110" i="1"/>
  <c r="V285" i="1"/>
  <c r="Y355" i="1"/>
  <c r="AJ75" i="1"/>
  <c r="AE110" i="1"/>
  <c r="T214" i="1"/>
  <c r="AD39" i="1"/>
  <c r="G39" i="1"/>
  <c r="AG75" i="1"/>
  <c r="AE74" i="1"/>
  <c r="U110" i="1"/>
  <c r="AA109" i="1"/>
  <c r="V145" i="1"/>
  <c r="G180" i="1"/>
  <c r="R285" i="1"/>
  <c r="Y284" i="1"/>
  <c r="AH320" i="1"/>
  <c r="P319" i="1"/>
  <c r="O355" i="1"/>
  <c r="H354" i="1"/>
  <c r="G320" i="1"/>
  <c r="K109" i="1"/>
  <c r="I110" i="1"/>
  <c r="Z355" i="1"/>
  <c r="U285" i="1"/>
  <c r="AF75" i="1"/>
  <c r="AD74" i="1"/>
  <c r="T110" i="1"/>
  <c r="Z109" i="1"/>
  <c r="AB144" i="1"/>
  <c r="V180" i="1"/>
  <c r="AG320" i="1"/>
  <c r="J320" i="1"/>
  <c r="O319" i="1"/>
  <c r="N355" i="1"/>
  <c r="G354" i="1"/>
  <c r="R145" i="1"/>
  <c r="R144" i="1"/>
  <c r="AF40" i="1"/>
  <c r="AF39" i="1"/>
  <c r="H40" i="1"/>
  <c r="H39" i="1"/>
  <c r="F109" i="1"/>
  <c r="F110" i="1"/>
  <c r="X109" i="1"/>
  <c r="X110" i="1"/>
  <c r="AE40" i="1"/>
  <c r="AE39" i="1"/>
  <c r="AI109" i="1"/>
  <c r="AI110" i="1"/>
  <c r="W110" i="1"/>
  <c r="W109" i="1"/>
  <c r="K355" i="1"/>
  <c r="K354" i="1"/>
  <c r="AB75" i="1"/>
  <c r="AB74" i="1"/>
  <c r="V110" i="1"/>
  <c r="V109" i="1"/>
  <c r="AC215" i="1"/>
  <c r="AC214" i="1"/>
  <c r="F40" i="1"/>
  <c r="F39" i="1"/>
  <c r="AA75" i="1"/>
  <c r="AA74" i="1"/>
  <c r="O75" i="1"/>
  <c r="O74" i="1"/>
  <c r="L109" i="1"/>
  <c r="Y110" i="1"/>
  <c r="Y109" i="1"/>
  <c r="Z74" i="1"/>
  <c r="Z75" i="1"/>
  <c r="N74" i="1"/>
  <c r="N75" i="1"/>
  <c r="W355" i="1"/>
  <c r="W354" i="1"/>
  <c r="AG40" i="1"/>
  <c r="AG39" i="1"/>
  <c r="I40" i="1"/>
  <c r="I39" i="1"/>
  <c r="M109" i="1"/>
  <c r="M110" i="1"/>
  <c r="F75" i="1"/>
  <c r="F74" i="1"/>
  <c r="Y74" i="1"/>
  <c r="Y75" i="1"/>
  <c r="M75" i="1"/>
  <c r="M74" i="1"/>
  <c r="AD145" i="1"/>
  <c r="AD144" i="1"/>
  <c r="AN7" i="1" a="1"/>
  <c r="AN7" i="1" s="1"/>
  <c r="AO7" i="1" a="1"/>
  <c r="AO7" i="1" s="1"/>
  <c r="AP7" i="1" a="1"/>
  <c r="AP7" i="1" s="1"/>
  <c r="AI354" i="1"/>
  <c r="AI355" i="1"/>
  <c r="P75" i="1"/>
  <c r="P74" i="1"/>
  <c r="Q215" i="1"/>
  <c r="Q214" i="1"/>
  <c r="U39" i="1"/>
  <c r="AE144" i="1"/>
  <c r="AE145" i="1"/>
  <c r="S145" i="1"/>
  <c r="S144" i="1"/>
  <c r="O179" i="1"/>
  <c r="AI214" i="1"/>
  <c r="AI215" i="1"/>
  <c r="AQ7" i="1" a="1"/>
  <c r="AQ7" i="1" s="1"/>
  <c r="Z40" i="1"/>
  <c r="Y179" i="1"/>
  <c r="Y180" i="1"/>
  <c r="J285" i="1"/>
  <c r="J284" i="1"/>
  <c r="Q320" i="1"/>
  <c r="AB319" i="1"/>
  <c r="P355" i="1"/>
  <c r="AC145" i="1"/>
  <c r="AC144" i="1"/>
  <c r="Y40" i="1"/>
  <c r="X180" i="1"/>
  <c r="X179" i="1"/>
  <c r="I285" i="1"/>
  <c r="I284" i="1"/>
  <c r="Q145" i="1"/>
  <c r="Q144" i="1"/>
  <c r="P179" i="1"/>
  <c r="X40" i="1"/>
  <c r="S75" i="1"/>
  <c r="S74" i="1"/>
  <c r="G75" i="1"/>
  <c r="G74" i="1"/>
  <c r="AI144" i="1"/>
  <c r="AI145" i="1"/>
  <c r="W180" i="1"/>
  <c r="W179" i="1"/>
  <c r="Q179" i="1"/>
  <c r="W39" i="1"/>
  <c r="W40" i="1"/>
  <c r="K39" i="1"/>
  <c r="K40" i="1"/>
  <c r="N109" i="1"/>
  <c r="K179" i="1"/>
  <c r="W215" i="1"/>
  <c r="AE284" i="1"/>
  <c r="AE285" i="1"/>
  <c r="Z320" i="1"/>
  <c r="Z319" i="1"/>
  <c r="AF285" i="1"/>
  <c r="H285" i="1"/>
  <c r="AD215" i="1"/>
  <c r="AD214" i="1"/>
  <c r="R215" i="1"/>
  <c r="R214" i="1"/>
  <c r="G285" i="1"/>
  <c r="V354" i="1"/>
  <c r="AD285" i="1"/>
  <c r="Y320" i="1"/>
  <c r="U354" i="1"/>
  <c r="P144" i="1"/>
  <c r="P214" i="1"/>
  <c r="X320" i="1"/>
  <c r="I320" i="1"/>
  <c r="T354" i="1"/>
  <c r="AR7" i="1" a="1"/>
  <c r="AR7" i="1" s="1"/>
  <c r="O145" i="1"/>
  <c r="O215" i="1"/>
  <c r="W320" i="1"/>
  <c r="S354" i="1"/>
  <c r="F320" i="1"/>
  <c r="AG354" i="1"/>
  <c r="AM7" i="4" l="1" a="1"/>
  <c r="AM7" i="4" s="1"/>
  <c r="AM132" i="4" a="1"/>
  <c r="AM132" i="4" s="1"/>
  <c r="AM152" i="4" a="1"/>
  <c r="AM152" i="4" s="1"/>
  <c r="AN7" i="4" a="1"/>
  <c r="AN7" i="4" s="1"/>
  <c r="AO12" i="4"/>
  <c r="AO9" i="4"/>
  <c r="AO10" i="4"/>
  <c r="AO11" i="4"/>
  <c r="AO8" i="4"/>
  <c r="AN31" i="4" a="1"/>
  <c r="AN31" i="4" s="1"/>
  <c r="AP28" i="3" a="1"/>
  <c r="AP28" i="3" s="1"/>
  <c r="AN11" i="5"/>
  <c r="AO31" i="4" a="1"/>
  <c r="AO31" i="4" s="1"/>
  <c r="AN29" i="4" a="1"/>
  <c r="AN29" i="4" s="1"/>
  <c r="AO29" i="4" a="1"/>
  <c r="AO29" i="4" s="1"/>
  <c r="AN11" i="4"/>
  <c r="AP19" i="3" a="1"/>
  <c r="AP19" i="3" s="1"/>
  <c r="AN21" i="4" a="1"/>
  <c r="AN21" i="4" s="1"/>
  <c r="AQ32" i="4" a="1"/>
  <c r="AQ32" i="4" s="1"/>
  <c r="AM10" i="4" a="1"/>
  <c r="AM10" i="4" s="1"/>
  <c r="AO30" i="4" a="1"/>
  <c r="AO30" i="4" s="1"/>
  <c r="AP20" i="4" a="1"/>
  <c r="AP20" i="4" s="1"/>
  <c r="AM28" i="4" a="1"/>
  <c r="AM28" i="4" s="1"/>
  <c r="AN20" i="4" a="1"/>
  <c r="AN20" i="4" s="1"/>
  <c r="AP21" i="4" a="1"/>
  <c r="AP21" i="4" s="1"/>
  <c r="AM19" i="4" a="1"/>
  <c r="AM19" i="4" s="1"/>
  <c r="AR18" i="4" a="1"/>
  <c r="AR18" i="4" s="1"/>
  <c r="AP8" i="4"/>
  <c r="AM12" i="4" a="1"/>
  <c r="AM12" i="4" s="1"/>
  <c r="AM19" i="3" a="1"/>
  <c r="AM19" i="3" s="1"/>
  <c r="AN9" i="4"/>
  <c r="AM31" i="4" a="1"/>
  <c r="AM31" i="4" s="1"/>
  <c r="AQ30" i="3" a="1"/>
  <c r="AQ30" i="3" s="1"/>
  <c r="AR29" i="3" a="1"/>
  <c r="AR29" i="3" s="1"/>
  <c r="AM22" i="4" a="1"/>
  <c r="AM22" i="4" s="1"/>
  <c r="AO32" i="4" a="1"/>
  <c r="AO32" i="4" s="1"/>
  <c r="AM29" i="4" a="1"/>
  <c r="AM29" i="4" s="1"/>
  <c r="AP29" i="3" a="1"/>
  <c r="AP29" i="3" s="1"/>
  <c r="AN30" i="3" a="1"/>
  <c r="AN30" i="3" s="1"/>
  <c r="AP19" i="4" a="1"/>
  <c r="AP19" i="4" s="1"/>
  <c r="AP31" i="4" a="1"/>
  <c r="AP31" i="4" s="1"/>
  <c r="AM21" i="4" a="1"/>
  <c r="AM21" i="4" s="1"/>
  <c r="AO17" i="4" a="1"/>
  <c r="AO17" i="4" s="1"/>
  <c r="AP361" i="3" a="1"/>
  <c r="AP361" i="3" s="1"/>
  <c r="AU15" i="4" a="1"/>
  <c r="AU15" i="4" s="1"/>
  <c r="AO18" i="4" a="1"/>
  <c r="AO18" i="4" s="1"/>
  <c r="AR21" i="4" a="1"/>
  <c r="AR21" i="4" s="1"/>
  <c r="AR8" i="4"/>
  <c r="AN11" i="1"/>
  <c r="AP17" i="3" a="1"/>
  <c r="AP17" i="3" s="1"/>
  <c r="AP22" i="4" a="1"/>
  <c r="AP22" i="4" s="1"/>
  <c r="AP7" i="3" a="1"/>
  <c r="AP7" i="3" s="1"/>
  <c r="AN18" i="4" a="1"/>
  <c r="AN18" i="4" s="1"/>
  <c r="AP32" i="4" a="1"/>
  <c r="AP32" i="4" s="1"/>
  <c r="AM27" i="4" a="1"/>
  <c r="AM27" i="4" s="1"/>
  <c r="AV14" i="4" a="1"/>
  <c r="AV14" i="4" s="1"/>
  <c r="AR12" i="4" a="1"/>
  <c r="AR12" i="4" s="1"/>
  <c r="AO148" i="4" a="1"/>
  <c r="AO148" i="4" s="1"/>
  <c r="AP28" i="4" a="1"/>
  <c r="AP28" i="4" s="1"/>
  <c r="AN19" i="4" a="1"/>
  <c r="AN19" i="4" s="1"/>
  <c r="AN10" i="4"/>
  <c r="AR22" i="3" a="1"/>
  <c r="AR22" i="3" s="1"/>
  <c r="AQ32" i="3" a="1"/>
  <c r="AQ32" i="3" s="1"/>
  <c r="AR22" i="4" a="1"/>
  <c r="AR22" i="4" s="1"/>
  <c r="AN30" i="4" a="1"/>
  <c r="AN30" i="4" s="1"/>
  <c r="AP30" i="4" a="1"/>
  <c r="AP30" i="4" s="1"/>
  <c r="AQ21" i="4" a="1"/>
  <c r="AQ21" i="4" s="1"/>
  <c r="AR19" i="4" a="1"/>
  <c r="AR19" i="4" s="1"/>
  <c r="AM29" i="3" a="1"/>
  <c r="AM29" i="3" s="1"/>
  <c r="AP30" i="3" a="1"/>
  <c r="AP30" i="3" s="1"/>
  <c r="AP18" i="3" a="1"/>
  <c r="AP18" i="3" s="1"/>
  <c r="AM21" i="3" a="1"/>
  <c r="AM21" i="3" s="1"/>
  <c r="AM11" i="3" a="1"/>
  <c r="AM11" i="3" s="1"/>
  <c r="AN31" i="3" a="1"/>
  <c r="AN31" i="3" s="1"/>
  <c r="AR30" i="3" a="1"/>
  <c r="AR30" i="3" s="1"/>
  <c r="AP21" i="3" a="1"/>
  <c r="AP21" i="3" s="1"/>
  <c r="AN22" i="4" a="1"/>
  <c r="AN22" i="4" s="1"/>
  <c r="AM20" i="4" a="1"/>
  <c r="AM20" i="4" s="1"/>
  <c r="AU14" i="4" a="1"/>
  <c r="AU14" i="4" s="1"/>
  <c r="AR11" i="3"/>
  <c r="AQ22" i="3" a="1"/>
  <c r="AQ22" i="3" s="1"/>
  <c r="AO21" i="3" a="1"/>
  <c r="AO21" i="3" s="1"/>
  <c r="AP27" i="4" a="1"/>
  <c r="AP27" i="4" s="1"/>
  <c r="AN28" i="3" a="1"/>
  <c r="AN28" i="3" s="1"/>
  <c r="AR9" i="4"/>
  <c r="AM30" i="4" a="1"/>
  <c r="AM30" i="4" s="1"/>
  <c r="AR19" i="3" a="1"/>
  <c r="AR19" i="3" s="1"/>
  <c r="AR31" i="3" a="1"/>
  <c r="AR31" i="3" s="1"/>
  <c r="AQ29" i="4" a="1"/>
  <c r="AQ29" i="4" s="1"/>
  <c r="AR10" i="4"/>
  <c r="AM22" i="3" a="1"/>
  <c r="AM22" i="3" s="1"/>
  <c r="AN20" i="3" a="1"/>
  <c r="AN20" i="3" s="1"/>
  <c r="AN8" i="4" a="1"/>
  <c r="AN8" i="4" s="1"/>
  <c r="AN12" i="4"/>
  <c r="AQ8" i="3"/>
  <c r="AP20" i="3" a="1"/>
  <c r="AP20" i="3" s="1"/>
  <c r="AN32" i="3" a="1"/>
  <c r="AN32" i="3" s="1"/>
  <c r="AM30" i="3" a="1"/>
  <c r="AM30" i="3" s="1"/>
  <c r="AQ27" i="4" a="1"/>
  <c r="AQ27" i="4" s="1"/>
  <c r="AO19" i="4" a="1"/>
  <c r="AO19" i="4" s="1"/>
  <c r="AP29" i="4" a="1"/>
  <c r="AP29" i="4" s="1"/>
  <c r="AM18" i="4" a="1"/>
  <c r="AM18" i="4" s="1"/>
  <c r="AR29" i="4" a="1"/>
  <c r="AR29" i="4" s="1"/>
  <c r="AQ18" i="4" a="1"/>
  <c r="AQ18" i="4" s="1"/>
  <c r="AN12" i="3"/>
  <c r="AQ18" i="3" a="1"/>
  <c r="AQ18" i="3" s="1"/>
  <c r="AQ21" i="3" a="1"/>
  <c r="AQ21" i="3" s="1"/>
  <c r="AO8" i="3"/>
  <c r="AN9" i="3"/>
  <c r="AP31" i="3" a="1"/>
  <c r="AP31" i="3" s="1"/>
  <c r="AQ20" i="3" a="1"/>
  <c r="AQ20" i="3" s="1"/>
  <c r="AN28" i="4" a="1"/>
  <c r="AN28" i="4" s="1"/>
  <c r="AO20" i="4" a="1"/>
  <c r="AO20" i="4" s="1"/>
  <c r="AU14" i="3" a="1"/>
  <c r="AU14" i="3" s="1"/>
  <c r="AO28" i="3" a="1"/>
  <c r="AO28" i="3" s="1"/>
  <c r="AP32" i="3" a="1"/>
  <c r="AP32" i="3" s="1"/>
  <c r="AN22" i="3" a="1"/>
  <c r="AN22" i="3" s="1"/>
  <c r="AO22" i="3" a="1"/>
  <c r="AO22" i="3" s="1"/>
  <c r="AN7" i="5" a="1"/>
  <c r="AN7" i="5" s="1"/>
  <c r="AP412" i="5" a="1"/>
  <c r="AP412" i="5" s="1"/>
  <c r="AQ8" i="5"/>
  <c r="AM7" i="3" a="1"/>
  <c r="AM7" i="3" s="1"/>
  <c r="AU15" i="3" a="1"/>
  <c r="AU15" i="3" s="1"/>
  <c r="AN368" i="5" a="1"/>
  <c r="AN368" i="5" s="1"/>
  <c r="AQ20" i="4" a="1"/>
  <c r="AQ20" i="4" s="1"/>
  <c r="AP18" i="4" a="1"/>
  <c r="AP18" i="4" s="1"/>
  <c r="AO21" i="4" a="1"/>
  <c r="AO21" i="4" s="1"/>
  <c r="AR32" i="4" a="1"/>
  <c r="AR32" i="4" s="1"/>
  <c r="AN32" i="4" a="1"/>
  <c r="AN32" i="4" s="1"/>
  <c r="AQ30" i="4" a="1"/>
  <c r="AQ30" i="4" s="1"/>
  <c r="AM8" i="3" a="1"/>
  <c r="AM8" i="3" s="1"/>
  <c r="AM9" i="3" a="1"/>
  <c r="AM9" i="3" s="1"/>
  <c r="AN18" i="3" a="1"/>
  <c r="AN18" i="3" s="1"/>
  <c r="AR18" i="3" a="1"/>
  <c r="AR18" i="3" s="1"/>
  <c r="AO32" i="1" a="1"/>
  <c r="AO32" i="1" s="1"/>
  <c r="AQ27" i="3" a="1"/>
  <c r="AQ27" i="3" s="1"/>
  <c r="AQ20" i="5" a="1"/>
  <c r="AQ20" i="5" s="1"/>
  <c r="AR21" i="3" a="1"/>
  <c r="AR21" i="3" s="1"/>
  <c r="AO20" i="3" a="1"/>
  <c r="AO20" i="3" s="1"/>
  <c r="AM9" i="4" a="1"/>
  <c r="AM9" i="4" s="1"/>
  <c r="AM12" i="3" a="1"/>
  <c r="AM12" i="3" s="1"/>
  <c r="AR11" i="4"/>
  <c r="AQ31" i="4" a="1"/>
  <c r="AQ31" i="4" s="1"/>
  <c r="AQ28" i="4" a="1"/>
  <c r="AQ28" i="4" s="1"/>
  <c r="AQ22" i="4" a="1"/>
  <c r="AQ22" i="4" s="1"/>
  <c r="AM10" i="3" a="1"/>
  <c r="AM10" i="3" s="1"/>
  <c r="AM28" i="3" a="1"/>
  <c r="AM28" i="3" s="1"/>
  <c r="AQ29" i="3" a="1"/>
  <c r="AQ29" i="3" s="1"/>
  <c r="AU16" i="3" a="1"/>
  <c r="AU16" i="3" s="1"/>
  <c r="AR20" i="3" a="1"/>
  <c r="AR20" i="3" s="1"/>
  <c r="AQ30" i="5" a="1"/>
  <c r="AQ30" i="5" s="1"/>
  <c r="AN11" i="3"/>
  <c r="AO31" i="3" a="1"/>
  <c r="AO31" i="3" s="1"/>
  <c r="AO32" i="3" a="1"/>
  <c r="AO32" i="3" s="1"/>
  <c r="AM32" i="4" a="1"/>
  <c r="AM32" i="4" s="1"/>
  <c r="AR8" i="3"/>
  <c r="AQ28" i="3" a="1"/>
  <c r="AQ28" i="3" s="1"/>
  <c r="AR31" i="4" a="1"/>
  <c r="AR31" i="4" s="1"/>
  <c r="AQ19" i="4" a="1"/>
  <c r="AQ19" i="4" s="1"/>
  <c r="AU16" i="4" a="1"/>
  <c r="AU16" i="4" s="1"/>
  <c r="AP8" i="3"/>
  <c r="AO22" i="4" a="1"/>
  <c r="AO22" i="4" s="1"/>
  <c r="AR28" i="4" a="1"/>
  <c r="AR28" i="4" s="1"/>
  <c r="AQ8" i="4"/>
  <c r="AO28" i="4" a="1"/>
  <c r="AO28" i="4" s="1"/>
  <c r="AR20" i="4" a="1"/>
  <c r="AR20" i="4" s="1"/>
  <c r="AR30" i="4" a="1"/>
  <c r="AR30" i="4" s="1"/>
  <c r="AM11" i="4" a="1"/>
  <c r="AM11" i="4" s="1"/>
  <c r="AM17" i="4" a="1"/>
  <c r="AM17" i="4" s="1"/>
  <c r="AN29" i="3" a="1"/>
  <c r="AN29" i="3" s="1"/>
  <c r="AQ19" i="3" a="1"/>
  <c r="AQ19" i="3" s="1"/>
  <c r="AO30" i="3" a="1"/>
  <c r="AO30" i="3" s="1"/>
  <c r="AR10" i="3"/>
  <c r="AR22" i="1" a="1"/>
  <c r="AR22" i="1" s="1"/>
  <c r="AO7" i="3" a="1"/>
  <c r="AO7" i="3" s="1"/>
  <c r="AR27" i="5" a="1"/>
  <c r="AR27" i="5" s="1"/>
  <c r="AN19" i="5" a="1"/>
  <c r="AN19" i="5" s="1"/>
  <c r="AR342" i="3" a="1"/>
  <c r="AR342" i="3" s="1"/>
  <c r="AR27" i="3" a="1"/>
  <c r="AR27" i="3" s="1"/>
  <c r="AR12" i="5" a="1"/>
  <c r="AR12" i="5" s="1"/>
  <c r="AM7" i="5" a="1"/>
  <c r="AM7" i="5" s="1"/>
  <c r="AQ359" i="4" a="1"/>
  <c r="AQ359" i="4" s="1"/>
  <c r="AQ17" i="3" a="1"/>
  <c r="AQ17" i="3" s="1"/>
  <c r="AR22" i="5" a="1"/>
  <c r="AR22" i="5" s="1"/>
  <c r="AN29" i="5" a="1"/>
  <c r="AN29" i="5" s="1"/>
  <c r="AR28" i="1" a="1"/>
  <c r="AR28" i="1" s="1"/>
  <c r="AN9" i="1"/>
  <c r="AR27" i="4" a="1"/>
  <c r="AR27" i="4" s="1"/>
  <c r="AM136" i="4" a="1"/>
  <c r="AM136" i="4" s="1"/>
  <c r="AR17" i="3" a="1"/>
  <c r="AR17" i="3" s="1"/>
  <c r="AR21" i="1" a="1"/>
  <c r="AR21" i="1" s="1"/>
  <c r="AR19" i="5" a="1"/>
  <c r="AR19" i="5" s="1"/>
  <c r="AM17" i="3" a="1"/>
  <c r="AM17" i="3" s="1"/>
  <c r="AM27" i="5" a="1"/>
  <c r="AM27" i="5" s="1"/>
  <c r="AN17" i="4" a="1"/>
  <c r="AN17" i="4" s="1"/>
  <c r="AO17" i="3" a="1"/>
  <c r="AO17" i="3" s="1"/>
  <c r="AO27" i="3" a="1"/>
  <c r="AO27" i="3" s="1"/>
  <c r="AQ28" i="5" a="1"/>
  <c r="AQ28" i="5" s="1"/>
  <c r="AR17" i="5" a="1"/>
  <c r="AR17" i="5" s="1"/>
  <c r="AP7" i="5" a="1"/>
  <c r="AP7" i="5" s="1"/>
  <c r="AR28" i="5" a="1"/>
  <c r="AR28" i="5" s="1"/>
  <c r="AP22" i="5" a="1"/>
  <c r="AP22" i="5" s="1"/>
  <c r="AM8" i="4" a="1"/>
  <c r="AM8" i="4" s="1"/>
  <c r="AR379" i="4" a="1"/>
  <c r="AR379" i="4" s="1"/>
  <c r="AP17" i="4" a="1"/>
  <c r="AP17" i="4" s="1"/>
  <c r="AN17" i="3" a="1"/>
  <c r="AN17" i="3" s="1"/>
  <c r="AP27" i="5" a="1"/>
  <c r="AP27" i="5" s="1"/>
  <c r="AR7" i="5" a="1"/>
  <c r="AR7" i="5" s="1"/>
  <c r="AQ7" i="5" a="1"/>
  <c r="AQ7" i="5" s="1"/>
  <c r="AO20" i="5" a="1"/>
  <c r="AO20" i="5" s="1"/>
  <c r="AQ157" i="3" a="1"/>
  <c r="AQ157" i="3" s="1"/>
  <c r="AN253" i="3" a="1"/>
  <c r="AN253" i="3" s="1"/>
  <c r="AM30" i="1" a="1"/>
  <c r="AM30" i="1" s="1"/>
  <c r="AN27" i="3" a="1"/>
  <c r="AN27" i="3" s="1"/>
  <c r="AP52" i="3" a="1"/>
  <c r="AP52" i="3" s="1"/>
  <c r="AO27" i="5" a="1"/>
  <c r="AO27" i="5" s="1"/>
  <c r="AP17" i="5" a="1"/>
  <c r="AP17" i="5" s="1"/>
  <c r="AM22" i="1" a="1"/>
  <c r="AM22" i="1" s="1"/>
  <c r="AO31" i="1" a="1"/>
  <c r="AO31" i="1" s="1"/>
  <c r="AQ370" i="4" a="1"/>
  <c r="AQ370" i="4" s="1"/>
  <c r="AO27" i="4" a="1"/>
  <c r="AO27" i="4" s="1"/>
  <c r="AQ7" i="4" a="1"/>
  <c r="AQ7" i="4" s="1"/>
  <c r="AR54" i="3" a="1"/>
  <c r="AR54" i="3" s="1"/>
  <c r="AM17" i="5" a="1"/>
  <c r="AM17" i="5" s="1"/>
  <c r="AN17" i="5" a="1"/>
  <c r="AN17" i="5" s="1"/>
  <c r="AM21" i="1" a="1"/>
  <c r="AM21" i="1" s="1"/>
  <c r="AR29" i="1" a="1"/>
  <c r="AR29" i="1" s="1"/>
  <c r="AQ27" i="5" a="1"/>
  <c r="AQ27" i="5" s="1"/>
  <c r="AN27" i="5" a="1"/>
  <c r="AN27" i="5" s="1"/>
  <c r="AQ30" i="1" a="1"/>
  <c r="AQ30" i="1" s="1"/>
  <c r="AO17" i="5" a="1"/>
  <c r="AO17" i="5" s="1"/>
  <c r="AQ17" i="5" a="1"/>
  <c r="AQ17" i="5" s="1"/>
  <c r="AR372" i="4" a="1"/>
  <c r="AR372" i="4" s="1"/>
  <c r="AN127" i="4" a="1"/>
  <c r="AN127" i="4" s="1"/>
  <c r="AP292" i="3" a="1"/>
  <c r="AP292" i="3" s="1"/>
  <c r="AO42" i="3" a="1"/>
  <c r="AO42" i="3" s="1"/>
  <c r="AO45" i="3" a="1"/>
  <c r="AO45" i="3" s="1"/>
  <c r="AR45" i="3" a="1"/>
  <c r="AR45" i="3" s="1"/>
  <c r="AR46" i="3" a="1"/>
  <c r="AR46" i="3" s="1"/>
  <c r="AN56" i="3" a="1"/>
  <c r="AN56" i="3" s="1"/>
  <c r="AP47" i="3" a="1"/>
  <c r="AP47" i="3" s="1"/>
  <c r="AR64" i="3" a="1"/>
  <c r="AR64" i="3" s="1"/>
  <c r="AN47" i="3" a="1"/>
  <c r="AN47" i="3" s="1"/>
  <c r="AR21" i="5" a="1"/>
  <c r="AR21" i="5" s="1"/>
  <c r="AQ19" i="5" a="1"/>
  <c r="AQ19" i="5" s="1"/>
  <c r="AM9" i="5" a="1"/>
  <c r="AM9" i="5" s="1"/>
  <c r="AO29" i="5" a="1"/>
  <c r="AO29" i="5" s="1"/>
  <c r="AR30" i="5" a="1"/>
  <c r="AR30" i="5" s="1"/>
  <c r="AM12" i="5" a="1"/>
  <c r="AM12" i="5" s="1"/>
  <c r="AM62" i="3" a="1"/>
  <c r="AM62" i="3" s="1"/>
  <c r="AN42" i="3" a="1"/>
  <c r="AN42" i="3" s="1"/>
  <c r="AQ57" i="3" a="1"/>
  <c r="AQ57" i="3" s="1"/>
  <c r="AQ45" i="3" a="1"/>
  <c r="AQ45" i="3" s="1"/>
  <c r="AM55" i="3" a="1"/>
  <c r="AM55" i="3" s="1"/>
  <c r="AN45" i="3" a="1"/>
  <c r="AN45" i="3" s="1"/>
  <c r="AO47" i="3" a="1"/>
  <c r="AO47" i="3" s="1"/>
  <c r="AO67" i="3" a="1"/>
  <c r="AO67" i="3" s="1"/>
  <c r="AP66" i="3" a="1"/>
  <c r="AP66" i="3" s="1"/>
  <c r="AR362" i="4" a="1"/>
  <c r="AR362" i="4" s="1"/>
  <c r="AN183" i="4" a="1"/>
  <c r="AN183" i="4" s="1"/>
  <c r="AN230" i="3" a="1"/>
  <c r="AN230" i="3" s="1"/>
  <c r="AM31" i="3" a="1"/>
  <c r="AM31" i="3" s="1"/>
  <c r="AN19" i="3" a="1"/>
  <c r="AN19" i="3" s="1"/>
  <c r="AO19" i="3" a="1"/>
  <c r="AO19" i="3" s="1"/>
  <c r="AQ298" i="3" a="1"/>
  <c r="AQ298" i="3" s="1"/>
  <c r="AR20" i="5" a="1"/>
  <c r="AR20" i="5" s="1"/>
  <c r="AQ18" i="5" a="1"/>
  <c r="AQ18" i="5" s="1"/>
  <c r="AN30" i="5" a="1"/>
  <c r="AN30" i="5" s="1"/>
  <c r="AV14" i="5" a="1"/>
  <c r="AV14" i="5" s="1"/>
  <c r="AR31" i="5" a="1"/>
  <c r="AR31" i="5" s="1"/>
  <c r="AO7" i="5" a="1"/>
  <c r="AO7" i="5" s="1"/>
  <c r="AR62" i="3" a="1"/>
  <c r="AR62" i="3" s="1"/>
  <c r="AM54" i="3" a="1"/>
  <c r="AM54" i="3" s="1"/>
  <c r="AP56" i="3" a="1"/>
  <c r="AP56" i="3" s="1"/>
  <c r="AP57" i="3" a="1"/>
  <c r="AP57" i="3" s="1"/>
  <c r="AR67" i="3" a="1"/>
  <c r="AR67" i="3" s="1"/>
  <c r="AN53" i="3" a="1"/>
  <c r="AN53" i="3" s="1"/>
  <c r="AM46" i="3" a="1"/>
  <c r="AM46" i="3" s="1"/>
  <c r="AM44" i="3" a="1"/>
  <c r="AM44" i="3" s="1"/>
  <c r="AN55" i="3" a="1"/>
  <c r="AN55" i="3" s="1"/>
  <c r="AO357" i="4" a="1"/>
  <c r="AO357" i="4" s="1"/>
  <c r="AM12" i="1" a="1"/>
  <c r="AM12" i="1" s="1"/>
  <c r="AQ32" i="1" a="1"/>
  <c r="AQ32" i="1" s="1"/>
  <c r="AM371" i="4" a="1"/>
  <c r="AM371" i="4" s="1"/>
  <c r="AR10" i="5"/>
  <c r="AM32" i="5" a="1"/>
  <c r="AM32" i="5" s="1"/>
  <c r="AM10" i="5" a="1"/>
  <c r="AM10" i="5" s="1"/>
  <c r="AM42" i="3" a="1"/>
  <c r="AM42" i="3" s="1"/>
  <c r="AO54" i="3" a="1"/>
  <c r="AO54" i="3" s="1"/>
  <c r="AO56" i="3" a="1"/>
  <c r="AO56" i="3" s="1"/>
  <c r="AO65" i="3" a="1"/>
  <c r="AO65" i="3" s="1"/>
  <c r="AR56" i="3" a="1"/>
  <c r="AR56" i="3" s="1"/>
  <c r="AR57" i="3" a="1"/>
  <c r="AR57" i="3" s="1"/>
  <c r="AM53" i="3" a="1"/>
  <c r="AM53" i="3" s="1"/>
  <c r="AR380" i="4" a="1"/>
  <c r="AR380" i="4" s="1"/>
  <c r="AP28" i="1" a="1"/>
  <c r="AP28" i="1" s="1"/>
  <c r="AM19" i="1" a="1"/>
  <c r="AM19" i="1" s="1"/>
  <c r="AN371" i="4" a="1"/>
  <c r="AN371" i="4" s="1"/>
  <c r="AQ17" i="4" a="1"/>
  <c r="AQ17" i="4" s="1"/>
  <c r="AR18" i="5" a="1"/>
  <c r="AR18" i="5" s="1"/>
  <c r="AN62" i="5" a="1"/>
  <c r="AN62" i="5" s="1"/>
  <c r="AN9" i="5"/>
  <c r="AO32" i="5" a="1"/>
  <c r="AO32" i="5" s="1"/>
  <c r="AM21" i="5" a="1"/>
  <c r="AM21" i="5" s="1"/>
  <c r="AO18" i="5" a="1"/>
  <c r="AO18" i="5" s="1"/>
  <c r="AO64" i="3" a="1"/>
  <c r="AO64" i="3" s="1"/>
  <c r="AM52" i="3" a="1"/>
  <c r="AM52" i="3" s="1"/>
  <c r="AQ63" i="3" a="1"/>
  <c r="AQ63" i="3" s="1"/>
  <c r="AN54" i="3" a="1"/>
  <c r="AN54" i="3" s="1"/>
  <c r="AN43" i="3" a="1"/>
  <c r="AN43" i="3" s="1"/>
  <c r="AQ54" i="3" a="1"/>
  <c r="AQ54" i="3" s="1"/>
  <c r="AQ56" i="3" a="1"/>
  <c r="AQ56" i="3" s="1"/>
  <c r="AP404" i="1" a="1"/>
  <c r="AP404" i="1" s="1"/>
  <c r="AO379" i="4" a="1"/>
  <c r="AO379" i="4" s="1"/>
  <c r="AO28" i="1" a="1"/>
  <c r="AO28" i="1" s="1"/>
  <c r="AP32" i="1" a="1"/>
  <c r="AP32" i="1" s="1"/>
  <c r="AN382" i="4" a="1"/>
  <c r="AN382" i="4" s="1"/>
  <c r="AN12" i="1"/>
  <c r="AN21" i="1" a="1"/>
  <c r="AN21" i="1" s="1"/>
  <c r="AP380" i="4" a="1"/>
  <c r="AP380" i="4" s="1"/>
  <c r="AM9" i="1" a="1"/>
  <c r="AM9" i="1" s="1"/>
  <c r="AN18" i="1" a="1"/>
  <c r="AN18" i="1" s="1"/>
  <c r="AP381" i="4" a="1"/>
  <c r="AP381" i="4" s="1"/>
  <c r="AN20" i="1" a="1"/>
  <c r="AN20" i="1" s="1"/>
  <c r="AP21" i="1" a="1"/>
  <c r="AP21" i="1" s="1"/>
  <c r="AQ369" i="4" a="1"/>
  <c r="AQ369" i="4" s="1"/>
  <c r="AN27" i="4" a="1"/>
  <c r="AN27" i="4" s="1"/>
  <c r="AN134" i="4" a="1"/>
  <c r="AN134" i="4" s="1"/>
  <c r="AP100" i="3" a="1"/>
  <c r="AP100" i="3" s="1"/>
  <c r="AU16" i="5" a="1"/>
  <c r="AU16" i="5" s="1"/>
  <c r="AN18" i="5" a="1"/>
  <c r="AN18" i="5" s="1"/>
  <c r="AP18" i="5" a="1"/>
  <c r="AP18" i="5" s="1"/>
  <c r="AM11" i="5" a="1"/>
  <c r="AM11" i="5" s="1"/>
  <c r="AP21" i="5" a="1"/>
  <c r="AP21" i="5" s="1"/>
  <c r="AN63" i="3" a="1"/>
  <c r="AN63" i="3" s="1"/>
  <c r="AM333" i="3" a="1"/>
  <c r="AM333" i="3" s="1"/>
  <c r="AO62" i="3" a="1"/>
  <c r="AO62" i="3" s="1"/>
  <c r="AQ65" i="3" a="1"/>
  <c r="AQ65" i="3" s="1"/>
  <c r="AO63" i="3" a="1"/>
  <c r="AO63" i="3" s="1"/>
  <c r="AP46" i="3" a="1"/>
  <c r="AP46" i="3" s="1"/>
  <c r="AN67" i="3" a="1"/>
  <c r="AN67" i="3" s="1"/>
  <c r="AP54" i="3" a="1"/>
  <c r="AP54" i="3" s="1"/>
  <c r="AM64" i="3" a="1"/>
  <c r="AM64" i="3" s="1"/>
  <c r="AP8" i="5"/>
  <c r="AN28" i="5" a="1"/>
  <c r="AN28" i="5" s="1"/>
  <c r="AO31" i="5" a="1"/>
  <c r="AO31" i="5" s="1"/>
  <c r="AM20" i="5" a="1"/>
  <c r="AM20" i="5" s="1"/>
  <c r="AP44" i="3" a="1"/>
  <c r="AP44" i="3" s="1"/>
  <c r="AR52" i="3" a="1"/>
  <c r="AR52" i="3" s="1"/>
  <c r="AP43" i="3" a="1"/>
  <c r="AP43" i="3" s="1"/>
  <c r="AP65" i="3" a="1"/>
  <c r="AP65" i="3" s="1"/>
  <c r="AQ53" i="3" a="1"/>
  <c r="AQ53" i="3" s="1"/>
  <c r="AM65" i="3" a="1"/>
  <c r="AM65" i="3" s="1"/>
  <c r="AM63" i="3" a="1"/>
  <c r="AM63" i="3" s="1"/>
  <c r="AQ47" i="3" a="1"/>
  <c r="AQ47" i="3" s="1"/>
  <c r="AQ371" i="4" a="1"/>
  <c r="AQ371" i="4" s="1"/>
  <c r="AR378" i="4" a="1"/>
  <c r="AR378" i="4" s="1"/>
  <c r="AM18" i="3" a="1"/>
  <c r="AM18" i="3" s="1"/>
  <c r="AP20" i="5" a="1"/>
  <c r="AP20" i="5" s="1"/>
  <c r="AM22" i="5" a="1"/>
  <c r="AM22" i="5" s="1"/>
  <c r="AM8" i="5" a="1"/>
  <c r="AM8" i="5" s="1"/>
  <c r="AO22" i="5" a="1"/>
  <c r="AO22" i="5" s="1"/>
  <c r="AM307" i="5" a="1"/>
  <c r="AM307" i="5" s="1"/>
  <c r="AP28" i="5" a="1"/>
  <c r="AP28" i="5" s="1"/>
  <c r="AO43" i="3" a="1"/>
  <c r="AO43" i="3" s="1"/>
  <c r="AQ64" i="3" a="1"/>
  <c r="AQ64" i="3" s="1"/>
  <c r="AN62" i="3" a="1"/>
  <c r="AN62" i="3" s="1"/>
  <c r="AN66" i="3" a="1"/>
  <c r="AN66" i="3" s="1"/>
  <c r="AQ44" i="3" a="1"/>
  <c r="AQ44" i="3" s="1"/>
  <c r="AQ46" i="3" a="1"/>
  <c r="AQ46" i="3" s="1"/>
  <c r="AN57" i="3" a="1"/>
  <c r="AN57" i="3" s="1"/>
  <c r="AR43" i="3" a="1"/>
  <c r="AR43" i="3" s="1"/>
  <c r="AM67" i="3" a="1"/>
  <c r="AM67" i="3" s="1"/>
  <c r="AP53" i="3" a="1"/>
  <c r="AP53" i="3" s="1"/>
  <c r="AR47" i="3" a="1"/>
  <c r="AR47" i="3" s="1"/>
  <c r="AM123" i="4" a="1"/>
  <c r="AM123" i="4" s="1"/>
  <c r="AP31" i="1" a="1"/>
  <c r="AP31" i="1" s="1"/>
  <c r="AP20" i="1" a="1"/>
  <c r="AP20" i="1" s="1"/>
  <c r="AQ372" i="4" a="1"/>
  <c r="AQ372" i="4" s="1"/>
  <c r="AM378" i="4" a="1"/>
  <c r="AM378" i="4" s="1"/>
  <c r="AR17" i="4" a="1"/>
  <c r="AR17" i="4" s="1"/>
  <c r="AP114" i="4" a="1"/>
  <c r="AP114" i="4" s="1"/>
  <c r="AN10" i="3"/>
  <c r="AN12" i="5"/>
  <c r="AN31" i="5" a="1"/>
  <c r="AN31" i="5" s="1"/>
  <c r="AN10" i="5"/>
  <c r="AQ31" i="5" a="1"/>
  <c r="AQ31" i="5" s="1"/>
  <c r="AM308" i="5" a="1"/>
  <c r="AM308" i="5" s="1"/>
  <c r="AM29" i="5" a="1"/>
  <c r="AM29" i="5" s="1"/>
  <c r="AP67" i="3" a="1"/>
  <c r="AP67" i="3" s="1"/>
  <c r="AR63" i="3" a="1"/>
  <c r="AR63" i="3" s="1"/>
  <c r="AQ42" i="3" a="1"/>
  <c r="AQ42" i="3" s="1"/>
  <c r="AR42" i="3" a="1"/>
  <c r="AR42" i="3" s="1"/>
  <c r="AM43" i="3" a="1"/>
  <c r="AM43" i="3" s="1"/>
  <c r="AO53" i="3" a="1"/>
  <c r="AO53" i="3" s="1"/>
  <c r="AO55" i="3" a="1"/>
  <c r="AO55" i="3" s="1"/>
  <c r="AP45" i="3" a="1"/>
  <c r="AP45" i="3" s="1"/>
  <c r="AM56" i="3" a="1"/>
  <c r="AM56" i="3" s="1"/>
  <c r="AN46" i="3" a="1"/>
  <c r="AN46" i="3" s="1"/>
  <c r="AR65" i="3" a="1"/>
  <c r="AR65" i="3" s="1"/>
  <c r="AO8" i="5"/>
  <c r="AO28" i="5" a="1"/>
  <c r="AO28" i="5" s="1"/>
  <c r="AN44" i="3" a="1"/>
  <c r="AN44" i="3" s="1"/>
  <c r="AR44" i="3" a="1"/>
  <c r="AR44" i="3" s="1"/>
  <c r="AO52" i="3" a="1"/>
  <c r="AO52" i="3" s="1"/>
  <c r="AQ52" i="3" a="1"/>
  <c r="AQ52" i="3" s="1"/>
  <c r="AN65" i="3" a="1"/>
  <c r="AN65" i="3" s="1"/>
  <c r="AO46" i="3" a="1"/>
  <c r="AO46" i="3" s="1"/>
  <c r="AP63" i="3" a="1"/>
  <c r="AP63" i="3" s="1"/>
  <c r="AO44" i="3" a="1"/>
  <c r="AO44" i="3" s="1"/>
  <c r="AQ67" i="3" a="1"/>
  <c r="AQ67" i="3" s="1"/>
  <c r="AM45" i="3" a="1"/>
  <c r="AM45" i="3" s="1"/>
  <c r="AM252" i="3" a="1"/>
  <c r="AM252" i="3" s="1"/>
  <c r="AR55" i="3" a="1"/>
  <c r="AR55" i="3" s="1"/>
  <c r="AR66" i="3" a="1"/>
  <c r="AR66" i="3" s="1"/>
  <c r="AR126" i="4" a="1"/>
  <c r="AR126" i="4" s="1"/>
  <c r="AM8" i="1" a="1"/>
  <c r="AM8" i="1" s="1"/>
  <c r="AP18" i="1" a="1"/>
  <c r="AP18" i="1" s="1"/>
  <c r="AP7" i="4" a="1"/>
  <c r="AP7" i="4" s="1"/>
  <c r="AQ367" i="4" a="1"/>
  <c r="AQ367" i="4" s="1"/>
  <c r="AM20" i="3" a="1"/>
  <c r="AM20" i="3" s="1"/>
  <c r="AO29" i="3" a="1"/>
  <c r="AO29" i="3" s="1"/>
  <c r="AM82" i="3" a="1"/>
  <c r="AM82" i="3" s="1"/>
  <c r="AQ31" i="3" a="1"/>
  <c r="AQ31" i="3" s="1"/>
  <c r="AQ22" i="5" a="1"/>
  <c r="AQ22" i="5" s="1"/>
  <c r="AO19" i="5" a="1"/>
  <c r="AO19" i="5" s="1"/>
  <c r="AP31" i="5" a="1"/>
  <c r="AP31" i="5" s="1"/>
  <c r="AN20" i="5" a="1"/>
  <c r="AN20" i="5" s="1"/>
  <c r="AM18" i="5" a="1"/>
  <c r="AM18" i="5" s="1"/>
  <c r="AQ43" i="3" a="1"/>
  <c r="AQ43" i="3" s="1"/>
  <c r="AP42" i="3" a="1"/>
  <c r="AP42" i="3" s="1"/>
  <c r="AQ62" i="3" a="1"/>
  <c r="AQ62" i="3" s="1"/>
  <c r="AQ66" i="3" a="1"/>
  <c r="AQ66" i="3" s="1"/>
  <c r="AR53" i="3" a="1"/>
  <c r="AR53" i="3" s="1"/>
  <c r="AO66" i="3" a="1"/>
  <c r="AO66" i="3" s="1"/>
  <c r="AQ55" i="3" a="1"/>
  <c r="AQ55" i="3" s="1"/>
  <c r="AP55" i="3" a="1"/>
  <c r="AP55" i="3" s="1"/>
  <c r="AP62" i="3" a="1"/>
  <c r="AP62" i="3" s="1"/>
  <c r="AO184" i="4" a="1"/>
  <c r="AO184" i="4" s="1"/>
  <c r="AR11" i="1"/>
  <c r="AP29" i="1" a="1"/>
  <c r="AP29" i="1" s="1"/>
  <c r="AM18" i="1" a="1"/>
  <c r="AM18" i="1" s="1"/>
  <c r="AO377" i="4" a="1"/>
  <c r="AO377" i="4" s="1"/>
  <c r="AO7" i="4" a="1"/>
  <c r="AO7" i="4" s="1"/>
  <c r="AR7" i="4" a="1"/>
  <c r="AR7" i="4" s="1"/>
  <c r="AV14" i="3" a="1"/>
  <c r="AV14" i="3" s="1"/>
  <c r="AR32" i="3" a="1"/>
  <c r="AR32" i="3" s="1"/>
  <c r="AO18" i="3" a="1"/>
  <c r="AO18" i="3" s="1"/>
  <c r="AP22" i="3" a="1"/>
  <c r="AP22" i="3" s="1"/>
  <c r="AR28" i="3" a="1"/>
  <c r="AR28" i="3" s="1"/>
  <c r="AN8" i="3" a="1"/>
  <c r="AN8" i="3" s="1"/>
  <c r="AQ21" i="5" a="1"/>
  <c r="AQ21" i="5" s="1"/>
  <c r="AM30" i="5" a="1"/>
  <c r="AM30" i="5" s="1"/>
  <c r="AP19" i="5" a="1"/>
  <c r="AP19" i="5" s="1"/>
  <c r="AN32" i="5" a="1"/>
  <c r="AN32" i="5" s="1"/>
  <c r="AN52" i="3" a="1"/>
  <c r="AN52" i="3" s="1"/>
  <c r="AM57" i="3" a="1"/>
  <c r="AM57" i="3" s="1"/>
  <c r="AM47" i="3" a="1"/>
  <c r="AM47" i="3" s="1"/>
  <c r="AP64" i="3" a="1"/>
  <c r="AP64" i="3" s="1"/>
  <c r="AO57" i="3" a="1"/>
  <c r="AO57" i="3" s="1"/>
  <c r="AN64" i="3" a="1"/>
  <c r="AN64" i="3" s="1"/>
  <c r="AM66" i="3" a="1"/>
  <c r="AM66" i="3" s="1"/>
  <c r="AM392" i="5" a="1"/>
  <c r="AM392" i="5" s="1"/>
  <c r="AM368" i="5" a="1"/>
  <c r="AM368" i="5" s="1"/>
  <c r="AP357" i="5" a="1"/>
  <c r="AP357" i="5" s="1"/>
  <c r="AO322" i="5" a="1"/>
  <c r="AO322" i="5" s="1"/>
  <c r="AO336" i="5" a="1"/>
  <c r="AO336" i="5" s="1"/>
  <c r="AM288" i="5" a="1"/>
  <c r="AM288" i="5" s="1"/>
  <c r="AM309" i="5" a="1"/>
  <c r="AM309" i="5" s="1"/>
  <c r="AN287" i="5" a="1"/>
  <c r="AN287" i="5" s="1"/>
  <c r="AM297" i="5" a="1"/>
  <c r="AM297" i="5" s="1"/>
  <c r="AQ289" i="5" a="1"/>
  <c r="AQ289" i="5" s="1"/>
  <c r="AO262" i="5" a="1"/>
  <c r="AO262" i="5" s="1"/>
  <c r="AM264" i="5" a="1"/>
  <c r="AM264" i="5" s="1"/>
  <c r="AM272" i="5" a="1"/>
  <c r="AM272" i="5" s="1"/>
  <c r="AP187" i="5" a="1"/>
  <c r="AP187" i="5" s="1"/>
  <c r="AO196" i="5" a="1"/>
  <c r="AO196" i="5" s="1"/>
  <c r="AR186" i="5" a="1"/>
  <c r="AR186" i="5" s="1"/>
  <c r="AO151" i="5" a="1"/>
  <c r="AO151" i="5" s="1"/>
  <c r="AR171" i="5" a="1"/>
  <c r="AR171" i="5" s="1"/>
  <c r="AM79" i="5" a="1"/>
  <c r="AM79" i="5" s="1"/>
  <c r="AQ97" i="5" a="1"/>
  <c r="AQ97" i="5" s="1"/>
  <c r="AN52" i="5" a="1"/>
  <c r="AN52" i="5" s="1"/>
  <c r="AQ52" i="5" a="1"/>
  <c r="AQ52" i="5" s="1"/>
  <c r="AR8" i="5"/>
  <c r="AO30" i="5" a="1"/>
  <c r="AO30" i="5" s="1"/>
  <c r="AP29" i="5" a="1"/>
  <c r="AP29" i="5" s="1"/>
  <c r="AN22" i="5" a="1"/>
  <c r="AN22" i="5" s="1"/>
  <c r="AR11" i="5"/>
  <c r="AU14" i="5" a="1"/>
  <c r="AU14" i="5" s="1"/>
  <c r="AR32" i="5" a="1"/>
  <c r="AR32" i="5" s="1"/>
  <c r="AQ29" i="5" a="1"/>
  <c r="AQ29" i="5" s="1"/>
  <c r="AU15" i="5" a="1"/>
  <c r="AU15" i="5" s="1"/>
  <c r="AM19" i="5" a="1"/>
  <c r="AM19" i="5" s="1"/>
  <c r="AR9" i="5"/>
  <c r="AM31" i="5" a="1"/>
  <c r="AM31" i="5" s="1"/>
  <c r="AR29" i="5" a="1"/>
  <c r="AR29" i="5" s="1"/>
  <c r="AN21" i="5" a="1"/>
  <c r="AN21" i="5" s="1"/>
  <c r="AO21" i="5" a="1"/>
  <c r="AO21" i="5" s="1"/>
  <c r="AM28" i="5" a="1"/>
  <c r="AM28" i="5" s="1"/>
  <c r="AP32" i="5" a="1"/>
  <c r="AP32" i="5" s="1"/>
  <c r="AQ32" i="5" a="1"/>
  <c r="AQ32" i="5" s="1"/>
  <c r="AP30" i="5" a="1"/>
  <c r="AP30" i="5" s="1"/>
  <c r="AN8" i="5" a="1"/>
  <c r="AN8" i="5" s="1"/>
  <c r="AQ64" i="5" a="1"/>
  <c r="AQ64" i="5" s="1"/>
  <c r="AQ47" i="5" a="1"/>
  <c r="AQ47" i="5" s="1"/>
  <c r="AM45" i="5" a="1"/>
  <c r="AM45" i="5" s="1"/>
  <c r="AR47" i="5" a="1"/>
  <c r="AR47" i="5" s="1"/>
  <c r="AP67" i="5" a="1"/>
  <c r="AP67" i="5" s="1"/>
  <c r="AO46" i="5" a="1"/>
  <c r="AO46" i="5" s="1"/>
  <c r="AQ56" i="5" a="1"/>
  <c r="AQ56" i="5" s="1"/>
  <c r="AR62" i="5" a="1"/>
  <c r="AR62" i="5" s="1"/>
  <c r="AM67" i="5" a="1"/>
  <c r="AM67" i="5" s="1"/>
  <c r="AP65" i="5" a="1"/>
  <c r="AP65" i="5" s="1"/>
  <c r="AN88" i="5" a="1"/>
  <c r="AN88" i="5" s="1"/>
  <c r="AR82" i="5" a="1"/>
  <c r="AR82" i="5" s="1"/>
  <c r="AM101" i="5" a="1"/>
  <c r="AM101" i="5" s="1"/>
  <c r="AN97" i="5" a="1"/>
  <c r="AN97" i="5" s="1"/>
  <c r="AO99" i="5" a="1"/>
  <c r="AO99" i="5" s="1"/>
  <c r="AP101" i="5" a="1"/>
  <c r="AP101" i="5" s="1"/>
  <c r="AM89" i="5" a="1"/>
  <c r="AM89" i="5" s="1"/>
  <c r="AQ98" i="5" a="1"/>
  <c r="AQ98" i="5" s="1"/>
  <c r="AN152" i="5" a="1"/>
  <c r="AN152" i="5" s="1"/>
  <c r="AQ167" i="5" a="1"/>
  <c r="AQ167" i="5" s="1"/>
  <c r="AN151" i="5" a="1"/>
  <c r="AN151" i="5" s="1"/>
  <c r="AN169" i="5" a="1"/>
  <c r="AN169" i="5" s="1"/>
  <c r="AO162" i="5" a="1"/>
  <c r="AO162" i="5" s="1"/>
  <c r="AQ171" i="5" a="1"/>
  <c r="AQ171" i="5" s="1"/>
  <c r="AN168" i="5" a="1"/>
  <c r="AN168" i="5" s="1"/>
  <c r="AM186" i="5" a="1"/>
  <c r="AM186" i="5" s="1"/>
  <c r="AR184" i="5" a="1"/>
  <c r="AR184" i="5" s="1"/>
  <c r="AM183" i="5" a="1"/>
  <c r="AM183" i="5" s="1"/>
  <c r="AN186" i="5" a="1"/>
  <c r="AN186" i="5" s="1"/>
  <c r="AO203" i="5" a="1"/>
  <c r="AO203" i="5" s="1"/>
  <c r="AM185" i="5" a="1"/>
  <c r="AM185" i="5" s="1"/>
  <c r="AO184" i="5" a="1"/>
  <c r="AO184" i="5" s="1"/>
  <c r="AO193" i="5" a="1"/>
  <c r="AO193" i="5" s="1"/>
  <c r="AN187" i="5" a="1"/>
  <c r="AN187" i="5" s="1"/>
  <c r="AO183" i="5" a="1"/>
  <c r="AO183" i="5" s="1"/>
  <c r="AQ186" i="5" a="1"/>
  <c r="AQ186" i="5" s="1"/>
  <c r="AR183" i="5" a="1"/>
  <c r="AR183" i="5" s="1"/>
  <c r="AQ187" i="5" a="1"/>
  <c r="AQ187" i="5" s="1"/>
  <c r="AR206" i="5" a="1"/>
  <c r="AR206" i="5" s="1"/>
  <c r="AN264" i="5" a="1"/>
  <c r="AN264" i="5" s="1"/>
  <c r="AP273" i="5" a="1"/>
  <c r="AP273" i="5" s="1"/>
  <c r="AP277" i="5" a="1"/>
  <c r="AP277" i="5" s="1"/>
  <c r="AM252" i="5" a="1"/>
  <c r="AM252" i="5" s="1"/>
  <c r="AN265" i="5" a="1"/>
  <c r="AN265" i="5" s="1"/>
  <c r="AR255" i="5" a="1"/>
  <c r="AR255" i="5" s="1"/>
  <c r="AQ253" i="5" a="1"/>
  <c r="AQ253" i="5" s="1"/>
  <c r="AP255" i="5" a="1"/>
  <c r="AP255" i="5" s="1"/>
  <c r="AN252" i="5" a="1"/>
  <c r="AN252" i="5" s="1"/>
  <c r="AQ252" i="5" a="1"/>
  <c r="AQ252" i="5" s="1"/>
  <c r="AN273" i="5" a="1"/>
  <c r="AN273" i="5" s="1"/>
  <c r="AO264" i="5" a="1"/>
  <c r="AO264" i="5" s="1"/>
  <c r="AM276" i="5" a="1"/>
  <c r="AM276" i="5" s="1"/>
  <c r="AO275" i="5" a="1"/>
  <c r="AO275" i="5" s="1"/>
  <c r="AQ299" i="5" a="1"/>
  <c r="AQ299" i="5" s="1"/>
  <c r="AQ300" i="5" a="1"/>
  <c r="AQ300" i="5" s="1"/>
  <c r="AQ288" i="5" a="1"/>
  <c r="AQ288" i="5" s="1"/>
  <c r="AP288" i="5" a="1"/>
  <c r="AP288" i="5" s="1"/>
  <c r="AP291" i="5" a="1"/>
  <c r="AP291" i="5" s="1"/>
  <c r="AN310" i="5" a="1"/>
  <c r="AN310" i="5" s="1"/>
  <c r="AP311" i="5" a="1"/>
  <c r="AP311" i="5" s="1"/>
  <c r="AO300" i="5" a="1"/>
  <c r="AO300" i="5" s="1"/>
  <c r="AM310" i="5" a="1"/>
  <c r="AM310" i="5" s="1"/>
  <c r="AN301" i="5" a="1"/>
  <c r="AN301" i="5" s="1"/>
  <c r="AQ291" i="5" a="1"/>
  <c r="AQ291" i="5" s="1"/>
  <c r="AQ301" i="5" a="1"/>
  <c r="AQ301" i="5" s="1"/>
  <c r="AP297" i="5" a="1"/>
  <c r="AP297" i="5" s="1"/>
  <c r="AR312" i="5" a="1"/>
  <c r="AR312" i="5" s="1"/>
  <c r="AO301" i="5" a="1"/>
  <c r="AO301" i="5" s="1"/>
  <c r="AQ310" i="5" a="1"/>
  <c r="AQ310" i="5" s="1"/>
  <c r="AR311" i="5" a="1"/>
  <c r="AR311" i="5" s="1"/>
  <c r="AN300" i="5" a="1"/>
  <c r="AN300" i="5" s="1"/>
  <c r="AR300" i="5" a="1"/>
  <c r="AR300" i="5" s="1"/>
  <c r="AO299" i="5" a="1"/>
  <c r="AO299" i="5" s="1"/>
  <c r="AP301" i="5" a="1"/>
  <c r="AP301" i="5" s="1"/>
  <c r="AM287" i="5" a="1"/>
  <c r="AM287" i="5" s="1"/>
  <c r="AR289" i="5" a="1"/>
  <c r="AR289" i="5" s="1"/>
  <c r="AQ302" i="5" a="1"/>
  <c r="AQ302" i="5" s="1"/>
  <c r="AP292" i="5" a="1"/>
  <c r="AP292" i="5" s="1"/>
  <c r="AN302" i="5" a="1"/>
  <c r="AN302" i="5" s="1"/>
  <c r="AN297" i="5" a="1"/>
  <c r="AN297" i="5" s="1"/>
  <c r="AP309" i="5" a="1"/>
  <c r="AP309" i="5" s="1"/>
  <c r="AR342" i="5" a="1"/>
  <c r="AR342" i="5" s="1"/>
  <c r="AP325" i="5" a="1"/>
  <c r="AP325" i="5" s="1"/>
  <c r="AQ322" i="5" a="1"/>
  <c r="AQ322" i="5" s="1"/>
  <c r="AR343" i="5" a="1"/>
  <c r="AR343" i="5" s="1"/>
  <c r="AN370" i="5" a="1"/>
  <c r="AN370" i="5" s="1"/>
  <c r="AO380" i="5" a="1"/>
  <c r="AO380" i="5" s="1"/>
  <c r="AN358" i="5" a="1"/>
  <c r="AN358" i="5" s="1"/>
  <c r="AR379" i="5" a="1"/>
  <c r="AR379" i="5" s="1"/>
  <c r="AR380" i="5" a="1"/>
  <c r="AR380" i="5" s="1"/>
  <c r="AO359" i="5" a="1"/>
  <c r="AO359" i="5" s="1"/>
  <c r="AO377" i="5" a="1"/>
  <c r="AO377" i="5" s="1"/>
  <c r="AQ380" i="5" a="1"/>
  <c r="AQ380" i="5" s="1"/>
  <c r="AQ382" i="5" a="1"/>
  <c r="AQ382" i="5" s="1"/>
  <c r="AR358" i="5" a="1"/>
  <c r="AR358" i="5" s="1"/>
  <c r="AM372" i="5" a="1"/>
  <c r="AM372" i="5" s="1"/>
  <c r="AQ377" i="5" a="1"/>
  <c r="AQ377" i="5" s="1"/>
  <c r="AM358" i="5" a="1"/>
  <c r="AM358" i="5" s="1"/>
  <c r="AM381" i="5" a="1"/>
  <c r="AM381" i="5" s="1"/>
  <c r="AO358" i="5" a="1"/>
  <c r="AO358" i="5" s="1"/>
  <c r="AM371" i="5" a="1"/>
  <c r="AM371" i="5" s="1"/>
  <c r="AO361" i="5" a="1"/>
  <c r="AO361" i="5" s="1"/>
  <c r="AO357" i="5" a="1"/>
  <c r="AO357" i="5" s="1"/>
  <c r="AO362" i="5" a="1"/>
  <c r="AO362" i="5" s="1"/>
  <c r="AR357" i="5" a="1"/>
  <c r="AR357" i="5" s="1"/>
  <c r="AQ392" i="5" a="1"/>
  <c r="AQ392" i="5" s="1"/>
  <c r="AP392" i="5" a="1"/>
  <c r="AP392" i="5" s="1"/>
  <c r="AR412" i="5" a="1"/>
  <c r="AR412" i="5" s="1"/>
  <c r="AR392" i="5" a="1"/>
  <c r="AR392" i="5" s="1"/>
  <c r="AO337" i="5" a="1"/>
  <c r="AO337" i="5" s="1"/>
  <c r="AQ367" i="5" a="1"/>
  <c r="AQ367" i="5" s="1"/>
  <c r="AQ255" i="5" a="1"/>
  <c r="AQ255" i="5" s="1"/>
  <c r="AO152" i="5" a="1"/>
  <c r="AO152" i="5" s="1"/>
  <c r="AQ99" i="5" a="1"/>
  <c r="AQ99" i="5" s="1"/>
  <c r="AR78" i="5" a="1"/>
  <c r="AR78" i="5" s="1"/>
  <c r="AQ378" i="5" a="1"/>
  <c r="AQ378" i="5" s="1"/>
  <c r="AN347" i="5" a="1"/>
  <c r="AN347" i="5" s="1"/>
  <c r="AR322" i="5" a="1"/>
  <c r="AR322" i="5" s="1"/>
  <c r="AQ273" i="5" a="1"/>
  <c r="AQ273" i="5" s="1"/>
  <c r="AO89" i="5" a="1"/>
  <c r="AO89" i="5" s="1"/>
  <c r="AR158" i="5" a="1"/>
  <c r="AR158" i="5" s="1"/>
  <c r="AP149" i="5" a="1"/>
  <c r="AP149" i="5" s="1"/>
  <c r="AQ151" i="5" a="1"/>
  <c r="AQ151" i="5" s="1"/>
  <c r="AP186" i="5" a="1"/>
  <c r="AP186" i="5" s="1"/>
  <c r="AM402" i="5" a="1"/>
  <c r="AM402" i="5" s="1"/>
  <c r="AM379" i="5" a="1"/>
  <c r="AM379" i="5" s="1"/>
  <c r="AN324" i="5" a="1"/>
  <c r="AN324" i="5" s="1"/>
  <c r="AP266" i="5" a="1"/>
  <c r="AP266" i="5" s="1"/>
  <c r="AQ44" i="5" a="1"/>
  <c r="AQ44" i="5" s="1"/>
  <c r="AO62" i="5" a="1"/>
  <c r="AO62" i="5" s="1"/>
  <c r="AO102" i="5" a="1"/>
  <c r="AO102" i="5" s="1"/>
  <c r="AO252" i="5" a="1"/>
  <c r="AO252" i="5" s="1"/>
  <c r="AQ203" i="5" a="1"/>
  <c r="AQ203" i="5" s="1"/>
  <c r="AR167" i="5" a="1"/>
  <c r="AR167" i="5" s="1"/>
  <c r="AM380" i="5" a="1"/>
  <c r="AM380" i="5" s="1"/>
  <c r="AR334" i="5" a="1"/>
  <c r="AR334" i="5" s="1"/>
  <c r="AN309" i="5" a="1"/>
  <c r="AN309" i="5" s="1"/>
  <c r="AQ342" i="5" a="1"/>
  <c r="AQ342" i="5" s="1"/>
  <c r="AR274" i="5" a="1"/>
  <c r="AR274" i="5" s="1"/>
  <c r="AM42" i="5" a="1"/>
  <c r="AM42" i="5" s="1"/>
  <c r="AM100" i="5" a="1"/>
  <c r="AM100" i="5" s="1"/>
  <c r="AP54" i="5" a="1"/>
  <c r="AP54" i="5" s="1"/>
  <c r="AN262" i="5" a="1"/>
  <c r="AN262" i="5" s="1"/>
  <c r="AQ207" i="5" a="1"/>
  <c r="AQ207" i="5" s="1"/>
  <c r="AN392" i="5" a="1"/>
  <c r="AN392" i="5" s="1"/>
  <c r="AM345" i="5" a="1"/>
  <c r="AM345" i="5" s="1"/>
  <c r="AQ325" i="5" a="1"/>
  <c r="AQ325" i="5" s="1"/>
  <c r="AO309" i="5" a="1"/>
  <c r="AO309" i="5" s="1"/>
  <c r="AO332" i="5" a="1"/>
  <c r="AO332" i="5" s="1"/>
  <c r="AO267" i="5" a="1"/>
  <c r="AO267" i="5" s="1"/>
  <c r="AQ159" i="5" a="1"/>
  <c r="AQ159" i="5" s="1"/>
  <c r="AM63" i="5" a="1"/>
  <c r="AM63" i="5" s="1"/>
  <c r="AQ81" i="5" a="1"/>
  <c r="AQ81" i="5" s="1"/>
  <c r="AM205" i="5" a="1"/>
  <c r="AM205" i="5" s="1"/>
  <c r="AN196" i="5" a="1"/>
  <c r="AN196" i="5" s="1"/>
  <c r="AO171" i="5" a="1"/>
  <c r="AO171" i="5" s="1"/>
  <c r="AN402" i="5" a="1"/>
  <c r="AN402" i="5" s="1"/>
  <c r="AP381" i="5" a="1"/>
  <c r="AP381" i="5" s="1"/>
  <c r="AQ369" i="5" a="1"/>
  <c r="AQ369" i="5" s="1"/>
  <c r="AO379" i="5" a="1"/>
  <c r="AO379" i="5" s="1"/>
  <c r="AR368" i="5" a="1"/>
  <c r="AR368" i="5" s="1"/>
  <c r="AM360" i="5" a="1"/>
  <c r="AM360" i="5" s="1"/>
  <c r="AM382" i="5" a="1"/>
  <c r="AM382" i="5" s="1"/>
  <c r="AM337" i="5" a="1"/>
  <c r="AM337" i="5" s="1"/>
  <c r="AP335" i="5" a="1"/>
  <c r="AP335" i="5" s="1"/>
  <c r="AO347" i="5" a="1"/>
  <c r="AO347" i="5" s="1"/>
  <c r="AO256" i="5" a="1"/>
  <c r="AO256" i="5" s="1"/>
  <c r="AM273" i="5" a="1"/>
  <c r="AM273" i="5" s="1"/>
  <c r="AO327" i="5" a="1"/>
  <c r="AO327" i="5" s="1"/>
  <c r="AP307" i="5" a="1"/>
  <c r="AP307" i="5" s="1"/>
  <c r="AR299" i="5" a="1"/>
  <c r="AR299" i="5" s="1"/>
  <c r="AQ308" i="5" a="1"/>
  <c r="AQ308" i="5" s="1"/>
  <c r="AM292" i="5" a="1"/>
  <c r="AM292" i="5" s="1"/>
  <c r="AN289" i="5" a="1"/>
  <c r="AN289" i="5" s="1"/>
  <c r="AN311" i="5" a="1"/>
  <c r="AN311" i="5" s="1"/>
  <c r="AO310" i="5" a="1"/>
  <c r="AO310" i="5" s="1"/>
  <c r="AO297" i="5" a="1"/>
  <c r="AO297" i="5" s="1"/>
  <c r="AO326" i="5" a="1"/>
  <c r="AO326" i="5" s="1"/>
  <c r="AQ262" i="5" a="1"/>
  <c r="AQ262" i="5" s="1"/>
  <c r="AO342" i="5" a="1"/>
  <c r="AO342" i="5" s="1"/>
  <c r="AM334" i="5" a="1"/>
  <c r="AM334" i="5" s="1"/>
  <c r="AR345" i="5" a="1"/>
  <c r="AR345" i="5" s="1"/>
  <c r="AQ265" i="5" a="1"/>
  <c r="AQ265" i="5" s="1"/>
  <c r="AP253" i="5" a="1"/>
  <c r="AP253" i="5" s="1"/>
  <c r="AO273" i="5" a="1"/>
  <c r="AO273" i="5" s="1"/>
  <c r="AN255" i="5" a="1"/>
  <c r="AN255" i="5" s="1"/>
  <c r="AQ264" i="5" a="1"/>
  <c r="AQ264" i="5" s="1"/>
  <c r="AP312" i="5" a="1"/>
  <c r="AP312" i="5" s="1"/>
  <c r="AM193" i="5" a="1"/>
  <c r="AM193" i="5" s="1"/>
  <c r="AM194" i="5" a="1"/>
  <c r="AM194" i="5" s="1"/>
  <c r="AR185" i="5" a="1"/>
  <c r="AR185" i="5" s="1"/>
  <c r="AQ206" i="5" a="1"/>
  <c r="AQ206" i="5" s="1"/>
  <c r="AP203" i="5" a="1"/>
  <c r="AP203" i="5" s="1"/>
  <c r="AO88" i="5" a="1"/>
  <c r="AO88" i="5" s="1"/>
  <c r="AP326" i="5" a="1"/>
  <c r="AP326" i="5" s="1"/>
  <c r="AN82" i="5" a="1"/>
  <c r="AN82" i="5" s="1"/>
  <c r="AR160" i="5" a="1"/>
  <c r="AR160" i="5" s="1"/>
  <c r="AQ158" i="5" a="1"/>
  <c r="AQ158" i="5" s="1"/>
  <c r="AO172" i="5" a="1"/>
  <c r="AO172" i="5" s="1"/>
  <c r="AP172" i="5" a="1"/>
  <c r="AP172" i="5" s="1"/>
  <c r="AM92" i="5" a="1"/>
  <c r="AM92" i="5" s="1"/>
  <c r="AN158" i="5" a="1"/>
  <c r="AN158" i="5" s="1"/>
  <c r="AR297" i="5" a="1"/>
  <c r="AR297" i="5" s="1"/>
  <c r="AR307" i="5" a="1"/>
  <c r="AR307" i="5" s="1"/>
  <c r="AP287" i="5" a="1"/>
  <c r="AP287" i="5" s="1"/>
  <c r="AQ307" i="5" a="1"/>
  <c r="AQ307" i="5" s="1"/>
  <c r="AQ297" i="5" a="1"/>
  <c r="AQ297" i="5" s="1"/>
  <c r="AM55" i="5" a="1"/>
  <c r="AM55" i="5" s="1"/>
  <c r="AN63" i="5" a="1"/>
  <c r="AN63" i="5" s="1"/>
  <c r="AO57" i="5" a="1"/>
  <c r="AO57" i="5" s="1"/>
  <c r="AP56" i="5" a="1"/>
  <c r="AP56" i="5" s="1"/>
  <c r="AN81" i="5" a="1"/>
  <c r="AN81" i="5" s="1"/>
  <c r="AP90" i="5" a="1"/>
  <c r="AP90" i="5" s="1"/>
  <c r="AQ82" i="5" a="1"/>
  <c r="AQ82" i="5" s="1"/>
  <c r="AR54" i="5" a="1"/>
  <c r="AR54" i="5" s="1"/>
  <c r="AO82" i="5" a="1"/>
  <c r="AO82" i="5" s="1"/>
  <c r="AP262" i="5" a="1"/>
  <c r="AP262" i="5" s="1"/>
  <c r="AO274" i="5" a="1"/>
  <c r="AO274" i="5" s="1"/>
  <c r="AN101" i="5" a="1"/>
  <c r="AN101" i="5" s="1"/>
  <c r="AQ183" i="5" a="1"/>
  <c r="AQ183" i="5" s="1"/>
  <c r="AN100" i="5" a="1"/>
  <c r="AN100" i="5" s="1"/>
  <c r="AP206" i="5" a="1"/>
  <c r="AP206" i="5" s="1"/>
  <c r="AO194" i="5" a="1"/>
  <c r="AO194" i="5" s="1"/>
  <c r="AQ195" i="5" a="1"/>
  <c r="AQ195" i="5" s="1"/>
  <c r="AQ196" i="5" a="1"/>
  <c r="AQ196" i="5" s="1"/>
  <c r="AQ205" i="5" a="1"/>
  <c r="AQ205" i="5" s="1"/>
  <c r="AP185" i="5" a="1"/>
  <c r="AP185" i="5" s="1"/>
  <c r="AM203" i="5" a="1"/>
  <c r="AM203" i="5" s="1"/>
  <c r="AN197" i="5" a="1"/>
  <c r="AN197" i="5" s="1"/>
  <c r="AO167" i="5" a="1"/>
  <c r="AO167" i="5" s="1"/>
  <c r="AN80" i="5" a="1"/>
  <c r="AN80" i="5" s="1"/>
  <c r="AO160" i="5" a="1"/>
  <c r="AO160" i="5" s="1"/>
  <c r="AR66" i="5" a="1"/>
  <c r="AR66" i="5" s="1"/>
  <c r="AN147" i="5" a="1"/>
  <c r="AN147" i="5" s="1"/>
  <c r="AQ266" i="5" a="1"/>
  <c r="AQ266" i="5" s="1"/>
  <c r="AO253" i="5" a="1"/>
  <c r="AO253" i="5" s="1"/>
  <c r="AP158" i="5" a="1"/>
  <c r="AP158" i="5" s="1"/>
  <c r="AR79" i="5" a="1"/>
  <c r="AR79" i="5" s="1"/>
  <c r="AN53" i="5" a="1"/>
  <c r="AN53" i="5" s="1"/>
  <c r="AR80" i="5" a="1"/>
  <c r="AR80" i="5" s="1"/>
  <c r="AM378" i="5" a="1"/>
  <c r="AM378" i="5" s="1"/>
  <c r="AM161" i="5" a="1"/>
  <c r="AM161" i="5" s="1"/>
  <c r="AO52" i="5" a="1"/>
  <c r="AO52" i="5" s="1"/>
  <c r="AM47" i="5" a="1"/>
  <c r="AM47" i="5" s="1"/>
  <c r="AN193" i="5" a="1"/>
  <c r="AN193" i="5" s="1"/>
  <c r="AR382" i="5" a="1"/>
  <c r="AR382" i="5" s="1"/>
  <c r="AQ336" i="5" a="1"/>
  <c r="AQ336" i="5" s="1"/>
  <c r="AM160" i="5" a="1"/>
  <c r="AM160" i="5" s="1"/>
  <c r="AO54" i="5" a="1"/>
  <c r="AO54" i="5" s="1"/>
  <c r="AO169" i="5" a="1"/>
  <c r="AO169" i="5" s="1"/>
  <c r="AQ185" i="5" a="1"/>
  <c r="AQ185" i="5" s="1"/>
  <c r="AO204" i="5" a="1"/>
  <c r="AO204" i="5" s="1"/>
  <c r="AO382" i="5" a="1"/>
  <c r="AO382" i="5" s="1"/>
  <c r="AO324" i="5" a="1"/>
  <c r="AO324" i="5" s="1"/>
  <c r="AN327" i="5" a="1"/>
  <c r="AN327" i="5" s="1"/>
  <c r="AO308" i="5" a="1"/>
  <c r="AO308" i="5" s="1"/>
  <c r="AM265" i="5" a="1"/>
  <c r="AM265" i="5" s="1"/>
  <c r="AP334" i="5" a="1"/>
  <c r="AP334" i="5" s="1"/>
  <c r="AP52" i="5" a="1"/>
  <c r="AP52" i="5" s="1"/>
  <c r="AR101" i="5" a="1"/>
  <c r="AR101" i="5" s="1"/>
  <c r="AQ254" i="5" a="1"/>
  <c r="AQ254" i="5" s="1"/>
  <c r="AN357" i="5" a="1"/>
  <c r="AN357" i="5" s="1"/>
  <c r="AN367" i="5" a="1"/>
  <c r="AN367" i="5" s="1"/>
  <c r="AM195" i="5" a="1"/>
  <c r="AM195" i="5" s="1"/>
  <c r="AN359" i="5" a="1"/>
  <c r="AN359" i="5" s="1"/>
  <c r="AM327" i="5" a="1"/>
  <c r="AM327" i="5" s="1"/>
  <c r="AP298" i="5" a="1"/>
  <c r="AP298" i="5" s="1"/>
  <c r="AN307" i="5" a="1"/>
  <c r="AN307" i="5" s="1"/>
  <c r="AR337" i="5" a="1"/>
  <c r="AR337" i="5" s="1"/>
  <c r="AQ42" i="5" a="1"/>
  <c r="AQ42" i="5" s="1"/>
  <c r="AQ62" i="5" a="1"/>
  <c r="AQ62" i="5" s="1"/>
  <c r="AM52" i="5" a="1"/>
  <c r="AM52" i="5" s="1"/>
  <c r="AO42" i="5" a="1"/>
  <c r="AO42" i="5" s="1"/>
  <c r="AR52" i="5" a="1"/>
  <c r="AR52" i="5" s="1"/>
  <c r="AN42" i="5" a="1"/>
  <c r="AN42" i="5" s="1"/>
  <c r="AM62" i="5" a="1"/>
  <c r="AM62" i="5" s="1"/>
  <c r="AP42" i="5" a="1"/>
  <c r="AP42" i="5" s="1"/>
  <c r="AP162" i="5" a="1"/>
  <c r="AP162" i="5" s="1"/>
  <c r="AP55" i="5" a="1"/>
  <c r="AP55" i="5" s="1"/>
  <c r="AP252" i="5" a="1"/>
  <c r="AP252" i="5" s="1"/>
  <c r="AR196" i="5" a="1"/>
  <c r="AR196" i="5" s="1"/>
  <c r="AN381" i="5" a="1"/>
  <c r="AN381" i="5" s="1"/>
  <c r="AR347" i="5" a="1"/>
  <c r="AR347" i="5" s="1"/>
  <c r="AR325" i="5" a="1"/>
  <c r="AR325" i="5" s="1"/>
  <c r="AM298" i="5" a="1"/>
  <c r="AM298" i="5" s="1"/>
  <c r="AO307" i="5" a="1"/>
  <c r="AO307" i="5" s="1"/>
  <c r="AN272" i="5" a="1"/>
  <c r="AN272" i="5" s="1"/>
  <c r="AR367" i="5" a="1"/>
  <c r="AR367" i="5" s="1"/>
  <c r="AN337" i="5" a="1"/>
  <c r="AN337" i="5" s="1"/>
  <c r="AM324" i="5" a="1"/>
  <c r="AM324" i="5" s="1"/>
  <c r="AP274" i="5" a="1"/>
  <c r="AP274" i="5" s="1"/>
  <c r="AN253" i="5" a="1"/>
  <c r="AN253" i="5" s="1"/>
  <c r="AO255" i="5" a="1"/>
  <c r="AO255" i="5" s="1"/>
  <c r="AR253" i="5" a="1"/>
  <c r="AR253" i="5" s="1"/>
  <c r="AP256" i="5" a="1"/>
  <c r="AP256" i="5" s="1"/>
  <c r="AR264" i="5" a="1"/>
  <c r="AR264" i="5" s="1"/>
  <c r="AR292" i="5" a="1"/>
  <c r="AR292" i="5" s="1"/>
  <c r="AN170" i="5" a="1"/>
  <c r="AN170" i="5" s="1"/>
  <c r="AM80" i="5" a="1"/>
  <c r="AM80" i="5" s="1"/>
  <c r="AQ326" i="5" a="1"/>
  <c r="AQ326" i="5" s="1"/>
  <c r="AM172" i="5" a="1"/>
  <c r="AM172" i="5" s="1"/>
  <c r="AQ169" i="5" a="1"/>
  <c r="AQ169" i="5" s="1"/>
  <c r="AQ168" i="5" a="1"/>
  <c r="AQ168" i="5" s="1"/>
  <c r="AR168" i="5" a="1"/>
  <c r="AR168" i="5" s="1"/>
  <c r="AN148" i="5" a="1"/>
  <c r="AN148" i="5" s="1"/>
  <c r="AN90" i="5" a="1"/>
  <c r="AN90" i="5" s="1"/>
  <c r="AO263" i="5" a="1"/>
  <c r="AO263" i="5" s="1"/>
  <c r="AP45" i="5" a="1"/>
  <c r="AP45" i="5" s="1"/>
  <c r="AN64" i="5" a="1"/>
  <c r="AN64" i="5" s="1"/>
  <c r="AO63" i="5" a="1"/>
  <c r="AO63" i="5" s="1"/>
  <c r="AP57" i="5" a="1"/>
  <c r="AP57" i="5" s="1"/>
  <c r="AP91" i="5" a="1"/>
  <c r="AP91" i="5" s="1"/>
  <c r="AQ88" i="5" a="1"/>
  <c r="AQ88" i="5" s="1"/>
  <c r="AO45" i="5" a="1"/>
  <c r="AO45" i="5" s="1"/>
  <c r="AO79" i="5" a="1"/>
  <c r="AO79" i="5" s="1"/>
  <c r="AR89" i="5" a="1"/>
  <c r="AR89" i="5" s="1"/>
  <c r="AR150" i="5" a="1"/>
  <c r="AR150" i="5" s="1"/>
  <c r="AN159" i="5" a="1"/>
  <c r="AN159" i="5" s="1"/>
  <c r="AM148" i="5" a="1"/>
  <c r="AM148" i="5" s="1"/>
  <c r="AM168" i="5" a="1"/>
  <c r="AM168" i="5" s="1"/>
  <c r="AQ161" i="5" a="1"/>
  <c r="AQ161" i="5" s="1"/>
  <c r="AP150" i="5" a="1"/>
  <c r="AP150" i="5" s="1"/>
  <c r="AR172" i="5" a="1"/>
  <c r="AR172" i="5" s="1"/>
  <c r="AP161" i="5" a="1"/>
  <c r="AP161" i="5" s="1"/>
  <c r="AQ170" i="5" a="1"/>
  <c r="AQ170" i="5" s="1"/>
  <c r="AO148" i="5" a="1"/>
  <c r="AO148" i="5" s="1"/>
  <c r="AO159" i="5" a="1"/>
  <c r="AO159" i="5" s="1"/>
  <c r="AQ150" i="5" a="1"/>
  <c r="AQ150" i="5" s="1"/>
  <c r="AR161" i="5" a="1"/>
  <c r="AR161" i="5" s="1"/>
  <c r="AR152" i="5" a="1"/>
  <c r="AR152" i="5" s="1"/>
  <c r="AP170" i="5" a="1"/>
  <c r="AP170" i="5" s="1"/>
  <c r="AR81" i="5" a="1"/>
  <c r="AR81" i="5" s="1"/>
  <c r="AN202" i="5" a="1"/>
  <c r="AN202" i="5" s="1"/>
  <c r="AN192" i="5" a="1"/>
  <c r="AN192" i="5" s="1"/>
  <c r="AN182" i="5" a="1"/>
  <c r="AN182" i="5" s="1"/>
  <c r="AP192" i="5" a="1"/>
  <c r="AP192" i="5" s="1"/>
  <c r="AM192" i="5" a="1"/>
  <c r="AM192" i="5" s="1"/>
  <c r="AQ202" i="5" a="1"/>
  <c r="AQ202" i="5" s="1"/>
  <c r="AO192" i="5" a="1"/>
  <c r="AO192" i="5" s="1"/>
  <c r="AM182" i="5" a="1"/>
  <c r="AM182" i="5" s="1"/>
  <c r="AP202" i="5" a="1"/>
  <c r="AP202" i="5" s="1"/>
  <c r="AO202" i="5" a="1"/>
  <c r="AO202" i="5" s="1"/>
  <c r="AM202" i="5" a="1"/>
  <c r="AM202" i="5" s="1"/>
  <c r="AR182" i="5" a="1"/>
  <c r="AR182" i="5" s="1"/>
  <c r="AP182" i="5" a="1"/>
  <c r="AP182" i="5" s="1"/>
  <c r="AQ192" i="5" a="1"/>
  <c r="AQ192" i="5" s="1"/>
  <c r="AO182" i="5" a="1"/>
  <c r="AO182" i="5" s="1"/>
  <c r="AR202" i="5" a="1"/>
  <c r="AR202" i="5" s="1"/>
  <c r="AQ182" i="5" a="1"/>
  <c r="AQ182" i="5" s="1"/>
  <c r="AR192" i="5" a="1"/>
  <c r="AR192" i="5" s="1"/>
  <c r="AO187" i="5" a="1"/>
  <c r="AO187" i="5" s="1"/>
  <c r="AM206" i="5" a="1"/>
  <c r="AM206" i="5" s="1"/>
  <c r="AO205" i="5" a="1"/>
  <c r="AO205" i="5" s="1"/>
  <c r="AP207" i="5" a="1"/>
  <c r="AP207" i="5" s="1"/>
  <c r="AP193" i="5" a="1"/>
  <c r="AP193" i="5" s="1"/>
  <c r="AP204" i="5" a="1"/>
  <c r="AP204" i="5" s="1"/>
  <c r="AN203" i="5" a="1"/>
  <c r="AN203" i="5" s="1"/>
  <c r="AP147" i="5" a="1"/>
  <c r="AP147" i="5" s="1"/>
  <c r="AR98" i="5" a="1"/>
  <c r="AR98" i="5" s="1"/>
  <c r="AO80" i="5" a="1"/>
  <c r="AO80" i="5" s="1"/>
  <c r="AN334" i="5" a="1"/>
  <c r="AN334" i="5" s="1"/>
  <c r="AN346" i="5" a="1"/>
  <c r="AN346" i="5" s="1"/>
  <c r="AO90" i="5" a="1"/>
  <c r="AO90" i="5" s="1"/>
  <c r="AR147" i="5" a="1"/>
  <c r="AR147" i="5" s="1"/>
  <c r="AM267" i="5" a="1"/>
  <c r="AM267" i="5" s="1"/>
  <c r="AR336" i="5" a="1"/>
  <c r="AR336" i="5" s="1"/>
  <c r="AM347" i="5" a="1"/>
  <c r="AM347" i="5" s="1"/>
  <c r="AR333" i="5" a="1"/>
  <c r="AR333" i="5" s="1"/>
  <c r="AQ337" i="5" a="1"/>
  <c r="AQ337" i="5" s="1"/>
  <c r="AP263" i="5" a="1"/>
  <c r="AP263" i="5" s="1"/>
  <c r="AO170" i="5" a="1"/>
  <c r="AO170" i="5" s="1"/>
  <c r="AN98" i="5" a="1"/>
  <c r="AN98" i="5" s="1"/>
  <c r="AR359" i="5" a="1"/>
  <c r="AR359" i="5" s="1"/>
  <c r="AP327" i="5" a="1"/>
  <c r="AP327" i="5" s="1"/>
  <c r="AR344" i="5" a="1"/>
  <c r="AR344" i="5" s="1"/>
  <c r="AO325" i="5" a="1"/>
  <c r="AO325" i="5" s="1"/>
  <c r="AN345" i="5" a="1"/>
  <c r="AN345" i="5" s="1"/>
  <c r="AN257" i="5" a="1"/>
  <c r="AN257" i="5" s="1"/>
  <c r="AQ46" i="5" a="1"/>
  <c r="AQ46" i="5" s="1"/>
  <c r="AP160" i="5" a="1"/>
  <c r="AP160" i="5" s="1"/>
  <c r="AQ100" i="5" a="1"/>
  <c r="AQ100" i="5" s="1"/>
  <c r="AN242" i="5" a="1"/>
  <c r="AN242" i="5" s="1"/>
  <c r="AN241" i="5" a="1"/>
  <c r="AN241" i="5" s="1"/>
  <c r="AN240" i="5" a="1"/>
  <c r="AN240" i="5" s="1"/>
  <c r="AO242" i="5" a="1"/>
  <c r="AO242" i="5" s="1"/>
  <c r="AR242" i="5" a="1"/>
  <c r="AR242" i="5" s="1"/>
  <c r="AQ241" i="5" a="1"/>
  <c r="AQ241" i="5" s="1"/>
  <c r="AP240" i="5" a="1"/>
  <c r="AP240" i="5" s="1"/>
  <c r="AO239" i="5" a="1"/>
  <c r="AO239" i="5" s="1"/>
  <c r="AM232" i="5" a="1"/>
  <c r="AM232" i="5" s="1"/>
  <c r="AR229" i="5" a="1"/>
  <c r="AR229" i="5" s="1"/>
  <c r="AP221" i="5" a="1"/>
  <c r="AP221" i="5" s="1"/>
  <c r="AO219" i="5" a="1"/>
  <c r="AO219" i="5" s="1"/>
  <c r="AM239" i="5" a="1"/>
  <c r="AM239" i="5" s="1"/>
  <c r="AR232" i="5" a="1"/>
  <c r="AR232" i="5" s="1"/>
  <c r="AQ230" i="5" a="1"/>
  <c r="AQ230" i="5" s="1"/>
  <c r="AP228" i="5" a="1"/>
  <c r="AP228" i="5" s="1"/>
  <c r="AO222" i="5" a="1"/>
  <c r="AO222" i="5" s="1"/>
  <c r="AN220" i="5" a="1"/>
  <c r="AN220" i="5" s="1"/>
  <c r="AM219" i="5" a="1"/>
  <c r="AM219" i="5" s="1"/>
  <c r="AP242" i="5" a="1"/>
  <c r="AP242" i="5" s="1"/>
  <c r="AO241" i="5" a="1"/>
  <c r="AO241" i="5" s="1"/>
  <c r="AM240" i="5" a="1"/>
  <c r="AM240" i="5" s="1"/>
  <c r="AQ231" i="5" a="1"/>
  <c r="AQ231" i="5" s="1"/>
  <c r="AP229" i="5" a="1"/>
  <c r="AP229" i="5" s="1"/>
  <c r="AN221" i="5" a="1"/>
  <c r="AN221" i="5" s="1"/>
  <c r="AM220" i="5" a="1"/>
  <c r="AM220" i="5" s="1"/>
  <c r="AR239" i="5" a="1"/>
  <c r="AR239" i="5" s="1"/>
  <c r="AP238" i="5" a="1"/>
  <c r="AP238" i="5" s="1"/>
  <c r="AP241" i="5" a="1"/>
  <c r="AP241" i="5" s="1"/>
  <c r="AM230" i="5" a="1"/>
  <c r="AM230" i="5" s="1"/>
  <c r="AQ221" i="5" a="1"/>
  <c r="AQ221" i="5" s="1"/>
  <c r="AQ239" i="5" a="1"/>
  <c r="AQ239" i="5" s="1"/>
  <c r="AO238" i="5" a="1"/>
  <c r="AO238" i="5" s="1"/>
  <c r="AQ232" i="5" a="1"/>
  <c r="AQ232" i="5" s="1"/>
  <c r="AO231" i="5" a="1"/>
  <c r="AO231" i="5" s="1"/>
  <c r="AO228" i="5" a="1"/>
  <c r="AO228" i="5" s="1"/>
  <c r="AQ242" i="5" a="1"/>
  <c r="AQ242" i="5" s="1"/>
  <c r="AP239" i="5" a="1"/>
  <c r="AP239" i="5" s="1"/>
  <c r="AM238" i="5" a="1"/>
  <c r="AM238" i="5" s="1"/>
  <c r="AP232" i="5" a="1"/>
  <c r="AP232" i="5" s="1"/>
  <c r="AN231" i="5" a="1"/>
  <c r="AN231" i="5" s="1"/>
  <c r="AQ229" i="5" a="1"/>
  <c r="AQ229" i="5" s="1"/>
  <c r="AN228" i="5" a="1"/>
  <c r="AN228" i="5" s="1"/>
  <c r="AO221" i="5" a="1"/>
  <c r="AO221" i="5" s="1"/>
  <c r="AR240" i="5" a="1"/>
  <c r="AR240" i="5" s="1"/>
  <c r="AM231" i="5" a="1"/>
  <c r="AM231" i="5" s="1"/>
  <c r="AM228" i="5" a="1"/>
  <c r="AM228" i="5" s="1"/>
  <c r="AQ222" i="5" a="1"/>
  <c r="AQ222" i="5" s="1"/>
  <c r="AM221" i="5" a="1"/>
  <c r="AM221" i="5" s="1"/>
  <c r="AQ219" i="5" a="1"/>
  <c r="AQ219" i="5" s="1"/>
  <c r="AO218" i="5" a="1"/>
  <c r="AO218" i="5" s="1"/>
  <c r="AR220" i="5" a="1"/>
  <c r="AR220" i="5" s="1"/>
  <c r="AN219" i="5" a="1"/>
  <c r="AN219" i="5" s="1"/>
  <c r="AO240" i="5" a="1"/>
  <c r="AO240" i="5" s="1"/>
  <c r="AP231" i="5" a="1"/>
  <c r="AP231" i="5" s="1"/>
  <c r="AN229" i="5" a="1"/>
  <c r="AN229" i="5" s="1"/>
  <c r="AR218" i="5" a="1"/>
  <c r="AR218" i="5" s="1"/>
  <c r="AM229" i="5" a="1"/>
  <c r="AM229" i="5" s="1"/>
  <c r="AR222" i="5" a="1"/>
  <c r="AR222" i="5" s="1"/>
  <c r="AQ220" i="5" a="1"/>
  <c r="AQ220" i="5" s="1"/>
  <c r="AR230" i="5" a="1"/>
  <c r="AR230" i="5" s="1"/>
  <c r="AP222" i="5" a="1"/>
  <c r="AP222" i="5" s="1"/>
  <c r="AQ218" i="5" a="1"/>
  <c r="AQ218" i="5" s="1"/>
  <c r="AM242" i="5" a="1"/>
  <c r="AM242" i="5" s="1"/>
  <c r="AR228" i="5" a="1"/>
  <c r="AR228" i="5" s="1"/>
  <c r="AP220" i="5" a="1"/>
  <c r="AP220" i="5" s="1"/>
  <c r="AP218" i="5" a="1"/>
  <c r="AP218" i="5" s="1"/>
  <c r="AN239" i="5" a="1"/>
  <c r="AN239" i="5" s="1"/>
  <c r="AP230" i="5" a="1"/>
  <c r="AP230" i="5" s="1"/>
  <c r="AQ228" i="5" a="1"/>
  <c r="AQ228" i="5" s="1"/>
  <c r="AN222" i="5" a="1"/>
  <c r="AN222" i="5" s="1"/>
  <c r="AO220" i="5" a="1"/>
  <c r="AO220" i="5" s="1"/>
  <c r="AN218" i="5" a="1"/>
  <c r="AN218" i="5" s="1"/>
  <c r="AN232" i="5" a="1"/>
  <c r="AN232" i="5" s="1"/>
  <c r="AP219" i="5" a="1"/>
  <c r="AP219" i="5" s="1"/>
  <c r="AN230" i="5" a="1"/>
  <c r="AN230" i="5" s="1"/>
  <c r="AQ240" i="5" a="1"/>
  <c r="AQ240" i="5" s="1"/>
  <c r="AN238" i="5" a="1"/>
  <c r="AN238" i="5" s="1"/>
  <c r="AR231" i="5" a="1"/>
  <c r="AR231" i="5" s="1"/>
  <c r="AR238" i="5" a="1"/>
  <c r="AR238" i="5" s="1"/>
  <c r="AM222" i="5" a="1"/>
  <c r="AM222" i="5" s="1"/>
  <c r="AM218" i="5" a="1"/>
  <c r="AM218" i="5" s="1"/>
  <c r="AO230" i="5" a="1"/>
  <c r="AO230" i="5" s="1"/>
  <c r="AQ238" i="5" a="1"/>
  <c r="AQ238" i="5" s="1"/>
  <c r="AR221" i="5" a="1"/>
  <c r="AR221" i="5" s="1"/>
  <c r="AO229" i="5" a="1"/>
  <c r="AO229" i="5" s="1"/>
  <c r="AO232" i="5" a="1"/>
  <c r="AO232" i="5" s="1"/>
  <c r="AR241" i="5" a="1"/>
  <c r="AR241" i="5" s="1"/>
  <c r="AM241" i="5" a="1"/>
  <c r="AM241" i="5" s="1"/>
  <c r="AR219" i="5" a="1"/>
  <c r="AR219" i="5" s="1"/>
  <c r="AM262" i="5" a="1"/>
  <c r="AM262" i="5" s="1"/>
  <c r="AR197" i="5" a="1"/>
  <c r="AR197" i="5" s="1"/>
  <c r="AN167" i="5" a="1"/>
  <c r="AN167" i="5" s="1"/>
  <c r="AQ157" i="5" a="1"/>
  <c r="AQ157" i="5" s="1"/>
  <c r="AR332" i="5" a="1"/>
  <c r="AR332" i="5" s="1"/>
  <c r="AR360" i="5" a="1"/>
  <c r="AR360" i="5" s="1"/>
  <c r="AR265" i="5" a="1"/>
  <c r="AR265" i="5" s="1"/>
  <c r="AM289" i="5" a="1"/>
  <c r="AM289" i="5" s="1"/>
  <c r="AO302" i="5" a="1"/>
  <c r="AO302" i="5" s="1"/>
  <c r="AR310" i="5" a="1"/>
  <c r="AR310" i="5" s="1"/>
  <c r="AN160" i="5" a="1"/>
  <c r="AN160" i="5" s="1"/>
  <c r="AP53" i="5" a="1"/>
  <c r="AP53" i="5" s="1"/>
  <c r="AP79" i="5" a="1"/>
  <c r="AP79" i="5" s="1"/>
  <c r="AO378" i="5" a="1"/>
  <c r="AO378" i="5" s="1"/>
  <c r="AN194" i="5" a="1"/>
  <c r="AN194" i="5" s="1"/>
  <c r="AR361" i="5" a="1"/>
  <c r="AR361" i="5" s="1"/>
  <c r="AQ263" i="5" a="1"/>
  <c r="AQ263" i="5" s="1"/>
  <c r="AM290" i="5" a="1"/>
  <c r="AM290" i="5" s="1"/>
  <c r="AQ343" i="5" a="1"/>
  <c r="AQ343" i="5" s="1"/>
  <c r="AQ292" i="5" a="1"/>
  <c r="AQ292" i="5" s="1"/>
  <c r="AR290" i="5" a="1"/>
  <c r="AR290" i="5" s="1"/>
  <c r="AO161" i="5" a="1"/>
  <c r="AO161" i="5" s="1"/>
  <c r="AO55" i="5" a="1"/>
  <c r="AO55" i="5" s="1"/>
  <c r="AN99" i="5" a="1"/>
  <c r="AN99" i="5" s="1"/>
  <c r="AQ184" i="5" a="1"/>
  <c r="AQ184" i="5" s="1"/>
  <c r="AM91" i="5" a="1"/>
  <c r="AM91" i="5" s="1"/>
  <c r="AM359" i="5" a="1"/>
  <c r="AM359" i="5" s="1"/>
  <c r="AM333" i="5" a="1"/>
  <c r="AM333" i="5" s="1"/>
  <c r="AN288" i="5" a="1"/>
  <c r="AN288" i="5" s="1"/>
  <c r="AR323" i="5" a="1"/>
  <c r="AR323" i="5" s="1"/>
  <c r="AN267" i="5" a="1"/>
  <c r="AN267" i="5" s="1"/>
  <c r="AN172" i="5" a="1"/>
  <c r="AN172" i="5" s="1"/>
  <c r="AN57" i="5" a="1"/>
  <c r="AN57" i="5" s="1"/>
  <c r="AP272" i="5" a="1"/>
  <c r="AP272" i="5" s="1"/>
  <c r="AM97" i="5" a="1"/>
  <c r="AM97" i="5" s="1"/>
  <c r="AR77" i="5" a="1"/>
  <c r="AR77" i="5" s="1"/>
  <c r="AR87" i="5" a="1"/>
  <c r="AR87" i="5" s="1"/>
  <c r="AP77" i="5" a="1"/>
  <c r="AP77" i="5" s="1"/>
  <c r="AO77" i="5" a="1"/>
  <c r="AO77" i="5" s="1"/>
  <c r="AN77" i="5" a="1"/>
  <c r="AN77" i="5" s="1"/>
  <c r="AP87" i="5" a="1"/>
  <c r="AP87" i="5" s="1"/>
  <c r="AO87" i="5" a="1"/>
  <c r="AO87" i="5" s="1"/>
  <c r="AN87" i="5" a="1"/>
  <c r="AN87" i="5" s="1"/>
  <c r="AQ204" i="5" a="1"/>
  <c r="AQ204" i="5" s="1"/>
  <c r="AO371" i="5" a="1"/>
  <c r="AO371" i="5" s="1"/>
  <c r="AQ347" i="5" a="1"/>
  <c r="AQ347" i="5" s="1"/>
  <c r="AN254" i="5" a="1"/>
  <c r="AN254" i="5" s="1"/>
  <c r="AP300" i="5" a="1"/>
  <c r="AP300" i="5" s="1"/>
  <c r="AO311" i="5" a="1"/>
  <c r="AO311" i="5" s="1"/>
  <c r="AP342" i="5" a="1"/>
  <c r="AP342" i="5" s="1"/>
  <c r="AO392" i="5" a="1"/>
  <c r="AO392" i="5" s="1"/>
  <c r="AQ368" i="5" a="1"/>
  <c r="AQ368" i="5" s="1"/>
  <c r="AN379" i="5" a="1"/>
  <c r="AN379" i="5" s="1"/>
  <c r="AQ362" i="5" a="1"/>
  <c r="AQ362" i="5" s="1"/>
  <c r="AR370" i="5" a="1"/>
  <c r="AR370" i="5" s="1"/>
  <c r="AM362" i="5" a="1"/>
  <c r="AM362" i="5" s="1"/>
  <c r="AM343" i="5" a="1"/>
  <c r="AM343" i="5" s="1"/>
  <c r="AN333" i="5" a="1"/>
  <c r="AN333" i="5" s="1"/>
  <c r="AQ344" i="5" a="1"/>
  <c r="AQ344" i="5" s="1"/>
  <c r="AP344" i="5" a="1"/>
  <c r="AP344" i="5" s="1"/>
  <c r="AO287" i="5" a="1"/>
  <c r="AO287" i="5" s="1"/>
  <c r="AQ312" i="5" a="1"/>
  <c r="AQ312" i="5" s="1"/>
  <c r="AR301" i="5" a="1"/>
  <c r="AR301" i="5" s="1"/>
  <c r="AM299" i="5" a="1"/>
  <c r="AM299" i="5" s="1"/>
  <c r="AN291" i="5" a="1"/>
  <c r="AN291" i="5" s="1"/>
  <c r="AO290" i="5" a="1"/>
  <c r="AO290" i="5" s="1"/>
  <c r="AO312" i="5" a="1"/>
  <c r="AO312" i="5" s="1"/>
  <c r="AP302" i="5" a="1"/>
  <c r="AP302" i="5" s="1"/>
  <c r="AR252" i="5" a="1"/>
  <c r="AR252" i="5" s="1"/>
  <c r="AM342" i="5" a="1"/>
  <c r="AM342" i="5" s="1"/>
  <c r="AQ357" i="5" a="1"/>
  <c r="AQ357" i="5" s="1"/>
  <c r="AR377" i="5" a="1"/>
  <c r="AR377" i="5" s="1"/>
  <c r="AM344" i="5" a="1"/>
  <c r="AM344" i="5" s="1"/>
  <c r="AR308" i="5" a="1"/>
  <c r="AR308" i="5" s="1"/>
  <c r="AQ274" i="5" a="1"/>
  <c r="AQ274" i="5" s="1"/>
  <c r="AM257" i="5" a="1"/>
  <c r="AM257" i="5" s="1"/>
  <c r="AM255" i="5" a="1"/>
  <c r="AM255" i="5" s="1"/>
  <c r="AQ257" i="5" a="1"/>
  <c r="AQ257" i="5" s="1"/>
  <c r="AO289" i="5" a="1"/>
  <c r="AO289" i="5" s="1"/>
  <c r="AR88" i="5" a="1"/>
  <c r="AR88" i="5" s="1"/>
  <c r="AO78" i="5" a="1"/>
  <c r="AO78" i="5" s="1"/>
  <c r="AP169" i="5" a="1"/>
  <c r="AP169" i="5" s="1"/>
  <c r="AR170" i="5" a="1"/>
  <c r="AR170" i="5" s="1"/>
  <c r="AR169" i="5" a="1"/>
  <c r="AR169" i="5" s="1"/>
  <c r="AM170" i="5" a="1"/>
  <c r="AM170" i="5" s="1"/>
  <c r="AO150" i="5" a="1"/>
  <c r="AO150" i="5" s="1"/>
  <c r="AM87" i="5" a="1"/>
  <c r="AM87" i="5" s="1"/>
  <c r="AP44" i="5" a="1"/>
  <c r="AP44" i="5" s="1"/>
  <c r="AN65" i="5" a="1"/>
  <c r="AN65" i="5" s="1"/>
  <c r="AO64" i="5" a="1"/>
  <c r="AO64" i="5" s="1"/>
  <c r="AP63" i="5" a="1"/>
  <c r="AP63" i="5" s="1"/>
  <c r="AM169" i="5" a="1"/>
  <c r="AM169" i="5" s="1"/>
  <c r="AP92" i="5" a="1"/>
  <c r="AP92" i="5" s="1"/>
  <c r="AQ89" i="5" a="1"/>
  <c r="AQ89" i="5" s="1"/>
  <c r="AR162" i="5" a="1"/>
  <c r="AR162" i="5" s="1"/>
  <c r="AO44" i="5" a="1"/>
  <c r="AO44" i="5" s="1"/>
  <c r="AO97" i="5" a="1"/>
  <c r="AO97" i="5" s="1"/>
  <c r="AM88" i="5" a="1"/>
  <c r="AM88" i="5" s="1"/>
  <c r="AP194" i="5" a="1"/>
  <c r="AP194" i="5" s="1"/>
  <c r="AO197" i="5" a="1"/>
  <c r="AO197" i="5" s="1"/>
  <c r="AO186" i="5" a="1"/>
  <c r="AO186" i="5" s="1"/>
  <c r="AP183" i="5" a="1"/>
  <c r="AP183" i="5" s="1"/>
  <c r="AM196" i="5" a="1"/>
  <c r="AM196" i="5" s="1"/>
  <c r="AM207" i="5" a="1"/>
  <c r="AM207" i="5" s="1"/>
  <c r="AN204" i="5" a="1"/>
  <c r="AN204" i="5" s="1"/>
  <c r="AQ147" i="5" a="1"/>
  <c r="AQ147" i="5" s="1"/>
  <c r="AN102" i="5" a="1"/>
  <c r="AN102" i="5" s="1"/>
  <c r="AN89" i="5" a="1"/>
  <c r="AN89" i="5" s="1"/>
  <c r="AP323" i="5" a="1"/>
  <c r="AP323" i="5" s="1"/>
  <c r="AO323" i="5" a="1"/>
  <c r="AO323" i="5" s="1"/>
  <c r="AQ346" i="5" a="1"/>
  <c r="AQ346" i="5" s="1"/>
  <c r="AN323" i="5" a="1"/>
  <c r="AN323" i="5" s="1"/>
  <c r="AR326" i="5" a="1"/>
  <c r="AR326" i="5" s="1"/>
  <c r="AR381" i="5" a="1"/>
  <c r="AR381" i="5" s="1"/>
  <c r="AN274" i="5" a="1"/>
  <c r="AN274" i="5" s="1"/>
  <c r="AR346" i="5" a="1"/>
  <c r="AR346" i="5" s="1"/>
  <c r="AP276" i="5" a="1"/>
  <c r="AP276" i="5" s="1"/>
  <c r="AQ333" i="5" a="1"/>
  <c r="AQ333" i="5" s="1"/>
  <c r="AQ172" i="5" a="1"/>
  <c r="AQ172" i="5" s="1"/>
  <c r="AN54" i="5" a="1"/>
  <c r="AN54" i="5" s="1"/>
  <c r="AO101" i="5" a="1"/>
  <c r="AO101" i="5" s="1"/>
  <c r="AP82" i="5" a="1"/>
  <c r="AP82" i="5" s="1"/>
  <c r="AP254" i="5" a="1"/>
  <c r="AP254" i="5" s="1"/>
  <c r="AR194" i="5" a="1"/>
  <c r="AR194" i="5" s="1"/>
  <c r="AO417" i="5" a="1"/>
  <c r="AO417" i="5" s="1"/>
  <c r="AO416" i="5" a="1"/>
  <c r="AO416" i="5" s="1"/>
  <c r="AO415" i="5" a="1"/>
  <c r="AO415" i="5" s="1"/>
  <c r="AO414" i="5" a="1"/>
  <c r="AO414" i="5" s="1"/>
  <c r="AO413" i="5" a="1"/>
  <c r="AO413" i="5" s="1"/>
  <c r="AO407" i="5" a="1"/>
  <c r="AO407" i="5" s="1"/>
  <c r="AO406" i="5" a="1"/>
  <c r="AO406" i="5" s="1"/>
  <c r="AO405" i="5" a="1"/>
  <c r="AO405" i="5" s="1"/>
  <c r="AO404" i="5" a="1"/>
  <c r="AO404" i="5" s="1"/>
  <c r="AO403" i="5" a="1"/>
  <c r="AO403" i="5" s="1"/>
  <c r="AO397" i="5" a="1"/>
  <c r="AO397" i="5" s="1"/>
  <c r="AO396" i="5" a="1"/>
  <c r="AO396" i="5" s="1"/>
  <c r="AO395" i="5" a="1"/>
  <c r="AO395" i="5" s="1"/>
  <c r="AO394" i="5" a="1"/>
  <c r="AO394" i="5" s="1"/>
  <c r="AO393" i="5" a="1"/>
  <c r="AO393" i="5" s="1"/>
  <c r="AN417" i="5" a="1"/>
  <c r="AN417" i="5" s="1"/>
  <c r="AN416" i="5" a="1"/>
  <c r="AN416" i="5" s="1"/>
  <c r="AN415" i="5" a="1"/>
  <c r="AN415" i="5" s="1"/>
  <c r="AN414" i="5" a="1"/>
  <c r="AN414" i="5" s="1"/>
  <c r="AN413" i="5" a="1"/>
  <c r="AN413" i="5" s="1"/>
  <c r="AN407" i="5" a="1"/>
  <c r="AN407" i="5" s="1"/>
  <c r="AN406" i="5" a="1"/>
  <c r="AN406" i="5" s="1"/>
  <c r="AN405" i="5" a="1"/>
  <c r="AN405" i="5" s="1"/>
  <c r="AN404" i="5" a="1"/>
  <c r="AN404" i="5" s="1"/>
  <c r="AN403" i="5" a="1"/>
  <c r="AN403" i="5" s="1"/>
  <c r="AN397" i="5" a="1"/>
  <c r="AN397" i="5" s="1"/>
  <c r="AN396" i="5" a="1"/>
  <c r="AN396" i="5" s="1"/>
  <c r="AN395" i="5" a="1"/>
  <c r="AN395" i="5" s="1"/>
  <c r="AN394" i="5" a="1"/>
  <c r="AN394" i="5" s="1"/>
  <c r="AN393" i="5" a="1"/>
  <c r="AN393" i="5" s="1"/>
  <c r="AM417" i="5" a="1"/>
  <c r="AM417" i="5" s="1"/>
  <c r="AM416" i="5" a="1"/>
  <c r="AM416" i="5" s="1"/>
  <c r="AM415" i="5" a="1"/>
  <c r="AM415" i="5" s="1"/>
  <c r="AM414" i="5" a="1"/>
  <c r="AM414" i="5" s="1"/>
  <c r="AM413" i="5" a="1"/>
  <c r="AM413" i="5" s="1"/>
  <c r="AM407" i="5" a="1"/>
  <c r="AM407" i="5" s="1"/>
  <c r="AM406" i="5" a="1"/>
  <c r="AM406" i="5" s="1"/>
  <c r="AM405" i="5" a="1"/>
  <c r="AM405" i="5" s="1"/>
  <c r="AM404" i="5" a="1"/>
  <c r="AM404" i="5" s="1"/>
  <c r="AM403" i="5" a="1"/>
  <c r="AM403" i="5" s="1"/>
  <c r="AM397" i="5" a="1"/>
  <c r="AM397" i="5" s="1"/>
  <c r="AM396" i="5" a="1"/>
  <c r="AM396" i="5" s="1"/>
  <c r="AM395" i="5" a="1"/>
  <c r="AM395" i="5" s="1"/>
  <c r="AM394" i="5" a="1"/>
  <c r="AM394" i="5" s="1"/>
  <c r="AM393" i="5" a="1"/>
  <c r="AM393" i="5" s="1"/>
  <c r="AP416" i="5" a="1"/>
  <c r="AP416" i="5" s="1"/>
  <c r="AQ414" i="5" a="1"/>
  <c r="AQ414" i="5" s="1"/>
  <c r="AP396" i="5" a="1"/>
  <c r="AP396" i="5" s="1"/>
  <c r="AQ394" i="5" a="1"/>
  <c r="AQ394" i="5" s="1"/>
  <c r="AR417" i="5" a="1"/>
  <c r="AR417" i="5" s="1"/>
  <c r="AP405" i="5" a="1"/>
  <c r="AP405" i="5" s="1"/>
  <c r="AQ403" i="5" a="1"/>
  <c r="AQ403" i="5" s="1"/>
  <c r="AR397" i="5" a="1"/>
  <c r="AR397" i="5" s="1"/>
  <c r="AP414" i="5" a="1"/>
  <c r="AP414" i="5" s="1"/>
  <c r="AR406" i="5" a="1"/>
  <c r="AR406" i="5" s="1"/>
  <c r="AP394" i="5" a="1"/>
  <c r="AP394" i="5" s="1"/>
  <c r="AQ417" i="5" a="1"/>
  <c r="AQ417" i="5" s="1"/>
  <c r="AR415" i="5" a="1"/>
  <c r="AR415" i="5" s="1"/>
  <c r="AP403" i="5" a="1"/>
  <c r="AP403" i="5" s="1"/>
  <c r="AQ397" i="5" a="1"/>
  <c r="AQ397" i="5" s="1"/>
  <c r="AR395" i="5" a="1"/>
  <c r="AR395" i="5" s="1"/>
  <c r="AQ406" i="5" a="1"/>
  <c r="AQ406" i="5" s="1"/>
  <c r="AR404" i="5" a="1"/>
  <c r="AR404" i="5" s="1"/>
  <c r="AP417" i="5" a="1"/>
  <c r="AP417" i="5" s="1"/>
  <c r="AR414" i="5" a="1"/>
  <c r="AR414" i="5" s="1"/>
  <c r="AQ404" i="5" a="1"/>
  <c r="AQ404" i="5" s="1"/>
  <c r="AQ407" i="5" a="1"/>
  <c r="AQ407" i="5" s="1"/>
  <c r="AP397" i="5" a="1"/>
  <c r="AP397" i="5" s="1"/>
  <c r="AR394" i="5" a="1"/>
  <c r="AR394" i="5" s="1"/>
  <c r="AR413" i="5" a="1"/>
  <c r="AR413" i="5" s="1"/>
  <c r="AP404" i="5" a="1"/>
  <c r="AP404" i="5" s="1"/>
  <c r="AR416" i="5" a="1"/>
  <c r="AR416" i="5" s="1"/>
  <c r="AP407" i="5" a="1"/>
  <c r="AP407" i="5" s="1"/>
  <c r="AR393" i="5" a="1"/>
  <c r="AR393" i="5" s="1"/>
  <c r="AQ413" i="5" a="1"/>
  <c r="AQ413" i="5" s="1"/>
  <c r="AR396" i="5" a="1"/>
  <c r="AR396" i="5" s="1"/>
  <c r="AQ416" i="5" a="1"/>
  <c r="AQ416" i="5" s="1"/>
  <c r="AR407" i="5" a="1"/>
  <c r="AR407" i="5" s="1"/>
  <c r="AP393" i="5" a="1"/>
  <c r="AP393" i="5" s="1"/>
  <c r="AQ415" i="5" a="1"/>
  <c r="AQ415" i="5" s="1"/>
  <c r="AP406" i="5" a="1"/>
  <c r="AP406" i="5" s="1"/>
  <c r="AP415" i="5" a="1"/>
  <c r="AP415" i="5" s="1"/>
  <c r="AQ396" i="5" a="1"/>
  <c r="AQ396" i="5" s="1"/>
  <c r="AP413" i="5" a="1"/>
  <c r="AP413" i="5" s="1"/>
  <c r="AQ395" i="5" a="1"/>
  <c r="AQ395" i="5" s="1"/>
  <c r="AR405" i="5" a="1"/>
  <c r="AR405" i="5" s="1"/>
  <c r="AQ405" i="5" a="1"/>
  <c r="AQ405" i="5" s="1"/>
  <c r="AR403" i="5" a="1"/>
  <c r="AR403" i="5" s="1"/>
  <c r="AP395" i="5" a="1"/>
  <c r="AP395" i="5" s="1"/>
  <c r="AQ393" i="5" a="1"/>
  <c r="AQ393" i="5" s="1"/>
  <c r="AO344" i="5" a="1"/>
  <c r="AO344" i="5" s="1"/>
  <c r="AP290" i="5" a="1"/>
  <c r="AP290" i="5" s="1"/>
  <c r="AN308" i="5" a="1"/>
  <c r="AN308" i="5" s="1"/>
  <c r="AP332" i="5" a="1"/>
  <c r="AP332" i="5" s="1"/>
  <c r="AR272" i="5" a="1"/>
  <c r="AR272" i="5" s="1"/>
  <c r="AM263" i="5" a="1"/>
  <c r="AM263" i="5" s="1"/>
  <c r="AN162" i="5" a="1"/>
  <c r="AN162" i="5" s="1"/>
  <c r="AN55" i="5" a="1"/>
  <c r="AN55" i="5" s="1"/>
  <c r="AQ101" i="5" a="1"/>
  <c r="AQ101" i="5" s="1"/>
  <c r="AN149" i="5" a="1"/>
  <c r="AN149" i="5" s="1"/>
  <c r="AM187" i="5" a="1"/>
  <c r="AM187" i="5" s="1"/>
  <c r="AN361" i="5" a="1"/>
  <c r="AN361" i="5" s="1"/>
  <c r="AO345" i="5" a="1"/>
  <c r="AO345" i="5" s="1"/>
  <c r="AR291" i="5" a="1"/>
  <c r="AR291" i="5" s="1"/>
  <c r="AQ334" i="5" a="1"/>
  <c r="AQ334" i="5" s="1"/>
  <c r="AQ276" i="5" a="1"/>
  <c r="AQ276" i="5" s="1"/>
  <c r="AP148" i="5" a="1"/>
  <c r="AP148" i="5" s="1"/>
  <c r="AQ162" i="5" a="1"/>
  <c r="AQ162" i="5" s="1"/>
  <c r="AP88" i="5" a="1"/>
  <c r="AP88" i="5" s="1"/>
  <c r="AN195" i="5" a="1"/>
  <c r="AN195" i="5" s="1"/>
  <c r="AQ371" i="5" a="1"/>
  <c r="AQ371" i="5" s="1"/>
  <c r="AO346" i="5" a="1"/>
  <c r="AO346" i="5" s="1"/>
  <c r="AR298" i="5" a="1"/>
  <c r="AR298" i="5" s="1"/>
  <c r="AQ335" i="5" a="1"/>
  <c r="AQ335" i="5" s="1"/>
  <c r="AN277" i="5" a="1"/>
  <c r="AN277" i="5" s="1"/>
  <c r="AP159" i="5" a="1"/>
  <c r="AP159" i="5" s="1"/>
  <c r="AP62" i="5" a="1"/>
  <c r="AP62" i="5" s="1"/>
  <c r="AP89" i="5" a="1"/>
  <c r="AP89" i="5" s="1"/>
  <c r="AR90" i="5" a="1"/>
  <c r="AR90" i="5" s="1"/>
  <c r="AP196" i="5" a="1"/>
  <c r="AP196" i="5" s="1"/>
  <c r="AP371" i="5" a="1"/>
  <c r="AP371" i="5" s="1"/>
  <c r="AM361" i="5" a="1"/>
  <c r="AM361" i="5" s="1"/>
  <c r="AR266" i="5" a="1"/>
  <c r="AR266" i="5" s="1"/>
  <c r="AR302" i="5" a="1"/>
  <c r="AR302" i="5" s="1"/>
  <c r="AN312" i="5" a="1"/>
  <c r="AN312" i="5" s="1"/>
  <c r="AQ412" i="5" a="1"/>
  <c r="AQ412" i="5" s="1"/>
  <c r="AO402" i="5" a="1"/>
  <c r="AO402" i="5" s="1"/>
  <c r="AP358" i="5" a="1"/>
  <c r="AP358" i="5" s="1"/>
  <c r="AQ360" i="5" a="1"/>
  <c r="AQ360" i="5" s="1"/>
  <c r="AP368" i="5" a="1"/>
  <c r="AP368" i="5" s="1"/>
  <c r="AR371" i="5" a="1"/>
  <c r="AR371" i="5" s="1"/>
  <c r="AN335" i="5" a="1"/>
  <c r="AN335" i="5" s="1"/>
  <c r="AQ327" i="5" a="1"/>
  <c r="AQ327" i="5" s="1"/>
  <c r="AO333" i="5" a="1"/>
  <c r="AO333" i="5" s="1"/>
  <c r="AP345" i="5" a="1"/>
  <c r="AP345" i="5" s="1"/>
  <c r="AP308" i="5" a="1"/>
  <c r="AP308" i="5" s="1"/>
  <c r="AQ311" i="5" a="1"/>
  <c r="AQ311" i="5" s="1"/>
  <c r="AM300" i="5" a="1"/>
  <c r="AM300" i="5" s="1"/>
  <c r="AN292" i="5" a="1"/>
  <c r="AN292" i="5" s="1"/>
  <c r="AO291" i="5" a="1"/>
  <c r="AO291" i="5" s="1"/>
  <c r="AQ287" i="5" a="1"/>
  <c r="AQ287" i="5" s="1"/>
  <c r="AN343" i="5" a="1"/>
  <c r="AN343" i="5" s="1"/>
  <c r="AR262" i="5" a="1"/>
  <c r="AR262" i="5" s="1"/>
  <c r="AO367" i="5" a="1"/>
  <c r="AO367" i="5" s="1"/>
  <c r="AM357" i="5" a="1"/>
  <c r="AM357" i="5" s="1"/>
  <c r="AP337" i="5" a="1"/>
  <c r="AP337" i="5" s="1"/>
  <c r="AQ272" i="5" a="1"/>
  <c r="AQ272" i="5" s="1"/>
  <c r="AM277" i="5" a="1"/>
  <c r="AM277" i="5" s="1"/>
  <c r="AP275" i="5" a="1"/>
  <c r="AP275" i="5" s="1"/>
  <c r="AN256" i="5" a="1"/>
  <c r="AN256" i="5" s="1"/>
  <c r="AQ309" i="5" a="1"/>
  <c r="AQ309" i="5" s="1"/>
  <c r="AP81" i="5" a="1"/>
  <c r="AP81" i="5" s="1"/>
  <c r="AR327" i="5" a="1"/>
  <c r="AR327" i="5" s="1"/>
  <c r="AO158" i="5" a="1"/>
  <c r="AO158" i="5" s="1"/>
  <c r="AQ148" i="5" a="1"/>
  <c r="AQ148" i="5" s="1"/>
  <c r="AM171" i="5" a="1"/>
  <c r="AM171" i="5" s="1"/>
  <c r="AN171" i="5" a="1"/>
  <c r="AN171" i="5" s="1"/>
  <c r="AP152" i="5" a="1"/>
  <c r="AP152" i="5" s="1"/>
  <c r="AO81" i="5" a="1"/>
  <c r="AO81" i="5" s="1"/>
  <c r="AN43" i="5" a="1"/>
  <c r="AN43" i="5" s="1"/>
  <c r="AN66" i="5" a="1"/>
  <c r="AN66" i="5" s="1"/>
  <c r="AO65" i="5" a="1"/>
  <c r="AO65" i="5" s="1"/>
  <c r="AP64" i="5" a="1"/>
  <c r="AP64" i="5" s="1"/>
  <c r="AO168" i="5" a="1"/>
  <c r="AO168" i="5" s="1"/>
  <c r="AP98" i="5" a="1"/>
  <c r="AP98" i="5" s="1"/>
  <c r="AQ90" i="5" a="1"/>
  <c r="AQ90" i="5" s="1"/>
  <c r="AO149" i="5" a="1"/>
  <c r="AO149" i="5" s="1"/>
  <c r="AR42" i="5" a="1"/>
  <c r="AR42" i="5" s="1"/>
  <c r="AP97" i="5" a="1"/>
  <c r="AP97" i="5" s="1"/>
  <c r="AP151" i="5" a="1"/>
  <c r="AP151" i="5" s="1"/>
  <c r="AM81" i="5" a="1"/>
  <c r="AM81" i="5" s="1"/>
  <c r="AN91" i="5" a="1"/>
  <c r="AN91" i="5" s="1"/>
  <c r="AR100" i="5" a="1"/>
  <c r="AR100" i="5" s="1"/>
  <c r="AR102" i="5" a="1"/>
  <c r="AR102" i="5" s="1"/>
  <c r="AQ197" i="5" a="1"/>
  <c r="AQ197" i="5" s="1"/>
  <c r="AO185" i="5" a="1"/>
  <c r="AO185" i="5" s="1"/>
  <c r="AR187" i="5" a="1"/>
  <c r="AR187" i="5" s="1"/>
  <c r="AR193" i="5" a="1"/>
  <c r="AR193" i="5" s="1"/>
  <c r="AP197" i="5" a="1"/>
  <c r="AP197" i="5" s="1"/>
  <c r="AN183" i="5" a="1"/>
  <c r="AN183" i="5" s="1"/>
  <c r="AN205" i="5" a="1"/>
  <c r="AN205" i="5" s="1"/>
  <c r="AM157" i="5" a="1"/>
  <c r="AM157" i="5" s="1"/>
  <c r="AP157" i="5" a="1"/>
  <c r="AP157" i="5" s="1"/>
  <c r="AP80" i="5" a="1"/>
  <c r="AP80" i="5" s="1"/>
  <c r="AO137" i="5" a="1"/>
  <c r="AO137" i="5" s="1"/>
  <c r="AO136" i="5" a="1"/>
  <c r="AO136" i="5" s="1"/>
  <c r="AO135" i="5" a="1"/>
  <c r="AO135" i="5" s="1"/>
  <c r="AO134" i="5" a="1"/>
  <c r="AO134" i="5" s="1"/>
  <c r="AQ137" i="5" a="1"/>
  <c r="AQ137" i="5" s="1"/>
  <c r="AP136" i="5" a="1"/>
  <c r="AP136" i="5" s="1"/>
  <c r="AN134" i="5" a="1"/>
  <c r="AN134" i="5" s="1"/>
  <c r="AN133" i="5" a="1"/>
  <c r="AN133" i="5" s="1"/>
  <c r="AN127" i="5" a="1"/>
  <c r="AN127" i="5" s="1"/>
  <c r="AN126" i="5" a="1"/>
  <c r="AN126" i="5" s="1"/>
  <c r="AN125" i="5" a="1"/>
  <c r="AN125" i="5" s="1"/>
  <c r="AN124" i="5" a="1"/>
  <c r="AN124" i="5" s="1"/>
  <c r="AN123" i="5" a="1"/>
  <c r="AN123" i="5" s="1"/>
  <c r="AN117" i="5" a="1"/>
  <c r="AN117" i="5" s="1"/>
  <c r="AN116" i="5" a="1"/>
  <c r="AN116" i="5" s="1"/>
  <c r="AN115" i="5" a="1"/>
  <c r="AN115" i="5" s="1"/>
  <c r="AN114" i="5" a="1"/>
  <c r="AN114" i="5" s="1"/>
  <c r="AN113" i="5" a="1"/>
  <c r="AN113" i="5" s="1"/>
  <c r="AP137" i="5" a="1"/>
  <c r="AP137" i="5" s="1"/>
  <c r="AN135" i="5" a="1"/>
  <c r="AN135" i="5" s="1"/>
  <c r="AN136" i="5" a="1"/>
  <c r="AN136" i="5" s="1"/>
  <c r="AM134" i="5" a="1"/>
  <c r="AM134" i="5" s="1"/>
  <c r="AM133" i="5" a="1"/>
  <c r="AM133" i="5" s="1"/>
  <c r="AM127" i="5" a="1"/>
  <c r="AM127" i="5" s="1"/>
  <c r="AM126" i="5" a="1"/>
  <c r="AM126" i="5" s="1"/>
  <c r="AM125" i="5" a="1"/>
  <c r="AM125" i="5" s="1"/>
  <c r="AM124" i="5" a="1"/>
  <c r="AM124" i="5" s="1"/>
  <c r="AM123" i="5" a="1"/>
  <c r="AM123" i="5" s="1"/>
  <c r="AM117" i="5" a="1"/>
  <c r="AM117" i="5" s="1"/>
  <c r="AM116" i="5" a="1"/>
  <c r="AM116" i="5" s="1"/>
  <c r="AM115" i="5" a="1"/>
  <c r="AM115" i="5" s="1"/>
  <c r="AM114" i="5" a="1"/>
  <c r="AM114" i="5" s="1"/>
  <c r="AM113" i="5" a="1"/>
  <c r="AM113" i="5" s="1"/>
  <c r="AN137" i="5" a="1"/>
  <c r="AN137" i="5" s="1"/>
  <c r="AM135" i="5" a="1"/>
  <c r="AM135" i="5" s="1"/>
  <c r="AM136" i="5" a="1"/>
  <c r="AM136" i="5" s="1"/>
  <c r="AR133" i="5" a="1"/>
  <c r="AR133" i="5" s="1"/>
  <c r="AR127" i="5" a="1"/>
  <c r="AR127" i="5" s="1"/>
  <c r="AR126" i="5" a="1"/>
  <c r="AR126" i="5" s="1"/>
  <c r="AR125" i="5" a="1"/>
  <c r="AR125" i="5" s="1"/>
  <c r="AR124" i="5" a="1"/>
  <c r="AR124" i="5" s="1"/>
  <c r="AR123" i="5" a="1"/>
  <c r="AR123" i="5" s="1"/>
  <c r="AR117" i="5" a="1"/>
  <c r="AR117" i="5" s="1"/>
  <c r="AR116" i="5" a="1"/>
  <c r="AR116" i="5" s="1"/>
  <c r="AR115" i="5" a="1"/>
  <c r="AR115" i="5" s="1"/>
  <c r="AR114" i="5" a="1"/>
  <c r="AR114" i="5" s="1"/>
  <c r="AR113" i="5" a="1"/>
  <c r="AR113" i="5" s="1"/>
  <c r="AM137" i="5" a="1"/>
  <c r="AM137" i="5" s="1"/>
  <c r="AR134" i="5" a="1"/>
  <c r="AR134" i="5" s="1"/>
  <c r="AP126" i="5" a="1"/>
  <c r="AP126" i="5" s="1"/>
  <c r="AP116" i="5" a="1"/>
  <c r="AP116" i="5" s="1"/>
  <c r="AQ127" i="5" a="1"/>
  <c r="AQ127" i="5" s="1"/>
  <c r="AQ113" i="5" a="1"/>
  <c r="AQ113" i="5" s="1"/>
  <c r="AQ126" i="5" a="1"/>
  <c r="AQ126" i="5" s="1"/>
  <c r="AQ124" i="5" a="1"/>
  <c r="AQ124" i="5" s="1"/>
  <c r="AQ116" i="5" a="1"/>
  <c r="AQ116" i="5" s="1"/>
  <c r="AQ114" i="5" a="1"/>
  <c r="AQ114" i="5" s="1"/>
  <c r="AR135" i="5" a="1"/>
  <c r="AR135" i="5" s="1"/>
  <c r="AQ117" i="5" a="1"/>
  <c r="AQ117" i="5" s="1"/>
  <c r="AR136" i="5" a="1"/>
  <c r="AR136" i="5" s="1"/>
  <c r="AQ134" i="5" a="1"/>
  <c r="AQ134" i="5" s="1"/>
  <c r="AP124" i="5" a="1"/>
  <c r="AP124" i="5" s="1"/>
  <c r="AP114" i="5" a="1"/>
  <c r="AP114" i="5" s="1"/>
  <c r="AQ133" i="5" a="1"/>
  <c r="AQ133" i="5" s="1"/>
  <c r="AQ115" i="5" a="1"/>
  <c r="AQ115" i="5" s="1"/>
  <c r="AQ136" i="5" a="1"/>
  <c r="AQ136" i="5" s="1"/>
  <c r="AP134" i="5" a="1"/>
  <c r="AP134" i="5" s="1"/>
  <c r="AO116" i="5" a="1"/>
  <c r="AO116" i="5" s="1"/>
  <c r="AO114" i="5" a="1"/>
  <c r="AO114" i="5" s="1"/>
  <c r="AQ125" i="5" a="1"/>
  <c r="AQ125" i="5" s="1"/>
  <c r="AO126" i="5" a="1"/>
  <c r="AO126" i="5" s="1"/>
  <c r="AO124" i="5" a="1"/>
  <c r="AO124" i="5" s="1"/>
  <c r="AQ123" i="5" a="1"/>
  <c r="AQ123" i="5" s="1"/>
  <c r="AP135" i="5" a="1"/>
  <c r="AP135" i="5" s="1"/>
  <c r="AO125" i="5" a="1"/>
  <c r="AO125" i="5" s="1"/>
  <c r="AO115" i="5" a="1"/>
  <c r="AO115" i="5" s="1"/>
  <c r="AP123" i="5" a="1"/>
  <c r="AP123" i="5" s="1"/>
  <c r="AP133" i="5" a="1"/>
  <c r="AP133" i="5" s="1"/>
  <c r="AP113" i="5" a="1"/>
  <c r="AP113" i="5" s="1"/>
  <c r="AR137" i="5" a="1"/>
  <c r="AR137" i="5" s="1"/>
  <c r="AO127" i="5" a="1"/>
  <c r="AO127" i="5" s="1"/>
  <c r="AO117" i="5" a="1"/>
  <c r="AO117" i="5" s="1"/>
  <c r="AP127" i="5" a="1"/>
  <c r="AP127" i="5" s="1"/>
  <c r="AQ135" i="5" a="1"/>
  <c r="AQ135" i="5" s="1"/>
  <c r="AP125" i="5" a="1"/>
  <c r="AP125" i="5" s="1"/>
  <c r="AO133" i="5" a="1"/>
  <c r="AO133" i="5" s="1"/>
  <c r="AO123" i="5" a="1"/>
  <c r="AO123" i="5" s="1"/>
  <c r="AO113" i="5" a="1"/>
  <c r="AO113" i="5" s="1"/>
  <c r="AP117" i="5" a="1"/>
  <c r="AP117" i="5" s="1"/>
  <c r="AP115" i="5" a="1"/>
  <c r="AP115" i="5" s="1"/>
  <c r="AO276" i="5" a="1"/>
  <c r="AO276" i="5" s="1"/>
  <c r="AO266" i="5" a="1"/>
  <c r="AO266" i="5" s="1"/>
  <c r="AQ256" i="5" a="1"/>
  <c r="AQ256" i="5" s="1"/>
  <c r="AN325" i="5" a="1"/>
  <c r="AN325" i="5" s="1"/>
  <c r="AQ152" i="5" a="1"/>
  <c r="AQ152" i="5" s="1"/>
  <c r="AQ160" i="5" a="1"/>
  <c r="AQ160" i="5" s="1"/>
  <c r="AP46" i="5" a="1"/>
  <c r="AP46" i="5" s="1"/>
  <c r="AP102" i="5" a="1"/>
  <c r="AP102" i="5" s="1"/>
  <c r="AN237" i="5" a="1"/>
  <c r="AN237" i="5" s="1"/>
  <c r="AQ227" i="5" a="1"/>
  <c r="AQ227" i="5" s="1"/>
  <c r="AN217" i="5" a="1"/>
  <c r="AN217" i="5" s="1"/>
  <c r="AR237" i="5" a="1"/>
  <c r="AR237" i="5" s="1"/>
  <c r="AO227" i="5" a="1"/>
  <c r="AO227" i="5" s="1"/>
  <c r="AR217" i="5" a="1"/>
  <c r="AR217" i="5" s="1"/>
  <c r="AM227" i="5" a="1"/>
  <c r="AM227" i="5" s="1"/>
  <c r="AO217" i="5" a="1"/>
  <c r="AO217" i="5" s="1"/>
  <c r="AP237" i="5" a="1"/>
  <c r="AP237" i="5" s="1"/>
  <c r="AN227" i="5" a="1"/>
  <c r="AN227" i="5" s="1"/>
  <c r="AM217" i="5" a="1"/>
  <c r="AM217" i="5" s="1"/>
  <c r="AO237" i="5" a="1"/>
  <c r="AO237" i="5" s="1"/>
  <c r="AM237" i="5" a="1"/>
  <c r="AM237" i="5" s="1"/>
  <c r="AP217" i="5" a="1"/>
  <c r="AP217" i="5" s="1"/>
  <c r="AP227" i="5" a="1"/>
  <c r="AP227" i="5" s="1"/>
  <c r="AQ217" i="5" a="1"/>
  <c r="AQ217" i="5" s="1"/>
  <c r="AR227" i="5" a="1"/>
  <c r="AR227" i="5" s="1"/>
  <c r="AQ237" i="5" a="1"/>
  <c r="AQ237" i="5" s="1"/>
  <c r="AM158" i="5" a="1"/>
  <c r="AM158" i="5" s="1"/>
  <c r="AR157" i="5" a="1"/>
  <c r="AR157" i="5" s="1"/>
  <c r="AP382" i="5" a="1"/>
  <c r="AP382" i="5" s="1"/>
  <c r="AO343" i="5" a="1"/>
  <c r="AO343" i="5" s="1"/>
  <c r="AP264" i="5" a="1"/>
  <c r="AP264" i="5" s="1"/>
  <c r="AR257" i="5" a="1"/>
  <c r="AR257" i="5" s="1"/>
  <c r="AR273" i="5" a="1"/>
  <c r="AR273" i="5" s="1"/>
  <c r="AM159" i="5" a="1"/>
  <c r="AM159" i="5" s="1"/>
  <c r="AO53" i="5" a="1"/>
  <c r="AO53" i="5" s="1"/>
  <c r="AQ78" i="5" a="1"/>
  <c r="AQ78" i="5" s="1"/>
  <c r="AM197" i="5" a="1"/>
  <c r="AM197" i="5" s="1"/>
  <c r="AP380" i="5" a="1"/>
  <c r="AP380" i="5" s="1"/>
  <c r="AM323" i="5" a="1"/>
  <c r="AM323" i="5" s="1"/>
  <c r="AP336" i="5" a="1"/>
  <c r="AP336" i="5" s="1"/>
  <c r="AM311" i="5" a="1"/>
  <c r="AM311" i="5" s="1"/>
  <c r="AN332" i="5" a="1"/>
  <c r="AN332" i="5" s="1"/>
  <c r="AM332" i="5" a="1"/>
  <c r="AM332" i="5" s="1"/>
  <c r="AQ332" i="5" a="1"/>
  <c r="AQ332" i="5" s="1"/>
  <c r="AM325" i="5" a="1"/>
  <c r="AM325" i="5" s="1"/>
  <c r="AN263" i="5" a="1"/>
  <c r="AN263" i="5" s="1"/>
  <c r="AN326" i="5" a="1"/>
  <c r="AN326" i="5" s="1"/>
  <c r="AQ323" i="5" a="1"/>
  <c r="AQ323" i="5" s="1"/>
  <c r="AQ79" i="5" a="1"/>
  <c r="AQ79" i="5" s="1"/>
  <c r="AP265" i="5" a="1"/>
  <c r="AP265" i="5" s="1"/>
  <c r="AQ193" i="5" a="1"/>
  <c r="AQ193" i="5" s="1"/>
  <c r="AM412" i="5" a="1"/>
  <c r="AM412" i="5" s="1"/>
  <c r="AP361" i="5" a="1"/>
  <c r="AP361" i="5" s="1"/>
  <c r="AN161" i="5" a="1"/>
  <c r="AN161" i="5" s="1"/>
  <c r="AN56" i="5" a="1"/>
  <c r="AN56" i="5" s="1"/>
  <c r="AQ80" i="5" a="1"/>
  <c r="AQ80" i="5" s="1"/>
  <c r="AQ194" i="5" a="1"/>
  <c r="AQ194" i="5" s="1"/>
  <c r="AO147" i="5" a="1"/>
  <c r="AO147" i="5" s="1"/>
  <c r="AR362" i="5" a="1"/>
  <c r="AR362" i="5" s="1"/>
  <c r="AP257" i="5" a="1"/>
  <c r="AP257" i="5" s="1"/>
  <c r="AM291" i="5" a="1"/>
  <c r="AM291" i="5" s="1"/>
  <c r="AM274" i="5" a="1"/>
  <c r="AM274" i="5" s="1"/>
  <c r="AN336" i="5" a="1"/>
  <c r="AN336" i="5" s="1"/>
  <c r="AM98" i="5" a="1"/>
  <c r="AM98" i="5" s="1"/>
  <c r="AR91" i="5" a="1"/>
  <c r="AR91" i="5" s="1"/>
  <c r="AM266" i="5" a="1"/>
  <c r="AM266" i="5" s="1"/>
  <c r="AQ359" i="5" a="1"/>
  <c r="AQ359" i="5" s="1"/>
  <c r="AQ372" i="5" a="1"/>
  <c r="AQ372" i="5" s="1"/>
  <c r="AN382" i="5" a="1"/>
  <c r="AN382" i="5" s="1"/>
  <c r="AP359" i="5" a="1"/>
  <c r="AP359" i="5" s="1"/>
  <c r="AQ381" i="5" a="1"/>
  <c r="AQ381" i="5" s="1"/>
  <c r="AP372" i="5" a="1"/>
  <c r="AP372" i="5" s="1"/>
  <c r="AP370" i="5" a="1"/>
  <c r="AP370" i="5" s="1"/>
  <c r="AN360" i="5" a="1"/>
  <c r="AN360" i="5" s="1"/>
  <c r="AP369" i="5" a="1"/>
  <c r="AP369" i="5" s="1"/>
  <c r="AN380" i="5" a="1"/>
  <c r="AN380" i="5" s="1"/>
  <c r="AO369" i="5" a="1"/>
  <c r="AO369" i="5" s="1"/>
  <c r="AN362" i="5" a="1"/>
  <c r="AN362" i="5" s="1"/>
  <c r="AQ361" i="5" a="1"/>
  <c r="AQ361" i="5" s="1"/>
  <c r="AO360" i="5" a="1"/>
  <c r="AO360" i="5" s="1"/>
  <c r="AQ379" i="5" a="1"/>
  <c r="AQ379" i="5" s="1"/>
  <c r="AP378" i="5" a="1"/>
  <c r="AP378" i="5" s="1"/>
  <c r="AO372" i="5" a="1"/>
  <c r="AO372" i="5" s="1"/>
  <c r="AN369" i="5" a="1"/>
  <c r="AN369" i="5" s="1"/>
  <c r="AP379" i="5" a="1"/>
  <c r="AP379" i="5" s="1"/>
  <c r="AM184" i="5" a="1"/>
  <c r="AM184" i="5" s="1"/>
  <c r="AR369" i="5" a="1"/>
  <c r="AR369" i="5" s="1"/>
  <c r="AP343" i="5" a="1"/>
  <c r="AP343" i="5" s="1"/>
  <c r="AR288" i="5" a="1"/>
  <c r="AR288" i="5" s="1"/>
  <c r="AN290" i="5" a="1"/>
  <c r="AN290" i="5" s="1"/>
  <c r="AN322" i="5" a="1"/>
  <c r="AN322" i="5" s="1"/>
  <c r="AO412" i="5" a="1"/>
  <c r="AO412" i="5" s="1"/>
  <c r="AQ358" i="5" a="1"/>
  <c r="AQ358" i="5" s="1"/>
  <c r="AP362" i="5" a="1"/>
  <c r="AP362" i="5" s="1"/>
  <c r="AO370" i="5" a="1"/>
  <c r="AO370" i="5" s="1"/>
  <c r="AR372" i="5" a="1"/>
  <c r="AR372" i="5" s="1"/>
  <c r="AM369" i="5" a="1"/>
  <c r="AM369" i="5" s="1"/>
  <c r="AP333" i="5" a="1"/>
  <c r="AP333" i="5" s="1"/>
  <c r="AM326" i="5" a="1"/>
  <c r="AM326" i="5" s="1"/>
  <c r="AO334" i="5" a="1"/>
  <c r="AO334" i="5" s="1"/>
  <c r="AP346" i="5" a="1"/>
  <c r="AP346" i="5" s="1"/>
  <c r="AO381" i="5" a="1"/>
  <c r="AO381" i="5" s="1"/>
  <c r="AN378" i="5" a="1"/>
  <c r="AN378" i="5" s="1"/>
  <c r="AR309" i="5" a="1"/>
  <c r="AR309" i="5" s="1"/>
  <c r="AO288" i="5" a="1"/>
  <c r="AO288" i="5" s="1"/>
  <c r="AM301" i="5" a="1"/>
  <c r="AM301" i="5" s="1"/>
  <c r="AN298" i="5" a="1"/>
  <c r="AN298" i="5" s="1"/>
  <c r="AO292" i="5" a="1"/>
  <c r="AO292" i="5" s="1"/>
  <c r="AR287" i="5" a="1"/>
  <c r="AR287" i="5" s="1"/>
  <c r="AM256" i="5" a="1"/>
  <c r="AM256" i="5" s="1"/>
  <c r="AQ267" i="5" a="1"/>
  <c r="AQ267" i="5" s="1"/>
  <c r="AR277" i="5" a="1"/>
  <c r="AR277" i="5" s="1"/>
  <c r="AN276" i="5" a="1"/>
  <c r="AN276" i="5" s="1"/>
  <c r="AR276" i="5" a="1"/>
  <c r="AR276" i="5" s="1"/>
  <c r="AO254" i="5" a="1"/>
  <c r="AO254" i="5" s="1"/>
  <c r="AM322" i="5" a="1"/>
  <c r="AM322" i="5" s="1"/>
  <c r="AO272" i="5" a="1"/>
  <c r="AO272" i="5" s="1"/>
  <c r="AN342" i="5" a="1"/>
  <c r="AN342" i="5" s="1"/>
  <c r="AN377" i="5" a="1"/>
  <c r="AN377" i="5" s="1"/>
  <c r="AM367" i="5" a="1"/>
  <c r="AM367" i="5" s="1"/>
  <c r="AN344" i="5" a="1"/>
  <c r="AN344" i="5" s="1"/>
  <c r="AR275" i="5" a="1"/>
  <c r="AR275" i="5" s="1"/>
  <c r="AR254" i="5" a="1"/>
  <c r="AR254" i="5" s="1"/>
  <c r="AQ275" i="5" a="1"/>
  <c r="AQ275" i="5" s="1"/>
  <c r="AO257" i="5" a="1"/>
  <c r="AO257" i="5" s="1"/>
  <c r="AO265" i="5" a="1"/>
  <c r="AO265" i="5" s="1"/>
  <c r="AP299" i="5" a="1"/>
  <c r="AP299" i="5" s="1"/>
  <c r="AP78" i="5" a="1"/>
  <c r="AP78" i="5" s="1"/>
  <c r="AR99" i="5" a="1"/>
  <c r="AR99" i="5" s="1"/>
  <c r="AQ345" i="5" a="1"/>
  <c r="AQ345" i="5" s="1"/>
  <c r="AM152" i="5" a="1"/>
  <c r="AM152" i="5" s="1"/>
  <c r="AR149" i="5" a="1"/>
  <c r="AR149" i="5" s="1"/>
  <c r="AR148" i="5" a="1"/>
  <c r="AR148" i="5" s="1"/>
  <c r="AM149" i="5" a="1"/>
  <c r="AM149" i="5" s="1"/>
  <c r="AR159" i="5" a="1"/>
  <c r="AR159" i="5" s="1"/>
  <c r="AM77" i="5" a="1"/>
  <c r="AM77" i="5" s="1"/>
  <c r="AQ45" i="5" a="1"/>
  <c r="AQ45" i="5" s="1"/>
  <c r="AN67" i="5" a="1"/>
  <c r="AN67" i="5" s="1"/>
  <c r="AO66" i="5" a="1"/>
  <c r="AO66" i="5" s="1"/>
  <c r="AO92" i="5" a="1"/>
  <c r="AO92" i="5" s="1"/>
  <c r="AP99" i="5" a="1"/>
  <c r="AP99" i="5" s="1"/>
  <c r="AQ91" i="5" a="1"/>
  <c r="AQ91" i="5" s="1"/>
  <c r="AQ77" i="5" a="1"/>
  <c r="AQ77" i="5" s="1"/>
  <c r="AM99" i="5" a="1"/>
  <c r="AM99" i="5" s="1"/>
  <c r="AM78" i="5" a="1"/>
  <c r="AM78" i="5" s="1"/>
  <c r="AM82" i="5" a="1"/>
  <c r="AM82" i="5" s="1"/>
  <c r="AM336" i="5" a="1"/>
  <c r="AM336" i="5" s="1"/>
  <c r="AR92" i="5" a="1"/>
  <c r="AR92" i="5" s="1"/>
  <c r="AR204" i="5" a="1"/>
  <c r="AR204" i="5" s="1"/>
  <c r="AR195" i="5" a="1"/>
  <c r="AR195" i="5" s="1"/>
  <c r="AR203" i="5" a="1"/>
  <c r="AR203" i="5" s="1"/>
  <c r="AP195" i="5" a="1"/>
  <c r="AP195" i="5" s="1"/>
  <c r="AM204" i="5" a="1"/>
  <c r="AM204" i="5" s="1"/>
  <c r="AN184" i="5" a="1"/>
  <c r="AN184" i="5" s="1"/>
  <c r="AN206" i="5" a="1"/>
  <c r="AN206" i="5" s="1"/>
  <c r="AN157" i="5" a="1"/>
  <c r="AN157" i="5" s="1"/>
  <c r="AP167" i="5" a="1"/>
  <c r="AP167" i="5" s="1"/>
  <c r="AN78" i="5" a="1"/>
  <c r="AN78" i="5" s="1"/>
  <c r="AO100" i="5" a="1"/>
  <c r="AO100" i="5" s="1"/>
  <c r="AM167" i="5" a="1"/>
  <c r="AM167" i="5" s="1"/>
  <c r="AP184" i="5" a="1"/>
  <c r="AP184" i="5" s="1"/>
  <c r="AM275" i="5" a="1"/>
  <c r="AM275" i="5" s="1"/>
  <c r="AM102" i="5" a="1"/>
  <c r="AM102" i="5" s="1"/>
  <c r="AR151" i="5" a="1"/>
  <c r="AR151" i="5" s="1"/>
  <c r="AR267" i="5" a="1"/>
  <c r="AR267" i="5" s="1"/>
  <c r="AO277" i="5" a="1"/>
  <c r="AO277" i="5" s="1"/>
  <c r="AM312" i="5" a="1"/>
  <c r="AM312" i="5" s="1"/>
  <c r="AN266" i="5" a="1"/>
  <c r="AN266" i="5" s="1"/>
  <c r="AP168" i="5" a="1"/>
  <c r="AP168" i="5" s="1"/>
  <c r="AQ102" i="5" a="1"/>
  <c r="AQ102" i="5" s="1"/>
  <c r="AO195" i="5" a="1"/>
  <c r="AO195" i="5" s="1"/>
  <c r="AO91" i="5" a="1"/>
  <c r="AO91" i="5" s="1"/>
  <c r="AN275" i="5" a="1"/>
  <c r="AN275" i="5" s="1"/>
  <c r="AP377" i="5" a="1"/>
  <c r="AP377" i="5" s="1"/>
  <c r="AM254" i="5" a="1"/>
  <c r="AM254" i="5" s="1"/>
  <c r="AO56" i="5" a="1"/>
  <c r="AO56" i="5" s="1"/>
  <c r="AO157" i="5" a="1"/>
  <c r="AO157" i="5" s="1"/>
  <c r="AN92" i="5" a="1"/>
  <c r="AN92" i="5" s="1"/>
  <c r="AN412" i="5" a="1"/>
  <c r="AN412" i="5" s="1"/>
  <c r="AM335" i="5" a="1"/>
  <c r="AM335" i="5" s="1"/>
  <c r="AP360" i="5" a="1"/>
  <c r="AP360" i="5" s="1"/>
  <c r="AO368" i="5" a="1"/>
  <c r="AO368" i="5" s="1"/>
  <c r="AN372" i="5" a="1"/>
  <c r="AN372" i="5" s="1"/>
  <c r="AR378" i="5" a="1"/>
  <c r="AR378" i="5" s="1"/>
  <c r="AM370" i="5" a="1"/>
  <c r="AM370" i="5" s="1"/>
  <c r="AP324" i="5" a="1"/>
  <c r="AP324" i="5" s="1"/>
  <c r="AO335" i="5" a="1"/>
  <c r="AO335" i="5" s="1"/>
  <c r="AP347" i="5" a="1"/>
  <c r="AP347" i="5" s="1"/>
  <c r="AN371" i="5" a="1"/>
  <c r="AN371" i="5" s="1"/>
  <c r="AQ370" i="5" a="1"/>
  <c r="AQ370" i="5" s="1"/>
  <c r="AQ402" i="5" a="1"/>
  <c r="AQ402" i="5" s="1"/>
  <c r="AP402" i="5" a="1"/>
  <c r="AP402" i="5" s="1"/>
  <c r="AR402" i="5" a="1"/>
  <c r="AR402" i="5" s="1"/>
  <c r="AQ324" i="5" a="1"/>
  <c r="AQ324" i="5" s="1"/>
  <c r="AQ298" i="5" a="1"/>
  <c r="AQ298" i="5" s="1"/>
  <c r="AP289" i="5" a="1"/>
  <c r="AP289" i="5" s="1"/>
  <c r="AM302" i="5" a="1"/>
  <c r="AM302" i="5" s="1"/>
  <c r="AN299" i="5" a="1"/>
  <c r="AN299" i="5" s="1"/>
  <c r="AO298" i="5" a="1"/>
  <c r="AO298" i="5" s="1"/>
  <c r="AP322" i="5" a="1"/>
  <c r="AP322" i="5" s="1"/>
  <c r="AP367" i="5" a="1"/>
  <c r="AP367" i="5" s="1"/>
  <c r="AM377" i="5" a="1"/>
  <c r="AM377" i="5" s="1"/>
  <c r="AR324" i="5" a="1"/>
  <c r="AR324" i="5" s="1"/>
  <c r="AP267" i="5" a="1"/>
  <c r="AP267" i="5" s="1"/>
  <c r="AR256" i="5" a="1"/>
  <c r="AR256" i="5" s="1"/>
  <c r="AQ277" i="5" a="1"/>
  <c r="AQ277" i="5" s="1"/>
  <c r="AR263" i="5" a="1"/>
  <c r="AR263" i="5" s="1"/>
  <c r="AM253" i="5" a="1"/>
  <c r="AM253" i="5" s="1"/>
  <c r="AP310" i="5" a="1"/>
  <c r="AP310" i="5" s="1"/>
  <c r="AM90" i="5" a="1"/>
  <c r="AM90" i="5" s="1"/>
  <c r="AM346" i="5" a="1"/>
  <c r="AM346" i="5" s="1"/>
  <c r="AQ290" i="5" a="1"/>
  <c r="AQ290" i="5" s="1"/>
  <c r="AQ149" i="5" a="1"/>
  <c r="AQ149" i="5" s="1"/>
  <c r="AM151" i="5" a="1"/>
  <c r="AM151" i="5" s="1"/>
  <c r="AM150" i="5" a="1"/>
  <c r="AM150" i="5" s="1"/>
  <c r="AN150" i="5" a="1"/>
  <c r="AN150" i="5" s="1"/>
  <c r="AM162" i="5" a="1"/>
  <c r="AM162" i="5" s="1"/>
  <c r="AR65" i="5" a="1"/>
  <c r="AR65" i="5" s="1"/>
  <c r="AR53" i="5" a="1"/>
  <c r="AR53" i="5" s="1"/>
  <c r="AO43" i="5" a="1"/>
  <c r="AO43" i="5" s="1"/>
  <c r="AQ53" i="5" a="1"/>
  <c r="AQ53" i="5" s="1"/>
  <c r="AM44" i="5" a="1"/>
  <c r="AM44" i="5" s="1"/>
  <c r="AR63" i="5" a="1"/>
  <c r="AR63" i="5" s="1"/>
  <c r="AR57" i="5" a="1"/>
  <c r="AR57" i="5" s="1"/>
  <c r="AO47" i="5" a="1"/>
  <c r="AO47" i="5" s="1"/>
  <c r="AQ57" i="5" a="1"/>
  <c r="AQ57" i="5" s="1"/>
  <c r="AM43" i="5" a="1"/>
  <c r="AM43" i="5" s="1"/>
  <c r="AQ66" i="5" a="1"/>
  <c r="AQ66" i="5" s="1"/>
  <c r="AQ65" i="5" a="1"/>
  <c r="AQ65" i="5" s="1"/>
  <c r="AN47" i="5" a="1"/>
  <c r="AN47" i="5" s="1"/>
  <c r="AR67" i="5" a="1"/>
  <c r="AR67" i="5" s="1"/>
  <c r="AM64" i="5" a="1"/>
  <c r="AM64" i="5" s="1"/>
  <c r="AN44" i="5" a="1"/>
  <c r="AN44" i="5" s="1"/>
  <c r="AQ54" i="5" a="1"/>
  <c r="AQ54" i="5" s="1"/>
  <c r="AR55" i="5" a="1"/>
  <c r="AR55" i="5" s="1"/>
  <c r="AM56" i="5" a="1"/>
  <c r="AM56" i="5" s="1"/>
  <c r="AM46" i="5" a="1"/>
  <c r="AM46" i="5" s="1"/>
  <c r="AN45" i="5" a="1"/>
  <c r="AN45" i="5" s="1"/>
  <c r="AR46" i="5" a="1"/>
  <c r="AR46" i="5" s="1"/>
  <c r="AR43" i="5" a="1"/>
  <c r="AR43" i="5" s="1"/>
  <c r="AQ43" i="5" a="1"/>
  <c r="AQ43" i="5" s="1"/>
  <c r="AR64" i="5" a="1"/>
  <c r="AR64" i="5" s="1"/>
  <c r="AR56" i="5" a="1"/>
  <c r="AR56" i="5" s="1"/>
  <c r="AM53" i="5" a="1"/>
  <c r="AM53" i="5" s="1"/>
  <c r="AP47" i="5" a="1"/>
  <c r="AP47" i="5" s="1"/>
  <c r="AR44" i="5" a="1"/>
  <c r="AR44" i="5" s="1"/>
  <c r="AM54" i="5" a="1"/>
  <c r="AM54" i="5" s="1"/>
  <c r="AP43" i="5" a="1"/>
  <c r="AP43" i="5" s="1"/>
  <c r="AM66" i="5" a="1"/>
  <c r="AM66" i="5" s="1"/>
  <c r="AQ67" i="5" a="1"/>
  <c r="AQ67" i="5" s="1"/>
  <c r="AQ63" i="5" a="1"/>
  <c r="AQ63" i="5" s="1"/>
  <c r="AM57" i="5" a="1"/>
  <c r="AM57" i="5" s="1"/>
  <c r="AM65" i="5" a="1"/>
  <c r="AM65" i="5" s="1"/>
  <c r="AQ55" i="5" a="1"/>
  <c r="AQ55" i="5" s="1"/>
  <c r="AR97" i="5" a="1"/>
  <c r="AR97" i="5" s="1"/>
  <c r="AN46" i="5" a="1"/>
  <c r="AN46" i="5" s="1"/>
  <c r="AR45" i="5" a="1"/>
  <c r="AR45" i="5" s="1"/>
  <c r="AO67" i="5" a="1"/>
  <c r="AO67" i="5" s="1"/>
  <c r="AP66" i="5" a="1"/>
  <c r="AP66" i="5" s="1"/>
  <c r="AO98" i="5" a="1"/>
  <c r="AO98" i="5" s="1"/>
  <c r="AP100" i="5" a="1"/>
  <c r="AP100" i="5" s="1"/>
  <c r="AQ92" i="5" a="1"/>
  <c r="AQ92" i="5" s="1"/>
  <c r="AR335" i="5" a="1"/>
  <c r="AR335" i="5" s="1"/>
  <c r="AQ87" i="5" a="1"/>
  <c r="AQ87" i="5" s="1"/>
  <c r="AN79" i="5" a="1"/>
  <c r="AN79" i="5" s="1"/>
  <c r="AP171" i="5" a="1"/>
  <c r="AP171" i="5" s="1"/>
  <c r="AR207" i="5" a="1"/>
  <c r="AR207" i="5" s="1"/>
  <c r="AO206" i="5" a="1"/>
  <c r="AO206" i="5" s="1"/>
  <c r="AO207" i="5" a="1"/>
  <c r="AO207" i="5" s="1"/>
  <c r="AR205" i="5" a="1"/>
  <c r="AR205" i="5" s="1"/>
  <c r="AP205" i="5" a="1"/>
  <c r="AP205" i="5" s="1"/>
  <c r="AN185" i="5" a="1"/>
  <c r="AN185" i="5" s="1"/>
  <c r="AN207" i="5" a="1"/>
  <c r="AN207" i="5" s="1"/>
  <c r="AN132" i="5" a="1"/>
  <c r="AN132" i="5" s="1"/>
  <c r="AN122" i="5" a="1"/>
  <c r="AN122" i="5" s="1"/>
  <c r="AN112" i="5" a="1"/>
  <c r="AN112" i="5" s="1"/>
  <c r="AM132" i="5" a="1"/>
  <c r="AM132" i="5" s="1"/>
  <c r="AM122" i="5" a="1"/>
  <c r="AM122" i="5" s="1"/>
  <c r="AM112" i="5" a="1"/>
  <c r="AM112" i="5" s="1"/>
  <c r="AR132" i="5" a="1"/>
  <c r="AR132" i="5" s="1"/>
  <c r="AR122" i="5" a="1"/>
  <c r="AR122" i="5" s="1"/>
  <c r="AR112" i="5" a="1"/>
  <c r="AR112" i="5" s="1"/>
  <c r="AQ132" i="5" a="1"/>
  <c r="AQ132" i="5" s="1"/>
  <c r="AQ122" i="5" a="1"/>
  <c r="AQ122" i="5" s="1"/>
  <c r="AQ112" i="5" a="1"/>
  <c r="AQ112" i="5" s="1"/>
  <c r="AP132" i="5" a="1"/>
  <c r="AP132" i="5" s="1"/>
  <c r="AP122" i="5" a="1"/>
  <c r="AP122" i="5" s="1"/>
  <c r="AP112" i="5" a="1"/>
  <c r="AP112" i="5" s="1"/>
  <c r="AO132" i="5" a="1"/>
  <c r="AO132" i="5" s="1"/>
  <c r="AO122" i="5" a="1"/>
  <c r="AO122" i="5" s="1"/>
  <c r="AO112" i="5" a="1"/>
  <c r="AO112" i="5" s="1"/>
  <c r="AM147" i="5" a="1"/>
  <c r="AM147" i="5" s="1"/>
  <c r="AP359" i="3" a="1"/>
  <c r="AP359" i="3" s="1"/>
  <c r="AP360" i="3" a="1"/>
  <c r="AP360" i="3" s="1"/>
  <c r="AN337" i="3" a="1"/>
  <c r="AN337" i="3" s="1"/>
  <c r="AN345" i="3" a="1"/>
  <c r="AN345" i="3" s="1"/>
  <c r="AQ342" i="3" a="1"/>
  <c r="AQ342" i="3" s="1"/>
  <c r="AN322" i="3" a="1"/>
  <c r="AN322" i="3" s="1"/>
  <c r="AN324" i="3" a="1"/>
  <c r="AN324" i="3" s="1"/>
  <c r="AM310" i="3" a="1"/>
  <c r="AM310" i="3" s="1"/>
  <c r="AP307" i="3" a="1"/>
  <c r="AP307" i="3" s="1"/>
  <c r="AR289" i="3" a="1"/>
  <c r="AR289" i="3" s="1"/>
  <c r="AP297" i="3" a="1"/>
  <c r="AP297" i="3" s="1"/>
  <c r="AM311" i="3" a="1"/>
  <c r="AM311" i="3" s="1"/>
  <c r="AM255" i="3" a="1"/>
  <c r="AM255" i="3" s="1"/>
  <c r="AQ277" i="3" a="1"/>
  <c r="AQ277" i="3" s="1"/>
  <c r="AO231" i="3" a="1"/>
  <c r="AO231" i="3" s="1"/>
  <c r="AP240" i="3" a="1"/>
  <c r="AP240" i="3" s="1"/>
  <c r="AO168" i="3" a="1"/>
  <c r="AO168" i="3" s="1"/>
  <c r="AQ147" i="3" a="1"/>
  <c r="AQ147" i="3" s="1"/>
  <c r="AM157" i="3" a="1"/>
  <c r="AM157" i="3" s="1"/>
  <c r="AR152" i="3" a="1"/>
  <c r="AR152" i="3" s="1"/>
  <c r="AP167" i="3" a="1"/>
  <c r="AP167" i="3" s="1"/>
  <c r="AM161" i="3" a="1"/>
  <c r="AM161" i="3" s="1"/>
  <c r="AN157" i="3" a="1"/>
  <c r="AN157" i="3" s="1"/>
  <c r="AM134" i="3" a="1"/>
  <c r="AM134" i="3" s="1"/>
  <c r="AR80" i="3" a="1"/>
  <c r="AR80" i="3" s="1"/>
  <c r="AN77" i="3" a="1"/>
  <c r="AN77" i="3" s="1"/>
  <c r="AO91" i="3" a="1"/>
  <c r="AO91" i="3" s="1"/>
  <c r="AQ18" i="1" a="1"/>
  <c r="AQ18" i="1" s="1"/>
  <c r="AN29" i="1" a="1"/>
  <c r="AN29" i="1" s="1"/>
  <c r="AO20" i="1" a="1"/>
  <c r="AO20" i="1" s="1"/>
  <c r="AM32" i="1" a="1"/>
  <c r="AM32" i="1" s="1"/>
  <c r="AM10" i="1" a="1"/>
  <c r="AM10" i="1" s="1"/>
  <c r="AU14" i="1" a="1"/>
  <c r="AU14" i="1" s="1"/>
  <c r="AM29" i="1" a="1"/>
  <c r="AM29" i="1" s="1"/>
  <c r="AN10" i="1"/>
  <c r="AN22" i="1" a="1"/>
  <c r="AN22" i="1" s="1"/>
  <c r="AQ8" i="1"/>
  <c r="AP8" i="1"/>
  <c r="AR19" i="1" a="1"/>
  <c r="AR19" i="1" s="1"/>
  <c r="AN31" i="1" a="1"/>
  <c r="AN31" i="1" s="1"/>
  <c r="AN19" i="1" a="1"/>
  <c r="AN19" i="1" s="1"/>
  <c r="AR31" i="1" a="1"/>
  <c r="AR31" i="1" s="1"/>
  <c r="AO30" i="1" a="1"/>
  <c r="AO30" i="1" s="1"/>
  <c r="AU16" i="1" a="1"/>
  <c r="AU16" i="1" s="1"/>
  <c r="AR12" i="1" a="1"/>
  <c r="AR12" i="1" s="1"/>
  <c r="AR18" i="1" a="1"/>
  <c r="AR18" i="1" s="1"/>
  <c r="AO18" i="1" a="1"/>
  <c r="AO18" i="1" s="1"/>
  <c r="AR9" i="1"/>
  <c r="AV14" i="1" a="1"/>
  <c r="AV14" i="1" s="1"/>
  <c r="AP22" i="1" a="1"/>
  <c r="AP22" i="1" s="1"/>
  <c r="AP30" i="1" a="1"/>
  <c r="AP30" i="1" s="1"/>
  <c r="AM28" i="1" a="1"/>
  <c r="AM28" i="1" s="1"/>
  <c r="AQ21" i="1" a="1"/>
  <c r="AQ21" i="1" s="1"/>
  <c r="AO21" i="1" a="1"/>
  <c r="AO21" i="1" s="1"/>
  <c r="AO19" i="1" a="1"/>
  <c r="AO19" i="1" s="1"/>
  <c r="AR10" i="1"/>
  <c r="AO29" i="1" a="1"/>
  <c r="AO29" i="1" s="1"/>
  <c r="AQ31" i="1" a="1"/>
  <c r="AQ31" i="1" s="1"/>
  <c r="AQ20" i="1" a="1"/>
  <c r="AQ20" i="1" s="1"/>
  <c r="AQ29" i="1" a="1"/>
  <c r="AQ29" i="1" s="1"/>
  <c r="AN30" i="1" a="1"/>
  <c r="AN30" i="1" s="1"/>
  <c r="AO8" i="1"/>
  <c r="AM20" i="1" a="1"/>
  <c r="AM20" i="1" s="1"/>
  <c r="AR8" i="1"/>
  <c r="AU15" i="1" a="1"/>
  <c r="AU15" i="1" s="1"/>
  <c r="AO22" i="1" a="1"/>
  <c r="AO22" i="1" s="1"/>
  <c r="AM31" i="1" a="1"/>
  <c r="AM31" i="1" s="1"/>
  <c r="AQ22" i="1" a="1"/>
  <c r="AQ22" i="1" s="1"/>
  <c r="AN32" i="1" a="1"/>
  <c r="AN32" i="1" s="1"/>
  <c r="AR32" i="1" a="1"/>
  <c r="AR32" i="1" s="1"/>
  <c r="AN28" i="1" a="1"/>
  <c r="AN28" i="1" s="1"/>
  <c r="AP19" i="1" a="1"/>
  <c r="AP19" i="1" s="1"/>
  <c r="AQ19" i="1" a="1"/>
  <c r="AQ19" i="1" s="1"/>
  <c r="AM11" i="1" a="1"/>
  <c r="AM11" i="1" s="1"/>
  <c r="AN8" i="1" a="1"/>
  <c r="AN8" i="1" s="1"/>
  <c r="AR20" i="1" a="1"/>
  <c r="AR20" i="1" s="1"/>
  <c r="AR30" i="1" a="1"/>
  <c r="AR30" i="1" s="1"/>
  <c r="AQ28" i="1" a="1"/>
  <c r="AQ28" i="1" s="1"/>
  <c r="AR7" i="3" a="1"/>
  <c r="AR7" i="3" s="1"/>
  <c r="AM27" i="3" a="1"/>
  <c r="AM27" i="3" s="1"/>
  <c r="AM32" i="3" a="1"/>
  <c r="AM32" i="3" s="1"/>
  <c r="AN7" i="3" a="1"/>
  <c r="AN7" i="3" s="1"/>
  <c r="AP27" i="3" a="1"/>
  <c r="AP27" i="3" s="1"/>
  <c r="AR12" i="3" a="1"/>
  <c r="AR12" i="3" s="1"/>
  <c r="AQ7" i="3" a="1"/>
  <c r="AQ7" i="3" s="1"/>
  <c r="AN21" i="3" a="1"/>
  <c r="AN21" i="3" s="1"/>
  <c r="AR9" i="3"/>
  <c r="AN102" i="3" a="1"/>
  <c r="AN102" i="3" s="1"/>
  <c r="AN91" i="3" a="1"/>
  <c r="AN91" i="3" s="1"/>
  <c r="AN82" i="3" a="1"/>
  <c r="AN82" i="3" s="1"/>
  <c r="AQ101" i="3" a="1"/>
  <c r="AQ101" i="3" s="1"/>
  <c r="AO89" i="3" a="1"/>
  <c r="AO89" i="3" s="1"/>
  <c r="AM99" i="3" a="1"/>
  <c r="AM99" i="3" s="1"/>
  <c r="AQ102" i="3" a="1"/>
  <c r="AQ102" i="3" s="1"/>
  <c r="AM89" i="3" a="1"/>
  <c r="AM89" i="3" s="1"/>
  <c r="AQ99" i="3" a="1"/>
  <c r="AQ99" i="3" s="1"/>
  <c r="AO123" i="3" a="1"/>
  <c r="AO123" i="3" s="1"/>
  <c r="AN127" i="3" a="1"/>
  <c r="AN127" i="3" s="1"/>
  <c r="AM127" i="3" a="1"/>
  <c r="AM127" i="3" s="1"/>
  <c r="AP112" i="3" a="1"/>
  <c r="AP112" i="3" s="1"/>
  <c r="AP127" i="3" a="1"/>
  <c r="AP127" i="3" s="1"/>
  <c r="AR126" i="3" a="1"/>
  <c r="AR126" i="3" s="1"/>
  <c r="AQ133" i="3" a="1"/>
  <c r="AQ133" i="3" s="1"/>
  <c r="AM112" i="3" a="1"/>
  <c r="AM112" i="3" s="1"/>
  <c r="AR150" i="3" a="1"/>
  <c r="AR150" i="3" s="1"/>
  <c r="AM172" i="3" a="1"/>
  <c r="AM172" i="3" s="1"/>
  <c r="AM150" i="3" a="1"/>
  <c r="AM150" i="3" s="1"/>
  <c r="AR147" i="3" a="1"/>
  <c r="AR147" i="3" s="1"/>
  <c r="AM148" i="3" a="1"/>
  <c r="AM148" i="3" s="1"/>
  <c r="AP170" i="3" a="1"/>
  <c r="AP170" i="3" s="1"/>
  <c r="AR167" i="3" a="1"/>
  <c r="AR167" i="3" s="1"/>
  <c r="AO149" i="3" a="1"/>
  <c r="AO149" i="3" s="1"/>
  <c r="AM171" i="3" a="1"/>
  <c r="AM171" i="3" s="1"/>
  <c r="AQ148" i="3" a="1"/>
  <c r="AQ148" i="3" s="1"/>
  <c r="AO152" i="3" a="1"/>
  <c r="AO152" i="3" s="1"/>
  <c r="AN159" i="3" a="1"/>
  <c r="AN159" i="3" s="1"/>
  <c r="AQ232" i="3" a="1"/>
  <c r="AQ232" i="3" s="1"/>
  <c r="AO219" i="3" a="1"/>
  <c r="AO219" i="3" s="1"/>
  <c r="AQ240" i="3" a="1"/>
  <c r="AQ240" i="3" s="1"/>
  <c r="AP232" i="3" a="1"/>
  <c r="AP232" i="3" s="1"/>
  <c r="AO218" i="3" a="1"/>
  <c r="AO218" i="3" s="1"/>
  <c r="AP220" i="3" a="1"/>
  <c r="AP220" i="3" s="1"/>
  <c r="AQ229" i="3" a="1"/>
  <c r="AQ229" i="3" s="1"/>
  <c r="AR262" i="3" a="1"/>
  <c r="AR262" i="3" s="1"/>
  <c r="AQ262" i="3" a="1"/>
  <c r="AQ262" i="3" s="1"/>
  <c r="AM274" i="3" a="1"/>
  <c r="AM274" i="3" s="1"/>
  <c r="AQ274" i="3" a="1"/>
  <c r="AQ274" i="3" s="1"/>
  <c r="AO273" i="3" a="1"/>
  <c r="AO273" i="3" s="1"/>
  <c r="AM263" i="3" a="1"/>
  <c r="AM263" i="3" s="1"/>
  <c r="AO277" i="3" a="1"/>
  <c r="AO277" i="3" s="1"/>
  <c r="AM272" i="3" a="1"/>
  <c r="AM272" i="3" s="1"/>
  <c r="AR274" i="3" a="1"/>
  <c r="AR274" i="3" s="1"/>
  <c r="AN276" i="3" a="1"/>
  <c r="AN276" i="3" s="1"/>
  <c r="AQ253" i="3" a="1"/>
  <c r="AQ253" i="3" s="1"/>
  <c r="AR253" i="3" a="1"/>
  <c r="AR253" i="3" s="1"/>
  <c r="AO252" i="3" a="1"/>
  <c r="AO252" i="3" s="1"/>
  <c r="AR291" i="3" a="1"/>
  <c r="AR291" i="3" s="1"/>
  <c r="AR312" i="3" a="1"/>
  <c r="AR312" i="3" s="1"/>
  <c r="AP302" i="3" a="1"/>
  <c r="AP302" i="3" s="1"/>
  <c r="AN299" i="3" a="1"/>
  <c r="AN299" i="3" s="1"/>
  <c r="AR290" i="3" a="1"/>
  <c r="AR290" i="3" s="1"/>
  <c r="AO308" i="3" a="1"/>
  <c r="AO308" i="3" s="1"/>
  <c r="AN290" i="3" a="1"/>
  <c r="AN290" i="3" s="1"/>
  <c r="AP301" i="3" a="1"/>
  <c r="AP301" i="3" s="1"/>
  <c r="AR310" i="3" a="1"/>
  <c r="AR310" i="3" s="1"/>
  <c r="AO292" i="3" a="1"/>
  <c r="AO292" i="3" s="1"/>
  <c r="AO312" i="3" a="1"/>
  <c r="AO312" i="3" s="1"/>
  <c r="AR311" i="3" a="1"/>
  <c r="AR311" i="3" s="1"/>
  <c r="AQ291" i="3" a="1"/>
  <c r="AQ291" i="3" s="1"/>
  <c r="AM299" i="3" a="1"/>
  <c r="AM299" i="3" s="1"/>
  <c r="AM291" i="3" a="1"/>
  <c r="AM291" i="3" s="1"/>
  <c r="AN300" i="3" a="1"/>
  <c r="AN300" i="3" s="1"/>
  <c r="AQ292" i="3" a="1"/>
  <c r="AQ292" i="3" s="1"/>
  <c r="AN325" i="3" a="1"/>
  <c r="AN325" i="3" s="1"/>
  <c r="AN326" i="3" a="1"/>
  <c r="AN326" i="3" s="1"/>
  <c r="AR346" i="3" a="1"/>
  <c r="AR346" i="3" s="1"/>
  <c r="AM326" i="3" a="1"/>
  <c r="AM326" i="3" s="1"/>
  <c r="AQ347" i="3" a="1"/>
  <c r="AQ347" i="3" s="1"/>
  <c r="AN347" i="3" a="1"/>
  <c r="AN347" i="3" s="1"/>
  <c r="AR333" i="3" a="1"/>
  <c r="AR333" i="3" s="1"/>
  <c r="AP334" i="3" a="1"/>
  <c r="AP334" i="3" s="1"/>
  <c r="AQ345" i="3" a="1"/>
  <c r="AQ345" i="3" s="1"/>
  <c r="AN333" i="3" a="1"/>
  <c r="AN333" i="3" s="1"/>
  <c r="AM327" i="3" a="1"/>
  <c r="AM327" i="3" s="1"/>
  <c r="AR327" i="3" a="1"/>
  <c r="AR327" i="3" s="1"/>
  <c r="AR344" i="3" a="1"/>
  <c r="AR344" i="3" s="1"/>
  <c r="AO335" i="3" a="1"/>
  <c r="AO335" i="3" s="1"/>
  <c r="AM334" i="3" a="1"/>
  <c r="AM334" i="3" s="1"/>
  <c r="AQ336" i="3" a="1"/>
  <c r="AQ336" i="3" s="1"/>
  <c r="AP343" i="3" a="1"/>
  <c r="AP343" i="3" s="1"/>
  <c r="AO346" i="3" a="1"/>
  <c r="AO346" i="3" s="1"/>
  <c r="AQ327" i="3" a="1"/>
  <c r="AQ327" i="3" s="1"/>
  <c r="AN346" i="3" a="1"/>
  <c r="AN346" i="3" s="1"/>
  <c r="AQ324" i="3" a="1"/>
  <c r="AQ324" i="3" s="1"/>
  <c r="AR336" i="3" a="1"/>
  <c r="AR336" i="3" s="1"/>
  <c r="AM335" i="3" a="1"/>
  <c r="AM335" i="3" s="1"/>
  <c r="AQ326" i="3" a="1"/>
  <c r="AQ326" i="3" s="1"/>
  <c r="AQ335" i="3" a="1"/>
  <c r="AQ335" i="3" s="1"/>
  <c r="AN327" i="3" a="1"/>
  <c r="AN327" i="3" s="1"/>
  <c r="AQ337" i="3" a="1"/>
  <c r="AQ337" i="3" s="1"/>
  <c r="AR343" i="3" a="1"/>
  <c r="AR343" i="3" s="1"/>
  <c r="AQ332" i="3" a="1"/>
  <c r="AQ332" i="3" s="1"/>
  <c r="AO333" i="3" a="1"/>
  <c r="AO333" i="3" s="1"/>
  <c r="AO344" i="3" a="1"/>
  <c r="AO344" i="3" s="1"/>
  <c r="AM336" i="3" a="1"/>
  <c r="AM336" i="3" s="1"/>
  <c r="AN342" i="3" a="1"/>
  <c r="AN342" i="3" s="1"/>
  <c r="AQ346" i="3" a="1"/>
  <c r="AQ346" i="3" s="1"/>
  <c r="AO325" i="3" a="1"/>
  <c r="AO325" i="3" s="1"/>
  <c r="AO336" i="3" a="1"/>
  <c r="AO336" i="3" s="1"/>
  <c r="AP324" i="3" a="1"/>
  <c r="AP324" i="3" s="1"/>
  <c r="AO322" i="3" a="1"/>
  <c r="AO322" i="3" s="1"/>
  <c r="AO323" i="3" a="1"/>
  <c r="AO323" i="3" s="1"/>
  <c r="AR345" i="3" a="1"/>
  <c r="AR345" i="3" s="1"/>
  <c r="AN323" i="3" a="1"/>
  <c r="AN323" i="3" s="1"/>
  <c r="AO334" i="3" a="1"/>
  <c r="AO334" i="3" s="1"/>
  <c r="AQ334" i="3" a="1"/>
  <c r="AQ334" i="3" s="1"/>
  <c r="AM332" i="3" a="1"/>
  <c r="AM332" i="3" s="1"/>
  <c r="AP332" i="3" a="1"/>
  <c r="AP332" i="3" s="1"/>
  <c r="AP333" i="3" a="1"/>
  <c r="AP333" i="3" s="1"/>
  <c r="AQ325" i="3" a="1"/>
  <c r="AQ325" i="3" s="1"/>
  <c r="AQ323" i="3" a="1"/>
  <c r="AQ323" i="3" s="1"/>
  <c r="AO380" i="3" a="1"/>
  <c r="AO380" i="3" s="1"/>
  <c r="AN158" i="3" a="1"/>
  <c r="AN158" i="3" s="1"/>
  <c r="AM114" i="3" a="1"/>
  <c r="AM114" i="3" s="1"/>
  <c r="AP242" i="3" a="1"/>
  <c r="AP242" i="3" s="1"/>
  <c r="AR149" i="3" a="1"/>
  <c r="AR149" i="3" s="1"/>
  <c r="AO241" i="3" a="1"/>
  <c r="AO241" i="3" s="1"/>
  <c r="AQ158" i="3" a="1"/>
  <c r="AQ158" i="3" s="1"/>
  <c r="AM132" i="3" a="1"/>
  <c r="AM132" i="3" s="1"/>
  <c r="AR124" i="3" a="1"/>
  <c r="AR124" i="3" s="1"/>
  <c r="AP382" i="3" a="1"/>
  <c r="AP382" i="3" s="1"/>
  <c r="AP160" i="3" a="1"/>
  <c r="AP160" i="3" s="1"/>
  <c r="AO150" i="3" a="1"/>
  <c r="AO150" i="3" s="1"/>
  <c r="AO161" i="3" a="1"/>
  <c r="AO161" i="3" s="1"/>
  <c r="AM149" i="3" a="1"/>
  <c r="AM149" i="3" s="1"/>
  <c r="AR172" i="3" a="1"/>
  <c r="AR172" i="3" s="1"/>
  <c r="AM160" i="3" a="1"/>
  <c r="AM160" i="3" s="1"/>
  <c r="AQ168" i="3" a="1"/>
  <c r="AQ168" i="3" s="1"/>
  <c r="AN162" i="3" a="1"/>
  <c r="AN162" i="3" s="1"/>
  <c r="AP168" i="3" a="1"/>
  <c r="AP168" i="3" s="1"/>
  <c r="AO158" i="3" a="1"/>
  <c r="AO158" i="3" s="1"/>
  <c r="AN169" i="3" a="1"/>
  <c r="AN169" i="3" s="1"/>
  <c r="AN170" i="3" a="1"/>
  <c r="AN170" i="3" s="1"/>
  <c r="AN151" i="3" a="1"/>
  <c r="AN151" i="3" s="1"/>
  <c r="AQ77" i="3" a="1"/>
  <c r="AQ77" i="3" s="1"/>
  <c r="AQ378" i="3" a="1"/>
  <c r="AQ378" i="3" s="1"/>
  <c r="AQ379" i="3" a="1"/>
  <c r="AQ379" i="3" s="1"/>
  <c r="AN117" i="3" a="1"/>
  <c r="AN117" i="3" s="1"/>
  <c r="AM125" i="3" a="1"/>
  <c r="AM125" i="3" s="1"/>
  <c r="AR368" i="3" a="1"/>
  <c r="AR368" i="3" s="1"/>
  <c r="AM371" i="3" a="1"/>
  <c r="AM371" i="3" s="1"/>
  <c r="AQ380" i="3" a="1"/>
  <c r="AQ380" i="3" s="1"/>
  <c r="AR230" i="3" a="1"/>
  <c r="AR230" i="3" s="1"/>
  <c r="AP218" i="3" a="1"/>
  <c r="AP218" i="3" s="1"/>
  <c r="AP158" i="3" a="1"/>
  <c r="AP158" i="3" s="1"/>
  <c r="AQ126" i="3" a="1"/>
  <c r="AQ126" i="3" s="1"/>
  <c r="AO99" i="3" a="1"/>
  <c r="AO99" i="3" s="1"/>
  <c r="AO362" i="3" a="1"/>
  <c r="AO362" i="3" s="1"/>
  <c r="AQ358" i="3" a="1"/>
  <c r="AQ358" i="3" s="1"/>
  <c r="AN152" i="3" a="1"/>
  <c r="AN152" i="3" s="1"/>
  <c r="AQ151" i="3" a="1"/>
  <c r="AQ151" i="3" s="1"/>
  <c r="AP229" i="3" a="1"/>
  <c r="AP229" i="3" s="1"/>
  <c r="AP151" i="3" a="1"/>
  <c r="AP151" i="3" s="1"/>
  <c r="AM91" i="3" a="1"/>
  <c r="AM91" i="3" s="1"/>
  <c r="AO90" i="3" a="1"/>
  <c r="AO90" i="3" s="1"/>
  <c r="AR89" i="3" a="1"/>
  <c r="AR89" i="3" s="1"/>
  <c r="AP90" i="3" a="1"/>
  <c r="AP90" i="3" s="1"/>
  <c r="AR99" i="3" a="1"/>
  <c r="AR99" i="3" s="1"/>
  <c r="AR92" i="3" a="1"/>
  <c r="AR92" i="3" s="1"/>
  <c r="AP88" i="3" a="1"/>
  <c r="AP88" i="3" s="1"/>
  <c r="AM101" i="3" a="1"/>
  <c r="AM101" i="3" s="1"/>
  <c r="AO80" i="3" a="1"/>
  <c r="AO80" i="3" s="1"/>
  <c r="AR101" i="3" a="1"/>
  <c r="AR101" i="3" s="1"/>
  <c r="AM100" i="3" a="1"/>
  <c r="AM100" i="3" s="1"/>
  <c r="AR90" i="3" a="1"/>
  <c r="AR90" i="3" s="1"/>
  <c r="AP91" i="3" a="1"/>
  <c r="AP91" i="3" s="1"/>
  <c r="AO102" i="3" a="1"/>
  <c r="AO102" i="3" s="1"/>
  <c r="AN125" i="3" a="1"/>
  <c r="AN125" i="3" s="1"/>
  <c r="AO97" i="3" a="1"/>
  <c r="AO97" i="3" s="1"/>
  <c r="AR377" i="3" a="1"/>
  <c r="AR377" i="3" s="1"/>
  <c r="AR367" i="3" a="1"/>
  <c r="AR367" i="3" s="1"/>
  <c r="AO377" i="3" a="1"/>
  <c r="AO377" i="3" s="1"/>
  <c r="AO367" i="3" a="1"/>
  <c r="AO367" i="3" s="1"/>
  <c r="AM377" i="3" a="1"/>
  <c r="AM377" i="3" s="1"/>
  <c r="AM367" i="3" a="1"/>
  <c r="AM367" i="3" s="1"/>
  <c r="AN357" i="3" a="1"/>
  <c r="AN357" i="3" s="1"/>
  <c r="AM357" i="3" a="1"/>
  <c r="AM357" i="3" s="1"/>
  <c r="AR357" i="3" a="1"/>
  <c r="AR357" i="3" s="1"/>
  <c r="AN377" i="3" a="1"/>
  <c r="AN377" i="3" s="1"/>
  <c r="AO357" i="3" a="1"/>
  <c r="AO357" i="3" s="1"/>
  <c r="AN367" i="3" a="1"/>
  <c r="AN367" i="3" s="1"/>
  <c r="AP357" i="3" a="1"/>
  <c r="AP357" i="3" s="1"/>
  <c r="AP367" i="3" a="1"/>
  <c r="AP367" i="3" s="1"/>
  <c r="AP377" i="3" a="1"/>
  <c r="AP377" i="3" s="1"/>
  <c r="AQ377" i="3" a="1"/>
  <c r="AQ377" i="3" s="1"/>
  <c r="AQ357" i="3" a="1"/>
  <c r="AQ357" i="3" s="1"/>
  <c r="AQ367" i="3" a="1"/>
  <c r="AQ367" i="3" s="1"/>
  <c r="AO381" i="3" a="1"/>
  <c r="AO381" i="3" s="1"/>
  <c r="AR361" i="3" a="1"/>
  <c r="AR361" i="3" s="1"/>
  <c r="AN381" i="3" a="1"/>
  <c r="AN381" i="3" s="1"/>
  <c r="AM370" i="3" a="1"/>
  <c r="AM370" i="3" s="1"/>
  <c r="AM360" i="3" a="1"/>
  <c r="AM360" i="3" s="1"/>
  <c r="AM380" i="3" a="1"/>
  <c r="AM380" i="3" s="1"/>
  <c r="AR359" i="3" a="1"/>
  <c r="AR359" i="3" s="1"/>
  <c r="AN358" i="3" a="1"/>
  <c r="AN358" i="3" s="1"/>
  <c r="AR369" i="3" a="1"/>
  <c r="AR369" i="3" s="1"/>
  <c r="AO369" i="3" a="1"/>
  <c r="AO369" i="3" s="1"/>
  <c r="AN378" i="3" a="1"/>
  <c r="AN378" i="3" s="1"/>
  <c r="AM378" i="3" a="1"/>
  <c r="AM378" i="3" s="1"/>
  <c r="AO359" i="3" a="1"/>
  <c r="AO359" i="3" s="1"/>
  <c r="AR381" i="3" a="1"/>
  <c r="AR381" i="3" s="1"/>
  <c r="AQ372" i="3" a="1"/>
  <c r="AQ372" i="3" s="1"/>
  <c r="AP380" i="3" a="1"/>
  <c r="AP380" i="3" s="1"/>
  <c r="AP358" i="3" a="1"/>
  <c r="AP358" i="3" s="1"/>
  <c r="AM379" i="3" a="1"/>
  <c r="AM379" i="3" s="1"/>
  <c r="AR382" i="3" a="1"/>
  <c r="AR382" i="3" s="1"/>
  <c r="AO358" i="3" a="1"/>
  <c r="AO358" i="3" s="1"/>
  <c r="AQ371" i="3" a="1"/>
  <c r="AQ371" i="3" s="1"/>
  <c r="AN382" i="3" a="1"/>
  <c r="AN382" i="3" s="1"/>
  <c r="AR372" i="3" a="1"/>
  <c r="AR372" i="3" s="1"/>
  <c r="AN372" i="3" a="1"/>
  <c r="AN372" i="3" s="1"/>
  <c r="AM368" i="3" a="1"/>
  <c r="AM368" i="3" s="1"/>
  <c r="AM358" i="3" a="1"/>
  <c r="AM358" i="3" s="1"/>
  <c r="AP369" i="3" a="1"/>
  <c r="AP369" i="3" s="1"/>
  <c r="AN362" i="3" a="1"/>
  <c r="AN362" i="3" s="1"/>
  <c r="AR360" i="3" a="1"/>
  <c r="AR360" i="3" s="1"/>
  <c r="AP379" i="3" a="1"/>
  <c r="AP379" i="3" s="1"/>
  <c r="AM372" i="3" a="1"/>
  <c r="AM372" i="3" s="1"/>
  <c r="AN371" i="3" a="1"/>
  <c r="AN371" i="3" s="1"/>
  <c r="AM362" i="3" a="1"/>
  <c r="AM362" i="3" s="1"/>
  <c r="AM359" i="3" a="1"/>
  <c r="AM359" i="3" s="1"/>
  <c r="AR371" i="3" a="1"/>
  <c r="AR371" i="3" s="1"/>
  <c r="AQ360" i="3" a="1"/>
  <c r="AQ360" i="3" s="1"/>
  <c r="AN380" i="3" a="1"/>
  <c r="AN380" i="3" s="1"/>
  <c r="AQ359" i="3" a="1"/>
  <c r="AQ359" i="3" s="1"/>
  <c r="AQ370" i="3" a="1"/>
  <c r="AQ370" i="3" s="1"/>
  <c r="AP378" i="3" a="1"/>
  <c r="AP378" i="3" s="1"/>
  <c r="AR380" i="3" a="1"/>
  <c r="AR380" i="3" s="1"/>
  <c r="AO370" i="3" a="1"/>
  <c r="AO370" i="3" s="1"/>
  <c r="AR362" i="3" a="1"/>
  <c r="AR362" i="3" s="1"/>
  <c r="AQ368" i="3" a="1"/>
  <c r="AQ368" i="3" s="1"/>
  <c r="AO378" i="3" a="1"/>
  <c r="AO378" i="3" s="1"/>
  <c r="AO382" i="3" a="1"/>
  <c r="AO382" i="3" s="1"/>
  <c r="AO361" i="3" a="1"/>
  <c r="AO361" i="3" s="1"/>
  <c r="AQ382" i="3" a="1"/>
  <c r="AQ382" i="3" s="1"/>
  <c r="AM381" i="3" a="1"/>
  <c r="AM381" i="3" s="1"/>
  <c r="AR379" i="3" a="1"/>
  <c r="AR379" i="3" s="1"/>
  <c r="AQ381" i="3" a="1"/>
  <c r="AQ381" i="3" s="1"/>
  <c r="AO372" i="3" a="1"/>
  <c r="AO372" i="3" s="1"/>
  <c r="AQ369" i="3" a="1"/>
  <c r="AQ369" i="3" s="1"/>
  <c r="AP372" i="3" a="1"/>
  <c r="AP372" i="3" s="1"/>
  <c r="AN379" i="3" a="1"/>
  <c r="AN379" i="3" s="1"/>
  <c r="AM369" i="3" a="1"/>
  <c r="AM369" i="3" s="1"/>
  <c r="AR358" i="3" a="1"/>
  <c r="AR358" i="3" s="1"/>
  <c r="AP371" i="3" a="1"/>
  <c r="AP371" i="3" s="1"/>
  <c r="AQ361" i="3" a="1"/>
  <c r="AQ361" i="3" s="1"/>
  <c r="AP368" i="3" a="1"/>
  <c r="AP368" i="3" s="1"/>
  <c r="AR378" i="3" a="1"/>
  <c r="AR378" i="3" s="1"/>
  <c r="AQ362" i="3" a="1"/>
  <c r="AQ362" i="3" s="1"/>
  <c r="AP370" i="3" a="1"/>
  <c r="AP370" i="3" s="1"/>
  <c r="AR370" i="3" a="1"/>
  <c r="AR370" i="3" s="1"/>
  <c r="AO360" i="3" a="1"/>
  <c r="AO360" i="3" s="1"/>
  <c r="AO368" i="3" a="1"/>
  <c r="AO368" i="3" s="1"/>
  <c r="AO371" i="3" a="1"/>
  <c r="AO371" i="3" s="1"/>
  <c r="AN368" i="3" a="1"/>
  <c r="AN368" i="3" s="1"/>
  <c r="AN369" i="3" a="1"/>
  <c r="AN369" i="3" s="1"/>
  <c r="AP362" i="3" a="1"/>
  <c r="AP362" i="3" s="1"/>
  <c r="AN361" i="3" a="1"/>
  <c r="AN361" i="3" s="1"/>
  <c r="AP381" i="3" a="1"/>
  <c r="AP381" i="3" s="1"/>
  <c r="AN370" i="3" a="1"/>
  <c r="AN370" i="3" s="1"/>
  <c r="AP162" i="3" a="1"/>
  <c r="AP162" i="3" s="1"/>
  <c r="AQ150" i="3" a="1"/>
  <c r="AQ150" i="3" s="1"/>
  <c r="AO240" i="3" a="1"/>
  <c r="AO240" i="3" s="1"/>
  <c r="AM228" i="3" a="1"/>
  <c r="AM228" i="3" s="1"/>
  <c r="AR238" i="3" a="1"/>
  <c r="AR238" i="3" s="1"/>
  <c r="AR231" i="3" a="1"/>
  <c r="AR231" i="3" s="1"/>
  <c r="AO379" i="3" a="1"/>
  <c r="AO379" i="3" s="1"/>
  <c r="AM382" i="3" a="1"/>
  <c r="AM382" i="3" s="1"/>
  <c r="AO256" i="3" a="1"/>
  <c r="AO256" i="3" s="1"/>
  <c r="AQ266" i="3" a="1"/>
  <c r="AQ266" i="3" s="1"/>
  <c r="AO255" i="3" a="1"/>
  <c r="AO255" i="3" s="1"/>
  <c r="AR232" i="3" a="1"/>
  <c r="AR232" i="3" s="1"/>
  <c r="AR287" i="3" a="1"/>
  <c r="AR287" i="3" s="1"/>
  <c r="AO287" i="3" a="1"/>
  <c r="AO287" i="3" s="1"/>
  <c r="AO297" i="3" a="1"/>
  <c r="AO297" i="3" s="1"/>
  <c r="AN297" i="3" a="1"/>
  <c r="AN297" i="3" s="1"/>
  <c r="AO307" i="3" a="1"/>
  <c r="AO307" i="3" s="1"/>
  <c r="AQ287" i="3" a="1"/>
  <c r="AQ287" i="3" s="1"/>
  <c r="AR297" i="3" a="1"/>
  <c r="AR297" i="3" s="1"/>
  <c r="AQ297" i="3" a="1"/>
  <c r="AQ297" i="3" s="1"/>
  <c r="AM307" i="3" a="1"/>
  <c r="AM307" i="3" s="1"/>
  <c r="AM287" i="3" a="1"/>
  <c r="AM287" i="3" s="1"/>
  <c r="AR307" i="3" a="1"/>
  <c r="AR307" i="3" s="1"/>
  <c r="AM297" i="3" a="1"/>
  <c r="AM297" i="3" s="1"/>
  <c r="AP287" i="3" a="1"/>
  <c r="AP287" i="3" s="1"/>
  <c r="AQ307" i="3" a="1"/>
  <c r="AQ307" i="3" s="1"/>
  <c r="AN307" i="3" a="1"/>
  <c r="AN307" i="3" s="1"/>
  <c r="AN287" i="3" a="1"/>
  <c r="AN287" i="3" s="1"/>
  <c r="AO171" i="3" a="1"/>
  <c r="AO171" i="3" s="1"/>
  <c r="AQ230" i="3" a="1"/>
  <c r="AQ230" i="3" s="1"/>
  <c r="AM221" i="3" a="1"/>
  <c r="AM221" i="3" s="1"/>
  <c r="AN97" i="3" a="1"/>
  <c r="AN97" i="3" s="1"/>
  <c r="AQ97" i="3" a="1"/>
  <c r="AQ97" i="3" s="1"/>
  <c r="AR87" i="3" a="1"/>
  <c r="AR87" i="3" s="1"/>
  <c r="AP77" i="3" a="1"/>
  <c r="AP77" i="3" s="1"/>
  <c r="AM97" i="3" a="1"/>
  <c r="AM97" i="3" s="1"/>
  <c r="AO151" i="3" a="1"/>
  <c r="AO151" i="3" s="1"/>
  <c r="AN360" i="3" a="1"/>
  <c r="AN360" i="3" s="1"/>
  <c r="AP137" i="3" a="1"/>
  <c r="AP137" i="3" s="1"/>
  <c r="AQ114" i="3" a="1"/>
  <c r="AQ114" i="3" s="1"/>
  <c r="AO126" i="3" a="1"/>
  <c r="AO126" i="3" s="1"/>
  <c r="AM126" i="3" a="1"/>
  <c r="AM126" i="3" s="1"/>
  <c r="AR135" i="3" a="1"/>
  <c r="AR135" i="3" s="1"/>
  <c r="AM135" i="3" a="1"/>
  <c r="AM135" i="3" s="1"/>
  <c r="AM115" i="3" a="1"/>
  <c r="AM115" i="3" s="1"/>
  <c r="AM133" i="3" a="1"/>
  <c r="AM133" i="3" s="1"/>
  <c r="AR162" i="3" a="1"/>
  <c r="AR162" i="3" s="1"/>
  <c r="AM361" i="3" a="1"/>
  <c r="AM361" i="3" s="1"/>
  <c r="AN359" i="3" a="1"/>
  <c r="AN359" i="3" s="1"/>
  <c r="AP238" i="3" a="1"/>
  <c r="AP238" i="3" s="1"/>
  <c r="AR299" i="3" a="1"/>
  <c r="AR299" i="3" s="1"/>
  <c r="AR298" i="3" a="1"/>
  <c r="AR298" i="3" s="1"/>
  <c r="AO289" i="3" a="1"/>
  <c r="AO289" i="3" s="1"/>
  <c r="AQ299" i="3" a="1"/>
  <c r="AQ299" i="3" s="1"/>
  <c r="AN308" i="3" a="1"/>
  <c r="AN308" i="3" s="1"/>
  <c r="AO291" i="3" a="1"/>
  <c r="AO291" i="3" s="1"/>
  <c r="AN302" i="3" a="1"/>
  <c r="AN302" i="3" s="1"/>
  <c r="AO288" i="3" a="1"/>
  <c r="AO288" i="3" s="1"/>
  <c r="AQ300" i="3" a="1"/>
  <c r="AQ300" i="3" s="1"/>
  <c r="AR292" i="3" a="1"/>
  <c r="AR292" i="3" s="1"/>
  <c r="AM312" i="3" a="1"/>
  <c r="AM312" i="3" s="1"/>
  <c r="AM308" i="3" a="1"/>
  <c r="AM308" i="3" s="1"/>
  <c r="AM289" i="3" a="1"/>
  <c r="AM289" i="3" s="1"/>
  <c r="AP310" i="3" a="1"/>
  <c r="AP310" i="3" s="1"/>
  <c r="AM290" i="3" a="1"/>
  <c r="AM290" i="3" s="1"/>
  <c r="AQ301" i="3" a="1"/>
  <c r="AQ301" i="3" s="1"/>
  <c r="AN292" i="3" a="1"/>
  <c r="AN292" i="3" s="1"/>
  <c r="AR169" i="3" a="1"/>
  <c r="AR169" i="3" s="1"/>
  <c r="AO148" i="3" a="1"/>
  <c r="AO148" i="3" s="1"/>
  <c r="AN87" i="3" a="1"/>
  <c r="AN87" i="3" s="1"/>
  <c r="AQ125" i="3" a="1"/>
  <c r="AQ125" i="3" s="1"/>
  <c r="AN161" i="3" a="1"/>
  <c r="AN161" i="3" s="1"/>
  <c r="AN148" i="3" a="1"/>
  <c r="AN148" i="3" s="1"/>
  <c r="AP252" i="3" a="1"/>
  <c r="AP252" i="3" s="1"/>
  <c r="AO239" i="3" a="1"/>
  <c r="AO239" i="3" s="1"/>
  <c r="AN167" i="3" a="1"/>
  <c r="AN167" i="3" s="1"/>
  <c r="AP239" i="3" a="1"/>
  <c r="AP239" i="3" s="1"/>
  <c r="AM78" i="3" a="1"/>
  <c r="AM78" i="3" s="1"/>
  <c r="AN88" i="3" a="1"/>
  <c r="AN88" i="3" s="1"/>
  <c r="AP115" i="3" a="1"/>
  <c r="AP115" i="3" s="1"/>
  <c r="AP135" i="3" a="1"/>
  <c r="AP135" i="3" s="1"/>
  <c r="AN133" i="3" a="1"/>
  <c r="AN133" i="3" s="1"/>
  <c r="AP136" i="3" a="1"/>
  <c r="AP136" i="3" s="1"/>
  <c r="AP133" i="3" a="1"/>
  <c r="AP133" i="3" s="1"/>
  <c r="AO133" i="3" a="1"/>
  <c r="AO133" i="3" s="1"/>
  <c r="AR117" i="3" a="1"/>
  <c r="AR117" i="3" s="1"/>
  <c r="AR136" i="3" a="1"/>
  <c r="AR136" i="3" s="1"/>
  <c r="AM136" i="3" a="1"/>
  <c r="AM136" i="3" s="1"/>
  <c r="AO127" i="3" a="1"/>
  <c r="AO127" i="3" s="1"/>
  <c r="AN134" i="3" a="1"/>
  <c r="AN134" i="3" s="1"/>
  <c r="AQ116" i="3" a="1"/>
  <c r="AQ116" i="3" s="1"/>
  <c r="AO125" i="3" a="1"/>
  <c r="AO125" i="3" s="1"/>
  <c r="AM124" i="3" a="1"/>
  <c r="AM124" i="3" s="1"/>
  <c r="AO116" i="3" a="1"/>
  <c r="AO116" i="3" s="1"/>
  <c r="AN115" i="3" a="1"/>
  <c r="AN115" i="3" s="1"/>
  <c r="AQ92" i="3" a="1"/>
  <c r="AQ92" i="3" s="1"/>
  <c r="AQ87" i="3" a="1"/>
  <c r="AQ87" i="3" s="1"/>
  <c r="AN277" i="3" a="1"/>
  <c r="AN277" i="3" s="1"/>
  <c r="AM267" i="3" a="1"/>
  <c r="AM267" i="3" s="1"/>
  <c r="AM276" i="3" a="1"/>
  <c r="AM276" i="3" s="1"/>
  <c r="AP257" i="3" a="1"/>
  <c r="AP257" i="3" s="1"/>
  <c r="AM242" i="3" a="1"/>
  <c r="AM242" i="3" s="1"/>
  <c r="AN238" i="3" a="1"/>
  <c r="AN238" i="3" s="1"/>
  <c r="AN219" i="3" a="1"/>
  <c r="AN219" i="3" s="1"/>
  <c r="AR241" i="3" a="1"/>
  <c r="AR241" i="3" s="1"/>
  <c r="AN239" i="3" a="1"/>
  <c r="AN239" i="3" s="1"/>
  <c r="AP291" i="3" a="1"/>
  <c r="AP291" i="3" s="1"/>
  <c r="AP289" i="3" a="1"/>
  <c r="AP289" i="3" s="1"/>
  <c r="AP309" i="3" a="1"/>
  <c r="AP309" i="3" s="1"/>
  <c r="AQ302" i="3" a="1"/>
  <c r="AQ302" i="3" s="1"/>
  <c r="AR300" i="3" a="1"/>
  <c r="AR300" i="3" s="1"/>
  <c r="AO170" i="3" a="1"/>
  <c r="AO170" i="3" s="1"/>
  <c r="AQ171" i="3" a="1"/>
  <c r="AQ171" i="3" s="1"/>
  <c r="AR148" i="3" a="1"/>
  <c r="AR148" i="3" s="1"/>
  <c r="AM170" i="3" a="1"/>
  <c r="AM170" i="3" s="1"/>
  <c r="AR161" i="3" a="1"/>
  <c r="AR161" i="3" s="1"/>
  <c r="AN231" i="3" a="1"/>
  <c r="AN231" i="3" s="1"/>
  <c r="AQ238" i="3" a="1"/>
  <c r="AQ238" i="3" s="1"/>
  <c r="AM220" i="3" a="1"/>
  <c r="AM220" i="3" s="1"/>
  <c r="AO327" i="3" a="1"/>
  <c r="AO327" i="3" s="1"/>
  <c r="AM342" i="3" a="1"/>
  <c r="AM342" i="3" s="1"/>
  <c r="AN122" i="3" a="1"/>
  <c r="AN122" i="3" s="1"/>
  <c r="AO169" i="3" a="1"/>
  <c r="AO169" i="3" s="1"/>
  <c r="AM325" i="3" a="1"/>
  <c r="AM325" i="3" s="1"/>
  <c r="AO345" i="3" a="1"/>
  <c r="AO345" i="3" s="1"/>
  <c r="AO337" i="3" a="1"/>
  <c r="AO337" i="3" s="1"/>
  <c r="AP347" i="3" a="1"/>
  <c r="AP347" i="3" s="1"/>
  <c r="AR326" i="3" a="1"/>
  <c r="AR326" i="3" s="1"/>
  <c r="AM337" i="3" a="1"/>
  <c r="AM337" i="3" s="1"/>
  <c r="AN334" i="3" a="1"/>
  <c r="AN334" i="3" s="1"/>
  <c r="AR122" i="3" a="1"/>
  <c r="AR122" i="3" s="1"/>
  <c r="AO79" i="3" a="1"/>
  <c r="AO79" i="3" s="1"/>
  <c r="AM79" i="3" a="1"/>
  <c r="AM79" i="3" s="1"/>
  <c r="AR91" i="3" a="1"/>
  <c r="AR91" i="3" s="1"/>
  <c r="AO92" i="3" a="1"/>
  <c r="AO92" i="3" s="1"/>
  <c r="AP92" i="3" a="1"/>
  <c r="AP92" i="3" s="1"/>
  <c r="AO113" i="3" a="1"/>
  <c r="AO113" i="3" s="1"/>
  <c r="AM77" i="3" a="1"/>
  <c r="AM77" i="3" s="1"/>
  <c r="AM158" i="3" a="1"/>
  <c r="AM158" i="3" s="1"/>
  <c r="AO157" i="3" a="1"/>
  <c r="AO157" i="3" s="1"/>
  <c r="AO117" i="3" a="1"/>
  <c r="AO117" i="3" s="1"/>
  <c r="AQ137" i="3" a="1"/>
  <c r="AQ137" i="3" s="1"/>
  <c r="AQ134" i="3" a="1"/>
  <c r="AQ134" i="3" s="1"/>
  <c r="AQ124" i="3" a="1"/>
  <c r="AQ124" i="3" s="1"/>
  <c r="AQ135" i="3" a="1"/>
  <c r="AQ135" i="3" s="1"/>
  <c r="AO134" i="3" a="1"/>
  <c r="AO134" i="3" s="1"/>
  <c r="AR88" i="3" a="1"/>
  <c r="AR88" i="3" s="1"/>
  <c r="AM80" i="3" a="1"/>
  <c r="AM80" i="3" s="1"/>
  <c r="AM167" i="3" a="1"/>
  <c r="AM167" i="3" s="1"/>
  <c r="AR219" i="3" a="1"/>
  <c r="AR219" i="3" s="1"/>
  <c r="AM147" i="3" a="1"/>
  <c r="AM147" i="3" s="1"/>
  <c r="AP134" i="3" a="1"/>
  <c r="AP134" i="3" s="1"/>
  <c r="AP256" i="3" a="1"/>
  <c r="AP256" i="3" s="1"/>
  <c r="AM238" i="3" a="1"/>
  <c r="AM238" i="3" s="1"/>
  <c r="AM222" i="3" a="1"/>
  <c r="AM222" i="3" s="1"/>
  <c r="AO98" i="3" a="1"/>
  <c r="AO98" i="3" s="1"/>
  <c r="AQ98" i="3" a="1"/>
  <c r="AQ98" i="3" s="1"/>
  <c r="AN126" i="3" a="1"/>
  <c r="AN126" i="3" s="1"/>
  <c r="AM113" i="3" a="1"/>
  <c r="AM113" i="3" s="1"/>
  <c r="AM137" i="3" a="1"/>
  <c r="AM137" i="3" s="1"/>
  <c r="AR160" i="3" a="1"/>
  <c r="AR160" i="3" s="1"/>
  <c r="AR78" i="3" a="1"/>
  <c r="AR78" i="3" s="1"/>
  <c r="AN90" i="3" a="1"/>
  <c r="AN90" i="3" s="1"/>
  <c r="AR202" i="3" a="1"/>
  <c r="AR202" i="3" s="1"/>
  <c r="AR192" i="3" a="1"/>
  <c r="AR192" i="3" s="1"/>
  <c r="AQ202" i="3" a="1"/>
  <c r="AQ202" i="3" s="1"/>
  <c r="AN192" i="3" a="1"/>
  <c r="AN192" i="3" s="1"/>
  <c r="AM182" i="3" a="1"/>
  <c r="AM182" i="3" s="1"/>
  <c r="AR182" i="3" a="1"/>
  <c r="AR182" i="3" s="1"/>
  <c r="AM202" i="3" a="1"/>
  <c r="AM202" i="3" s="1"/>
  <c r="AQ192" i="3" a="1"/>
  <c r="AQ192" i="3" s="1"/>
  <c r="AN182" i="3" a="1"/>
  <c r="AN182" i="3" s="1"/>
  <c r="AP192" i="3" a="1"/>
  <c r="AP192" i="3" s="1"/>
  <c r="AO192" i="3" a="1"/>
  <c r="AO192" i="3" s="1"/>
  <c r="AM192" i="3" a="1"/>
  <c r="AM192" i="3" s="1"/>
  <c r="AP202" i="3" a="1"/>
  <c r="AP202" i="3" s="1"/>
  <c r="AP182" i="3" a="1"/>
  <c r="AP182" i="3" s="1"/>
  <c r="AO182" i="3" a="1"/>
  <c r="AO182" i="3" s="1"/>
  <c r="AO202" i="3" a="1"/>
  <c r="AO202" i="3" s="1"/>
  <c r="AN202" i="3" a="1"/>
  <c r="AN202" i="3" s="1"/>
  <c r="AQ182" i="3" a="1"/>
  <c r="AQ182" i="3" s="1"/>
  <c r="AM254" i="3" a="1"/>
  <c r="AM254" i="3" s="1"/>
  <c r="AR254" i="3" a="1"/>
  <c r="AR254" i="3" s="1"/>
  <c r="AN232" i="3" a="1"/>
  <c r="AN232" i="3" s="1"/>
  <c r="AR220" i="3" a="1"/>
  <c r="AR220" i="3" s="1"/>
  <c r="AM300" i="3" a="1"/>
  <c r="AM300" i="3" s="1"/>
  <c r="AN289" i="3" a="1"/>
  <c r="AN289" i="3" s="1"/>
  <c r="AR301" i="3" a="1"/>
  <c r="AR301" i="3" s="1"/>
  <c r="AM169" i="3" a="1"/>
  <c r="AM169" i="3" s="1"/>
  <c r="AM151" i="3" a="1"/>
  <c r="AM151" i="3" s="1"/>
  <c r="AN160" i="3" a="1"/>
  <c r="AN160" i="3" s="1"/>
  <c r="AP222" i="3" a="1"/>
  <c r="AP222" i="3" s="1"/>
  <c r="AP241" i="3" a="1"/>
  <c r="AP241" i="3" s="1"/>
  <c r="AR322" i="3" a="1"/>
  <c r="AR322" i="3" s="1"/>
  <c r="AN132" i="3" a="1"/>
  <c r="AN132" i="3" s="1"/>
  <c r="AM323" i="3" a="1"/>
  <c r="AM323" i="3" s="1"/>
  <c r="AP323" i="3" a="1"/>
  <c r="AP323" i="3" s="1"/>
  <c r="AM343" i="3" a="1"/>
  <c r="AM343" i="3" s="1"/>
  <c r="AN100" i="3" a="1"/>
  <c r="AN100" i="3" s="1"/>
  <c r="AQ90" i="3" a="1"/>
  <c r="AQ90" i="3" s="1"/>
  <c r="AO87" i="3" a="1"/>
  <c r="AO87" i="3" s="1"/>
  <c r="AN124" i="3" a="1"/>
  <c r="AN124" i="3" s="1"/>
  <c r="AN136" i="3" a="1"/>
  <c r="AN136" i="3" s="1"/>
  <c r="AR137" i="3" a="1"/>
  <c r="AR137" i="3" s="1"/>
  <c r="AO135" i="3" a="1"/>
  <c r="AO135" i="3" s="1"/>
  <c r="AQ172" i="3" a="1"/>
  <c r="AQ172" i="3" s="1"/>
  <c r="AR157" i="3" a="1"/>
  <c r="AR157" i="3" s="1"/>
  <c r="AO272" i="3" a="1"/>
  <c r="AO272" i="3" s="1"/>
  <c r="AN256" i="3" a="1"/>
  <c r="AN256" i="3" s="1"/>
  <c r="AO275" i="3" a="1"/>
  <c r="AO275" i="3" s="1"/>
  <c r="AR266" i="3" a="1"/>
  <c r="AR266" i="3" s="1"/>
  <c r="AN311" i="3" a="1"/>
  <c r="AN311" i="3" s="1"/>
  <c r="AQ228" i="3" a="1"/>
  <c r="AQ228" i="3" s="1"/>
  <c r="AP230" i="3" a="1"/>
  <c r="AP230" i="3" s="1"/>
  <c r="AM239" i="3" a="1"/>
  <c r="AM239" i="3" s="1"/>
  <c r="AR221" i="3" a="1"/>
  <c r="AR221" i="3" s="1"/>
  <c r="AN241" i="3" a="1"/>
  <c r="AN241" i="3" s="1"/>
  <c r="AN310" i="3" a="1"/>
  <c r="AN310" i="3" s="1"/>
  <c r="AO299" i="3" a="1"/>
  <c r="AO299" i="3" s="1"/>
  <c r="AN301" i="3" a="1"/>
  <c r="AN301" i="3" s="1"/>
  <c r="AQ309" i="3" a="1"/>
  <c r="AQ309" i="3" s="1"/>
  <c r="AR302" i="3" a="1"/>
  <c r="AR302" i="3" s="1"/>
  <c r="AO167" i="3" a="1"/>
  <c r="AO167" i="3" s="1"/>
  <c r="AP157" i="3" a="1"/>
  <c r="AP157" i="3" s="1"/>
  <c r="AO159" i="3" a="1"/>
  <c r="AO159" i="3" s="1"/>
  <c r="AR158" i="3" a="1"/>
  <c r="AR158" i="3" s="1"/>
  <c r="AM219" i="3" a="1"/>
  <c r="AM219" i="3" s="1"/>
  <c r="AQ219" i="3" a="1"/>
  <c r="AQ219" i="3" s="1"/>
  <c r="AN228" i="3" a="1"/>
  <c r="AN228" i="3" s="1"/>
  <c r="AR332" i="3" a="1"/>
  <c r="AR332" i="3" s="1"/>
  <c r="AN332" i="3" a="1"/>
  <c r="AN332" i="3" s="1"/>
  <c r="AR112" i="3" a="1"/>
  <c r="AR112" i="3" s="1"/>
  <c r="AQ159" i="3" a="1"/>
  <c r="AQ159" i="3" s="1"/>
  <c r="AP159" i="3" a="1"/>
  <c r="AP159" i="3" s="1"/>
  <c r="AO347" i="3" a="1"/>
  <c r="AO347" i="3" s="1"/>
  <c r="AP325" i="3" a="1"/>
  <c r="AP325" i="3" s="1"/>
  <c r="AR325" i="3" a="1"/>
  <c r="AR325" i="3" s="1"/>
  <c r="AR324" i="3" a="1"/>
  <c r="AR324" i="3" s="1"/>
  <c r="AP337" i="3" a="1"/>
  <c r="AP337" i="3" s="1"/>
  <c r="AM344" i="3" a="1"/>
  <c r="AM344" i="3" s="1"/>
  <c r="AN336" i="3" a="1"/>
  <c r="AN336" i="3" s="1"/>
  <c r="AQ81" i="3" a="1"/>
  <c r="AQ81" i="3" s="1"/>
  <c r="AO78" i="3" a="1"/>
  <c r="AO78" i="3" s="1"/>
  <c r="AP101" i="3" a="1"/>
  <c r="AP101" i="3" s="1"/>
  <c r="AQ100" i="3" a="1"/>
  <c r="AQ100" i="3" s="1"/>
  <c r="AN78" i="3" a="1"/>
  <c r="AN78" i="3" s="1"/>
  <c r="AQ169" i="3" a="1"/>
  <c r="AQ169" i="3" s="1"/>
  <c r="AO82" i="3" a="1"/>
  <c r="AO82" i="3" s="1"/>
  <c r="AQ122" i="3" a="1"/>
  <c r="AQ122" i="3" s="1"/>
  <c r="AN150" i="3" a="1"/>
  <c r="AN150" i="3" s="1"/>
  <c r="AQ167" i="3" a="1"/>
  <c r="AQ167" i="3" s="1"/>
  <c r="AO115" i="3" a="1"/>
  <c r="AO115" i="3" s="1"/>
  <c r="AO114" i="3" a="1"/>
  <c r="AO114" i="3" s="1"/>
  <c r="AQ113" i="3" a="1"/>
  <c r="AQ113" i="3" s="1"/>
  <c r="AR133" i="3" a="1"/>
  <c r="AR133" i="3" s="1"/>
  <c r="AP123" i="3" a="1"/>
  <c r="AP123" i="3" s="1"/>
  <c r="AO136" i="3" a="1"/>
  <c r="AO136" i="3" s="1"/>
  <c r="AP99" i="3" a="1"/>
  <c r="AP99" i="3" s="1"/>
  <c r="AR412" i="3" a="1"/>
  <c r="AR412" i="3" s="1"/>
  <c r="AR402" i="3" a="1"/>
  <c r="AR402" i="3" s="1"/>
  <c r="AR392" i="3" a="1"/>
  <c r="AR392" i="3" s="1"/>
  <c r="AQ412" i="3" a="1"/>
  <c r="AQ412" i="3" s="1"/>
  <c r="AQ402" i="3" a="1"/>
  <c r="AQ402" i="3" s="1"/>
  <c r="AQ392" i="3" a="1"/>
  <c r="AQ392" i="3" s="1"/>
  <c r="AP412" i="3" a="1"/>
  <c r="AP412" i="3" s="1"/>
  <c r="AP402" i="3" a="1"/>
  <c r="AP402" i="3" s="1"/>
  <c r="AP392" i="3" a="1"/>
  <c r="AP392" i="3" s="1"/>
  <c r="AN402" i="3" a="1"/>
  <c r="AN402" i="3" s="1"/>
  <c r="AO412" i="3" a="1"/>
  <c r="AO412" i="3" s="1"/>
  <c r="AM402" i="3" a="1"/>
  <c r="AM402" i="3" s="1"/>
  <c r="AN412" i="3" a="1"/>
  <c r="AN412" i="3" s="1"/>
  <c r="AO392" i="3" a="1"/>
  <c r="AO392" i="3" s="1"/>
  <c r="AM412" i="3" a="1"/>
  <c r="AM412" i="3" s="1"/>
  <c r="AN392" i="3" a="1"/>
  <c r="AN392" i="3" s="1"/>
  <c r="AM392" i="3" a="1"/>
  <c r="AM392" i="3" s="1"/>
  <c r="AO402" i="3" a="1"/>
  <c r="AO402" i="3" s="1"/>
  <c r="AO222" i="3" a="1"/>
  <c r="AO222" i="3" s="1"/>
  <c r="AR127" i="3" a="1"/>
  <c r="AR127" i="3" s="1"/>
  <c r="AP116" i="3" a="1"/>
  <c r="AP116" i="3" s="1"/>
  <c r="AR417" i="3" a="1"/>
  <c r="AR417" i="3" s="1"/>
  <c r="AR416" i="3" a="1"/>
  <c r="AR416" i="3" s="1"/>
  <c r="AR415" i="3" a="1"/>
  <c r="AR415" i="3" s="1"/>
  <c r="AR414" i="3" a="1"/>
  <c r="AR414" i="3" s="1"/>
  <c r="AR413" i="3" a="1"/>
  <c r="AR413" i="3" s="1"/>
  <c r="AR407" i="3" a="1"/>
  <c r="AR407" i="3" s="1"/>
  <c r="AR406" i="3" a="1"/>
  <c r="AR406" i="3" s="1"/>
  <c r="AR405" i="3" a="1"/>
  <c r="AR405" i="3" s="1"/>
  <c r="AR404" i="3" a="1"/>
  <c r="AR404" i="3" s="1"/>
  <c r="AR403" i="3" a="1"/>
  <c r="AR403" i="3" s="1"/>
  <c r="AR397" i="3" a="1"/>
  <c r="AR397" i="3" s="1"/>
  <c r="AR396" i="3" a="1"/>
  <c r="AR396" i="3" s="1"/>
  <c r="AR395" i="3" a="1"/>
  <c r="AR395" i="3" s="1"/>
  <c r="AR394" i="3" a="1"/>
  <c r="AR394" i="3" s="1"/>
  <c r="AR393" i="3" a="1"/>
  <c r="AR393" i="3" s="1"/>
  <c r="AQ417" i="3" a="1"/>
  <c r="AQ417" i="3" s="1"/>
  <c r="AQ416" i="3" a="1"/>
  <c r="AQ416" i="3" s="1"/>
  <c r="AQ415" i="3" a="1"/>
  <c r="AQ415" i="3" s="1"/>
  <c r="AQ414" i="3" a="1"/>
  <c r="AQ414" i="3" s="1"/>
  <c r="AQ413" i="3" a="1"/>
  <c r="AQ413" i="3" s="1"/>
  <c r="AQ407" i="3" a="1"/>
  <c r="AQ407" i="3" s="1"/>
  <c r="AQ406" i="3" a="1"/>
  <c r="AQ406" i="3" s="1"/>
  <c r="AQ405" i="3" a="1"/>
  <c r="AQ405" i="3" s="1"/>
  <c r="AQ404" i="3" a="1"/>
  <c r="AQ404" i="3" s="1"/>
  <c r="AQ403" i="3" a="1"/>
  <c r="AQ403" i="3" s="1"/>
  <c r="AQ397" i="3" a="1"/>
  <c r="AQ397" i="3" s="1"/>
  <c r="AQ396" i="3" a="1"/>
  <c r="AQ396" i="3" s="1"/>
  <c r="AQ395" i="3" a="1"/>
  <c r="AQ395" i="3" s="1"/>
  <c r="AQ394" i="3" a="1"/>
  <c r="AQ394" i="3" s="1"/>
  <c r="AQ393" i="3" a="1"/>
  <c r="AQ393" i="3" s="1"/>
  <c r="AP417" i="3" a="1"/>
  <c r="AP417" i="3" s="1"/>
  <c r="AN416" i="3" a="1"/>
  <c r="AN416" i="3" s="1"/>
  <c r="AP414" i="3" a="1"/>
  <c r="AP414" i="3" s="1"/>
  <c r="AN413" i="3" a="1"/>
  <c r="AN413" i="3" s="1"/>
  <c r="AP407" i="3" a="1"/>
  <c r="AP407" i="3" s="1"/>
  <c r="AN406" i="3" a="1"/>
  <c r="AN406" i="3" s="1"/>
  <c r="AP404" i="3" a="1"/>
  <c r="AP404" i="3" s="1"/>
  <c r="AN403" i="3" a="1"/>
  <c r="AN403" i="3" s="1"/>
  <c r="AP397" i="3" a="1"/>
  <c r="AP397" i="3" s="1"/>
  <c r="AN396" i="3" a="1"/>
  <c r="AN396" i="3" s="1"/>
  <c r="AP394" i="3" a="1"/>
  <c r="AP394" i="3" s="1"/>
  <c r="AN393" i="3" a="1"/>
  <c r="AN393" i="3" s="1"/>
  <c r="AO417" i="3" a="1"/>
  <c r="AO417" i="3" s="1"/>
  <c r="AN417" i="3" a="1"/>
  <c r="AN417" i="3" s="1"/>
  <c r="AP415" i="3" a="1"/>
  <c r="AP415" i="3" s="1"/>
  <c r="AN414" i="3" a="1"/>
  <c r="AN414" i="3" s="1"/>
  <c r="AN407" i="3" a="1"/>
  <c r="AN407" i="3" s="1"/>
  <c r="AP405" i="3" a="1"/>
  <c r="AP405" i="3" s="1"/>
  <c r="AN404" i="3" a="1"/>
  <c r="AN404" i="3" s="1"/>
  <c r="AN397" i="3" a="1"/>
  <c r="AN397" i="3" s="1"/>
  <c r="AP395" i="3" a="1"/>
  <c r="AP395" i="3" s="1"/>
  <c r="AN394" i="3" a="1"/>
  <c r="AN394" i="3" s="1"/>
  <c r="AN415" i="3" a="1"/>
  <c r="AN415" i="3" s="1"/>
  <c r="AP406" i="3" a="1"/>
  <c r="AP406" i="3" s="1"/>
  <c r="AP393" i="3" a="1"/>
  <c r="AP393" i="3" s="1"/>
  <c r="AM417" i="3" a="1"/>
  <c r="AM417" i="3" s="1"/>
  <c r="AM415" i="3" a="1"/>
  <c r="AM415" i="3" s="1"/>
  <c r="AO406" i="3" a="1"/>
  <c r="AO406" i="3" s="1"/>
  <c r="AM404" i="3" a="1"/>
  <c r="AM404" i="3" s="1"/>
  <c r="AO395" i="3" a="1"/>
  <c r="AO395" i="3" s="1"/>
  <c r="AO393" i="3" a="1"/>
  <c r="AO393" i="3" s="1"/>
  <c r="AO414" i="3" a="1"/>
  <c r="AO414" i="3" s="1"/>
  <c r="AM406" i="3" a="1"/>
  <c r="AM406" i="3" s="1"/>
  <c r="AO397" i="3" a="1"/>
  <c r="AO397" i="3" s="1"/>
  <c r="AM393" i="3" a="1"/>
  <c r="AM393" i="3" s="1"/>
  <c r="AP416" i="3" a="1"/>
  <c r="AP416" i="3" s="1"/>
  <c r="AP403" i="3" a="1"/>
  <c r="AP403" i="3" s="1"/>
  <c r="AN395" i="3" a="1"/>
  <c r="AN395" i="3" s="1"/>
  <c r="AO413" i="3" a="1"/>
  <c r="AO413" i="3" s="1"/>
  <c r="AN405" i="3" a="1"/>
  <c r="AN405" i="3" s="1"/>
  <c r="AM397" i="3" a="1"/>
  <c r="AM397" i="3" s="1"/>
  <c r="AO416" i="3" a="1"/>
  <c r="AO416" i="3" s="1"/>
  <c r="AM413" i="3" a="1"/>
  <c r="AM413" i="3" s="1"/>
  <c r="AM416" i="3" a="1"/>
  <c r="AM416" i="3" s="1"/>
  <c r="AM405" i="3" a="1"/>
  <c r="AM405" i="3" s="1"/>
  <c r="AP396" i="3" a="1"/>
  <c r="AP396" i="3" s="1"/>
  <c r="AO404" i="3" a="1"/>
  <c r="AO404" i="3" s="1"/>
  <c r="AO415" i="3" a="1"/>
  <c r="AO415" i="3" s="1"/>
  <c r="AO403" i="3" a="1"/>
  <c r="AO403" i="3" s="1"/>
  <c r="AM396" i="3" a="1"/>
  <c r="AM396" i="3" s="1"/>
  <c r="AO405" i="3" a="1"/>
  <c r="AO405" i="3" s="1"/>
  <c r="AO394" i="3" a="1"/>
  <c r="AO394" i="3" s="1"/>
  <c r="AM414" i="3" a="1"/>
  <c r="AM414" i="3" s="1"/>
  <c r="AM403" i="3" a="1"/>
  <c r="AM403" i="3" s="1"/>
  <c r="AM394" i="3" a="1"/>
  <c r="AM394" i="3" s="1"/>
  <c r="AP413" i="3" a="1"/>
  <c r="AP413" i="3" s="1"/>
  <c r="AM395" i="3" a="1"/>
  <c r="AM395" i="3" s="1"/>
  <c r="AO407" i="3" a="1"/>
  <c r="AO407" i="3" s="1"/>
  <c r="AM407" i="3" a="1"/>
  <c r="AM407" i="3" s="1"/>
  <c r="AO396" i="3" a="1"/>
  <c r="AO396" i="3" s="1"/>
  <c r="AO265" i="3" a="1"/>
  <c r="AO265" i="3" s="1"/>
  <c r="AM241" i="3" a="1"/>
  <c r="AM241" i="3" s="1"/>
  <c r="AO238" i="3" a="1"/>
  <c r="AO238" i="3" s="1"/>
  <c r="AQ322" i="3" a="1"/>
  <c r="AQ322" i="3" s="1"/>
  <c r="AQ91" i="3" a="1"/>
  <c r="AQ91" i="3" s="1"/>
  <c r="AP102" i="3" a="1"/>
  <c r="AP102" i="3" s="1"/>
  <c r="AR207" i="3" a="1"/>
  <c r="AR207" i="3" s="1"/>
  <c r="AR206" i="3" a="1"/>
  <c r="AR206" i="3" s="1"/>
  <c r="AR205" i="3" a="1"/>
  <c r="AR205" i="3" s="1"/>
  <c r="AR204" i="3" a="1"/>
  <c r="AR204" i="3" s="1"/>
  <c r="AR203" i="3" a="1"/>
  <c r="AR203" i="3" s="1"/>
  <c r="AR197" i="3" a="1"/>
  <c r="AR197" i="3" s="1"/>
  <c r="AR196" i="3" a="1"/>
  <c r="AR196" i="3" s="1"/>
  <c r="AR195" i="3" a="1"/>
  <c r="AR195" i="3" s="1"/>
  <c r="AR194" i="3" a="1"/>
  <c r="AR194" i="3" s="1"/>
  <c r="AR193" i="3" a="1"/>
  <c r="AR193" i="3" s="1"/>
  <c r="AR187" i="3" a="1"/>
  <c r="AR187" i="3" s="1"/>
  <c r="AR186" i="3" a="1"/>
  <c r="AR186" i="3" s="1"/>
  <c r="AR185" i="3" a="1"/>
  <c r="AR185" i="3" s="1"/>
  <c r="AR184" i="3" a="1"/>
  <c r="AR184" i="3" s="1"/>
  <c r="AO207" i="3" a="1"/>
  <c r="AO207" i="3" s="1"/>
  <c r="AN205" i="3" a="1"/>
  <c r="AN205" i="3" s="1"/>
  <c r="AM203" i="3" a="1"/>
  <c r="AM203" i="3" s="1"/>
  <c r="AQ195" i="3" a="1"/>
  <c r="AQ195" i="3" s="1"/>
  <c r="AP193" i="3" a="1"/>
  <c r="AP193" i="3" s="1"/>
  <c r="AO187" i="3" a="1"/>
  <c r="AO187" i="3" s="1"/>
  <c r="AN185" i="3" a="1"/>
  <c r="AN185" i="3" s="1"/>
  <c r="AN207" i="3" a="1"/>
  <c r="AN207" i="3" s="1"/>
  <c r="AM205" i="3" a="1"/>
  <c r="AM205" i="3" s="1"/>
  <c r="AQ197" i="3" a="1"/>
  <c r="AQ197" i="3" s="1"/>
  <c r="AP195" i="3" a="1"/>
  <c r="AP195" i="3" s="1"/>
  <c r="AO193" i="3" a="1"/>
  <c r="AO193" i="3" s="1"/>
  <c r="AN187" i="3" a="1"/>
  <c r="AN187" i="3" s="1"/>
  <c r="AM185" i="3" a="1"/>
  <c r="AM185" i="3" s="1"/>
  <c r="AQ206" i="3" a="1"/>
  <c r="AQ206" i="3" s="1"/>
  <c r="AN204" i="3" a="1"/>
  <c r="AN204" i="3" s="1"/>
  <c r="AN196" i="3" a="1"/>
  <c r="AN196" i="3" s="1"/>
  <c r="AO184" i="3" a="1"/>
  <c r="AO184" i="3" s="1"/>
  <c r="AN183" i="3" a="1"/>
  <c r="AN183" i="3" s="1"/>
  <c r="AO205" i="3" a="1"/>
  <c r="AO205" i="3" s="1"/>
  <c r="AM204" i="3" a="1"/>
  <c r="AM204" i="3" s="1"/>
  <c r="AO197" i="3" a="1"/>
  <c r="AO197" i="3" s="1"/>
  <c r="AP185" i="3" a="1"/>
  <c r="AP185" i="3" s="1"/>
  <c r="AM183" i="3" a="1"/>
  <c r="AM183" i="3" s="1"/>
  <c r="AQ207" i="3" a="1"/>
  <c r="AQ207" i="3" s="1"/>
  <c r="AQ203" i="3" a="1"/>
  <c r="AQ203" i="3" s="1"/>
  <c r="AN197" i="3" a="1"/>
  <c r="AN197" i="3" s="1"/>
  <c r="AP194" i="3" a="1"/>
  <c r="AP194" i="3" s="1"/>
  <c r="AN193" i="3" a="1"/>
  <c r="AN193" i="3" s="1"/>
  <c r="AO185" i="3" a="1"/>
  <c r="AO185" i="3" s="1"/>
  <c r="AM184" i="3" a="1"/>
  <c r="AM184" i="3" s="1"/>
  <c r="AO196" i="3" a="1"/>
  <c r="AO196" i="3" s="1"/>
  <c r="AO194" i="3" a="1"/>
  <c r="AO194" i="3" s="1"/>
  <c r="AP205" i="3" a="1"/>
  <c r="AP205" i="3" s="1"/>
  <c r="AP203" i="3" a="1"/>
  <c r="AP203" i="3" s="1"/>
  <c r="AM187" i="3" a="1"/>
  <c r="AM187" i="3" s="1"/>
  <c r="AP183" i="3" a="1"/>
  <c r="AP183" i="3" s="1"/>
  <c r="AM207" i="3" a="1"/>
  <c r="AM207" i="3" s="1"/>
  <c r="AM196" i="3" a="1"/>
  <c r="AM196" i="3" s="1"/>
  <c r="AN194" i="3" a="1"/>
  <c r="AN194" i="3" s="1"/>
  <c r="AQ186" i="3" a="1"/>
  <c r="AQ186" i="3" s="1"/>
  <c r="AO203" i="3" a="1"/>
  <c r="AO203" i="3" s="1"/>
  <c r="AP186" i="3" a="1"/>
  <c r="AP186" i="3" s="1"/>
  <c r="AO183" i="3" a="1"/>
  <c r="AO183" i="3" s="1"/>
  <c r="AP197" i="3" a="1"/>
  <c r="AP197" i="3" s="1"/>
  <c r="AM194" i="3" a="1"/>
  <c r="AM194" i="3" s="1"/>
  <c r="AQ184" i="3" a="1"/>
  <c r="AQ184" i="3" s="1"/>
  <c r="AP206" i="3" a="1"/>
  <c r="AP206" i="3" s="1"/>
  <c r="AQ204" i="3" a="1"/>
  <c r="AQ204" i="3" s="1"/>
  <c r="AN203" i="3" a="1"/>
  <c r="AN203" i="3" s="1"/>
  <c r="AO186" i="3" a="1"/>
  <c r="AO186" i="3" s="1"/>
  <c r="AO204" i="3" a="1"/>
  <c r="AO204" i="3" s="1"/>
  <c r="AQ196" i="3" a="1"/>
  <c r="AQ196" i="3" s="1"/>
  <c r="AN184" i="3" a="1"/>
  <c r="AN184" i="3" s="1"/>
  <c r="AP187" i="3" a="1"/>
  <c r="AP187" i="3" s="1"/>
  <c r="AP207" i="3" a="1"/>
  <c r="AP207" i="3" s="1"/>
  <c r="AP196" i="3" a="1"/>
  <c r="AP196" i="3" s="1"/>
  <c r="AM193" i="3" a="1"/>
  <c r="AM193" i="3" s="1"/>
  <c r="AQ185" i="3" a="1"/>
  <c r="AQ185" i="3" s="1"/>
  <c r="AM206" i="3" a="1"/>
  <c r="AM206" i="3" s="1"/>
  <c r="AR183" i="3" a="1"/>
  <c r="AR183" i="3" s="1"/>
  <c r="AO206" i="3" a="1"/>
  <c r="AO206" i="3" s="1"/>
  <c r="AO195" i="3" a="1"/>
  <c r="AO195" i="3" s="1"/>
  <c r="AP184" i="3" a="1"/>
  <c r="AP184" i="3" s="1"/>
  <c r="AN195" i="3" a="1"/>
  <c r="AN195" i="3" s="1"/>
  <c r="AN206" i="3" a="1"/>
  <c r="AN206" i="3" s="1"/>
  <c r="AQ187" i="3" a="1"/>
  <c r="AQ187" i="3" s="1"/>
  <c r="AP204" i="3" a="1"/>
  <c r="AP204" i="3" s="1"/>
  <c r="AM186" i="3" a="1"/>
  <c r="AM186" i="3" s="1"/>
  <c r="AQ183" i="3" a="1"/>
  <c r="AQ183" i="3" s="1"/>
  <c r="AM195" i="3" a="1"/>
  <c r="AM195" i="3" s="1"/>
  <c r="AQ194" i="3" a="1"/>
  <c r="AQ194" i="3" s="1"/>
  <c r="AQ205" i="3" a="1"/>
  <c r="AQ205" i="3" s="1"/>
  <c r="AN186" i="3" a="1"/>
  <c r="AN186" i="3" s="1"/>
  <c r="AM197" i="3" a="1"/>
  <c r="AM197" i="3" s="1"/>
  <c r="AQ193" i="3" a="1"/>
  <c r="AQ193" i="3" s="1"/>
  <c r="AP117" i="3" a="1"/>
  <c r="AP117" i="3" s="1"/>
  <c r="AM117" i="3" a="1"/>
  <c r="AM117" i="3" s="1"/>
  <c r="AP87" i="3" a="1"/>
  <c r="AP87" i="3" s="1"/>
  <c r="AR170" i="3" a="1"/>
  <c r="AR170" i="3" s="1"/>
  <c r="AM232" i="3" a="1"/>
  <c r="AM232" i="3" s="1"/>
  <c r="AQ112" i="3" a="1"/>
  <c r="AQ112" i="3" s="1"/>
  <c r="AO172" i="3" a="1"/>
  <c r="AO172" i="3" s="1"/>
  <c r="AO112" i="3" a="1"/>
  <c r="AO112" i="3" s="1"/>
  <c r="AR77" i="3" a="1"/>
  <c r="AR77" i="3" s="1"/>
  <c r="AN273" i="3" a="1"/>
  <c r="AN273" i="3" s="1"/>
  <c r="AR239" i="3" a="1"/>
  <c r="AR239" i="3" s="1"/>
  <c r="AM229" i="3" a="1"/>
  <c r="AM229" i="3" s="1"/>
  <c r="AN240" i="3" a="1"/>
  <c r="AN240" i="3" s="1"/>
  <c r="AM298" i="3" a="1"/>
  <c r="AM298" i="3" s="1"/>
  <c r="AQ308" i="3" a="1"/>
  <c r="AQ308" i="3" s="1"/>
  <c r="AQ218" i="3" a="1"/>
  <c r="AQ218" i="3" s="1"/>
  <c r="AO160" i="3" a="1"/>
  <c r="AO160" i="3" s="1"/>
  <c r="AN172" i="3" a="1"/>
  <c r="AN172" i="3" s="1"/>
  <c r="AN222" i="3" a="1"/>
  <c r="AN222" i="3" s="1"/>
  <c r="AO162" i="3" a="1"/>
  <c r="AO162" i="3" s="1"/>
  <c r="AR335" i="3" a="1"/>
  <c r="AR335" i="3" s="1"/>
  <c r="AR323" i="3" a="1"/>
  <c r="AR323" i="3" s="1"/>
  <c r="AN335" i="3" a="1"/>
  <c r="AN335" i="3" s="1"/>
  <c r="AN112" i="3" a="1"/>
  <c r="AN112" i="3" s="1"/>
  <c r="AP80" i="3" a="1"/>
  <c r="AP80" i="3" s="1"/>
  <c r="AN99" i="3" a="1"/>
  <c r="AN99" i="3" s="1"/>
  <c r="AP98" i="3" a="1"/>
  <c r="AP98" i="3" s="1"/>
  <c r="AR100" i="3" a="1"/>
  <c r="AR100" i="3" s="1"/>
  <c r="AQ127" i="3" a="1"/>
  <c r="AQ127" i="3" s="1"/>
  <c r="AN272" i="3" a="1"/>
  <c r="AN272" i="3" s="1"/>
  <c r="AN137" i="3" a="1"/>
  <c r="AN137" i="3" s="1"/>
  <c r="AR125" i="3" a="1"/>
  <c r="AR125" i="3" s="1"/>
  <c r="AO264" i="3" a="1"/>
  <c r="AO264" i="3" s="1"/>
  <c r="AP263" i="3" a="1"/>
  <c r="AP263" i="3" s="1"/>
  <c r="AP276" i="3" a="1"/>
  <c r="AP276" i="3" s="1"/>
  <c r="AP265" i="3" a="1"/>
  <c r="AP265" i="3" s="1"/>
  <c r="AO300" i="3" a="1"/>
  <c r="AO300" i="3" s="1"/>
  <c r="AO220" i="3" a="1"/>
  <c r="AO220" i="3" s="1"/>
  <c r="AQ221" i="3" a="1"/>
  <c r="AQ221" i="3" s="1"/>
  <c r="AQ241" i="3" a="1"/>
  <c r="AQ241" i="3" s="1"/>
  <c r="AR222" i="3" a="1"/>
  <c r="AR222" i="3" s="1"/>
  <c r="AN242" i="3" a="1"/>
  <c r="AN242" i="3" s="1"/>
  <c r="AP312" i="3" a="1"/>
  <c r="AP312" i="3" s="1"/>
  <c r="AN312" i="3" a="1"/>
  <c r="AN312" i="3" s="1"/>
  <c r="AN309" i="3" a="1"/>
  <c r="AN309" i="3" s="1"/>
  <c r="AQ310" i="3" a="1"/>
  <c r="AQ310" i="3" s="1"/>
  <c r="AR308" i="3" a="1"/>
  <c r="AR308" i="3" s="1"/>
  <c r="AM162" i="3" a="1"/>
  <c r="AM162" i="3" s="1"/>
  <c r="AM152" i="3" a="1"/>
  <c r="AM152" i="3" s="1"/>
  <c r="AP161" i="3" a="1"/>
  <c r="AP161" i="3" s="1"/>
  <c r="AR151" i="3" a="1"/>
  <c r="AR151" i="3" s="1"/>
  <c r="AP172" i="3" a="1"/>
  <c r="AP172" i="3" s="1"/>
  <c r="AP221" i="3" a="1"/>
  <c r="AP221" i="3" s="1"/>
  <c r="AM230" i="3" a="1"/>
  <c r="AM230" i="3" s="1"/>
  <c r="AO332" i="3" a="1"/>
  <c r="AO332" i="3" s="1"/>
  <c r="AP122" i="3" a="1"/>
  <c r="AP122" i="3" s="1"/>
  <c r="AQ152" i="3" a="1"/>
  <c r="AQ152" i="3" s="1"/>
  <c r="AP152" i="3" a="1"/>
  <c r="AP152" i="3" s="1"/>
  <c r="AO326" i="3" a="1"/>
  <c r="AO326" i="3" s="1"/>
  <c r="AO324" i="3" a="1"/>
  <c r="AO324" i="3" s="1"/>
  <c r="AP336" i="3" a="1"/>
  <c r="AP336" i="3" s="1"/>
  <c r="AQ343" i="3" a="1"/>
  <c r="AQ343" i="3" s="1"/>
  <c r="AP326" i="3" a="1"/>
  <c r="AP326" i="3" s="1"/>
  <c r="AQ344" i="3" a="1"/>
  <c r="AQ344" i="3" s="1"/>
  <c r="AM345" i="3" a="1"/>
  <c r="AM345" i="3" s="1"/>
  <c r="AN229" i="3" a="1"/>
  <c r="AN229" i="3" s="1"/>
  <c r="AP81" i="3" a="1"/>
  <c r="AP81" i="3" s="1"/>
  <c r="AR82" i="3" a="1"/>
  <c r="AR82" i="3" s="1"/>
  <c r="AP79" i="3" a="1"/>
  <c r="AP79" i="3" s="1"/>
  <c r="AQ82" i="3" a="1"/>
  <c r="AQ82" i="3" s="1"/>
  <c r="AR102" i="3" a="1"/>
  <c r="AR102" i="3" s="1"/>
  <c r="AN79" i="3" a="1"/>
  <c r="AN79" i="3" s="1"/>
  <c r="AR123" i="3" a="1"/>
  <c r="AR123" i="3" s="1"/>
  <c r="AR272" i="3" a="1"/>
  <c r="AR272" i="3" s="1"/>
  <c r="AQ272" i="3" a="1"/>
  <c r="AQ272" i="3" s="1"/>
  <c r="AR252" i="3" a="1"/>
  <c r="AR252" i="3" s="1"/>
  <c r="AP262" i="3" a="1"/>
  <c r="AP262" i="3" s="1"/>
  <c r="AP272" i="3" a="1"/>
  <c r="AP272" i="3" s="1"/>
  <c r="AQ252" i="3" a="1"/>
  <c r="AQ252" i="3" s="1"/>
  <c r="AN262" i="3" a="1"/>
  <c r="AN262" i="3" s="1"/>
  <c r="AN252" i="3" a="1"/>
  <c r="AN252" i="3" s="1"/>
  <c r="AM262" i="3" a="1"/>
  <c r="AM262" i="3" s="1"/>
  <c r="AQ78" i="3" a="1"/>
  <c r="AQ78" i="3" s="1"/>
  <c r="AO77" i="3" a="1"/>
  <c r="AO77" i="3" s="1"/>
  <c r="AM98" i="3" a="1"/>
  <c r="AM98" i="3" s="1"/>
  <c r="AQ170" i="3" a="1"/>
  <c r="AQ170" i="3" s="1"/>
  <c r="AN114" i="3" a="1"/>
  <c r="AN114" i="3" s="1"/>
  <c r="AN116" i="3" a="1"/>
  <c r="AN116" i="3" s="1"/>
  <c r="AR115" i="3" a="1"/>
  <c r="AR115" i="3" s="1"/>
  <c r="AN135" i="3" a="1"/>
  <c r="AN135" i="3" s="1"/>
  <c r="AP124" i="3" a="1"/>
  <c r="AP124" i="3" s="1"/>
  <c r="AO137" i="3" a="1"/>
  <c r="AO137" i="3" s="1"/>
  <c r="AN168" i="3" a="1"/>
  <c r="AN168" i="3" s="1"/>
  <c r="AM122" i="3" a="1"/>
  <c r="AM122" i="3" s="1"/>
  <c r="AR114" i="3" a="1"/>
  <c r="AR114" i="3" s="1"/>
  <c r="AR134" i="3" a="1"/>
  <c r="AR134" i="3" s="1"/>
  <c r="AR79" i="3" a="1"/>
  <c r="AR79" i="3" s="1"/>
  <c r="AM92" i="3" a="1"/>
  <c r="AM92" i="3" s="1"/>
  <c r="AO101" i="3" a="1"/>
  <c r="AO101" i="3" s="1"/>
  <c r="AN101" i="3" a="1"/>
  <c r="AN101" i="3" s="1"/>
  <c r="AN92" i="3" a="1"/>
  <c r="AN92" i="3" s="1"/>
  <c r="AQ88" i="3" a="1"/>
  <c r="AQ88" i="3" s="1"/>
  <c r="AM102" i="3" a="1"/>
  <c r="AM102" i="3" s="1"/>
  <c r="AQ136" i="3" a="1"/>
  <c r="AQ136" i="3" s="1"/>
  <c r="AO122" i="3" a="1"/>
  <c r="AO122" i="3" s="1"/>
  <c r="AM218" i="3" a="1"/>
  <c r="AM218" i="3" s="1"/>
  <c r="AQ161" i="3" a="1"/>
  <c r="AQ161" i="3" s="1"/>
  <c r="AM240" i="3" a="1"/>
  <c r="AM240" i="3" s="1"/>
  <c r="AP132" i="3" a="1"/>
  <c r="AP132" i="3" s="1"/>
  <c r="AM90" i="3" a="1"/>
  <c r="AM90" i="3" s="1"/>
  <c r="AO147" i="3" a="1"/>
  <c r="AO147" i="3" s="1"/>
  <c r="AQ273" i="3" a="1"/>
  <c r="AQ273" i="3" s="1"/>
  <c r="AP273" i="3" a="1"/>
  <c r="AP273" i="3" s="1"/>
  <c r="AR257" i="3" a="1"/>
  <c r="AR257" i="3" s="1"/>
  <c r="AO262" i="3" a="1"/>
  <c r="AO262" i="3" s="1"/>
  <c r="AN220" i="3" a="1"/>
  <c r="AN220" i="3" s="1"/>
  <c r="AO230" i="3" a="1"/>
  <c r="AO230" i="3" s="1"/>
  <c r="AR228" i="3" a="1"/>
  <c r="AR228" i="3" s="1"/>
  <c r="AM288" i="3" a="1"/>
  <c r="AM288" i="3" s="1"/>
  <c r="AN298" i="3" a="1"/>
  <c r="AN298" i="3" s="1"/>
  <c r="AQ289" i="3" a="1"/>
  <c r="AQ289" i="3" s="1"/>
  <c r="AQ311" i="3" a="1"/>
  <c r="AQ311" i="3" s="1"/>
  <c r="AR309" i="3" a="1"/>
  <c r="AR309" i="3" s="1"/>
  <c r="AQ160" i="3" a="1"/>
  <c r="AQ160" i="3" s="1"/>
  <c r="AP150" i="3" a="1"/>
  <c r="AP150" i="3" s="1"/>
  <c r="AQ162" i="3" a="1"/>
  <c r="AQ162" i="3" s="1"/>
  <c r="AR337" i="3" a="1"/>
  <c r="AR337" i="3" s="1"/>
  <c r="AP147" i="3" a="1"/>
  <c r="AP147" i="3" s="1"/>
  <c r="AP277" i="3" a="1"/>
  <c r="AP277" i="3" s="1"/>
  <c r="AP169" i="3" a="1"/>
  <c r="AP169" i="3" s="1"/>
  <c r="AO242" i="3" a="1"/>
  <c r="AO242" i="3" s="1"/>
  <c r="AQ239" i="3" a="1"/>
  <c r="AQ239" i="3" s="1"/>
  <c r="AQ132" i="3" a="1"/>
  <c r="AQ132" i="3" s="1"/>
  <c r="AQ149" i="3" a="1"/>
  <c r="AQ149" i="3" s="1"/>
  <c r="AP149" i="3" a="1"/>
  <c r="AP149" i="3" s="1"/>
  <c r="AP327" i="3" a="1"/>
  <c r="AP327" i="3" s="1"/>
  <c r="AO343" i="3" a="1"/>
  <c r="AO343" i="3" s="1"/>
  <c r="AP346" i="3" a="1"/>
  <c r="AP346" i="3" s="1"/>
  <c r="AQ333" i="3" a="1"/>
  <c r="AQ333" i="3" s="1"/>
  <c r="AR347" i="3" a="1"/>
  <c r="AR347" i="3" s="1"/>
  <c r="AM346" i="3" a="1"/>
  <c r="AM346" i="3" s="1"/>
  <c r="AN343" i="3" a="1"/>
  <c r="AN343" i="3" s="1"/>
  <c r="AO88" i="3" a="1"/>
  <c r="AO88" i="3" s="1"/>
  <c r="AR98" i="3" a="1"/>
  <c r="AR98" i="3" s="1"/>
  <c r="AQ80" i="3" a="1"/>
  <c r="AQ80" i="3" s="1"/>
  <c r="AP78" i="3" a="1"/>
  <c r="AP78" i="3" s="1"/>
  <c r="AM88" i="3" a="1"/>
  <c r="AM88" i="3" s="1"/>
  <c r="AN80" i="3" a="1"/>
  <c r="AN80" i="3" s="1"/>
  <c r="AP114" i="3" a="1"/>
  <c r="AP114" i="3" s="1"/>
  <c r="AP275" i="3" a="1"/>
  <c r="AP275" i="3" s="1"/>
  <c r="AP267" i="3" a="1"/>
  <c r="AP267" i="3" s="1"/>
  <c r="AO257" i="3" a="1"/>
  <c r="AO257" i="3" s="1"/>
  <c r="AQ255" i="3" a="1"/>
  <c r="AQ255" i="3" s="1"/>
  <c r="AP253" i="3" a="1"/>
  <c r="AP253" i="3" s="1"/>
  <c r="AM277" i="3" a="1"/>
  <c r="AM277" i="3" s="1"/>
  <c r="AO267" i="3" a="1"/>
  <c r="AO267" i="3" s="1"/>
  <c r="AN265" i="3" a="1"/>
  <c r="AN265" i="3" s="1"/>
  <c r="AO263" i="3" a="1"/>
  <c r="AO263" i="3" s="1"/>
  <c r="AN257" i="3" a="1"/>
  <c r="AN257" i="3" s="1"/>
  <c r="AO253" i="3" a="1"/>
  <c r="AO253" i="3" s="1"/>
  <c r="AN275" i="3" a="1"/>
  <c r="AN275" i="3" s="1"/>
  <c r="AM273" i="3" a="1"/>
  <c r="AM273" i="3" s="1"/>
  <c r="AP255" i="3" a="1"/>
  <c r="AP255" i="3" s="1"/>
  <c r="AR276" i="3" a="1"/>
  <c r="AR276" i="3" s="1"/>
  <c r="AM275" i="3" a="1"/>
  <c r="AM275" i="3" s="1"/>
  <c r="AM253" i="3" a="1"/>
  <c r="AM253" i="3" s="1"/>
  <c r="AO276" i="3" a="1"/>
  <c r="AO276" i="3" s="1"/>
  <c r="AR275" i="3" a="1"/>
  <c r="AR275" i="3" s="1"/>
  <c r="AM266" i="3" a="1"/>
  <c r="AM266" i="3" s="1"/>
  <c r="AR255" i="3" a="1"/>
  <c r="AR255" i="3" s="1"/>
  <c r="AR265" i="3" a="1"/>
  <c r="AR265" i="3" s="1"/>
  <c r="AQ275" i="3" a="1"/>
  <c r="AQ275" i="3" s="1"/>
  <c r="AM265" i="3" a="1"/>
  <c r="AM265" i="3" s="1"/>
  <c r="AQ254" i="3" a="1"/>
  <c r="AQ254" i="3" s="1"/>
  <c r="AP274" i="3" a="1"/>
  <c r="AP274" i="3" s="1"/>
  <c r="AQ267" i="3" a="1"/>
  <c r="AQ267" i="3" s="1"/>
  <c r="AQ264" i="3" a="1"/>
  <c r="AQ264" i="3" s="1"/>
  <c r="AN254" i="3" a="1"/>
  <c r="AN254" i="3" s="1"/>
  <c r="AO266" i="3" a="1"/>
  <c r="AO266" i="3" s="1"/>
  <c r="AR263" i="3" a="1"/>
  <c r="AR263" i="3" s="1"/>
  <c r="AP266" i="3" a="1"/>
  <c r="AP266" i="3" s="1"/>
  <c r="AR277" i="3" a="1"/>
  <c r="AR277" i="3" s="1"/>
  <c r="AR273" i="3" a="1"/>
  <c r="AR273" i="3" s="1"/>
  <c r="AQ263" i="3" a="1"/>
  <c r="AQ263" i="3" s="1"/>
  <c r="AN263" i="3" a="1"/>
  <c r="AN263" i="3" s="1"/>
  <c r="AN267" i="3" a="1"/>
  <c r="AN267" i="3" s="1"/>
  <c r="AM257" i="3" a="1"/>
  <c r="AM257" i="3" s="1"/>
  <c r="AR256" i="3" a="1"/>
  <c r="AR256" i="3" s="1"/>
  <c r="AO254" i="3" a="1"/>
  <c r="AO254" i="3" s="1"/>
  <c r="AM256" i="3" a="1"/>
  <c r="AM256" i="3" s="1"/>
  <c r="AQ276" i="3" a="1"/>
  <c r="AQ276" i="3" s="1"/>
  <c r="AQ256" i="3" a="1"/>
  <c r="AQ256" i="3" s="1"/>
  <c r="AO274" i="3" a="1"/>
  <c r="AO274" i="3" s="1"/>
  <c r="AN274" i="3" a="1"/>
  <c r="AN274" i="3" s="1"/>
  <c r="AN266" i="3" a="1"/>
  <c r="AN266" i="3" s="1"/>
  <c r="AP264" i="3" a="1"/>
  <c r="AP264" i="3" s="1"/>
  <c r="AM264" i="3" a="1"/>
  <c r="AM264" i="3" s="1"/>
  <c r="AP254" i="3" a="1"/>
  <c r="AP254" i="3" s="1"/>
  <c r="AM87" i="3" a="1"/>
  <c r="AM87" i="3" s="1"/>
  <c r="AR132" i="3" a="1"/>
  <c r="AR132" i="3" s="1"/>
  <c r="AN113" i="3" a="1"/>
  <c r="AN113" i="3" s="1"/>
  <c r="AQ115" i="3" a="1"/>
  <c r="AQ115" i="3" s="1"/>
  <c r="AQ117" i="3" a="1"/>
  <c r="AQ117" i="3" s="1"/>
  <c r="AN123" i="3" a="1"/>
  <c r="AN123" i="3" s="1"/>
  <c r="AR113" i="3" a="1"/>
  <c r="AR113" i="3" s="1"/>
  <c r="AP125" i="3" a="1"/>
  <c r="AP125" i="3" s="1"/>
  <c r="AN98" i="3" a="1"/>
  <c r="AN98" i="3" s="1"/>
  <c r="AP308" i="3" a="1"/>
  <c r="AP308" i="3" s="1"/>
  <c r="AP298" i="3" a="1"/>
  <c r="AP298" i="3" s="1"/>
  <c r="AR288" i="3" a="1"/>
  <c r="AR288" i="3" s="1"/>
  <c r="AO298" i="3" a="1"/>
  <c r="AO298" i="3" s="1"/>
  <c r="AQ288" i="3" a="1"/>
  <c r="AQ288" i="3" s="1"/>
  <c r="AO302" i="3" a="1"/>
  <c r="AO302" i="3" s="1"/>
  <c r="AP288" i="3" a="1"/>
  <c r="AP288" i="3" s="1"/>
  <c r="AP311" i="3" a="1"/>
  <c r="AP311" i="3" s="1"/>
  <c r="AN288" i="3" a="1"/>
  <c r="AN288" i="3" s="1"/>
  <c r="AO311" i="3" a="1"/>
  <c r="AO311" i="3" s="1"/>
  <c r="AM292" i="3" a="1"/>
  <c r="AM292" i="3" s="1"/>
  <c r="AN291" i="3" a="1"/>
  <c r="AN291" i="3" s="1"/>
  <c r="AO309" i="3" a="1"/>
  <c r="AO309" i="3" s="1"/>
  <c r="AO301" i="3" a="1"/>
  <c r="AO301" i="3" s="1"/>
  <c r="AM301" i="3" a="1"/>
  <c r="AM301" i="3" s="1"/>
  <c r="AM309" i="3" a="1"/>
  <c r="AM309" i="3" s="1"/>
  <c r="AP290" i="3" a="1"/>
  <c r="AP290" i="3" s="1"/>
  <c r="AO290" i="3" a="1"/>
  <c r="AO290" i="3" s="1"/>
  <c r="AP300" i="3" a="1"/>
  <c r="AP300" i="3" s="1"/>
  <c r="AP148" i="3" a="1"/>
  <c r="AP148" i="3" s="1"/>
  <c r="AR97" i="3" a="1"/>
  <c r="AR97" i="3" s="1"/>
  <c r="AO232" i="3" a="1"/>
  <c r="AO232" i="3" s="1"/>
  <c r="AR116" i="3" a="1"/>
  <c r="AR116" i="3" s="1"/>
  <c r="AR242" i="3" a="1"/>
  <c r="AR242" i="3" s="1"/>
  <c r="AP82" i="3" a="1"/>
  <c r="AP82" i="3" s="1"/>
  <c r="AM81" i="3" a="1"/>
  <c r="AM81" i="3" s="1"/>
  <c r="AN147" i="3" a="1"/>
  <c r="AN147" i="3" s="1"/>
  <c r="AR264" i="3" a="1"/>
  <c r="AR264" i="3" s="1"/>
  <c r="AQ220" i="3" a="1"/>
  <c r="AQ220" i="3" s="1"/>
  <c r="AP228" i="3" a="1"/>
  <c r="AP228" i="3" s="1"/>
  <c r="AO228" i="3" a="1"/>
  <c r="AO228" i="3" s="1"/>
  <c r="AP219" i="3" a="1"/>
  <c r="AP219" i="3" s="1"/>
  <c r="AQ222" i="3" a="1"/>
  <c r="AQ222" i="3" s="1"/>
  <c r="AQ231" i="3" a="1"/>
  <c r="AQ231" i="3" s="1"/>
  <c r="AR240" i="3" a="1"/>
  <c r="AR240" i="3" s="1"/>
  <c r="AN221" i="3" a="1"/>
  <c r="AN221" i="3" s="1"/>
  <c r="AP89" i="3" a="1"/>
  <c r="AP89" i="3" s="1"/>
  <c r="AM168" i="3" a="1"/>
  <c r="AM168" i="3" s="1"/>
  <c r="AQ265" i="3" a="1"/>
  <c r="AQ265" i="3" s="1"/>
  <c r="AN264" i="3" a="1"/>
  <c r="AN264" i="3" s="1"/>
  <c r="AR237" i="3" a="1"/>
  <c r="AR237" i="3" s="1"/>
  <c r="AR227" i="3" a="1"/>
  <c r="AR227" i="3" s="1"/>
  <c r="AN217" i="3" a="1"/>
  <c r="AN217" i="3" s="1"/>
  <c r="AQ237" i="3" a="1"/>
  <c r="AQ237" i="3" s="1"/>
  <c r="AQ227" i="3" a="1"/>
  <c r="AQ227" i="3" s="1"/>
  <c r="AQ217" i="3" a="1"/>
  <c r="AQ217" i="3" s="1"/>
  <c r="AN227" i="3" a="1"/>
  <c r="AN227" i="3" s="1"/>
  <c r="AP237" i="3" a="1"/>
  <c r="AP237" i="3" s="1"/>
  <c r="AN237" i="3" a="1"/>
  <c r="AN237" i="3" s="1"/>
  <c r="AM237" i="3" a="1"/>
  <c r="AM237" i="3" s="1"/>
  <c r="AP227" i="3" a="1"/>
  <c r="AP227" i="3" s="1"/>
  <c r="AR217" i="3" a="1"/>
  <c r="AR217" i="3" s="1"/>
  <c r="AM217" i="3" a="1"/>
  <c r="AM217" i="3" s="1"/>
  <c r="AP217" i="3" a="1"/>
  <c r="AP217" i="3" s="1"/>
  <c r="AO217" i="3" a="1"/>
  <c r="AO217" i="3" s="1"/>
  <c r="AO227" i="3" a="1"/>
  <c r="AO227" i="3" s="1"/>
  <c r="AM227" i="3" a="1"/>
  <c r="AM227" i="3" s="1"/>
  <c r="AO237" i="3" a="1"/>
  <c r="AO237" i="3" s="1"/>
  <c r="AN255" i="3" a="1"/>
  <c r="AN255" i="3" s="1"/>
  <c r="AR267" i="3" a="1"/>
  <c r="AR267" i="3" s="1"/>
  <c r="AQ257" i="3" a="1"/>
  <c r="AQ257" i="3" s="1"/>
  <c r="AO310" i="3" a="1"/>
  <c r="AO310" i="3" s="1"/>
  <c r="AR218" i="3" a="1"/>
  <c r="AR218" i="3" s="1"/>
  <c r="AP231" i="3" a="1"/>
  <c r="AP231" i="3" s="1"/>
  <c r="AR229" i="3" a="1"/>
  <c r="AR229" i="3" s="1"/>
  <c r="AM302" i="3" a="1"/>
  <c r="AM302" i="3" s="1"/>
  <c r="AP299" i="3" a="1"/>
  <c r="AP299" i="3" s="1"/>
  <c r="AQ290" i="3" a="1"/>
  <c r="AQ290" i="3" s="1"/>
  <c r="AQ312" i="3" a="1"/>
  <c r="AQ312" i="3" s="1"/>
  <c r="AR171" i="3" a="1"/>
  <c r="AR171" i="3" s="1"/>
  <c r="AM159" i="3" a="1"/>
  <c r="AM159" i="3" s="1"/>
  <c r="AN149" i="3" a="1"/>
  <c r="AN149" i="3" s="1"/>
  <c r="AR168" i="3" a="1"/>
  <c r="AR168" i="3" s="1"/>
  <c r="AP342" i="3" a="1"/>
  <c r="AP342" i="3" s="1"/>
  <c r="AO342" i="3" a="1"/>
  <c r="AO342" i="3" s="1"/>
  <c r="AO221" i="3" a="1"/>
  <c r="AO221" i="3" s="1"/>
  <c r="AR159" i="3" a="1"/>
  <c r="AR159" i="3" s="1"/>
  <c r="AN218" i="3" a="1"/>
  <c r="AN218" i="3" s="1"/>
  <c r="AQ242" i="3" a="1"/>
  <c r="AQ242" i="3" s="1"/>
  <c r="AM322" i="3" a="1"/>
  <c r="AM322" i="3" s="1"/>
  <c r="AO132" i="3" a="1"/>
  <c r="AO132" i="3" s="1"/>
  <c r="AO229" i="3" a="1"/>
  <c r="AO229" i="3" s="1"/>
  <c r="AP171" i="3" a="1"/>
  <c r="AP171" i="3" s="1"/>
  <c r="AP344" i="3" a="1"/>
  <c r="AP344" i="3" s="1"/>
  <c r="AP345" i="3" a="1"/>
  <c r="AP345" i="3" s="1"/>
  <c r="AR334" i="3" a="1"/>
  <c r="AR334" i="3" s="1"/>
  <c r="AP335" i="3" a="1"/>
  <c r="AP335" i="3" s="1"/>
  <c r="AM324" i="3" a="1"/>
  <c r="AM324" i="3" s="1"/>
  <c r="AM347" i="3" a="1"/>
  <c r="AM347" i="3" s="1"/>
  <c r="AN344" i="3" a="1"/>
  <c r="AN344" i="3" s="1"/>
  <c r="AQ89" i="3" a="1"/>
  <c r="AQ89" i="3" s="1"/>
  <c r="AO100" i="3" a="1"/>
  <c r="AO100" i="3" s="1"/>
  <c r="AR81" i="3" a="1"/>
  <c r="AR81" i="3" s="1"/>
  <c r="AQ79" i="3" a="1"/>
  <c r="AQ79" i="3" s="1"/>
  <c r="AN89" i="3" a="1"/>
  <c r="AN89" i="3" s="1"/>
  <c r="AN81" i="3" a="1"/>
  <c r="AN81" i="3" s="1"/>
  <c r="AP322" i="3" a="1"/>
  <c r="AP322" i="3" s="1"/>
  <c r="AP97" i="3" a="1"/>
  <c r="AP97" i="3" s="1"/>
  <c r="AP113" i="3" a="1"/>
  <c r="AP113" i="3" s="1"/>
  <c r="AM123" i="3" a="1"/>
  <c r="AM123" i="3" s="1"/>
  <c r="AQ123" i="3" a="1"/>
  <c r="AQ123" i="3" s="1"/>
  <c r="AO124" i="3" a="1"/>
  <c r="AO124" i="3" s="1"/>
  <c r="AM116" i="3" a="1"/>
  <c r="AM116" i="3" s="1"/>
  <c r="AP126" i="3" a="1"/>
  <c r="AP126" i="3" s="1"/>
  <c r="AO81" i="3" a="1"/>
  <c r="AO81" i="3" s="1"/>
  <c r="AM231" i="3" a="1"/>
  <c r="AM231" i="3" s="1"/>
  <c r="AN171" i="3" a="1"/>
  <c r="AN171" i="3" s="1"/>
  <c r="AQ377" i="4" a="1"/>
  <c r="AQ377" i="4" s="1"/>
  <c r="AN380" i="4" a="1"/>
  <c r="AN380" i="4" s="1"/>
  <c r="AN357" i="4" a="1"/>
  <c r="AN357" i="4" s="1"/>
  <c r="AP379" i="4" a="1"/>
  <c r="AP379" i="4" s="1"/>
  <c r="AO358" i="4" a="1"/>
  <c r="AO358" i="4" s="1"/>
  <c r="AQ357" i="4" a="1"/>
  <c r="AQ357" i="4" s="1"/>
  <c r="AR369" i="4" a="1"/>
  <c r="AR369" i="4" s="1"/>
  <c r="AR377" i="4" a="1"/>
  <c r="AR377" i="4" s="1"/>
  <c r="AM360" i="4" a="1"/>
  <c r="AM360" i="4" s="1"/>
  <c r="AM379" i="4" a="1"/>
  <c r="AM379" i="4" s="1"/>
  <c r="AN342" i="4" a="1"/>
  <c r="AN342" i="4" s="1"/>
  <c r="AM184" i="4" a="1"/>
  <c r="AM184" i="4" s="1"/>
  <c r="AO182" i="4" a="1"/>
  <c r="AO182" i="4" s="1"/>
  <c r="AQ182" i="4" a="1"/>
  <c r="AQ182" i="4" s="1"/>
  <c r="AQ203" i="4" a="1"/>
  <c r="AQ203" i="4" s="1"/>
  <c r="AR204" i="4" a="1"/>
  <c r="AR204" i="4" s="1"/>
  <c r="AQ167" i="4" a="1"/>
  <c r="AQ167" i="4" s="1"/>
  <c r="AR169" i="4" a="1"/>
  <c r="AR169" i="4" s="1"/>
  <c r="AM147" i="4" a="1"/>
  <c r="AM147" i="4" s="1"/>
  <c r="AO172" i="4" a="1"/>
  <c r="AO172" i="4" s="1"/>
  <c r="AQ126" i="4" a="1"/>
  <c r="AQ126" i="4" s="1"/>
  <c r="AR134" i="4" a="1"/>
  <c r="AR134" i="4" s="1"/>
  <c r="AO125" i="4" a="1"/>
  <c r="AO125" i="4" s="1"/>
  <c r="AR115" i="4" a="1"/>
  <c r="AR115" i="4" s="1"/>
  <c r="AO134" i="4" a="1"/>
  <c r="AO134" i="4" s="1"/>
  <c r="AR123" i="4" a="1"/>
  <c r="AR123" i="4" s="1"/>
  <c r="AM125" i="4" a="1"/>
  <c r="AM125" i="4" s="1"/>
  <c r="AR113" i="4" a="1"/>
  <c r="AR113" i="4" s="1"/>
  <c r="AO136" i="4" a="1"/>
  <c r="AO136" i="4" s="1"/>
  <c r="AM114" i="4" a="1"/>
  <c r="AM114" i="4" s="1"/>
  <c r="AP133" i="4" a="1"/>
  <c r="AP133" i="4" s="1"/>
  <c r="AO124" i="4" a="1"/>
  <c r="AO124" i="4" s="1"/>
  <c r="AP117" i="4" a="1"/>
  <c r="AP117" i="4" s="1"/>
  <c r="AQ114" i="4" a="1"/>
  <c r="AQ114" i="4" s="1"/>
  <c r="AM113" i="4" a="1"/>
  <c r="AM113" i="4" s="1"/>
  <c r="AP126" i="4" a="1"/>
  <c r="AP126" i="4" s="1"/>
  <c r="AO117" i="4" a="1"/>
  <c r="AO117" i="4" s="1"/>
  <c r="AO133" i="4" a="1"/>
  <c r="AO133" i="4" s="1"/>
  <c r="AM137" i="4" a="1"/>
  <c r="AM137" i="4" s="1"/>
  <c r="AM116" i="4" a="1"/>
  <c r="AM116" i="4" s="1"/>
  <c r="AM126" i="4" a="1"/>
  <c r="AM126" i="4" s="1"/>
  <c r="AQ133" i="4" a="1"/>
  <c r="AQ133" i="4" s="1"/>
  <c r="AN124" i="4" a="1"/>
  <c r="AN124" i="4" s="1"/>
  <c r="AO114" i="4" a="1"/>
  <c r="AO114" i="4" s="1"/>
  <c r="AO126" i="4" a="1"/>
  <c r="AO126" i="4" s="1"/>
  <c r="AR114" i="4" a="1"/>
  <c r="AR114" i="4" s="1"/>
  <c r="AO113" i="4" a="1"/>
  <c r="AO113" i="4" s="1"/>
  <c r="AR127" i="4" a="1"/>
  <c r="AR127" i="4" s="1"/>
  <c r="AP135" i="4" a="1"/>
  <c r="AP135" i="4" s="1"/>
  <c r="AQ117" i="4" a="1"/>
  <c r="AQ117" i="4" s="1"/>
  <c r="AN117" i="4" a="1"/>
  <c r="AN117" i="4" s="1"/>
  <c r="AR124" i="4" a="1"/>
  <c r="AR124" i="4" s="1"/>
  <c r="AN114" i="4" a="1"/>
  <c r="AN114" i="4" s="1"/>
  <c r="AO135" i="4" a="1"/>
  <c r="AO135" i="4" s="1"/>
  <c r="AM134" i="4" a="1"/>
  <c r="AM134" i="4" s="1"/>
  <c r="AO115" i="4" a="1"/>
  <c r="AO115" i="4" s="1"/>
  <c r="AP116" i="4" a="1"/>
  <c r="AP116" i="4" s="1"/>
  <c r="AN115" i="4" a="1"/>
  <c r="AN115" i="4" s="1"/>
  <c r="AN135" i="4" a="1"/>
  <c r="AN135" i="4" s="1"/>
  <c r="AQ137" i="4" a="1"/>
  <c r="AQ137" i="4" s="1"/>
  <c r="AM63" i="4" a="1"/>
  <c r="AM63" i="4" s="1"/>
  <c r="AQ42" i="4" a="1"/>
  <c r="AQ42" i="4" s="1"/>
  <c r="AP67" i="4" a="1"/>
  <c r="AP67" i="4" s="1"/>
  <c r="AN66" i="4" a="1"/>
  <c r="AN66" i="4" s="1"/>
  <c r="AR360" i="4" a="1"/>
  <c r="AR360" i="4" s="1"/>
  <c r="AR381" i="4" a="1"/>
  <c r="AR381" i="4" s="1"/>
  <c r="AO359" i="4" a="1"/>
  <c r="AO359" i="4" s="1"/>
  <c r="AP358" i="4" a="1"/>
  <c r="AP358" i="4" s="1"/>
  <c r="AR382" i="4" a="1"/>
  <c r="AR382" i="4" s="1"/>
  <c r="AM381" i="4" a="1"/>
  <c r="AM381" i="4" s="1"/>
  <c r="AP367" i="4" a="1"/>
  <c r="AP367" i="4" s="1"/>
  <c r="AM362" i="4" a="1"/>
  <c r="AM362" i="4" s="1"/>
  <c r="AP359" i="4" a="1"/>
  <c r="AP359" i="4" s="1"/>
  <c r="AP357" i="4" a="1"/>
  <c r="AP357" i="4" s="1"/>
  <c r="AQ378" i="4" a="1"/>
  <c r="AQ378" i="4" s="1"/>
  <c r="AP377" i="4" a="1"/>
  <c r="AP377" i="4" s="1"/>
  <c r="AM368" i="4" a="1"/>
  <c r="AM368" i="4" s="1"/>
  <c r="AP372" i="4" a="1"/>
  <c r="AP372" i="4" s="1"/>
  <c r="AM357" i="4" a="1"/>
  <c r="AM357" i="4" s="1"/>
  <c r="AO370" i="4" a="1"/>
  <c r="AO370" i="4" s="1"/>
  <c r="AP378" i="4" a="1"/>
  <c r="AP378" i="4" s="1"/>
  <c r="AN325" i="4" a="1"/>
  <c r="AN325" i="4" s="1"/>
  <c r="AR322" i="4" a="1"/>
  <c r="AR322" i="4" s="1"/>
  <c r="AN324" i="4" a="1"/>
  <c r="AN324" i="4" s="1"/>
  <c r="AR324" i="4" a="1"/>
  <c r="AR324" i="4" s="1"/>
  <c r="AO297" i="4" a="1"/>
  <c r="AO297" i="4" s="1"/>
  <c r="AQ307" i="4" a="1"/>
  <c r="AQ307" i="4" s="1"/>
  <c r="AM183" i="4" a="1"/>
  <c r="AM183" i="4" s="1"/>
  <c r="AM187" i="4" a="1"/>
  <c r="AM187" i="4" s="1"/>
  <c r="AR205" i="4" a="1"/>
  <c r="AR205" i="4" s="1"/>
  <c r="AN196" i="4" a="1"/>
  <c r="AN196" i="4" s="1"/>
  <c r="AP197" i="4" a="1"/>
  <c r="AP197" i="4" s="1"/>
  <c r="AN182" i="4" a="1"/>
  <c r="AN182" i="4" s="1"/>
  <c r="AP204" i="4" a="1"/>
  <c r="AP204" i="4" s="1"/>
  <c r="AP205" i="4" a="1"/>
  <c r="AP205" i="4" s="1"/>
  <c r="AQ197" i="4" a="1"/>
  <c r="AQ197" i="4" s="1"/>
  <c r="AO183" i="4" a="1"/>
  <c r="AO183" i="4" s="1"/>
  <c r="AN193" i="4" a="1"/>
  <c r="AN193" i="4" s="1"/>
  <c r="AQ204" i="4" a="1"/>
  <c r="AQ204" i="4" s="1"/>
  <c r="AP161" i="4" a="1"/>
  <c r="AP161" i="4" s="1"/>
  <c r="AN162" i="4" a="1"/>
  <c r="AN162" i="4" s="1"/>
  <c r="AP152" i="4" a="1"/>
  <c r="AP152" i="4" s="1"/>
  <c r="AQ160" i="4" a="1"/>
  <c r="AQ160" i="4" s="1"/>
  <c r="AN168" i="4" a="1"/>
  <c r="AN168" i="4" s="1"/>
  <c r="AP162" i="4" a="1"/>
  <c r="AP162" i="4" s="1"/>
  <c r="AR161" i="4" a="1"/>
  <c r="AR161" i="4" s="1"/>
  <c r="AR172" i="4" a="1"/>
  <c r="AR172" i="4" s="1"/>
  <c r="AQ151" i="4" a="1"/>
  <c r="AQ151" i="4" s="1"/>
  <c r="AN147" i="4" a="1"/>
  <c r="AN147" i="4" s="1"/>
  <c r="AP150" i="4" a="1"/>
  <c r="AP150" i="4" s="1"/>
  <c r="AN123" i="4" a="1"/>
  <c r="AN123" i="4" s="1"/>
  <c r="AM124" i="4" a="1"/>
  <c r="AM124" i="4" s="1"/>
  <c r="AO123" i="4" a="1"/>
  <c r="AO123" i="4" s="1"/>
  <c r="AM115" i="4" a="1"/>
  <c r="AM115" i="4" s="1"/>
  <c r="AP136" i="4" a="1"/>
  <c r="AP136" i="4" s="1"/>
  <c r="AO127" i="4" a="1"/>
  <c r="AO127" i="4" s="1"/>
  <c r="AN126" i="4" a="1"/>
  <c r="AN126" i="4" s="1"/>
  <c r="AN125" i="4" a="1"/>
  <c r="AN125" i="4" s="1"/>
  <c r="AQ125" i="4" a="1"/>
  <c r="AQ125" i="4" s="1"/>
  <c r="AR117" i="4" a="1"/>
  <c r="AR117" i="4" s="1"/>
  <c r="AQ134" i="4" a="1"/>
  <c r="AQ134" i="4" s="1"/>
  <c r="AM127" i="4" a="1"/>
  <c r="AM127" i="4" s="1"/>
  <c r="AN137" i="4" a="1"/>
  <c r="AN137" i="4" s="1"/>
  <c r="AQ135" i="4" a="1"/>
  <c r="AQ135" i="4" s="1"/>
  <c r="AM133" i="4" a="1"/>
  <c r="AM133" i="4" s="1"/>
  <c r="AQ115" i="4" a="1"/>
  <c r="AQ115" i="4" s="1"/>
  <c r="AQ136" i="4" a="1"/>
  <c r="AQ136" i="4" s="1"/>
  <c r="AP124" i="4" a="1"/>
  <c r="AP124" i="4" s="1"/>
  <c r="AO116" i="4" a="1"/>
  <c r="AO116" i="4" s="1"/>
  <c r="AM117" i="4" a="1"/>
  <c r="AM117" i="4" s="1"/>
  <c r="AQ113" i="4" a="1"/>
  <c r="AQ113" i="4" s="1"/>
  <c r="AN136" i="4" a="1"/>
  <c r="AN136" i="4" s="1"/>
  <c r="AP127" i="4" a="1"/>
  <c r="AP127" i="4" s="1"/>
  <c r="AP134" i="4" a="1"/>
  <c r="AP134" i="4" s="1"/>
  <c r="AQ123" i="4" a="1"/>
  <c r="AQ123" i="4" s="1"/>
  <c r="AN113" i="4" a="1"/>
  <c r="AN113" i="4" s="1"/>
  <c r="AM135" i="4" a="1"/>
  <c r="AM135" i="4" s="1"/>
  <c r="AR133" i="4" a="1"/>
  <c r="AR133" i="4" s="1"/>
  <c r="AP137" i="4" a="1"/>
  <c r="AP137" i="4" s="1"/>
  <c r="AO137" i="4" a="1"/>
  <c r="AO137" i="4" s="1"/>
  <c r="AQ116" i="4" a="1"/>
  <c r="AQ116" i="4" s="1"/>
  <c r="AP115" i="4" a="1"/>
  <c r="AP115" i="4" s="1"/>
  <c r="AR136" i="4" a="1"/>
  <c r="AR136" i="4" s="1"/>
  <c r="AP123" i="4" a="1"/>
  <c r="AP123" i="4" s="1"/>
  <c r="AR137" i="4" a="1"/>
  <c r="AR137" i="4" s="1"/>
  <c r="AN133" i="4" a="1"/>
  <c r="AN133" i="4" s="1"/>
  <c r="AR116" i="4" a="1"/>
  <c r="AR116" i="4" s="1"/>
  <c r="AR125" i="4" a="1"/>
  <c r="AR125" i="4" s="1"/>
  <c r="AN116" i="4" a="1"/>
  <c r="AN116" i="4" s="1"/>
  <c r="AP113" i="4" a="1"/>
  <c r="AP113" i="4" s="1"/>
  <c r="AQ124" i="4" a="1"/>
  <c r="AQ124" i="4" s="1"/>
  <c r="AQ67" i="4" a="1"/>
  <c r="AQ67" i="4" s="1"/>
  <c r="AR66" i="4" a="1"/>
  <c r="AR66" i="4" s="1"/>
  <c r="AP55" i="4" a="1"/>
  <c r="AP55" i="4" s="1"/>
  <c r="AR45" i="4" a="1"/>
  <c r="AR45" i="4" s="1"/>
  <c r="AM62" i="4" a="1"/>
  <c r="AM62" i="4" s="1"/>
  <c r="AR62" i="4" a="1"/>
  <c r="AR62" i="4" s="1"/>
  <c r="AN45" i="4" a="1"/>
  <c r="AN45" i="4" s="1"/>
  <c r="AM55" i="4" a="1"/>
  <c r="AM55" i="4" s="1"/>
  <c r="AN346" i="4" a="1"/>
  <c r="AN346" i="4" s="1"/>
  <c r="AQ168" i="4" a="1"/>
  <c r="AQ168" i="4" s="1"/>
  <c r="AP342" i="4" a="1"/>
  <c r="AP342" i="4" s="1"/>
  <c r="AN55" i="4" a="1"/>
  <c r="AN55" i="4" s="1"/>
  <c r="AO55" i="4" a="1"/>
  <c r="AO55" i="4" s="1"/>
  <c r="AQ45" i="4" a="1"/>
  <c r="AQ45" i="4" s="1"/>
  <c r="AR47" i="4" a="1"/>
  <c r="AR47" i="4" s="1"/>
  <c r="AO44" i="4" a="1"/>
  <c r="AO44" i="4" s="1"/>
  <c r="AQ66" i="4" a="1"/>
  <c r="AQ66" i="4" s="1"/>
  <c r="AR65" i="4" a="1"/>
  <c r="AR65" i="4" s="1"/>
  <c r="AM57" i="4" a="1"/>
  <c r="AM57" i="4" s="1"/>
  <c r="AP125" i="4" a="1"/>
  <c r="AP125" i="4" s="1"/>
  <c r="AQ127" i="4" a="1"/>
  <c r="AQ127" i="4" s="1"/>
  <c r="AO150" i="4" a="1"/>
  <c r="AO150" i="4" s="1"/>
  <c r="AQ345" i="4" a="1"/>
  <c r="AQ345" i="4" s="1"/>
  <c r="AR346" i="4" a="1"/>
  <c r="AR346" i="4" s="1"/>
  <c r="AR147" i="4" a="1"/>
  <c r="AR147" i="4" s="1"/>
  <c r="AP167" i="4" a="1"/>
  <c r="AP167" i="4" s="1"/>
  <c r="AM342" i="4" a="1"/>
  <c r="AM342" i="4" s="1"/>
  <c r="AP323" i="4" a="1"/>
  <c r="AP323" i="4" s="1"/>
  <c r="AP159" i="4" a="1"/>
  <c r="AP159" i="4" s="1"/>
  <c r="AO202" i="4" a="1"/>
  <c r="AO202" i="4" s="1"/>
  <c r="AP193" i="4" a="1"/>
  <c r="AP193" i="4" s="1"/>
  <c r="AP324" i="4" a="1"/>
  <c r="AP324" i="4" s="1"/>
  <c r="AO158" i="4" a="1"/>
  <c r="AO158" i="4" s="1"/>
  <c r="AQ205" i="4" a="1"/>
  <c r="AQ205" i="4" s="1"/>
  <c r="AM151" i="4" a="1"/>
  <c r="AM151" i="4" s="1"/>
  <c r="AQ206" i="4" a="1"/>
  <c r="AQ206" i="4" s="1"/>
  <c r="AN63" i="4" a="1"/>
  <c r="AN63" i="4" s="1"/>
  <c r="AQ44" i="4" a="1"/>
  <c r="AQ44" i="4" s="1"/>
  <c r="AP360" i="4" a="1"/>
  <c r="AP360" i="4" s="1"/>
  <c r="AR326" i="4" a="1"/>
  <c r="AR326" i="4" s="1"/>
  <c r="AQ149" i="4" a="1"/>
  <c r="AQ149" i="4" s="1"/>
  <c r="AN150" i="4" a="1"/>
  <c r="AN150" i="4" s="1"/>
  <c r="AQ185" i="4" a="1"/>
  <c r="AQ185" i="4" s="1"/>
  <c r="AR342" i="4" a="1"/>
  <c r="AR342" i="4" s="1"/>
  <c r="AR53" i="4" a="1"/>
  <c r="AR53" i="4" s="1"/>
  <c r="AN379" i="4" a="1"/>
  <c r="AN379" i="4" s="1"/>
  <c r="AQ337" i="4" a="1"/>
  <c r="AQ337" i="4" s="1"/>
  <c r="AM327" i="4" a="1"/>
  <c r="AM327" i="4" s="1"/>
  <c r="AO333" i="4" a="1"/>
  <c r="AO333" i="4" s="1"/>
  <c r="AQ334" i="4" a="1"/>
  <c r="AQ334" i="4" s="1"/>
  <c r="AN335" i="4" a="1"/>
  <c r="AN335" i="4" s="1"/>
  <c r="AR361" i="4" a="1"/>
  <c r="AR361" i="4" s="1"/>
  <c r="AN361" i="4" a="1"/>
  <c r="AN361" i="4" s="1"/>
  <c r="AP169" i="4" a="1"/>
  <c r="AP169" i="4" s="1"/>
  <c r="AO307" i="4" a="1"/>
  <c r="AO307" i="4" s="1"/>
  <c r="AP148" i="4" a="1"/>
  <c r="AP148" i="4" s="1"/>
  <c r="AM287" i="4" a="1"/>
  <c r="AM287" i="4" s="1"/>
  <c r="AM159" i="4" a="1"/>
  <c r="AM159" i="4" s="1"/>
  <c r="AN151" i="4" a="1"/>
  <c r="AN151" i="4" s="1"/>
  <c r="AQ147" i="4" a="1"/>
  <c r="AQ147" i="4" s="1"/>
  <c r="AP194" i="4" a="1"/>
  <c r="AP194" i="4" s="1"/>
  <c r="AP207" i="4" a="1"/>
  <c r="AP207" i="4" s="1"/>
  <c r="AN204" i="4" a="1"/>
  <c r="AN204" i="4" s="1"/>
  <c r="AO204" i="4" a="1"/>
  <c r="AO204" i="4" s="1"/>
  <c r="AN194" i="4" a="1"/>
  <c r="AN194" i="4" s="1"/>
  <c r="AQ186" i="4" a="1"/>
  <c r="AQ186" i="4" s="1"/>
  <c r="AQ169" i="4" a="1"/>
  <c r="AQ169" i="4" s="1"/>
  <c r="AN372" i="4" a="1"/>
  <c r="AN372" i="4" s="1"/>
  <c r="AM42" i="4" a="1"/>
  <c r="AM42" i="4" s="1"/>
  <c r="AR42" i="4" a="1"/>
  <c r="AR42" i="4" s="1"/>
  <c r="AP62" i="4" a="1"/>
  <c r="AP62" i="4" s="1"/>
  <c r="AP42" i="4" a="1"/>
  <c r="AP42" i="4" s="1"/>
  <c r="AN52" i="4" a="1"/>
  <c r="AN52" i="4" s="1"/>
  <c r="AO42" i="4" a="1"/>
  <c r="AO42" i="4" s="1"/>
  <c r="AO62" i="4" a="1"/>
  <c r="AO62" i="4" s="1"/>
  <c r="AN62" i="4" a="1"/>
  <c r="AN62" i="4" s="1"/>
  <c r="AN42" i="4" a="1"/>
  <c r="AN42" i="4" s="1"/>
  <c r="AR149" i="4" a="1"/>
  <c r="AR149" i="4" s="1"/>
  <c r="AO151" i="4" a="1"/>
  <c r="AO151" i="4" s="1"/>
  <c r="AO167" i="4" a="1"/>
  <c r="AO167" i="4" s="1"/>
  <c r="AP65" i="4" a="1"/>
  <c r="AP65" i="4" s="1"/>
  <c r="AR44" i="4" a="1"/>
  <c r="AR44" i="4" s="1"/>
  <c r="AO67" i="4" a="1"/>
  <c r="AO67" i="4" s="1"/>
  <c r="AP43" i="4" a="1"/>
  <c r="AP43" i="4" s="1"/>
  <c r="AQ55" i="4" a="1"/>
  <c r="AQ55" i="4" s="1"/>
  <c r="AR54" i="4" a="1"/>
  <c r="AR54" i="4" s="1"/>
  <c r="AM46" i="4" a="1"/>
  <c r="AM46" i="4" s="1"/>
  <c r="AR135" i="4" a="1"/>
  <c r="AR135" i="4" s="1"/>
  <c r="AN102" i="4" a="1"/>
  <c r="AN102" i="4" s="1"/>
  <c r="AN101" i="4" a="1"/>
  <c r="AN101" i="4" s="1"/>
  <c r="AN100" i="4" a="1"/>
  <c r="AN100" i="4" s="1"/>
  <c r="AN99" i="4" a="1"/>
  <c r="AN99" i="4" s="1"/>
  <c r="AN98" i="4" a="1"/>
  <c r="AN98" i="4" s="1"/>
  <c r="AN92" i="4" a="1"/>
  <c r="AN92" i="4" s="1"/>
  <c r="AN91" i="4" a="1"/>
  <c r="AN91" i="4" s="1"/>
  <c r="AN90" i="4" a="1"/>
  <c r="AN90" i="4" s="1"/>
  <c r="AN89" i="4" a="1"/>
  <c r="AN89" i="4" s="1"/>
  <c r="AN88" i="4" a="1"/>
  <c r="AN88" i="4" s="1"/>
  <c r="AN82" i="4" a="1"/>
  <c r="AN82" i="4" s="1"/>
  <c r="AN81" i="4" a="1"/>
  <c r="AN81" i="4" s="1"/>
  <c r="AN80" i="4" a="1"/>
  <c r="AN80" i="4" s="1"/>
  <c r="AN79" i="4" a="1"/>
  <c r="AN79" i="4" s="1"/>
  <c r="AN78" i="4" a="1"/>
  <c r="AN78" i="4" s="1"/>
  <c r="AO102" i="4" a="1"/>
  <c r="AO102" i="4" s="1"/>
  <c r="AR98" i="4" a="1"/>
  <c r="AR98" i="4" s="1"/>
  <c r="AQ91" i="4" a="1"/>
  <c r="AQ91" i="4" s="1"/>
  <c r="AM90" i="4" a="1"/>
  <c r="AM90" i="4" s="1"/>
  <c r="AP88" i="4" a="1"/>
  <c r="AP88" i="4" s="1"/>
  <c r="AQ82" i="4" a="1"/>
  <c r="AQ82" i="4" s="1"/>
  <c r="AM81" i="4" a="1"/>
  <c r="AM81" i="4" s="1"/>
  <c r="AP79" i="4" a="1"/>
  <c r="AP79" i="4" s="1"/>
  <c r="AM102" i="4" a="1"/>
  <c r="AM102" i="4" s="1"/>
  <c r="AP100" i="4" a="1"/>
  <c r="AP100" i="4" s="1"/>
  <c r="AR89" i="4" a="1"/>
  <c r="AR89" i="4" s="1"/>
  <c r="AO88" i="4" a="1"/>
  <c r="AO88" i="4" s="1"/>
  <c r="AR80" i="4" a="1"/>
  <c r="AR80" i="4" s="1"/>
  <c r="AM98" i="4" a="1"/>
  <c r="AM98" i="4" s="1"/>
  <c r="AR81" i="4" a="1"/>
  <c r="AR81" i="4" s="1"/>
  <c r="AQ90" i="4" a="1"/>
  <c r="AQ90" i="4" s="1"/>
  <c r="AM101" i="4" a="1"/>
  <c r="AM101" i="4" s="1"/>
  <c r="AM80" i="4" a="1"/>
  <c r="AM80" i="4" s="1"/>
  <c r="AR101" i="4" a="1"/>
  <c r="AR101" i="4" s="1"/>
  <c r="AQ98" i="4" a="1"/>
  <c r="AQ98" i="4" s="1"/>
  <c r="AP91" i="4" a="1"/>
  <c r="AP91" i="4" s="1"/>
  <c r="AQ89" i="4" a="1"/>
  <c r="AQ89" i="4" s="1"/>
  <c r="AM88" i="4" a="1"/>
  <c r="AM88" i="4" s="1"/>
  <c r="AP82" i="4" a="1"/>
  <c r="AP82" i="4" s="1"/>
  <c r="AO79" i="4" a="1"/>
  <c r="AO79" i="4" s="1"/>
  <c r="AM89" i="4" a="1"/>
  <c r="AM89" i="4" s="1"/>
  <c r="AO92" i="4" a="1"/>
  <c r="AO92" i="4" s="1"/>
  <c r="AO100" i="4" a="1"/>
  <c r="AO100" i="4" s="1"/>
  <c r="AR92" i="4" a="1"/>
  <c r="AR92" i="4" s="1"/>
  <c r="AO91" i="4" a="1"/>
  <c r="AO91" i="4" s="1"/>
  <c r="AQ80" i="4" a="1"/>
  <c r="AQ80" i="4" s="1"/>
  <c r="AM79" i="4" a="1"/>
  <c r="AM79" i="4" s="1"/>
  <c r="AQ99" i="4" a="1"/>
  <c r="AQ99" i="4" s="1"/>
  <c r="AO89" i="4" a="1"/>
  <c r="AO89" i="4" s="1"/>
  <c r="AR102" i="4" a="1"/>
  <c r="AR102" i="4" s="1"/>
  <c r="AR88" i="4" a="1"/>
  <c r="AR88" i="4" s="1"/>
  <c r="AQ101" i="4" a="1"/>
  <c r="AQ101" i="4" s="1"/>
  <c r="AM100" i="4" a="1"/>
  <c r="AM100" i="4" s="1"/>
  <c r="AP98" i="4" a="1"/>
  <c r="AP98" i="4" s="1"/>
  <c r="AQ92" i="4" a="1"/>
  <c r="AQ92" i="4" s="1"/>
  <c r="AM91" i="4" a="1"/>
  <c r="AM91" i="4" s="1"/>
  <c r="AP89" i="4" a="1"/>
  <c r="AP89" i="4" s="1"/>
  <c r="AO82" i="4" a="1"/>
  <c r="AO82" i="4" s="1"/>
  <c r="AR78" i="4" a="1"/>
  <c r="AR78" i="4" s="1"/>
  <c r="AP101" i="4" a="1"/>
  <c r="AP101" i="4" s="1"/>
  <c r="AP92" i="4" a="1"/>
  <c r="AP92" i="4" s="1"/>
  <c r="AQ78" i="4" a="1"/>
  <c r="AQ78" i="4" s="1"/>
  <c r="AO80" i="4" a="1"/>
  <c r="AO80" i="4" s="1"/>
  <c r="AP99" i="4" a="1"/>
  <c r="AP99" i="4" s="1"/>
  <c r="AP78" i="4" a="1"/>
  <c r="AP78" i="4" s="1"/>
  <c r="AR99" i="4" a="1"/>
  <c r="AR99" i="4" s="1"/>
  <c r="AO98" i="4" a="1"/>
  <c r="AO98" i="4" s="1"/>
  <c r="AR90" i="4" a="1"/>
  <c r="AR90" i="4" s="1"/>
  <c r="AM82" i="4" a="1"/>
  <c r="AM82" i="4" s="1"/>
  <c r="AP80" i="4" a="1"/>
  <c r="AP80" i="4" s="1"/>
  <c r="AO101" i="4" a="1"/>
  <c r="AO101" i="4" s="1"/>
  <c r="AQ102" i="4" a="1"/>
  <c r="AQ102" i="4" s="1"/>
  <c r="AQ81" i="4" a="1"/>
  <c r="AQ81" i="4" s="1"/>
  <c r="AO81" i="4" a="1"/>
  <c r="AO81" i="4" s="1"/>
  <c r="AQ79" i="4" a="1"/>
  <c r="AQ79" i="4" s="1"/>
  <c r="AP81" i="4" a="1"/>
  <c r="AP81" i="4" s="1"/>
  <c r="AR100" i="4" a="1"/>
  <c r="AR100" i="4" s="1"/>
  <c r="AP90" i="4" a="1"/>
  <c r="AP90" i="4" s="1"/>
  <c r="AR79" i="4" a="1"/>
  <c r="AR79" i="4" s="1"/>
  <c r="AQ100" i="4" a="1"/>
  <c r="AQ100" i="4" s="1"/>
  <c r="AO90" i="4" a="1"/>
  <c r="AO90" i="4" s="1"/>
  <c r="AM99" i="4" a="1"/>
  <c r="AM99" i="4" s="1"/>
  <c r="AO78" i="4" a="1"/>
  <c r="AO78" i="4" s="1"/>
  <c r="AR91" i="4" a="1"/>
  <c r="AR91" i="4" s="1"/>
  <c r="AO99" i="4" a="1"/>
  <c r="AO99" i="4" s="1"/>
  <c r="AQ88" i="4" a="1"/>
  <c r="AQ88" i="4" s="1"/>
  <c r="AM78" i="4" a="1"/>
  <c r="AM78" i="4" s="1"/>
  <c r="AR82" i="4" a="1"/>
  <c r="AR82" i="4" s="1"/>
  <c r="AM92" i="4" a="1"/>
  <c r="AM92" i="4" s="1"/>
  <c r="AP102" i="4" a="1"/>
  <c r="AP102" i="4" s="1"/>
  <c r="AM334" i="4" a="1"/>
  <c r="AM334" i="4" s="1"/>
  <c r="AN347" i="4" a="1"/>
  <c r="AN347" i="4" s="1"/>
  <c r="AP322" i="4" a="1"/>
  <c r="AP322" i="4" s="1"/>
  <c r="AR337" i="4" a="1"/>
  <c r="AR337" i="4" s="1"/>
  <c r="AO336" i="4" a="1"/>
  <c r="AO336" i="4" s="1"/>
  <c r="AO327" i="4" a="1"/>
  <c r="AO327" i="4" s="1"/>
  <c r="AM323" i="4" a="1"/>
  <c r="AM323" i="4" s="1"/>
  <c r="AM335" i="4" a="1"/>
  <c r="AM335" i="4" s="1"/>
  <c r="AO324" i="4" a="1"/>
  <c r="AO324" i="4" s="1"/>
  <c r="AO346" i="4" a="1"/>
  <c r="AO346" i="4" s="1"/>
  <c r="AR334" i="4" a="1"/>
  <c r="AR334" i="4" s="1"/>
  <c r="AP327" i="4" a="1"/>
  <c r="AP327" i="4" s="1"/>
  <c r="AM324" i="4" a="1"/>
  <c r="AM324" i="4" s="1"/>
  <c r="AR323" i="4" a="1"/>
  <c r="AR323" i="4" s="1"/>
  <c r="AR344" i="4" a="1"/>
  <c r="AR344" i="4" s="1"/>
  <c r="AO337" i="4" a="1"/>
  <c r="AO337" i="4" s="1"/>
  <c r="AQ333" i="4" a="1"/>
  <c r="AQ333" i="4" s="1"/>
  <c r="AO326" i="4" a="1"/>
  <c r="AO326" i="4" s="1"/>
  <c r="AM337" i="4" a="1"/>
  <c r="AM337" i="4" s="1"/>
  <c r="AM343" i="4" a="1"/>
  <c r="AM343" i="4" s="1"/>
  <c r="AR327" i="4" a="1"/>
  <c r="AR327" i="4" s="1"/>
  <c r="AQ327" i="4" a="1"/>
  <c r="AQ327" i="4" s="1"/>
  <c r="AM326" i="4" a="1"/>
  <c r="AM326" i="4" s="1"/>
  <c r="AP336" i="4" a="1"/>
  <c r="AP336" i="4" s="1"/>
  <c r="AQ347" i="4" a="1"/>
  <c r="AQ347" i="4" s="1"/>
  <c r="AM336" i="4" a="1"/>
  <c r="AM336" i="4" s="1"/>
  <c r="AO325" i="4" a="1"/>
  <c r="AO325" i="4" s="1"/>
  <c r="AO347" i="4" a="1"/>
  <c r="AO347" i="4" s="1"/>
  <c r="AM325" i="4" a="1"/>
  <c r="AM325" i="4" s="1"/>
  <c r="AO344" i="4" a="1"/>
  <c r="AO344" i="4" s="1"/>
  <c r="AQ323" i="4" a="1"/>
  <c r="AQ323" i="4" s="1"/>
  <c r="AP335" i="4" a="1"/>
  <c r="AP335" i="4" s="1"/>
  <c r="AM347" i="4" a="1"/>
  <c r="AM347" i="4" s="1"/>
  <c r="AM172" i="4" a="1"/>
  <c r="AM172" i="4" s="1"/>
  <c r="AN157" i="4" a="1"/>
  <c r="AN157" i="4" s="1"/>
  <c r="AP52" i="4" a="1"/>
  <c r="AP52" i="4" s="1"/>
  <c r="AQ237" i="4" a="1"/>
  <c r="AQ237" i="4" s="1"/>
  <c r="AR237" i="4" a="1"/>
  <c r="AR237" i="4" s="1"/>
  <c r="AO227" i="4" a="1"/>
  <c r="AO227" i="4" s="1"/>
  <c r="AM217" i="4" a="1"/>
  <c r="AM217" i="4" s="1"/>
  <c r="AP237" i="4" a="1"/>
  <c r="AP237" i="4" s="1"/>
  <c r="AR227" i="4" a="1"/>
  <c r="AR227" i="4" s="1"/>
  <c r="AO237" i="4" a="1"/>
  <c r="AO237" i="4" s="1"/>
  <c r="AQ227" i="4" a="1"/>
  <c r="AQ227" i="4" s="1"/>
  <c r="AR217" i="4" a="1"/>
  <c r="AR217" i="4" s="1"/>
  <c r="AN237" i="4" a="1"/>
  <c r="AN237" i="4" s="1"/>
  <c r="AP227" i="4" a="1"/>
  <c r="AP227" i="4" s="1"/>
  <c r="AQ217" i="4" a="1"/>
  <c r="AQ217" i="4" s="1"/>
  <c r="AN217" i="4" a="1"/>
  <c r="AN217" i="4" s="1"/>
  <c r="AM237" i="4" a="1"/>
  <c r="AM237" i="4" s="1"/>
  <c r="AN227" i="4" a="1"/>
  <c r="AN227" i="4" s="1"/>
  <c r="AM227" i="4" a="1"/>
  <c r="AM227" i="4" s="1"/>
  <c r="AP217" i="4" a="1"/>
  <c r="AP217" i="4" s="1"/>
  <c r="AO217" i="4" a="1"/>
  <c r="AO217" i="4" s="1"/>
  <c r="AP157" i="4" a="1"/>
  <c r="AP157" i="4" s="1"/>
  <c r="AM52" i="4" a="1"/>
  <c r="AM52" i="4" s="1"/>
  <c r="AQ46" i="4" a="1"/>
  <c r="AQ46" i="4" s="1"/>
  <c r="AM64" i="4" a="1"/>
  <c r="AM64" i="4" s="1"/>
  <c r="AN148" i="4" a="1"/>
  <c r="AN148" i="4" s="1"/>
  <c r="AR193" i="4" a="1"/>
  <c r="AR193" i="4" s="1"/>
  <c r="AQ183" i="4" a="1"/>
  <c r="AQ183" i="4" s="1"/>
  <c r="AM47" i="4" a="1"/>
  <c r="AM47" i="4" s="1"/>
  <c r="AQ43" i="4" a="1"/>
  <c r="AQ43" i="4" s="1"/>
  <c r="AR325" i="4" a="1"/>
  <c r="AR325" i="4" s="1"/>
  <c r="AR171" i="4" a="1"/>
  <c r="AR171" i="4" s="1"/>
  <c r="AM169" i="4" a="1"/>
  <c r="AM169" i="4" s="1"/>
  <c r="AQ192" i="4" a="1"/>
  <c r="AQ192" i="4" s="1"/>
  <c r="AM204" i="4" a="1"/>
  <c r="AM204" i="4" s="1"/>
  <c r="AQ184" i="4" a="1"/>
  <c r="AQ184" i="4" s="1"/>
  <c r="AO372" i="4" a="1"/>
  <c r="AO372" i="4" s="1"/>
  <c r="AR343" i="4" a="1"/>
  <c r="AR343" i="4" s="1"/>
  <c r="AP326" i="4" a="1"/>
  <c r="AP326" i="4" s="1"/>
  <c r="AQ297" i="4" a="1"/>
  <c r="AQ297" i="4" s="1"/>
  <c r="AN172" i="4" a="1"/>
  <c r="AN172" i="4" s="1"/>
  <c r="AN197" i="4" a="1"/>
  <c r="AN197" i="4" s="1"/>
  <c r="AM193" i="4" a="1"/>
  <c r="AM193" i="4" s="1"/>
  <c r="AQ207" i="4" a="1"/>
  <c r="AQ207" i="4" s="1"/>
  <c r="AM372" i="4" a="1"/>
  <c r="AM372" i="4" s="1"/>
  <c r="AR159" i="4" a="1"/>
  <c r="AR159" i="4" s="1"/>
  <c r="AO132" i="4" a="1"/>
  <c r="AO132" i="4" s="1"/>
  <c r="AR122" i="4" a="1"/>
  <c r="AR122" i="4" s="1"/>
  <c r="AQ112" i="4" a="1"/>
  <c r="AQ112" i="4" s="1"/>
  <c r="AN132" i="4" a="1"/>
  <c r="AN132" i="4" s="1"/>
  <c r="AQ122" i="4" a="1"/>
  <c r="AQ122" i="4" s="1"/>
  <c r="AP122" i="4" a="1"/>
  <c r="AP122" i="4" s="1"/>
  <c r="AN112" i="4" a="1"/>
  <c r="AN112" i="4" s="1"/>
  <c r="AM112" i="4" a="1"/>
  <c r="AM112" i="4" s="1"/>
  <c r="AR132" i="4" a="1"/>
  <c r="AR132" i="4" s="1"/>
  <c r="AP132" i="4" a="1"/>
  <c r="AP132" i="4" s="1"/>
  <c r="AR112" i="4" a="1"/>
  <c r="AR112" i="4" s="1"/>
  <c r="AN122" i="4" a="1"/>
  <c r="AN122" i="4" s="1"/>
  <c r="AQ132" i="4" a="1"/>
  <c r="AQ132" i="4" s="1"/>
  <c r="AO122" i="4" a="1"/>
  <c r="AO122" i="4" s="1"/>
  <c r="AM122" i="4" a="1"/>
  <c r="AM122" i="4" s="1"/>
  <c r="AO112" i="4" a="1"/>
  <c r="AO112" i="4" s="1"/>
  <c r="AP112" i="4" a="1"/>
  <c r="AP112" i="4" s="1"/>
  <c r="AR152" i="4" a="1"/>
  <c r="AR152" i="4" s="1"/>
  <c r="AN65" i="4" a="1"/>
  <c r="AN65" i="4" s="1"/>
  <c r="AM67" i="4" a="1"/>
  <c r="AM67" i="4" s="1"/>
  <c r="AR182" i="4" a="1"/>
  <c r="AR182" i="4" s="1"/>
  <c r="AO368" i="4" a="1"/>
  <c r="AO368" i="4" s="1"/>
  <c r="AO322" i="4" a="1"/>
  <c r="AO322" i="4" s="1"/>
  <c r="AQ381" i="4" a="1"/>
  <c r="AQ381" i="4" s="1"/>
  <c r="AR335" i="4" a="1"/>
  <c r="AR335" i="4" s="1"/>
  <c r="AP345" i="4" a="1"/>
  <c r="AP345" i="4" s="1"/>
  <c r="AR192" i="4" a="1"/>
  <c r="AR192" i="4" s="1"/>
  <c r="AO192" i="4" a="1"/>
  <c r="AO192" i="4" s="1"/>
  <c r="AP182" i="4" a="1"/>
  <c r="AP182" i="4" s="1"/>
  <c r="AM202" i="4" a="1"/>
  <c r="AM202" i="4" s="1"/>
  <c r="AM207" i="4" a="1"/>
  <c r="AM207" i="4" s="1"/>
  <c r="AQ187" i="4" a="1"/>
  <c r="AQ187" i="4" s="1"/>
  <c r="AO52" i="4" a="1"/>
  <c r="AO52" i="4" s="1"/>
  <c r="AM149" i="4" a="1"/>
  <c r="AM149" i="4" s="1"/>
  <c r="AM44" i="4" a="1"/>
  <c r="AM44" i="4" s="1"/>
  <c r="AN54" i="4" a="1"/>
  <c r="AN54" i="4" s="1"/>
  <c r="AQ56" i="4" a="1"/>
  <c r="AQ56" i="4" s="1"/>
  <c r="AP47" i="4" a="1"/>
  <c r="AP47" i="4" s="1"/>
  <c r="AM367" i="4" a="1"/>
  <c r="AM367" i="4" s="1"/>
  <c r="AO332" i="4" a="1"/>
  <c r="AO332" i="4" s="1"/>
  <c r="AO360" i="4" a="1"/>
  <c r="AO360" i="4" s="1"/>
  <c r="AR359" i="4" a="1"/>
  <c r="AR359" i="4" s="1"/>
  <c r="AO371" i="4" a="1"/>
  <c r="AO371" i="4" s="1"/>
  <c r="AP368" i="4" a="1"/>
  <c r="AP368" i="4" s="1"/>
  <c r="AQ360" i="4" a="1"/>
  <c r="AQ360" i="4" s="1"/>
  <c r="AQ382" i="4" a="1"/>
  <c r="AQ382" i="4" s="1"/>
  <c r="AQ326" i="4" a="1"/>
  <c r="AQ326" i="4" s="1"/>
  <c r="AO335" i="4" a="1"/>
  <c r="AO335" i="4" s="1"/>
  <c r="AQ335" i="4" a="1"/>
  <c r="AQ335" i="4" s="1"/>
  <c r="AP343" i="4" a="1"/>
  <c r="AP343" i="4" s="1"/>
  <c r="AN337" i="4" a="1"/>
  <c r="AN337" i="4" s="1"/>
  <c r="AO382" i="4" a="1"/>
  <c r="AO382" i="4" s="1"/>
  <c r="AN367" i="4" a="1"/>
  <c r="AN367" i="4" s="1"/>
  <c r="AR150" i="4" a="1"/>
  <c r="AR150" i="4" s="1"/>
  <c r="AQ172" i="4" a="1"/>
  <c r="AQ172" i="4" s="1"/>
  <c r="AP151" i="4" a="1"/>
  <c r="AP151" i="4" s="1"/>
  <c r="AN158" i="4" a="1"/>
  <c r="AN158" i="4" s="1"/>
  <c r="AR157" i="4" a="1"/>
  <c r="AR157" i="4" s="1"/>
  <c r="AM206" i="4" a="1"/>
  <c r="AM206" i="4" s="1"/>
  <c r="AM196" i="4" a="1"/>
  <c r="AM196" i="4" s="1"/>
  <c r="AN187" i="4" a="1"/>
  <c r="AN187" i="4" s="1"/>
  <c r="AP183" i="4" a="1"/>
  <c r="AP183" i="4" s="1"/>
  <c r="AP196" i="4" a="1"/>
  <c r="AP196" i="4" s="1"/>
  <c r="AQ193" i="4" a="1"/>
  <c r="AQ193" i="4" s="1"/>
  <c r="AP158" i="4" a="1"/>
  <c r="AP158" i="4" s="1"/>
  <c r="AR168" i="4" a="1"/>
  <c r="AR168" i="4" s="1"/>
  <c r="AN202" i="4" a="1"/>
  <c r="AN202" i="4" s="1"/>
  <c r="AM332" i="4" a="1"/>
  <c r="AM332" i="4" s="1"/>
  <c r="AO152" i="4" a="1"/>
  <c r="AO152" i="4" s="1"/>
  <c r="AO57" i="4" a="1"/>
  <c r="AO57" i="4" s="1"/>
  <c r="AO54" i="4" a="1"/>
  <c r="AO54" i="4" s="1"/>
  <c r="AP54" i="4" a="1"/>
  <c r="AP54" i="4" s="1"/>
  <c r="AQ57" i="4" a="1"/>
  <c r="AQ57" i="4" s="1"/>
  <c r="AR56" i="4" a="1"/>
  <c r="AR56" i="4" s="1"/>
  <c r="AM53" i="4" a="1"/>
  <c r="AM53" i="4" s="1"/>
  <c r="AM170" i="4" a="1"/>
  <c r="AM170" i="4" s="1"/>
  <c r="AR186" i="4" a="1"/>
  <c r="AR186" i="4" s="1"/>
  <c r="AM148" i="4" a="1"/>
  <c r="AM148" i="4" s="1"/>
  <c r="AO65" i="4" a="1"/>
  <c r="AO65" i="4" s="1"/>
  <c r="AQ47" i="4" a="1"/>
  <c r="AQ47" i="4" s="1"/>
  <c r="AO345" i="4" a="1"/>
  <c r="AO345" i="4" s="1"/>
  <c r="AO287" i="4" a="1"/>
  <c r="AO287" i="4" s="1"/>
  <c r="AN287" i="4" a="1"/>
  <c r="AN287" i="4" s="1"/>
  <c r="AP287" i="4" a="1"/>
  <c r="AP287" i="4" s="1"/>
  <c r="AP297" i="4" a="1"/>
  <c r="AP297" i="4" s="1"/>
  <c r="AQ287" i="4" a="1"/>
  <c r="AQ287" i="4" s="1"/>
  <c r="AN169" i="4" a="1"/>
  <c r="AN169" i="4" s="1"/>
  <c r="AP53" i="4" a="1"/>
  <c r="AP53" i="4" s="1"/>
  <c r="AO45" i="4" a="1"/>
  <c r="AO45" i="4" s="1"/>
  <c r="AN67" i="4" a="1"/>
  <c r="AN67" i="4" s="1"/>
  <c r="AO185" i="4" a="1"/>
  <c r="AO185" i="4" s="1"/>
  <c r="AO242" i="4" a="1"/>
  <c r="AO242" i="4" s="1"/>
  <c r="AN240" i="4" a="1"/>
  <c r="AN240" i="4" s="1"/>
  <c r="AM238" i="4" a="1"/>
  <c r="AM238" i="4" s="1"/>
  <c r="AR232" i="4" a="1"/>
  <c r="AR232" i="4" s="1"/>
  <c r="AQ230" i="4" a="1"/>
  <c r="AQ230" i="4" s="1"/>
  <c r="AP228" i="4" a="1"/>
  <c r="AP228" i="4" s="1"/>
  <c r="AO222" i="4" a="1"/>
  <c r="AO222" i="4" s="1"/>
  <c r="AN220" i="4" a="1"/>
  <c r="AN220" i="4" s="1"/>
  <c r="AM218" i="4" a="1"/>
  <c r="AM218" i="4" s="1"/>
  <c r="AP242" i="4" a="1"/>
  <c r="AP242" i="4" s="1"/>
  <c r="AO241" i="4" a="1"/>
  <c r="AO241" i="4" s="1"/>
  <c r="AR238" i="4" a="1"/>
  <c r="AR238" i="4" s="1"/>
  <c r="AP232" i="4" a="1"/>
  <c r="AP232" i="4" s="1"/>
  <c r="AO231" i="4" a="1"/>
  <c r="AO231" i="4" s="1"/>
  <c r="AN230" i="4" a="1"/>
  <c r="AN230" i="4" s="1"/>
  <c r="AM229" i="4" a="1"/>
  <c r="AM229" i="4" s="1"/>
  <c r="AM219" i="4" a="1"/>
  <c r="AM219" i="4" s="1"/>
  <c r="AM242" i="4" a="1"/>
  <c r="AM242" i="4" s="1"/>
  <c r="AQ240" i="4" a="1"/>
  <c r="AQ240" i="4" s="1"/>
  <c r="AP240" i="4" a="1"/>
  <c r="AP240" i="4" s="1"/>
  <c r="AM230" i="4" a="1"/>
  <c r="AM230" i="4" s="1"/>
  <c r="AQ228" i="4" a="1"/>
  <c r="AQ228" i="4" s="1"/>
  <c r="AP219" i="4" a="1"/>
  <c r="AP219" i="4" s="1"/>
  <c r="AM239" i="4" a="1"/>
  <c r="AM239" i="4" s="1"/>
  <c r="AN232" i="4" a="1"/>
  <c r="AN232" i="4" s="1"/>
  <c r="AO229" i="4" a="1"/>
  <c r="AO229" i="4" s="1"/>
  <c r="AM228" i="4" a="1"/>
  <c r="AM228" i="4" s="1"/>
  <c r="AP222" i="4" a="1"/>
  <c r="AP222" i="4" s="1"/>
  <c r="AQ219" i="4" a="1"/>
  <c r="AQ219" i="4" s="1"/>
  <c r="AO218" i="4" a="1"/>
  <c r="AO218" i="4" s="1"/>
  <c r="AR241" i="4" a="1"/>
  <c r="AR241" i="4" s="1"/>
  <c r="AO240" i="4" a="1"/>
  <c r="AO240" i="4" s="1"/>
  <c r="AM221" i="4" a="1"/>
  <c r="AM221" i="4" s="1"/>
  <c r="AN218" i="4" a="1"/>
  <c r="AN218" i="4" s="1"/>
  <c r="AQ241" i="4" a="1"/>
  <c r="AQ241" i="4" s="1"/>
  <c r="AQ238" i="4" a="1"/>
  <c r="AQ238" i="4" s="1"/>
  <c r="AM232" i="4" a="1"/>
  <c r="AM232" i="4" s="1"/>
  <c r="AP230" i="4" a="1"/>
  <c r="AP230" i="4" s="1"/>
  <c r="AN229" i="4" a="1"/>
  <c r="AN229" i="4" s="1"/>
  <c r="AR220" i="4" a="1"/>
  <c r="AR220" i="4" s="1"/>
  <c r="AM240" i="4" a="1"/>
  <c r="AM240" i="4" s="1"/>
  <c r="AR231" i="4" a="1"/>
  <c r="AR231" i="4" s="1"/>
  <c r="AN222" i="4" a="1"/>
  <c r="AN222" i="4" s="1"/>
  <c r="AQ220" i="4" a="1"/>
  <c r="AQ220" i="4" s="1"/>
  <c r="AO219" i="4" a="1"/>
  <c r="AO219" i="4" s="1"/>
  <c r="AP241" i="4" a="1"/>
  <c r="AP241" i="4" s="1"/>
  <c r="AR239" i="4" a="1"/>
  <c r="AR239" i="4" s="1"/>
  <c r="AP238" i="4" a="1"/>
  <c r="AP238" i="4" s="1"/>
  <c r="AQ231" i="4" a="1"/>
  <c r="AQ231" i="4" s="1"/>
  <c r="AO230" i="4" a="1"/>
  <c r="AO230" i="4" s="1"/>
  <c r="AR228" i="4" a="1"/>
  <c r="AR228" i="4" s="1"/>
  <c r="AM222" i="4" a="1"/>
  <c r="AM222" i="4" s="1"/>
  <c r="AR242" i="4" a="1"/>
  <c r="AR242" i="4" s="1"/>
  <c r="AR221" i="4" a="1"/>
  <c r="AR221" i="4" s="1"/>
  <c r="AP220" i="4" a="1"/>
  <c r="AP220" i="4" s="1"/>
  <c r="AN219" i="4" a="1"/>
  <c r="AN219" i="4" s="1"/>
  <c r="AO239" i="4" a="1"/>
  <c r="AO239" i="4" s="1"/>
  <c r="AO232" i="4" a="1"/>
  <c r="AO232" i="4" s="1"/>
  <c r="AP229" i="4" a="1"/>
  <c r="AP229" i="4" s="1"/>
  <c r="AR219" i="4" a="1"/>
  <c r="AR219" i="4" s="1"/>
  <c r="AN242" i="4" a="1"/>
  <c r="AN242" i="4" s="1"/>
  <c r="AN239" i="4" a="1"/>
  <c r="AN239" i="4" s="1"/>
  <c r="AQ222" i="4" a="1"/>
  <c r="AQ222" i="4" s="1"/>
  <c r="AN241" i="4" a="1"/>
  <c r="AN241" i="4" s="1"/>
  <c r="AO238" i="4" a="1"/>
  <c r="AO238" i="4" s="1"/>
  <c r="AP231" i="4" a="1"/>
  <c r="AP231" i="4" s="1"/>
  <c r="AR218" i="4" a="1"/>
  <c r="AR218" i="4" s="1"/>
  <c r="AQ221" i="4" a="1"/>
  <c r="AQ221" i="4" s="1"/>
  <c r="AM241" i="4" a="1"/>
  <c r="AM241" i="4" s="1"/>
  <c r="AN238" i="4" a="1"/>
  <c r="AN238" i="4" s="1"/>
  <c r="AN231" i="4" a="1"/>
  <c r="AN231" i="4" s="1"/>
  <c r="AO228" i="4" a="1"/>
  <c r="AO228" i="4" s="1"/>
  <c r="AQ218" i="4" a="1"/>
  <c r="AQ218" i="4" s="1"/>
  <c r="AQ242" i="4" a="1"/>
  <c r="AQ242" i="4" s="1"/>
  <c r="AN228" i="4" a="1"/>
  <c r="AN228" i="4" s="1"/>
  <c r="AM220" i="4" a="1"/>
  <c r="AM220" i="4" s="1"/>
  <c r="AR222" i="4" a="1"/>
  <c r="AR222" i="4" s="1"/>
  <c r="AP221" i="4" a="1"/>
  <c r="AP221" i="4" s="1"/>
  <c r="AO221" i="4" a="1"/>
  <c r="AO221" i="4" s="1"/>
  <c r="AR229" i="4" a="1"/>
  <c r="AR229" i="4" s="1"/>
  <c r="AR240" i="4" a="1"/>
  <c r="AR240" i="4" s="1"/>
  <c r="AQ232" i="4" a="1"/>
  <c r="AQ232" i="4" s="1"/>
  <c r="AP218" i="4" a="1"/>
  <c r="AP218" i="4" s="1"/>
  <c r="AM231" i="4" a="1"/>
  <c r="AM231" i="4" s="1"/>
  <c r="AR230" i="4" a="1"/>
  <c r="AR230" i="4" s="1"/>
  <c r="AN221" i="4" a="1"/>
  <c r="AN221" i="4" s="1"/>
  <c r="AQ239" i="4" a="1"/>
  <c r="AQ239" i="4" s="1"/>
  <c r="AP239" i="4" a="1"/>
  <c r="AP239" i="4" s="1"/>
  <c r="AO220" i="4" a="1"/>
  <c r="AO220" i="4" s="1"/>
  <c r="AQ229" i="4" a="1"/>
  <c r="AQ229" i="4" s="1"/>
  <c r="AN44" i="4" a="1"/>
  <c r="AN44" i="4" s="1"/>
  <c r="AR46" i="4" a="1"/>
  <c r="AR46" i="4" s="1"/>
  <c r="AN297" i="4" a="1"/>
  <c r="AN297" i="4" s="1"/>
  <c r="AN195" i="4" a="1"/>
  <c r="AN195" i="4" s="1"/>
  <c r="AN57" i="4" a="1"/>
  <c r="AN57" i="4" s="1"/>
  <c r="AO47" i="4" a="1"/>
  <c r="AO47" i="4" s="1"/>
  <c r="AP203" i="4" a="1"/>
  <c r="AP203" i="4" s="1"/>
  <c r="AO361" i="4" a="1"/>
  <c r="AO361" i="4" s="1"/>
  <c r="AP325" i="4" a="1"/>
  <c r="AP325" i="4" s="1"/>
  <c r="AM369" i="4" a="1"/>
  <c r="AM369" i="4" s="1"/>
  <c r="AQ162" i="4" a="1"/>
  <c r="AQ162" i="4" s="1"/>
  <c r="AQ202" i="4" a="1"/>
  <c r="AQ202" i="4" s="1"/>
  <c r="AM205" i="4" a="1"/>
  <c r="AM205" i="4" s="1"/>
  <c r="AM197" i="4" a="1"/>
  <c r="AM197" i="4" s="1"/>
  <c r="AR183" i="4" a="1"/>
  <c r="AR183" i="4" s="1"/>
  <c r="AP44" i="4" a="1"/>
  <c r="AP44" i="4" s="1"/>
  <c r="AN186" i="4" a="1"/>
  <c r="AN186" i="4" s="1"/>
  <c r="AQ322" i="4" a="1"/>
  <c r="AQ322" i="4" s="1"/>
  <c r="AQ380" i="4" a="1"/>
  <c r="AQ380" i="4" s="1"/>
  <c r="AR371" i="4" a="1"/>
  <c r="AR371" i="4" s="1"/>
  <c r="AP362" i="4" a="1"/>
  <c r="AP362" i="4" s="1"/>
  <c r="AR333" i="4" a="1"/>
  <c r="AR333" i="4" s="1"/>
  <c r="AO369" i="4" a="1"/>
  <c r="AO369" i="4" s="1"/>
  <c r="AR297" i="4" a="1"/>
  <c r="AR297" i="4" s="1"/>
  <c r="AN152" i="4" a="1"/>
  <c r="AN152" i="4" s="1"/>
  <c r="AR206" i="4" a="1"/>
  <c r="AR206" i="4" s="1"/>
  <c r="AQ161" i="4" a="1"/>
  <c r="AQ161" i="4" s="1"/>
  <c r="AO193" i="4" a="1"/>
  <c r="AO193" i="4" s="1"/>
  <c r="AQ342" i="4" a="1"/>
  <c r="AQ342" i="4" s="1"/>
  <c r="AO46" i="4" a="1"/>
  <c r="AO46" i="4" s="1"/>
  <c r="AN46" i="4" a="1"/>
  <c r="AN46" i="4" s="1"/>
  <c r="AM185" i="4" a="1"/>
  <c r="AM185" i="4" s="1"/>
  <c r="AR358" i="4" a="1"/>
  <c r="AR358" i="4" s="1"/>
  <c r="AN360" i="4" a="1"/>
  <c r="AN360" i="4" s="1"/>
  <c r="AQ361" i="4" a="1"/>
  <c r="AQ361" i="4" s="1"/>
  <c r="AR336" i="4" a="1"/>
  <c r="AR336" i="4" s="1"/>
  <c r="AN358" i="4" a="1"/>
  <c r="AN358" i="4" s="1"/>
  <c r="AP171" i="4" a="1"/>
  <c r="AP171" i="4" s="1"/>
  <c r="AN159" i="4" a="1"/>
  <c r="AN159" i="4" s="1"/>
  <c r="AN192" i="4" a="1"/>
  <c r="AN192" i="4" s="1"/>
  <c r="AP147" i="4" a="1"/>
  <c r="AP147" i="4" s="1"/>
  <c r="AN272" i="4" a="1"/>
  <c r="AN272" i="4" s="1"/>
  <c r="AN262" i="4" a="1"/>
  <c r="AN262" i="4" s="1"/>
  <c r="AN252" i="4" a="1"/>
  <c r="AN252" i="4" s="1"/>
  <c r="AM272" i="4" a="1"/>
  <c r="AM272" i="4" s="1"/>
  <c r="AQ262" i="4" a="1"/>
  <c r="AQ262" i="4" s="1"/>
  <c r="AR262" i="4" a="1"/>
  <c r="AR262" i="4" s="1"/>
  <c r="AR252" i="4" a="1"/>
  <c r="AR252" i="4" s="1"/>
  <c r="AM262" i="4" a="1"/>
  <c r="AM262" i="4" s="1"/>
  <c r="AQ252" i="4" a="1"/>
  <c r="AQ252" i="4" s="1"/>
  <c r="AP252" i="4" a="1"/>
  <c r="AP252" i="4" s="1"/>
  <c r="AM252" i="4" a="1"/>
  <c r="AM252" i="4" s="1"/>
  <c r="AP262" i="4" a="1"/>
  <c r="AP262" i="4" s="1"/>
  <c r="AO262" i="4" a="1"/>
  <c r="AO262" i="4" s="1"/>
  <c r="AR272" i="4" a="1"/>
  <c r="AR272" i="4" s="1"/>
  <c r="AO252" i="4" a="1"/>
  <c r="AO252" i="4" s="1"/>
  <c r="AP272" i="4" a="1"/>
  <c r="AP272" i="4" s="1"/>
  <c r="AO272" i="4" a="1"/>
  <c r="AO272" i="4" s="1"/>
  <c r="AQ272" i="4" a="1"/>
  <c r="AQ272" i="4" s="1"/>
  <c r="AN185" i="4" a="1"/>
  <c r="AN185" i="4" s="1"/>
  <c r="AO197" i="4" a="1"/>
  <c r="AO197" i="4" s="1"/>
  <c r="AM195" i="4" a="1"/>
  <c r="AM195" i="4" s="1"/>
  <c r="AR184" i="4" a="1"/>
  <c r="AR184" i="4" s="1"/>
  <c r="AP184" i="4" a="1"/>
  <c r="AP184" i="4" s="1"/>
  <c r="AQ194" i="4" a="1"/>
  <c r="AQ194" i="4" s="1"/>
  <c r="AP149" i="4" a="1"/>
  <c r="AP149" i="4" s="1"/>
  <c r="AO157" i="4" a="1"/>
  <c r="AO157" i="4" s="1"/>
  <c r="AR162" i="4" a="1"/>
  <c r="AR162" i="4" s="1"/>
  <c r="AM160" i="4" a="1"/>
  <c r="AM160" i="4" s="1"/>
  <c r="AM162" i="4" a="1"/>
  <c r="AM162" i="4" s="1"/>
  <c r="AM192" i="4" a="1"/>
  <c r="AM192" i="4" s="1"/>
  <c r="AQ52" i="4" a="1"/>
  <c r="AQ52" i="4" s="1"/>
  <c r="AQ332" i="4" a="1"/>
  <c r="AQ332" i="4" s="1"/>
  <c r="AP56" i="4" a="1"/>
  <c r="AP56" i="4" s="1"/>
  <c r="AP64" i="4" a="1"/>
  <c r="AP64" i="4" s="1"/>
  <c r="AP57" i="4" a="1"/>
  <c r="AP57" i="4" s="1"/>
  <c r="AO56" i="4" a="1"/>
  <c r="AO56" i="4" s="1"/>
  <c r="AQ63" i="4" a="1"/>
  <c r="AQ63" i="4" s="1"/>
  <c r="AR57" i="4" a="1"/>
  <c r="AR57" i="4" s="1"/>
  <c r="AM54" i="4" a="1"/>
  <c r="AM54" i="4" s="1"/>
  <c r="AP195" i="4" a="1"/>
  <c r="AP195" i="4" s="1"/>
  <c r="AM168" i="4" a="1"/>
  <c r="AM168" i="4" s="1"/>
  <c r="AN206" i="4" a="1"/>
  <c r="AN206" i="4" s="1"/>
  <c r="AO323" i="4" a="1"/>
  <c r="AO323" i="4" s="1"/>
  <c r="AN326" i="4" a="1"/>
  <c r="AN326" i="4" s="1"/>
  <c r="AQ171" i="4" a="1"/>
  <c r="AQ171" i="4" s="1"/>
  <c r="AM186" i="4" a="1"/>
  <c r="AM186" i="4" s="1"/>
  <c r="AR207" i="4" a="1"/>
  <c r="AR207" i="4" s="1"/>
  <c r="AO43" i="4" a="1"/>
  <c r="AO43" i="4" s="1"/>
  <c r="AR67" i="4" a="1"/>
  <c r="AR67" i="4" s="1"/>
  <c r="AO186" i="4" a="1"/>
  <c r="AO186" i="4" s="1"/>
  <c r="AQ324" i="4" a="1"/>
  <c r="AQ324" i="4" s="1"/>
  <c r="AR307" i="4" a="1"/>
  <c r="AR307" i="4" s="1"/>
  <c r="AN170" i="4" a="1"/>
  <c r="AN170" i="4" s="1"/>
  <c r="AN167" i="4" a="1"/>
  <c r="AN167" i="4" s="1"/>
  <c r="AR185" i="4" a="1"/>
  <c r="AR185" i="4" s="1"/>
  <c r="AR170" i="4" a="1"/>
  <c r="AR170" i="4" s="1"/>
  <c r="AN47" i="4" a="1"/>
  <c r="AN47" i="4" s="1"/>
  <c r="AM65" i="4" a="1"/>
  <c r="AM65" i="4" s="1"/>
  <c r="AO206" i="4" a="1"/>
  <c r="AO206" i="4" s="1"/>
  <c r="AM345" i="4" a="1"/>
  <c r="AM345" i="4" s="1"/>
  <c r="AN333" i="4" a="1"/>
  <c r="AN333" i="4" s="1"/>
  <c r="AR151" i="4" a="1"/>
  <c r="AR151" i="4" s="1"/>
  <c r="AN149" i="4" a="1"/>
  <c r="AN149" i="4" s="1"/>
  <c r="AO194" i="4" a="1"/>
  <c r="AO194" i="4" s="1"/>
  <c r="AP186" i="4" a="1"/>
  <c r="AP186" i="4" s="1"/>
  <c r="AR148" i="4" a="1"/>
  <c r="AR148" i="4" s="1"/>
  <c r="AR43" i="4" a="1"/>
  <c r="AR43" i="4" s="1"/>
  <c r="AN56" i="4" a="1"/>
  <c r="AN56" i="4" s="1"/>
  <c r="AQ379" i="4" a="1"/>
  <c r="AQ379" i="4" s="1"/>
  <c r="AN334" i="4" a="1"/>
  <c r="AN334" i="4" s="1"/>
  <c r="AQ150" i="4" a="1"/>
  <c r="AQ150" i="4" s="1"/>
  <c r="AR197" i="4" a="1"/>
  <c r="AR197" i="4" s="1"/>
  <c r="AP46" i="4" a="1"/>
  <c r="AP46" i="4" s="1"/>
  <c r="AR203" i="4" a="1"/>
  <c r="AR203" i="4" s="1"/>
  <c r="AR357" i="4" a="1"/>
  <c r="AR357" i="4" s="1"/>
  <c r="AP361" i="4" a="1"/>
  <c r="AP361" i="4" s="1"/>
  <c r="AM370" i="4" a="1"/>
  <c r="AM370" i="4" s="1"/>
  <c r="AO334" i="4" a="1"/>
  <c r="AO334" i="4" s="1"/>
  <c r="AN336" i="4" a="1"/>
  <c r="AN336" i="4" s="1"/>
  <c r="AQ152" i="4" a="1"/>
  <c r="AQ152" i="4" s="1"/>
  <c r="AR167" i="4" a="1"/>
  <c r="AR167" i="4" s="1"/>
  <c r="AP185" i="4" a="1"/>
  <c r="AP185" i="4" s="1"/>
  <c r="AO195" i="4" a="1"/>
  <c r="AO195" i="4" s="1"/>
  <c r="AR160" i="4" a="1"/>
  <c r="AR160" i="4" s="1"/>
  <c r="AP168" i="4" a="1"/>
  <c r="AP168" i="4" s="1"/>
  <c r="AO342" i="4" a="1"/>
  <c r="AO342" i="4" s="1"/>
  <c r="AN362" i="4" a="1"/>
  <c r="AN362" i="4" s="1"/>
  <c r="AP369" i="4" a="1"/>
  <c r="AP369" i="4" s="1"/>
  <c r="AQ336" i="4" a="1"/>
  <c r="AQ336" i="4" s="1"/>
  <c r="AN343" i="4" a="1"/>
  <c r="AN343" i="4" s="1"/>
  <c r="AO367" i="4" a="1"/>
  <c r="AO367" i="4" s="1"/>
  <c r="AR287" i="4" a="1"/>
  <c r="AR287" i="4" s="1"/>
  <c r="AN322" i="4" a="1"/>
  <c r="AN322" i="4" s="1"/>
  <c r="AN368" i="4" a="1"/>
  <c r="AN368" i="4" s="1"/>
  <c r="AM380" i="4" a="1"/>
  <c r="AM380" i="4" s="1"/>
  <c r="AP370" i="4" a="1"/>
  <c r="AP370" i="4" s="1"/>
  <c r="AQ362" i="4" a="1"/>
  <c r="AQ362" i="4" s="1"/>
  <c r="AM346" i="4" a="1"/>
  <c r="AM346" i="4" s="1"/>
  <c r="AQ343" i="4" a="1"/>
  <c r="AQ343" i="4" s="1"/>
  <c r="AO343" i="4" a="1"/>
  <c r="AO343" i="4" s="1"/>
  <c r="AR345" i="4" a="1"/>
  <c r="AR345" i="4" s="1"/>
  <c r="AN344" i="4" a="1"/>
  <c r="AN344" i="4" s="1"/>
  <c r="AM358" i="4" a="1"/>
  <c r="AM358" i="4" s="1"/>
  <c r="AO362" i="4" a="1"/>
  <c r="AO362" i="4" s="1"/>
  <c r="AR367" i="4" a="1"/>
  <c r="AR367" i="4" s="1"/>
  <c r="AP307" i="4" a="1"/>
  <c r="AP307" i="4" s="1"/>
  <c r="AO170" i="4" a="1"/>
  <c r="AO170" i="4" s="1"/>
  <c r="AM297" i="4" a="1"/>
  <c r="AM297" i="4" s="1"/>
  <c r="AN160" i="4" a="1"/>
  <c r="AN160" i="4" s="1"/>
  <c r="AR412" i="4" a="1"/>
  <c r="AR412" i="4" s="1"/>
  <c r="AR402" i="4" a="1"/>
  <c r="AR402" i="4" s="1"/>
  <c r="AR392" i="4" a="1"/>
  <c r="AR392" i="4" s="1"/>
  <c r="AQ412" i="4" a="1"/>
  <c r="AQ412" i="4" s="1"/>
  <c r="AQ402" i="4" a="1"/>
  <c r="AQ402" i="4" s="1"/>
  <c r="AQ392" i="4" a="1"/>
  <c r="AQ392" i="4" s="1"/>
  <c r="AN412" i="4" a="1"/>
  <c r="AN412" i="4" s="1"/>
  <c r="AP402" i="4" a="1"/>
  <c r="AP402" i="4" s="1"/>
  <c r="AN402" i="4" a="1"/>
  <c r="AN402" i="4" s="1"/>
  <c r="AP392" i="4" a="1"/>
  <c r="AP392" i="4" s="1"/>
  <c r="AO412" i="4" a="1"/>
  <c r="AO412" i="4" s="1"/>
  <c r="AM392" i="4" a="1"/>
  <c r="AM392" i="4" s="1"/>
  <c r="AP412" i="4" a="1"/>
  <c r="AP412" i="4" s="1"/>
  <c r="AM412" i="4" a="1"/>
  <c r="AM412" i="4" s="1"/>
  <c r="AO402" i="4" a="1"/>
  <c r="AO402" i="4" s="1"/>
  <c r="AM402" i="4" a="1"/>
  <c r="AM402" i="4" s="1"/>
  <c r="AO392" i="4" a="1"/>
  <c r="AO392" i="4" s="1"/>
  <c r="AN392" i="4" a="1"/>
  <c r="AN392" i="4" s="1"/>
  <c r="AP202" i="4" a="1"/>
  <c r="AP202" i="4" s="1"/>
  <c r="AM182" i="4" a="1"/>
  <c r="AM182" i="4" s="1"/>
  <c r="AM157" i="4" a="1"/>
  <c r="AM157" i="4" s="1"/>
  <c r="AN277" i="4" a="1"/>
  <c r="AN277" i="4" s="1"/>
  <c r="AN276" i="4" a="1"/>
  <c r="AN276" i="4" s="1"/>
  <c r="AN275" i="4" a="1"/>
  <c r="AN275" i="4" s="1"/>
  <c r="AN274" i="4" a="1"/>
  <c r="AN274" i="4" s="1"/>
  <c r="AN273" i="4" a="1"/>
  <c r="AN273" i="4" s="1"/>
  <c r="AN267" i="4" a="1"/>
  <c r="AN267" i="4" s="1"/>
  <c r="AN266" i="4" a="1"/>
  <c r="AN266" i="4" s="1"/>
  <c r="AN265" i="4" a="1"/>
  <c r="AN265" i="4" s="1"/>
  <c r="AN264" i="4" a="1"/>
  <c r="AN264" i="4" s="1"/>
  <c r="AN263" i="4" a="1"/>
  <c r="AN263" i="4" s="1"/>
  <c r="AN257" i="4" a="1"/>
  <c r="AN257" i="4" s="1"/>
  <c r="AN256" i="4" a="1"/>
  <c r="AN256" i="4" s="1"/>
  <c r="AN255" i="4" a="1"/>
  <c r="AN255" i="4" s="1"/>
  <c r="AN254" i="4" a="1"/>
  <c r="AN254" i="4" s="1"/>
  <c r="AN253" i="4" a="1"/>
  <c r="AN253" i="4" s="1"/>
  <c r="AM277" i="4" a="1"/>
  <c r="AM277" i="4" s="1"/>
  <c r="AM276" i="4" a="1"/>
  <c r="AM276" i="4" s="1"/>
  <c r="AM275" i="4" a="1"/>
  <c r="AM275" i="4" s="1"/>
  <c r="AM274" i="4" a="1"/>
  <c r="AM274" i="4" s="1"/>
  <c r="AM273" i="4" a="1"/>
  <c r="AM273" i="4" s="1"/>
  <c r="AM267" i="4" a="1"/>
  <c r="AM267" i="4" s="1"/>
  <c r="AM266" i="4" a="1"/>
  <c r="AM266" i="4" s="1"/>
  <c r="AR264" i="4" a="1"/>
  <c r="AR264" i="4" s="1"/>
  <c r="AP256" i="4" a="1"/>
  <c r="AP256" i="4" s="1"/>
  <c r="AO254" i="4" a="1"/>
  <c r="AO254" i="4" s="1"/>
  <c r="AO277" i="4" a="1"/>
  <c r="AO277" i="4" s="1"/>
  <c r="AR275" i="4" a="1"/>
  <c r="AR275" i="4" s="1"/>
  <c r="AO273" i="4" a="1"/>
  <c r="AO273" i="4" s="1"/>
  <c r="AQ266" i="4" a="1"/>
  <c r="AQ266" i="4" s="1"/>
  <c r="AM263" i="4" a="1"/>
  <c r="AM263" i="4" s="1"/>
  <c r="AR257" i="4" a="1"/>
  <c r="AR257" i="4" s="1"/>
  <c r="AQ275" i="4" a="1"/>
  <c r="AQ275" i="4" s="1"/>
  <c r="AP266" i="4" a="1"/>
  <c r="AP266" i="4" s="1"/>
  <c r="AM264" i="4" a="1"/>
  <c r="AM264" i="4" s="1"/>
  <c r="AQ257" i="4" a="1"/>
  <c r="AQ257" i="4" s="1"/>
  <c r="AM254" i="4" a="1"/>
  <c r="AM254" i="4" s="1"/>
  <c r="AO275" i="4" a="1"/>
  <c r="AO275" i="4" s="1"/>
  <c r="AM265" i="4" a="1"/>
  <c r="AM265" i="4" s="1"/>
  <c r="AR256" i="4" a="1"/>
  <c r="AR256" i="4" s="1"/>
  <c r="AQ276" i="4" a="1"/>
  <c r="AQ276" i="4" s="1"/>
  <c r="AQ273" i="4" a="1"/>
  <c r="AQ273" i="4" s="1"/>
  <c r="AP263" i="4" a="1"/>
  <c r="AP263" i="4" s="1"/>
  <c r="AP273" i="4" a="1"/>
  <c r="AP273" i="4" s="1"/>
  <c r="AR267" i="4" a="1"/>
  <c r="AR267" i="4" s="1"/>
  <c r="AO266" i="4" a="1"/>
  <c r="AO266" i="4" s="1"/>
  <c r="AQ256" i="4" a="1"/>
  <c r="AQ256" i="4" s="1"/>
  <c r="AO255" i="4" a="1"/>
  <c r="AO255" i="4" s="1"/>
  <c r="AR277" i="4" a="1"/>
  <c r="AR277" i="4" s="1"/>
  <c r="AR274" i="4" a="1"/>
  <c r="AR274" i="4" s="1"/>
  <c r="AO256" i="4" a="1"/>
  <c r="AO256" i="4" s="1"/>
  <c r="AM255" i="4" a="1"/>
  <c r="AM255" i="4" s="1"/>
  <c r="AO276" i="4" a="1"/>
  <c r="AO276" i="4" s="1"/>
  <c r="AQ274" i="4" a="1"/>
  <c r="AQ274" i="4" s="1"/>
  <c r="AP267" i="4" a="1"/>
  <c r="AP267" i="4" s="1"/>
  <c r="AR265" i="4" a="1"/>
  <c r="AR265" i="4" s="1"/>
  <c r="AM257" i="4" a="1"/>
  <c r="AM257" i="4" s="1"/>
  <c r="AP255" i="4" a="1"/>
  <c r="AP255" i="4" s="1"/>
  <c r="AQ253" i="4" a="1"/>
  <c r="AQ253" i="4" s="1"/>
  <c r="AR276" i="4" a="1"/>
  <c r="AR276" i="4" s="1"/>
  <c r="AO267" i="4" a="1"/>
  <c r="AO267" i="4" s="1"/>
  <c r="AQ264" i="4" a="1"/>
  <c r="AQ264" i="4" s="1"/>
  <c r="AP276" i="4" a="1"/>
  <c r="AP276" i="4" s="1"/>
  <c r="AP264" i="4" a="1"/>
  <c r="AP264" i="4" s="1"/>
  <c r="AP253" i="4" a="1"/>
  <c r="AP253" i="4" s="1"/>
  <c r="AR273" i="4" a="1"/>
  <c r="AR273" i="4" s="1"/>
  <c r="AR254" i="4" a="1"/>
  <c r="AR254" i="4" s="1"/>
  <c r="AR266" i="4" a="1"/>
  <c r="AR266" i="4" s="1"/>
  <c r="AO264" i="4" a="1"/>
  <c r="AO264" i="4" s="1"/>
  <c r="AO253" i="4" a="1"/>
  <c r="AO253" i="4" s="1"/>
  <c r="AQ254" i="4" a="1"/>
  <c r="AQ254" i="4" s="1"/>
  <c r="AP275" i="4" a="1"/>
  <c r="AP275" i="4" s="1"/>
  <c r="AP257" i="4" a="1"/>
  <c r="AP257" i="4" s="1"/>
  <c r="AP254" i="4" a="1"/>
  <c r="AP254" i="4" s="1"/>
  <c r="AQ265" i="4" a="1"/>
  <c r="AQ265" i="4" s="1"/>
  <c r="AO257" i="4" a="1"/>
  <c r="AO257" i="4" s="1"/>
  <c r="AP274" i="4" a="1"/>
  <c r="AP274" i="4" s="1"/>
  <c r="AP265" i="4" a="1"/>
  <c r="AP265" i="4" s="1"/>
  <c r="AO274" i="4" a="1"/>
  <c r="AO274" i="4" s="1"/>
  <c r="AO265" i="4" a="1"/>
  <c r="AO265" i="4" s="1"/>
  <c r="AR253" i="4" a="1"/>
  <c r="AR253" i="4" s="1"/>
  <c r="AM256" i="4" a="1"/>
  <c r="AM256" i="4" s="1"/>
  <c r="AM253" i="4" a="1"/>
  <c r="AM253" i="4" s="1"/>
  <c r="AR263" i="4" a="1"/>
  <c r="AR263" i="4" s="1"/>
  <c r="AQ277" i="4" a="1"/>
  <c r="AQ277" i="4" s="1"/>
  <c r="AQ263" i="4" a="1"/>
  <c r="AQ263" i="4" s="1"/>
  <c r="AR255" i="4" a="1"/>
  <c r="AR255" i="4" s="1"/>
  <c r="AQ255" i="4" a="1"/>
  <c r="AQ255" i="4" s="1"/>
  <c r="AO263" i="4" a="1"/>
  <c r="AO263" i="4" s="1"/>
  <c r="AP277" i="4" a="1"/>
  <c r="AP277" i="4" s="1"/>
  <c r="AQ267" i="4" a="1"/>
  <c r="AQ267" i="4" s="1"/>
  <c r="AP187" i="4" a="1"/>
  <c r="AP187" i="4" s="1"/>
  <c r="AN205" i="4" a="1"/>
  <c r="AN205" i="4" s="1"/>
  <c r="AO196" i="4" a="1"/>
  <c r="AO196" i="4" s="1"/>
  <c r="AO187" i="4" a="1"/>
  <c r="AO187" i="4" s="1"/>
  <c r="AR187" i="4" a="1"/>
  <c r="AR187" i="4" s="1"/>
  <c r="AQ195" i="4" a="1"/>
  <c r="AQ195" i="4" s="1"/>
  <c r="AO147" i="4" a="1"/>
  <c r="AO147" i="4" s="1"/>
  <c r="AP160" i="4" a="1"/>
  <c r="AP160" i="4" s="1"/>
  <c r="AM171" i="4" a="1"/>
  <c r="AM171" i="4" s="1"/>
  <c r="AQ157" i="4" a="1"/>
  <c r="AQ157" i="4" s="1"/>
  <c r="AR202" i="4" a="1"/>
  <c r="AR202" i="4" s="1"/>
  <c r="AQ62" i="4" a="1"/>
  <c r="AQ62" i="4" s="1"/>
  <c r="AR332" i="4" a="1"/>
  <c r="AR332" i="4" s="1"/>
  <c r="AN53" i="4" a="1"/>
  <c r="AN53" i="4" s="1"/>
  <c r="AO66" i="4" a="1"/>
  <c r="AO66" i="4" s="1"/>
  <c r="AO63" i="4" a="1"/>
  <c r="AO63" i="4" s="1"/>
  <c r="AP63" i="4" a="1"/>
  <c r="AP63" i="4" s="1"/>
  <c r="AQ64" i="4" a="1"/>
  <c r="AQ64" i="4" s="1"/>
  <c r="AR63" i="4" a="1"/>
  <c r="AR63" i="4" s="1"/>
  <c r="AO203" i="4" a="1"/>
  <c r="AO203" i="4" s="1"/>
  <c r="AR158" i="4" a="1"/>
  <c r="AR158" i="4" s="1"/>
  <c r="AR347" i="4" a="1"/>
  <c r="AR347" i="4" s="1"/>
  <c r="AN307" i="4" a="1"/>
  <c r="AN307" i="4" s="1"/>
  <c r="AN97" i="4" a="1"/>
  <c r="AN97" i="4" s="1"/>
  <c r="AN87" i="4" a="1"/>
  <c r="AN87" i="4" s="1"/>
  <c r="AN77" i="4" a="1"/>
  <c r="AN77" i="4" s="1"/>
  <c r="AO97" i="4" a="1"/>
  <c r="AO97" i="4" s="1"/>
  <c r="AQ77" i="4" a="1"/>
  <c r="AQ77" i="4" s="1"/>
  <c r="AM97" i="4" a="1"/>
  <c r="AM97" i="4" s="1"/>
  <c r="AR87" i="4" a="1"/>
  <c r="AR87" i="4" s="1"/>
  <c r="AP77" i="4" a="1"/>
  <c r="AP77" i="4" s="1"/>
  <c r="AM77" i="4" a="1"/>
  <c r="AM77" i="4" s="1"/>
  <c r="AP87" i="4" a="1"/>
  <c r="AP87" i="4" s="1"/>
  <c r="AR97" i="4" a="1"/>
  <c r="AR97" i="4" s="1"/>
  <c r="AQ87" i="4" a="1"/>
  <c r="AQ87" i="4" s="1"/>
  <c r="AO77" i="4" a="1"/>
  <c r="AO77" i="4" s="1"/>
  <c r="AR77" i="4" a="1"/>
  <c r="AR77" i="4" s="1"/>
  <c r="AQ97" i="4" a="1"/>
  <c r="AQ97" i="4" s="1"/>
  <c r="AM87" i="4" a="1"/>
  <c r="AM87" i="4" s="1"/>
  <c r="AO87" i="4" a="1"/>
  <c r="AO87" i="4" s="1"/>
  <c r="AP97" i="4" a="1"/>
  <c r="AP97" i="4" s="1"/>
  <c r="AO162" i="4" a="1"/>
  <c r="AO162" i="4" s="1"/>
  <c r="AP172" i="4" a="1"/>
  <c r="AP172" i="4" s="1"/>
  <c r="AQ346" i="4" a="1"/>
  <c r="AQ346" i="4" s="1"/>
  <c r="AO207" i="4" a="1"/>
  <c r="AO207" i="4" s="1"/>
  <c r="AN184" i="4" a="1"/>
  <c r="AN184" i="4" s="1"/>
  <c r="AM150" i="4" a="1"/>
  <c r="AM150" i="4" s="1"/>
  <c r="AM161" i="4" a="1"/>
  <c r="AM161" i="4" s="1"/>
  <c r="AQ158" i="4" a="1"/>
  <c r="AQ158" i="4" s="1"/>
  <c r="AP347" i="4" a="1"/>
  <c r="AP347" i="4" s="1"/>
  <c r="AN327" i="4" a="1"/>
  <c r="AN327" i="4" s="1"/>
  <c r="AP170" i="4" a="1"/>
  <c r="AP170" i="4" s="1"/>
  <c r="AO53" i="4" a="1"/>
  <c r="AO53" i="4" s="1"/>
  <c r="AR194" i="4" a="1"/>
  <c r="AR194" i="4" s="1"/>
  <c r="AN43" i="4" a="1"/>
  <c r="AN43" i="4" s="1"/>
  <c r="AQ325" i="4" a="1"/>
  <c r="AQ325" i="4" s="1"/>
  <c r="AP337" i="4" a="1"/>
  <c r="AP337" i="4" s="1"/>
  <c r="AO169" i="4" a="1"/>
  <c r="AO169" i="4" s="1"/>
  <c r="AN171" i="4" a="1"/>
  <c r="AN171" i="4" s="1"/>
  <c r="AN370" i="4" a="1"/>
  <c r="AN370" i="4" s="1"/>
  <c r="AR196" i="4" a="1"/>
  <c r="AR196" i="4" s="1"/>
  <c r="AQ53" i="4" a="1"/>
  <c r="AQ53" i="4" s="1"/>
  <c r="AM66" i="4" a="1"/>
  <c r="AM66" i="4" s="1"/>
  <c r="AP332" i="4" a="1"/>
  <c r="AP332" i="4" s="1"/>
  <c r="AP382" i="4" a="1"/>
  <c r="AP382" i="4" s="1"/>
  <c r="AP333" i="4" a="1"/>
  <c r="AP333" i="4" s="1"/>
  <c r="AQ170" i="4" a="1"/>
  <c r="AQ170" i="4" s="1"/>
  <c r="AO205" i="4" a="1"/>
  <c r="AO205" i="4" s="1"/>
  <c r="AO171" i="4" a="1"/>
  <c r="AO171" i="4" s="1"/>
  <c r="AQ54" i="4" a="1"/>
  <c r="AQ54" i="4" s="1"/>
  <c r="AP45" i="4" a="1"/>
  <c r="AP45" i="4" s="1"/>
  <c r="AO380" i="4" a="1"/>
  <c r="AO380" i="4" s="1"/>
  <c r="AQ358" i="4" a="1"/>
  <c r="AQ358" i="4" s="1"/>
  <c r="AM382" i="4" a="1"/>
  <c r="AM382" i="4" s="1"/>
  <c r="AP334" i="4" a="1"/>
  <c r="AP334" i="4" s="1"/>
  <c r="AO168" i="4" a="1"/>
  <c r="AO168" i="4" s="1"/>
  <c r="AQ312" i="4" a="1"/>
  <c r="AQ312" i="4" s="1"/>
  <c r="AQ311" i="4" a="1"/>
  <c r="AQ311" i="4" s="1"/>
  <c r="AQ310" i="4" a="1"/>
  <c r="AQ310" i="4" s="1"/>
  <c r="AQ309" i="4" a="1"/>
  <c r="AQ309" i="4" s="1"/>
  <c r="AQ308" i="4" a="1"/>
  <c r="AQ308" i="4" s="1"/>
  <c r="AQ302" i="4" a="1"/>
  <c r="AQ302" i="4" s="1"/>
  <c r="AQ301" i="4" a="1"/>
  <c r="AQ301" i="4" s="1"/>
  <c r="AQ300" i="4" a="1"/>
  <c r="AQ300" i="4" s="1"/>
  <c r="AQ299" i="4" a="1"/>
  <c r="AQ299" i="4" s="1"/>
  <c r="AQ298" i="4" a="1"/>
  <c r="AQ298" i="4" s="1"/>
  <c r="AM312" i="4" a="1"/>
  <c r="AM312" i="4" s="1"/>
  <c r="AP309" i="4" a="1"/>
  <c r="AP309" i="4" s="1"/>
  <c r="AO308" i="4" a="1"/>
  <c r="AO308" i="4" s="1"/>
  <c r="AM302" i="4" a="1"/>
  <c r="AM302" i="4" s="1"/>
  <c r="AP299" i="4" a="1"/>
  <c r="AP299" i="4" s="1"/>
  <c r="AO298" i="4" a="1"/>
  <c r="AO298" i="4" s="1"/>
  <c r="AN292" i="4" a="1"/>
  <c r="AN292" i="4" s="1"/>
  <c r="AM290" i="4" a="1"/>
  <c r="AM290" i="4" s="1"/>
  <c r="AR288" i="4" a="1"/>
  <c r="AR288" i="4" s="1"/>
  <c r="AP310" i="4" a="1"/>
  <c r="AP310" i="4" s="1"/>
  <c r="AO309" i="4" a="1"/>
  <c r="AO309" i="4" s="1"/>
  <c r="AN308" i="4" a="1"/>
  <c r="AN308" i="4" s="1"/>
  <c r="AP300" i="4" a="1"/>
  <c r="AP300" i="4" s="1"/>
  <c r="AO299" i="4" a="1"/>
  <c r="AO299" i="4" s="1"/>
  <c r="AN298" i="4" a="1"/>
  <c r="AN298" i="4" s="1"/>
  <c r="AM292" i="4" a="1"/>
  <c r="AM292" i="4" s="1"/>
  <c r="AR290" i="4" a="1"/>
  <c r="AR290" i="4" s="1"/>
  <c r="AQ288" i="4" a="1"/>
  <c r="AQ288" i="4" s="1"/>
  <c r="AP312" i="4" a="1"/>
  <c r="AP312" i="4" s="1"/>
  <c r="AR299" i="4" a="1"/>
  <c r="AR299" i="4" s="1"/>
  <c r="AQ291" i="4" a="1"/>
  <c r="AQ291" i="4" s="1"/>
  <c r="AN289" i="4" a="1"/>
  <c r="AN289" i="4" s="1"/>
  <c r="AR312" i="4" a="1"/>
  <c r="AR312" i="4" s="1"/>
  <c r="AM308" i="4" a="1"/>
  <c r="AM308" i="4" s="1"/>
  <c r="AM301" i="4" a="1"/>
  <c r="AM301" i="4" s="1"/>
  <c r="AM291" i="4" a="1"/>
  <c r="AM291" i="4" s="1"/>
  <c r="AP289" i="4" a="1"/>
  <c r="AP289" i="4" s="1"/>
  <c r="AN288" i="4" a="1"/>
  <c r="AN288" i="4" s="1"/>
  <c r="AM311" i="4" a="1"/>
  <c r="AM311" i="4" s="1"/>
  <c r="AQ290" i="4" a="1"/>
  <c r="AQ290" i="4" s="1"/>
  <c r="AO289" i="4" a="1"/>
  <c r="AO289" i="4" s="1"/>
  <c r="AM288" i="4" a="1"/>
  <c r="AM288" i="4" s="1"/>
  <c r="AO312" i="4" a="1"/>
  <c r="AO312" i="4" s="1"/>
  <c r="AR310" i="4" a="1"/>
  <c r="AR310" i="4" s="1"/>
  <c r="AN309" i="4" a="1"/>
  <c r="AN309" i="4" s="1"/>
  <c r="AN302" i="4" a="1"/>
  <c r="AN302" i="4" s="1"/>
  <c r="AM299" i="4" a="1"/>
  <c r="AM299" i="4" s="1"/>
  <c r="AN312" i="4" a="1"/>
  <c r="AN312" i="4" s="1"/>
  <c r="AM309" i="4" a="1"/>
  <c r="AM309" i="4" s="1"/>
  <c r="AR301" i="4" a="1"/>
  <c r="AR301" i="4" s="1"/>
  <c r="AO310" i="4" a="1"/>
  <c r="AO310" i="4" s="1"/>
  <c r="AP311" i="4" a="1"/>
  <c r="AP311" i="4" s="1"/>
  <c r="AR308" i="4" a="1"/>
  <c r="AR308" i="4" s="1"/>
  <c r="AN300" i="4" a="1"/>
  <c r="AN300" i="4" s="1"/>
  <c r="AM298" i="4" a="1"/>
  <c r="AM298" i="4" s="1"/>
  <c r="AO290" i="4" a="1"/>
  <c r="AO290" i="4" s="1"/>
  <c r="AP302" i="4" a="1"/>
  <c r="AP302" i="4" s="1"/>
  <c r="AR291" i="4" a="1"/>
  <c r="AR291" i="4" s="1"/>
  <c r="AP288" i="4" a="1"/>
  <c r="AP288" i="4" s="1"/>
  <c r="AO311" i="4" a="1"/>
  <c r="AO311" i="4" s="1"/>
  <c r="AO302" i="4" a="1"/>
  <c r="AO302" i="4" s="1"/>
  <c r="AM300" i="4" a="1"/>
  <c r="AM300" i="4" s="1"/>
  <c r="AN290" i="4" a="1"/>
  <c r="AN290" i="4" s="1"/>
  <c r="AP291" i="4" a="1"/>
  <c r="AP291" i="4" s="1"/>
  <c r="AR289" i="4" a="1"/>
  <c r="AR289" i="4" s="1"/>
  <c r="AP301" i="4" a="1"/>
  <c r="AP301" i="4" s="1"/>
  <c r="AQ289" i="4" a="1"/>
  <c r="AQ289" i="4" s="1"/>
  <c r="AO300" i="4" a="1"/>
  <c r="AO300" i="4" s="1"/>
  <c r="AP292" i="4" a="1"/>
  <c r="AP292" i="4" s="1"/>
  <c r="AR311" i="4" a="1"/>
  <c r="AR311" i="4" s="1"/>
  <c r="AN299" i="4" a="1"/>
  <c r="AN299" i="4" s="1"/>
  <c r="AO292" i="4" a="1"/>
  <c r="AO292" i="4" s="1"/>
  <c r="AR298" i="4" a="1"/>
  <c r="AR298" i="4" s="1"/>
  <c r="AM289" i="4" a="1"/>
  <c r="AM289" i="4" s="1"/>
  <c r="AN311" i="4" a="1"/>
  <c r="AN311" i="4" s="1"/>
  <c r="AO291" i="4" a="1"/>
  <c r="AO291" i="4" s="1"/>
  <c r="AN310" i="4" a="1"/>
  <c r="AN310" i="4" s="1"/>
  <c r="AR302" i="4" a="1"/>
  <c r="AR302" i="4" s="1"/>
  <c r="AP298" i="4" a="1"/>
  <c r="AP298" i="4" s="1"/>
  <c r="AO288" i="4" a="1"/>
  <c r="AO288" i="4" s="1"/>
  <c r="AR292" i="4" a="1"/>
  <c r="AR292" i="4" s="1"/>
  <c r="AP308" i="4" a="1"/>
  <c r="AP308" i="4" s="1"/>
  <c r="AQ292" i="4" a="1"/>
  <c r="AQ292" i="4" s="1"/>
  <c r="AN291" i="4" a="1"/>
  <c r="AN291" i="4" s="1"/>
  <c r="AO301" i="4" a="1"/>
  <c r="AO301" i="4" s="1"/>
  <c r="AR300" i="4" a="1"/>
  <c r="AR300" i="4" s="1"/>
  <c r="AM310" i="4" a="1"/>
  <c r="AM310" i="4" s="1"/>
  <c r="AP290" i="4" a="1"/>
  <c r="AP290" i="4" s="1"/>
  <c r="AR309" i="4" a="1"/>
  <c r="AR309" i="4" s="1"/>
  <c r="AN301" i="4" a="1"/>
  <c r="AN301" i="4" s="1"/>
  <c r="AO64" i="4" a="1"/>
  <c r="AO64" i="4" s="1"/>
  <c r="AR55" i="4" a="1"/>
  <c r="AR55" i="4" s="1"/>
  <c r="AM377" i="4" a="1"/>
  <c r="AM377" i="4" s="1"/>
  <c r="AO378" i="4" a="1"/>
  <c r="AO378" i="4" s="1"/>
  <c r="AM333" i="4" a="1"/>
  <c r="AM333" i="4" s="1"/>
  <c r="AQ344" i="4" a="1"/>
  <c r="AQ344" i="4" s="1"/>
  <c r="AN381" i="4" a="1"/>
  <c r="AN381" i="4" s="1"/>
  <c r="AQ148" i="4" a="1"/>
  <c r="AQ148" i="4" s="1"/>
  <c r="AO149" i="4" a="1"/>
  <c r="AO149" i="4" s="1"/>
  <c r="AN377" i="4" a="1"/>
  <c r="AN377" i="4" s="1"/>
  <c r="AR368" i="4" a="1"/>
  <c r="AR368" i="4" s="1"/>
  <c r="AN332" i="4" a="1"/>
  <c r="AN332" i="4" s="1"/>
  <c r="AN378" i="4" a="1"/>
  <c r="AN378" i="4" s="1"/>
  <c r="AR370" i="4" a="1"/>
  <c r="AR370" i="4" s="1"/>
  <c r="AO381" i="4" a="1"/>
  <c r="AO381" i="4" s="1"/>
  <c r="AP371" i="4" a="1"/>
  <c r="AP371" i="4" s="1"/>
  <c r="AQ368" i="4" a="1"/>
  <c r="AQ368" i="4" s="1"/>
  <c r="AM344" i="4" a="1"/>
  <c r="AM344" i="4" s="1"/>
  <c r="AP346" i="4" a="1"/>
  <c r="AP346" i="4" s="1"/>
  <c r="AP344" i="4" a="1"/>
  <c r="AP344" i="4" s="1"/>
  <c r="AN323" i="4" a="1"/>
  <c r="AN323" i="4" s="1"/>
  <c r="AN345" i="4" a="1"/>
  <c r="AN345" i="4" s="1"/>
  <c r="AN369" i="4" a="1"/>
  <c r="AN369" i="4" s="1"/>
  <c r="AM359" i="4" a="1"/>
  <c r="AM359" i="4" s="1"/>
  <c r="AN359" i="4" a="1"/>
  <c r="AN359" i="4" s="1"/>
  <c r="AO160" i="4" a="1"/>
  <c r="AO160" i="4" s="1"/>
  <c r="AM307" i="4" a="1"/>
  <c r="AM307" i="4" s="1"/>
  <c r="AO159" i="4" a="1"/>
  <c r="AO159" i="4" s="1"/>
  <c r="AN161" i="4" a="1"/>
  <c r="AN161" i="4" s="1"/>
  <c r="AR417" i="4" a="1"/>
  <c r="AR417" i="4" s="1"/>
  <c r="AR416" i="4" a="1"/>
  <c r="AR416" i="4" s="1"/>
  <c r="AR415" i="4" a="1"/>
  <c r="AR415" i="4" s="1"/>
  <c r="AR414" i="4" a="1"/>
  <c r="AR414" i="4" s="1"/>
  <c r="AR413" i="4" a="1"/>
  <c r="AR413" i="4" s="1"/>
  <c r="AR407" i="4" a="1"/>
  <c r="AR407" i="4" s="1"/>
  <c r="AR406" i="4" a="1"/>
  <c r="AR406" i="4" s="1"/>
  <c r="AR405" i="4" a="1"/>
  <c r="AR405" i="4" s="1"/>
  <c r="AR404" i="4" a="1"/>
  <c r="AR404" i="4" s="1"/>
  <c r="AR403" i="4" a="1"/>
  <c r="AR403" i="4" s="1"/>
  <c r="AR397" i="4" a="1"/>
  <c r="AR397" i="4" s="1"/>
  <c r="AR396" i="4" a="1"/>
  <c r="AR396" i="4" s="1"/>
  <c r="AR395" i="4" a="1"/>
  <c r="AR395" i="4" s="1"/>
  <c r="AR394" i="4" a="1"/>
  <c r="AR394" i="4" s="1"/>
  <c r="AR393" i="4" a="1"/>
  <c r="AR393" i="4" s="1"/>
  <c r="AQ417" i="4" a="1"/>
  <c r="AQ417" i="4" s="1"/>
  <c r="AQ416" i="4" a="1"/>
  <c r="AQ416" i="4" s="1"/>
  <c r="AQ415" i="4" a="1"/>
  <c r="AQ415" i="4" s="1"/>
  <c r="AQ414" i="4" a="1"/>
  <c r="AQ414" i="4" s="1"/>
  <c r="AQ413" i="4" a="1"/>
  <c r="AQ413" i="4" s="1"/>
  <c r="AQ407" i="4" a="1"/>
  <c r="AQ407" i="4" s="1"/>
  <c r="AQ406" i="4" a="1"/>
  <c r="AQ406" i="4" s="1"/>
  <c r="AQ405" i="4" a="1"/>
  <c r="AQ405" i="4" s="1"/>
  <c r="AQ404" i="4" a="1"/>
  <c r="AQ404" i="4" s="1"/>
  <c r="AQ403" i="4" a="1"/>
  <c r="AQ403" i="4" s="1"/>
  <c r="AQ397" i="4" a="1"/>
  <c r="AQ397" i="4" s="1"/>
  <c r="AQ396" i="4" a="1"/>
  <c r="AQ396" i="4" s="1"/>
  <c r="AQ395" i="4" a="1"/>
  <c r="AQ395" i="4" s="1"/>
  <c r="AQ394" i="4" a="1"/>
  <c r="AQ394" i="4" s="1"/>
  <c r="AQ393" i="4" a="1"/>
  <c r="AQ393" i="4" s="1"/>
  <c r="AP417" i="4" a="1"/>
  <c r="AP417" i="4" s="1"/>
  <c r="AN416" i="4" a="1"/>
  <c r="AN416" i="4" s="1"/>
  <c r="AP414" i="4" a="1"/>
  <c r="AP414" i="4" s="1"/>
  <c r="AN413" i="4" a="1"/>
  <c r="AN413" i="4" s="1"/>
  <c r="AP407" i="4" a="1"/>
  <c r="AP407" i="4" s="1"/>
  <c r="AN406" i="4" a="1"/>
  <c r="AN406" i="4" s="1"/>
  <c r="AP404" i="4" a="1"/>
  <c r="AP404" i="4" s="1"/>
  <c r="AN403" i="4" a="1"/>
  <c r="AN403" i="4" s="1"/>
  <c r="AP397" i="4" a="1"/>
  <c r="AP397" i="4" s="1"/>
  <c r="AN396" i="4" a="1"/>
  <c r="AN396" i="4" s="1"/>
  <c r="AP394" i="4" a="1"/>
  <c r="AP394" i="4" s="1"/>
  <c r="AN393" i="4" a="1"/>
  <c r="AN393" i="4" s="1"/>
  <c r="AO417" i="4" a="1"/>
  <c r="AO417" i="4" s="1"/>
  <c r="AM416" i="4" a="1"/>
  <c r="AM416" i="4" s="1"/>
  <c r="AO414" i="4" a="1"/>
  <c r="AO414" i="4" s="1"/>
  <c r="AM413" i="4" a="1"/>
  <c r="AM413" i="4" s="1"/>
  <c r="AO407" i="4" a="1"/>
  <c r="AO407" i="4" s="1"/>
  <c r="AM406" i="4" a="1"/>
  <c r="AM406" i="4" s="1"/>
  <c r="AO404" i="4" a="1"/>
  <c r="AO404" i="4" s="1"/>
  <c r="AM403" i="4" a="1"/>
  <c r="AM403" i="4" s="1"/>
  <c r="AO397" i="4" a="1"/>
  <c r="AO397" i="4" s="1"/>
  <c r="AM396" i="4" a="1"/>
  <c r="AM396" i="4" s="1"/>
  <c r="AO394" i="4" a="1"/>
  <c r="AO394" i="4" s="1"/>
  <c r="AM393" i="4" a="1"/>
  <c r="AM393" i="4" s="1"/>
  <c r="AN417" i="4" a="1"/>
  <c r="AN417" i="4" s="1"/>
  <c r="AO403" i="4" a="1"/>
  <c r="AO403" i="4" s="1"/>
  <c r="AP396" i="4" a="1"/>
  <c r="AP396" i="4" s="1"/>
  <c r="AM394" i="4" a="1"/>
  <c r="AM394" i="4" s="1"/>
  <c r="AM415" i="4" a="1"/>
  <c r="AM415" i="4" s="1"/>
  <c r="AO405" i="4" a="1"/>
  <c r="AO405" i="4" s="1"/>
  <c r="AM417" i="4" a="1"/>
  <c r="AM417" i="4" s="1"/>
  <c r="AN414" i="4" a="1"/>
  <c r="AN414" i="4" s="1"/>
  <c r="AO396" i="4" a="1"/>
  <c r="AO396" i="4" s="1"/>
  <c r="AP393" i="4" a="1"/>
  <c r="AP393" i="4" s="1"/>
  <c r="AM405" i="4" a="1"/>
  <c r="AM405" i="4" s="1"/>
  <c r="AO395" i="4" a="1"/>
  <c r="AO395" i="4" s="1"/>
  <c r="AN415" i="4" a="1"/>
  <c r="AN415" i="4" s="1"/>
  <c r="AP405" i="4" a="1"/>
  <c r="AP405" i="4" s="1"/>
  <c r="AP416" i="4" a="1"/>
  <c r="AP416" i="4" s="1"/>
  <c r="AM404" i="4" a="1"/>
  <c r="AM404" i="4" s="1"/>
  <c r="AO416" i="4" a="1"/>
  <c r="AO416" i="4" s="1"/>
  <c r="AN395" i="4" a="1"/>
  <c r="AN395" i="4" s="1"/>
  <c r="AP415" i="4" a="1"/>
  <c r="AP415" i="4" s="1"/>
  <c r="AN407" i="4" a="1"/>
  <c r="AN407" i="4" s="1"/>
  <c r="AP403" i="4" a="1"/>
  <c r="AP403" i="4" s="1"/>
  <c r="AO415" i="4" a="1"/>
  <c r="AO415" i="4" s="1"/>
  <c r="AN394" i="4" a="1"/>
  <c r="AN394" i="4" s="1"/>
  <c r="AP406" i="4" a="1"/>
  <c r="AP406" i="4" s="1"/>
  <c r="AM414" i="4" a="1"/>
  <c r="AM414" i="4" s="1"/>
  <c r="AN397" i="4" a="1"/>
  <c r="AN397" i="4" s="1"/>
  <c r="AP413" i="4" a="1"/>
  <c r="AP413" i="4" s="1"/>
  <c r="AM397" i="4" a="1"/>
  <c r="AM397" i="4" s="1"/>
  <c r="AO413" i="4" a="1"/>
  <c r="AO413" i="4" s="1"/>
  <c r="AP395" i="4" a="1"/>
  <c r="AP395" i="4" s="1"/>
  <c r="AM407" i="4" a="1"/>
  <c r="AM407" i="4" s="1"/>
  <c r="AO406" i="4" a="1"/>
  <c r="AO406" i="4" s="1"/>
  <c r="AN405" i="4" a="1"/>
  <c r="AN405" i="4" s="1"/>
  <c r="AN404" i="4" a="1"/>
  <c r="AN404" i="4" s="1"/>
  <c r="AM395" i="4" a="1"/>
  <c r="AM395" i="4" s="1"/>
  <c r="AO393" i="4" a="1"/>
  <c r="AO393" i="4" s="1"/>
  <c r="AP192" i="4" a="1"/>
  <c r="AP192" i="4" s="1"/>
  <c r="AM167" i="4" a="1"/>
  <c r="AM167" i="4" s="1"/>
  <c r="AM361" i="4" a="1"/>
  <c r="AM361" i="4" s="1"/>
  <c r="AR195" i="4" a="1"/>
  <c r="AR195" i="4" s="1"/>
  <c r="AP206" i="4" a="1"/>
  <c r="AP206" i="4" s="1"/>
  <c r="AM203" i="4" a="1"/>
  <c r="AM203" i="4" s="1"/>
  <c r="AN203" i="4" a="1"/>
  <c r="AN203" i="4" s="1"/>
  <c r="AM194" i="4" a="1"/>
  <c r="AM194" i="4" s="1"/>
  <c r="AQ196" i="4" a="1"/>
  <c r="AQ196" i="4" s="1"/>
  <c r="AQ159" i="4" a="1"/>
  <c r="AQ159" i="4" s="1"/>
  <c r="AM158" i="4" a="1"/>
  <c r="AM158" i="4" s="1"/>
  <c r="AR52" i="4" a="1"/>
  <c r="AR52" i="4" s="1"/>
  <c r="AM322" i="4" a="1"/>
  <c r="AM322" i="4" s="1"/>
  <c r="AM45" i="4" a="1"/>
  <c r="AM45" i="4" s="1"/>
  <c r="AN64" i="4" a="1"/>
  <c r="AN64" i="4" s="1"/>
  <c r="AP66" i="4" a="1"/>
  <c r="AP66" i="4" s="1"/>
  <c r="AM43" i="4" a="1"/>
  <c r="AM43" i="4" s="1"/>
  <c r="AQ65" i="4" a="1"/>
  <c r="AQ65" i="4" s="1"/>
  <c r="AR64" i="4" a="1"/>
  <c r="AR64" i="4" s="1"/>
  <c r="AM56" i="4" a="1"/>
  <c r="AM56" i="4" s="1"/>
  <c r="AN207" i="4" a="1"/>
  <c r="AN207" i="4" s="1"/>
  <c r="AO161" i="4" a="1"/>
  <c r="AO161" i="4" s="1"/>
  <c r="AM407" i="1" a="1"/>
  <c r="AM407" i="1" s="1"/>
  <c r="AN404" i="1" a="1"/>
  <c r="AN404" i="1" s="1"/>
  <c r="AQ403" i="1" a="1"/>
  <c r="AQ403" i="1" s="1"/>
  <c r="AO414" i="1" a="1"/>
  <c r="AO414" i="1" s="1"/>
  <c r="AQ416" i="1" a="1"/>
  <c r="AQ416" i="1" s="1"/>
  <c r="AM381" i="1" a="1"/>
  <c r="AM381" i="1" s="1"/>
  <c r="AN382" i="1" a="1"/>
  <c r="AN382" i="1" s="1"/>
  <c r="AQ378" i="1" a="1"/>
  <c r="AQ378" i="1" s="1"/>
  <c r="AQ369" i="1" a="1"/>
  <c r="AQ369" i="1" s="1"/>
  <c r="AQ370" i="1" a="1"/>
  <c r="AQ370" i="1" s="1"/>
  <c r="AQ371" i="1" a="1"/>
  <c r="AQ371" i="1" s="1"/>
  <c r="AQ372" i="1" a="1"/>
  <c r="AQ372" i="1" s="1"/>
  <c r="AO369" i="1" a="1"/>
  <c r="AO369" i="1" s="1"/>
  <c r="AQ379" i="1" a="1"/>
  <c r="AQ379" i="1" s="1"/>
  <c r="AP369" i="1" a="1"/>
  <c r="AP369" i="1" s="1"/>
  <c r="AM380" i="1" a="1"/>
  <c r="AM380" i="1" s="1"/>
  <c r="AN381" i="1" a="1"/>
  <c r="AN381" i="1" s="1"/>
  <c r="AO382" i="1" a="1"/>
  <c r="AO382" i="1" s="1"/>
  <c r="AR378" i="1" a="1"/>
  <c r="AR378" i="1" s="1"/>
  <c r="AO379" i="1" a="1"/>
  <c r="AO379" i="1" s="1"/>
  <c r="AO368" i="1" a="1"/>
  <c r="AO368" i="1" s="1"/>
  <c r="AN370" i="1" a="1"/>
  <c r="AN370" i="1" s="1"/>
  <c r="AQ381" i="1" a="1"/>
  <c r="AQ381" i="1" s="1"/>
  <c r="AO371" i="1" a="1"/>
  <c r="AO371" i="1" s="1"/>
  <c r="AR368" i="1" a="1"/>
  <c r="AR368" i="1" s="1"/>
  <c r="AP370" i="1" a="1"/>
  <c r="AP370" i="1" s="1"/>
  <c r="AM379" i="1" a="1"/>
  <c r="AM379" i="1" s="1"/>
  <c r="AN380" i="1" a="1"/>
  <c r="AN380" i="1" s="1"/>
  <c r="AP382" i="1" a="1"/>
  <c r="AP382" i="1" s="1"/>
  <c r="AR369" i="1" a="1"/>
  <c r="AR369" i="1" s="1"/>
  <c r="AR370" i="1" a="1"/>
  <c r="AR370" i="1" s="1"/>
  <c r="AR371" i="1" a="1"/>
  <c r="AR371" i="1" s="1"/>
  <c r="AR372" i="1" a="1"/>
  <c r="AR372" i="1" s="1"/>
  <c r="AP380" i="1" a="1"/>
  <c r="AP380" i="1" s="1"/>
  <c r="AN372" i="1" a="1"/>
  <c r="AN372" i="1" s="1"/>
  <c r="AP379" i="1" a="1"/>
  <c r="AP379" i="1" s="1"/>
  <c r="AQ380" i="1" a="1"/>
  <c r="AQ380" i="1" s="1"/>
  <c r="AO372" i="1" a="1"/>
  <c r="AO372" i="1" s="1"/>
  <c r="AR380" i="1" a="1"/>
  <c r="AR380" i="1" s="1"/>
  <c r="AN379" i="1" a="1"/>
  <c r="AN379" i="1" s="1"/>
  <c r="AO381" i="1" a="1"/>
  <c r="AO381" i="1" s="1"/>
  <c r="AQ382" i="1" a="1"/>
  <c r="AQ382" i="1" s="1"/>
  <c r="AM378" i="1" a="1"/>
  <c r="AM378" i="1" s="1"/>
  <c r="AO378" i="1" a="1"/>
  <c r="AO378" i="1" s="1"/>
  <c r="AR381" i="1" a="1"/>
  <c r="AR381" i="1" s="1"/>
  <c r="AP378" i="1" a="1"/>
  <c r="AP378" i="1" s="1"/>
  <c r="AR379" i="1" a="1"/>
  <c r="AR379" i="1" s="1"/>
  <c r="AO380" i="1" a="1"/>
  <c r="AO380" i="1" s="1"/>
  <c r="AR382" i="1" a="1"/>
  <c r="AR382" i="1" s="1"/>
  <c r="AM369" i="1" a="1"/>
  <c r="AM369" i="1" s="1"/>
  <c r="AM370" i="1" a="1"/>
  <c r="AM370" i="1" s="1"/>
  <c r="AM371" i="1" a="1"/>
  <c r="AM371" i="1" s="1"/>
  <c r="AM372" i="1" a="1"/>
  <c r="AM372" i="1" s="1"/>
  <c r="AN368" i="1" a="1"/>
  <c r="AN368" i="1" s="1"/>
  <c r="AN369" i="1" a="1"/>
  <c r="AN369" i="1" s="1"/>
  <c r="AP368" i="1" a="1"/>
  <c r="AP368" i="1" s="1"/>
  <c r="AP372" i="1" a="1"/>
  <c r="AP372" i="1" s="1"/>
  <c r="AM368" i="1" a="1"/>
  <c r="AM368" i="1" s="1"/>
  <c r="AP381" i="1" a="1"/>
  <c r="AP381" i="1" s="1"/>
  <c r="AN378" i="1" a="1"/>
  <c r="AN378" i="1" s="1"/>
  <c r="AN371" i="1" a="1"/>
  <c r="AN371" i="1" s="1"/>
  <c r="AQ368" i="1" a="1"/>
  <c r="AQ368" i="1" s="1"/>
  <c r="AO370" i="1" a="1"/>
  <c r="AO370" i="1" s="1"/>
  <c r="AP371" i="1" a="1"/>
  <c r="AP371" i="1" s="1"/>
  <c r="AM382" i="1" a="1"/>
  <c r="AM382" i="1" s="1"/>
  <c r="AN417" i="1" a="1"/>
  <c r="AN417" i="1" s="1"/>
  <c r="AR404" i="1" a="1"/>
  <c r="AR404" i="1" s="1"/>
  <c r="AM417" i="1" a="1"/>
  <c r="AM417" i="1" s="1"/>
  <c r="AM405" i="1" a="1"/>
  <c r="AM405" i="1" s="1"/>
  <c r="AO413" i="1" a="1"/>
  <c r="AO413" i="1" s="1"/>
  <c r="AP403" i="1" a="1"/>
  <c r="AP403" i="1" s="1"/>
  <c r="AP414" i="1" a="1"/>
  <c r="AP414" i="1" s="1"/>
  <c r="AN413" i="1" a="1"/>
  <c r="AN413" i="1" s="1"/>
  <c r="AR414" i="1" a="1"/>
  <c r="AR414" i="1" s="1"/>
  <c r="AN403" i="1" a="1"/>
  <c r="AN403" i="1" s="1"/>
  <c r="AP416" i="1" a="1"/>
  <c r="AP416" i="1" s="1"/>
  <c r="AO407" i="1" a="1"/>
  <c r="AO407" i="1" s="1"/>
  <c r="AN402" i="1" a="1"/>
  <c r="AN402" i="1" s="1"/>
  <c r="AM402" i="1" a="1"/>
  <c r="AM402" i="1" s="1"/>
  <c r="AR412" i="1" a="1"/>
  <c r="AR412" i="1" s="1"/>
  <c r="AO402" i="1" a="1"/>
  <c r="AO402" i="1" s="1"/>
  <c r="AQ412" i="1" a="1"/>
  <c r="AQ412" i="1" s="1"/>
  <c r="AO412" i="1" a="1"/>
  <c r="AO412" i="1" s="1"/>
  <c r="AN412" i="1" a="1"/>
  <c r="AN412" i="1" s="1"/>
  <c r="AP412" i="1" a="1"/>
  <c r="AP412" i="1" s="1"/>
  <c r="AM412" i="1" a="1"/>
  <c r="AM412" i="1" s="1"/>
  <c r="AR402" i="1" a="1"/>
  <c r="AR402" i="1" s="1"/>
  <c r="AP402" i="1" a="1"/>
  <c r="AP402" i="1" s="1"/>
  <c r="AQ402" i="1" a="1"/>
  <c r="AQ402" i="1" s="1"/>
  <c r="AN414" i="1" a="1"/>
  <c r="AN414" i="1" s="1"/>
  <c r="AO404" i="1" a="1"/>
  <c r="AO404" i="1" s="1"/>
  <c r="AR415" i="1" a="1"/>
  <c r="AR415" i="1" s="1"/>
  <c r="AQ413" i="1" a="1"/>
  <c r="AQ413" i="1" s="1"/>
  <c r="AN415" i="1" a="1"/>
  <c r="AN415" i="1" s="1"/>
  <c r="AN407" i="1" a="1"/>
  <c r="AN407" i="1" s="1"/>
  <c r="AO403" i="1" a="1"/>
  <c r="AO403" i="1" s="1"/>
  <c r="AQ406" i="1" a="1"/>
  <c r="AQ406" i="1" s="1"/>
  <c r="AQ404" i="1" a="1"/>
  <c r="AQ404" i="1" s="1"/>
  <c r="AO416" i="1" a="1"/>
  <c r="AO416" i="1" s="1"/>
  <c r="AP405" i="1" a="1"/>
  <c r="AP405" i="1" s="1"/>
  <c r="AP417" i="1" a="1"/>
  <c r="AP417" i="1" s="1"/>
  <c r="AR405" i="1" a="1"/>
  <c r="AR405" i="1" s="1"/>
  <c r="AQ414" i="1" a="1"/>
  <c r="AQ414" i="1" s="1"/>
  <c r="AQ405" i="1" a="1"/>
  <c r="AQ405" i="1" s="1"/>
  <c r="AQ417" i="1" a="1"/>
  <c r="AQ417" i="1" s="1"/>
  <c r="AR417" i="1" a="1"/>
  <c r="AR417" i="1" s="1"/>
  <c r="AM413" i="1" a="1"/>
  <c r="AM413" i="1" s="1"/>
  <c r="AN416" i="1" a="1"/>
  <c r="AN416" i="1" s="1"/>
  <c r="AR403" i="1" a="1"/>
  <c r="AR403" i="1" s="1"/>
  <c r="AP407" i="1" a="1"/>
  <c r="AP407" i="1" s="1"/>
  <c r="AM415" i="1" a="1"/>
  <c r="AM415" i="1" s="1"/>
  <c r="AM416" i="1" a="1"/>
  <c r="AM416" i="1" s="1"/>
  <c r="AM404" i="1" a="1"/>
  <c r="AM404" i="1" s="1"/>
  <c r="AQ407" i="1" a="1"/>
  <c r="AQ407" i="1" s="1"/>
  <c r="AN405" i="1" a="1"/>
  <c r="AN405" i="1" s="1"/>
  <c r="AO406" i="1" a="1"/>
  <c r="AO406" i="1" s="1"/>
  <c r="AO415" i="1" a="1"/>
  <c r="AO415" i="1" s="1"/>
  <c r="AP406" i="1" a="1"/>
  <c r="AP406" i="1" s="1"/>
  <c r="AR406" i="1" a="1"/>
  <c r="AR406" i="1" s="1"/>
  <c r="AP415" i="1" a="1"/>
  <c r="AP415" i="1" s="1"/>
  <c r="AM406" i="1" a="1"/>
  <c r="AM406" i="1" s="1"/>
  <c r="AO405" i="1" a="1"/>
  <c r="AO405" i="1" s="1"/>
  <c r="AO417" i="1" a="1"/>
  <c r="AO417" i="1" s="1"/>
  <c r="AR407" i="1" a="1"/>
  <c r="AR407" i="1" s="1"/>
  <c r="AQ415" i="1" a="1"/>
  <c r="AQ415" i="1" s="1"/>
  <c r="AR416" i="1" a="1"/>
  <c r="AR416" i="1" s="1"/>
  <c r="AN406" i="1" a="1"/>
  <c r="AN406" i="1" s="1"/>
  <c r="AM403" i="1" a="1"/>
  <c r="AM403" i="1" s="1"/>
  <c r="AR413" i="1" a="1"/>
  <c r="AR413" i="1" s="1"/>
  <c r="AP413" i="1" a="1"/>
  <c r="AP413" i="1" s="1"/>
  <c r="AM414" i="1" a="1"/>
  <c r="AM414" i="1" s="1"/>
  <c r="AR367" i="1" a="1"/>
  <c r="AR367" i="1" s="1"/>
  <c r="AP367" i="1" a="1"/>
  <c r="AP367" i="1" s="1"/>
  <c r="AN377" i="1" a="1"/>
  <c r="AN377" i="1" s="1"/>
  <c r="AQ367" i="1" a="1"/>
  <c r="AQ367" i="1" s="1"/>
  <c r="AN367" i="1" a="1"/>
  <c r="AN367" i="1" s="1"/>
  <c r="AM377" i="1" a="1"/>
  <c r="AM377" i="1" s="1"/>
  <c r="AR377" i="1" a="1"/>
  <c r="AR377" i="1" s="1"/>
  <c r="AQ377" i="1" a="1"/>
  <c r="AQ377" i="1" s="1"/>
  <c r="AO367" i="1" a="1"/>
  <c r="AO367" i="1" s="1"/>
  <c r="AM344" i="1" a="1"/>
  <c r="AM344" i="1" s="1"/>
  <c r="AN345" i="1" a="1"/>
  <c r="AN345" i="1" s="1"/>
  <c r="AO334" i="1" a="1"/>
  <c r="AO334" i="1" s="1"/>
  <c r="AP335" i="1" a="1"/>
  <c r="AP335" i="1" s="1"/>
  <c r="AQ336" i="1" a="1"/>
  <c r="AQ336" i="1" s="1"/>
  <c r="AR346" i="1" a="1"/>
  <c r="AR346" i="1" s="1"/>
  <c r="AM347" i="1" a="1"/>
  <c r="AM347" i="1" s="1"/>
  <c r="AN336" i="1" a="1"/>
  <c r="AN336" i="1" s="1"/>
  <c r="AM333" i="1" a="1"/>
  <c r="AM333" i="1" s="1"/>
  <c r="AM343" i="1" a="1"/>
  <c r="AM343" i="1" s="1"/>
  <c r="AM334" i="1" a="1"/>
  <c r="AM334" i="1" s="1"/>
  <c r="AR347" i="1" a="1"/>
  <c r="AR347" i="1" s="1"/>
  <c r="AO335" i="1" a="1"/>
  <c r="AO335" i="1" s="1"/>
  <c r="AN344" i="1" a="1"/>
  <c r="AN344" i="1" s="1"/>
  <c r="AO346" i="1" a="1"/>
  <c r="AO346" i="1" s="1"/>
  <c r="AO343" i="1" a="1"/>
  <c r="AO343" i="1" s="1"/>
  <c r="AO333" i="1" a="1"/>
  <c r="AO333" i="1" s="1"/>
  <c r="AQ334" i="1" a="1"/>
  <c r="AQ334" i="1" s="1"/>
  <c r="AN337" i="1" a="1"/>
  <c r="AN337" i="1" s="1"/>
  <c r="AQ343" i="1" a="1"/>
  <c r="AQ343" i="1" s="1"/>
  <c r="AQ345" i="1" a="1"/>
  <c r="AQ345" i="1" s="1"/>
  <c r="AR334" i="1" a="1"/>
  <c r="AR334" i="1" s="1"/>
  <c r="AM335" i="1" a="1"/>
  <c r="AM335" i="1" s="1"/>
  <c r="AP347" i="1" a="1"/>
  <c r="AP347" i="1" s="1"/>
  <c r="AN335" i="1" a="1"/>
  <c r="AN335" i="1" s="1"/>
  <c r="AN334" i="1" a="1"/>
  <c r="AN334" i="1" s="1"/>
  <c r="AR337" i="1" a="1"/>
  <c r="AR337" i="1" s="1"/>
  <c r="AN346" i="1" a="1"/>
  <c r="AN346" i="1" s="1"/>
  <c r="AN333" i="1" a="1"/>
  <c r="AN333" i="1" s="1"/>
  <c r="AO345" i="1" a="1"/>
  <c r="AO345" i="1" s="1"/>
  <c r="AP346" i="1" a="1"/>
  <c r="AP346" i="1" s="1"/>
  <c r="AP334" i="1" a="1"/>
  <c r="AP334" i="1" s="1"/>
  <c r="AQ335" i="1" a="1"/>
  <c r="AQ335" i="1" s="1"/>
  <c r="AR336" i="1" a="1"/>
  <c r="AR336" i="1" s="1"/>
  <c r="AP333" i="1" a="1"/>
  <c r="AP333" i="1" s="1"/>
  <c r="AP344" i="1" a="1"/>
  <c r="AP344" i="1" s="1"/>
  <c r="AR333" i="1" a="1"/>
  <c r="AR333" i="1" s="1"/>
  <c r="AR343" i="1" a="1"/>
  <c r="AR343" i="1" s="1"/>
  <c r="AQ344" i="1" a="1"/>
  <c r="AQ344" i="1" s="1"/>
  <c r="AP337" i="1" a="1"/>
  <c r="AP337" i="1" s="1"/>
  <c r="AQ337" i="1" a="1"/>
  <c r="AQ337" i="1" s="1"/>
  <c r="AQ347" i="1" a="1"/>
  <c r="AQ347" i="1" s="1"/>
  <c r="AM345" i="1" a="1"/>
  <c r="AM345" i="1" s="1"/>
  <c r="AO344" i="1" a="1"/>
  <c r="AO344" i="1" s="1"/>
  <c r="AQ346" i="1" a="1"/>
  <c r="AQ346" i="1" s="1"/>
  <c r="AP343" i="1" a="1"/>
  <c r="AP343" i="1" s="1"/>
  <c r="AM337" i="1" a="1"/>
  <c r="AM337" i="1" s="1"/>
  <c r="AQ333" i="1" a="1"/>
  <c r="AQ333" i="1" s="1"/>
  <c r="AP345" i="1" a="1"/>
  <c r="AP345" i="1" s="1"/>
  <c r="AR335" i="1" a="1"/>
  <c r="AR335" i="1" s="1"/>
  <c r="AM336" i="1" a="1"/>
  <c r="AM336" i="1" s="1"/>
  <c r="AN347" i="1" a="1"/>
  <c r="AN347" i="1" s="1"/>
  <c r="AO337" i="1" a="1"/>
  <c r="AO337" i="1" s="1"/>
  <c r="AO347" i="1" a="1"/>
  <c r="AO347" i="1" s="1"/>
  <c r="AR345" i="1" a="1"/>
  <c r="AR345" i="1" s="1"/>
  <c r="AO336" i="1" a="1"/>
  <c r="AO336" i="1" s="1"/>
  <c r="AR344" i="1" a="1"/>
  <c r="AR344" i="1" s="1"/>
  <c r="AM346" i="1" a="1"/>
  <c r="AM346" i="1" s="1"/>
  <c r="AP336" i="1" a="1"/>
  <c r="AP336" i="1" s="1"/>
  <c r="AN343" i="1" a="1"/>
  <c r="AN343" i="1" s="1"/>
  <c r="AP377" i="1" a="1"/>
  <c r="AP377" i="1" s="1"/>
  <c r="AO377" i="1" a="1"/>
  <c r="AO377" i="1" s="1"/>
  <c r="AM367" i="1" a="1"/>
  <c r="AM367" i="1" s="1"/>
  <c r="AM342" i="1" a="1"/>
  <c r="AM342" i="1" s="1"/>
  <c r="AO332" i="1" a="1"/>
  <c r="AO332" i="1" s="1"/>
  <c r="AN342" i="1" a="1"/>
  <c r="AN342" i="1" s="1"/>
  <c r="AN332" i="1" a="1"/>
  <c r="AN332" i="1" s="1"/>
  <c r="AR342" i="1" a="1"/>
  <c r="AR342" i="1" s="1"/>
  <c r="AR309" i="1" a="1"/>
  <c r="AR309" i="1" s="1"/>
  <c r="AM311" i="1" a="1"/>
  <c r="AM311" i="1" s="1"/>
  <c r="AQ312" i="1" a="1"/>
  <c r="AQ312" i="1" s="1"/>
  <c r="AO300" i="1" a="1"/>
  <c r="AO300" i="1" s="1"/>
  <c r="AQ302" i="1" a="1"/>
  <c r="AQ302" i="1" s="1"/>
  <c r="AO310" i="1" a="1"/>
  <c r="AO310" i="1" s="1"/>
  <c r="AO298" i="1" a="1"/>
  <c r="AO298" i="1" s="1"/>
  <c r="AQ308" i="1" a="1"/>
  <c r="AQ308" i="1" s="1"/>
  <c r="AM312" i="1" a="1"/>
  <c r="AM312" i="1" s="1"/>
  <c r="AN312" i="1" a="1"/>
  <c r="AN312" i="1" s="1"/>
  <c r="AO312" i="1" a="1"/>
  <c r="AO312" i="1" s="1"/>
  <c r="AM310" i="1" a="1"/>
  <c r="AM310" i="1" s="1"/>
  <c r="AN311" i="1" a="1"/>
  <c r="AN311" i="1" s="1"/>
  <c r="AR312" i="1" a="1"/>
  <c r="AR312" i="1" s="1"/>
  <c r="AO299" i="1" a="1"/>
  <c r="AO299" i="1" s="1"/>
  <c r="AP301" i="1" a="1"/>
  <c r="AP301" i="1" s="1"/>
  <c r="AP311" i="1" a="1"/>
  <c r="AP311" i="1" s="1"/>
  <c r="AQ299" i="1" a="1"/>
  <c r="AQ299" i="1" s="1"/>
  <c r="AP310" i="1" a="1"/>
  <c r="AP310" i="1" s="1"/>
  <c r="AR308" i="1" a="1"/>
  <c r="AR308" i="1" s="1"/>
  <c r="AP309" i="1" a="1"/>
  <c r="AP309" i="1" s="1"/>
  <c r="AM301" i="1" a="1"/>
  <c r="AM301" i="1" s="1"/>
  <c r="AN301" i="1" a="1"/>
  <c r="AN301" i="1" s="1"/>
  <c r="AN300" i="1" a="1"/>
  <c r="AN300" i="1" s="1"/>
  <c r="AN299" i="1" a="1"/>
  <c r="AN299" i="1" s="1"/>
  <c r="AN310" i="1" a="1"/>
  <c r="AN310" i="1" s="1"/>
  <c r="AP300" i="1" a="1"/>
  <c r="AP300" i="1" s="1"/>
  <c r="AR302" i="1" a="1"/>
  <c r="AR302" i="1" s="1"/>
  <c r="AN298" i="1" a="1"/>
  <c r="AN298" i="1" s="1"/>
  <c r="AQ311" i="1" a="1"/>
  <c r="AQ311" i="1" s="1"/>
  <c r="AO309" i="1" a="1"/>
  <c r="AO309" i="1" s="1"/>
  <c r="AP298" i="1" a="1"/>
  <c r="AP298" i="1" s="1"/>
  <c r="AQ298" i="1" a="1"/>
  <c r="AQ298" i="1" s="1"/>
  <c r="AR298" i="1" a="1"/>
  <c r="AR298" i="1" s="1"/>
  <c r="AM300" i="1" a="1"/>
  <c r="AM300" i="1" s="1"/>
  <c r="AQ309" i="1" a="1"/>
  <c r="AQ309" i="1" s="1"/>
  <c r="AP302" i="1" a="1"/>
  <c r="AP302" i="1" s="1"/>
  <c r="AO301" i="1" a="1"/>
  <c r="AO301" i="1" s="1"/>
  <c r="AM309" i="1" a="1"/>
  <c r="AM309" i="1" s="1"/>
  <c r="AO311" i="1" a="1"/>
  <c r="AO311" i="1" s="1"/>
  <c r="AN308" i="1" a="1"/>
  <c r="AN308" i="1" s="1"/>
  <c r="AP299" i="1" a="1"/>
  <c r="AP299" i="1" s="1"/>
  <c r="AQ301" i="1" a="1"/>
  <c r="AQ301" i="1" s="1"/>
  <c r="AQ300" i="1" a="1"/>
  <c r="AQ300" i="1" s="1"/>
  <c r="AR301" i="1" a="1"/>
  <c r="AR301" i="1" s="1"/>
  <c r="AR311" i="1" a="1"/>
  <c r="AR311" i="1" s="1"/>
  <c r="AR299" i="1" a="1"/>
  <c r="AR299" i="1" s="1"/>
  <c r="AM308" i="1" a="1"/>
  <c r="AM308" i="1" s="1"/>
  <c r="AM299" i="1" a="1"/>
  <c r="AM299" i="1" s="1"/>
  <c r="AP312" i="1" a="1"/>
  <c r="AP312" i="1" s="1"/>
  <c r="AN309" i="1" a="1"/>
  <c r="AN309" i="1" s="1"/>
  <c r="AO308" i="1" a="1"/>
  <c r="AO308" i="1" s="1"/>
  <c r="AP308" i="1" a="1"/>
  <c r="AP308" i="1" s="1"/>
  <c r="AR300" i="1" a="1"/>
  <c r="AR300" i="1" s="1"/>
  <c r="AM302" i="1" a="1"/>
  <c r="AM302" i="1" s="1"/>
  <c r="AQ310" i="1" a="1"/>
  <c r="AQ310" i="1" s="1"/>
  <c r="AN302" i="1" a="1"/>
  <c r="AN302" i="1" s="1"/>
  <c r="AO302" i="1" a="1"/>
  <c r="AO302" i="1" s="1"/>
  <c r="AR310" i="1" a="1"/>
  <c r="AR310" i="1" s="1"/>
  <c r="AM298" i="1" a="1"/>
  <c r="AM298" i="1" s="1"/>
  <c r="AP332" i="1" a="1"/>
  <c r="AP332" i="1" s="1"/>
  <c r="AQ342" i="1" a="1"/>
  <c r="AQ342" i="1" s="1"/>
  <c r="AQ332" i="1" a="1"/>
  <c r="AQ332" i="1" s="1"/>
  <c r="AP342" i="1" a="1"/>
  <c r="AP342" i="1" s="1"/>
  <c r="AM332" i="1" a="1"/>
  <c r="AM332" i="1" s="1"/>
  <c r="AR332" i="1" a="1"/>
  <c r="AR332" i="1" s="1"/>
  <c r="AO342" i="1" a="1"/>
  <c r="AO342" i="1" s="1"/>
  <c r="AP297" i="1" a="1"/>
  <c r="AP297" i="1" s="1"/>
  <c r="AR307" i="1" a="1"/>
  <c r="AR307" i="1" s="1"/>
  <c r="AP273" i="1" a="1"/>
  <c r="AP273" i="1" s="1"/>
  <c r="AR263" i="1" a="1"/>
  <c r="AR263" i="1" s="1"/>
  <c r="AP267" i="1" a="1"/>
  <c r="AP267" i="1" s="1"/>
  <c r="AO274" i="1" a="1"/>
  <c r="AO274" i="1" s="1"/>
  <c r="AP307" i="1" a="1"/>
  <c r="AP307" i="1" s="1"/>
  <c r="AM263" i="1" a="1"/>
  <c r="AM263" i="1" s="1"/>
  <c r="AN274" i="1" a="1"/>
  <c r="AN274" i="1" s="1"/>
  <c r="AQ276" i="1" a="1"/>
  <c r="AQ276" i="1" s="1"/>
  <c r="AQ273" i="1" a="1"/>
  <c r="AQ273" i="1" s="1"/>
  <c r="AO275" i="1" a="1"/>
  <c r="AO275" i="1" s="1"/>
  <c r="AQ307" i="1" a="1"/>
  <c r="AQ307" i="1" s="1"/>
  <c r="AO273" i="1" a="1"/>
  <c r="AO273" i="1" s="1"/>
  <c r="AN266" i="1" a="1"/>
  <c r="AN266" i="1" s="1"/>
  <c r="AN275" i="1" a="1"/>
  <c r="AN275" i="1" s="1"/>
  <c r="AR276" i="1" a="1"/>
  <c r="AR276" i="1" s="1"/>
  <c r="AQ297" i="1" a="1"/>
  <c r="AQ297" i="1" s="1"/>
  <c r="AQ264" i="1" a="1"/>
  <c r="AQ264" i="1" s="1"/>
  <c r="AO267" i="1" a="1"/>
  <c r="AO267" i="1" s="1"/>
  <c r="AP276" i="1" a="1"/>
  <c r="AP276" i="1" s="1"/>
  <c r="AN277" i="1" a="1"/>
  <c r="AN277" i="1" s="1"/>
  <c r="AQ267" i="1" a="1"/>
  <c r="AQ267" i="1" s="1"/>
  <c r="AO277" i="1" a="1"/>
  <c r="AO277" i="1" s="1"/>
  <c r="AR267" i="1" a="1"/>
  <c r="AR267" i="1" s="1"/>
  <c r="AQ274" i="1" a="1"/>
  <c r="AQ274" i="1" s="1"/>
  <c r="AO265" i="1" a="1"/>
  <c r="AO265" i="1" s="1"/>
  <c r="AN264" i="1" a="1"/>
  <c r="AN264" i="1" s="1"/>
  <c r="AP265" i="1" a="1"/>
  <c r="AP265" i="1" s="1"/>
  <c r="AQ265" i="1" a="1"/>
  <c r="AQ265" i="1" s="1"/>
  <c r="AP264" i="1" a="1"/>
  <c r="AP264" i="1" s="1"/>
  <c r="AR273" i="1" a="1"/>
  <c r="AR273" i="1" s="1"/>
  <c r="AP274" i="1" a="1"/>
  <c r="AP274" i="1" s="1"/>
  <c r="AM265" i="1" a="1"/>
  <c r="AM265" i="1" s="1"/>
  <c r="AP266" i="1" a="1"/>
  <c r="AP266" i="1" s="1"/>
  <c r="AR275" i="1" a="1"/>
  <c r="AR275" i="1" s="1"/>
  <c r="AN263" i="1" a="1"/>
  <c r="AN263" i="1" s="1"/>
  <c r="AQ277" i="1" a="1"/>
  <c r="AQ277" i="1" s="1"/>
  <c r="AR274" i="1" a="1"/>
  <c r="AR274" i="1" s="1"/>
  <c r="AR266" i="1" a="1"/>
  <c r="AR266" i="1" s="1"/>
  <c r="AN276" i="1" a="1"/>
  <c r="AN276" i="1" s="1"/>
  <c r="AM275" i="1" a="1"/>
  <c r="AM275" i="1" s="1"/>
  <c r="AN267" i="1" a="1"/>
  <c r="AN267" i="1" s="1"/>
  <c r="AM273" i="1" a="1"/>
  <c r="AM273" i="1" s="1"/>
  <c r="AM264" i="1" a="1"/>
  <c r="AM264" i="1" s="1"/>
  <c r="AO263" i="1" a="1"/>
  <c r="AO263" i="1" s="1"/>
  <c r="AO264" i="1" a="1"/>
  <c r="AO264" i="1" s="1"/>
  <c r="AN273" i="1" a="1"/>
  <c r="AN273" i="1" s="1"/>
  <c r="AM277" i="1" a="1"/>
  <c r="AM277" i="1" s="1"/>
  <c r="AQ275" i="1" a="1"/>
  <c r="AQ275" i="1" s="1"/>
  <c r="AO266" i="1" a="1"/>
  <c r="AO266" i="1" s="1"/>
  <c r="AN265" i="1" a="1"/>
  <c r="AN265" i="1" s="1"/>
  <c r="AP277" i="1" a="1"/>
  <c r="AP277" i="1" s="1"/>
  <c r="AQ266" i="1" a="1"/>
  <c r="AQ266" i="1" s="1"/>
  <c r="AM276" i="1" a="1"/>
  <c r="AM276" i="1" s="1"/>
  <c r="AM267" i="1" a="1"/>
  <c r="AM267" i="1" s="1"/>
  <c r="AP263" i="1" a="1"/>
  <c r="AP263" i="1" s="1"/>
  <c r="AP275" i="1" a="1"/>
  <c r="AP275" i="1" s="1"/>
  <c r="AR277" i="1" a="1"/>
  <c r="AR277" i="1" s="1"/>
  <c r="AO276" i="1" a="1"/>
  <c r="AO276" i="1" s="1"/>
  <c r="AM307" i="1" a="1"/>
  <c r="AM307" i="1" s="1"/>
  <c r="AO297" i="1" a="1"/>
  <c r="AO297" i="1" s="1"/>
  <c r="AO307" i="1" a="1"/>
  <c r="AO307" i="1" s="1"/>
  <c r="AN307" i="1" a="1"/>
  <c r="AN307" i="1" s="1"/>
  <c r="AM297" i="1" a="1"/>
  <c r="AM297" i="1" s="1"/>
  <c r="AN297" i="1" a="1"/>
  <c r="AN297" i="1" s="1"/>
  <c r="AR264" i="1" a="1"/>
  <c r="AR264" i="1" s="1"/>
  <c r="AQ263" i="1" a="1"/>
  <c r="AQ263" i="1" s="1"/>
  <c r="AR297" i="1" a="1"/>
  <c r="AR297" i="1" s="1"/>
  <c r="AR265" i="1" a="1"/>
  <c r="AR265" i="1" s="1"/>
  <c r="AM266" i="1" a="1"/>
  <c r="AM266" i="1" s="1"/>
  <c r="AM274" i="1" a="1"/>
  <c r="AM274" i="1" s="1"/>
  <c r="AN241" i="1" a="1"/>
  <c r="AN241" i="1" s="1"/>
  <c r="AM241" i="1" a="1"/>
  <c r="AM241" i="1" s="1"/>
  <c r="AN229" i="1" a="1"/>
  <c r="AN229" i="1" s="1"/>
  <c r="AO242" i="1" a="1"/>
  <c r="AO242" i="1" s="1"/>
  <c r="AM240" i="1" a="1"/>
  <c r="AM240" i="1" s="1"/>
  <c r="AN239" i="1" a="1"/>
  <c r="AN239" i="1" s="1"/>
  <c r="AM238" i="1" a="1"/>
  <c r="AM238" i="1" s="1"/>
  <c r="AP231" i="1" a="1"/>
  <c r="AP231" i="1" s="1"/>
  <c r="AP228" i="1" a="1"/>
  <c r="AP228" i="1" s="1"/>
  <c r="AM242" i="1" a="1"/>
  <c r="AM242" i="1" s="1"/>
  <c r="AN230" i="1" a="1"/>
  <c r="AN230" i="1" s="1"/>
  <c r="AQ231" i="1" a="1"/>
  <c r="AQ231" i="1" s="1"/>
  <c r="AO229" i="1" a="1"/>
  <c r="AO229" i="1" s="1"/>
  <c r="AP242" i="1" a="1"/>
  <c r="AP242" i="1" s="1"/>
  <c r="AO241" i="1" a="1"/>
  <c r="AO241" i="1" s="1"/>
  <c r="AP241" i="1" a="1"/>
  <c r="AP241" i="1" s="1"/>
  <c r="AR240" i="1" a="1"/>
  <c r="AR240" i="1" s="1"/>
  <c r="AQ228" i="1" a="1"/>
  <c r="AQ228" i="1" s="1"/>
  <c r="AP230" i="1" a="1"/>
  <c r="AP230" i="1" s="1"/>
  <c r="AM232" i="1" a="1"/>
  <c r="AM232" i="1" s="1"/>
  <c r="AQ242" i="1" a="1"/>
  <c r="AQ242" i="1" s="1"/>
  <c r="AN238" i="1" a="1"/>
  <c r="AN238" i="1" s="1"/>
  <c r="AR241" i="1" a="1"/>
  <c r="AR241" i="1" s="1"/>
  <c r="AN242" i="1" a="1"/>
  <c r="AN242" i="1" s="1"/>
  <c r="AP240" i="1" a="1"/>
  <c r="AP240" i="1" s="1"/>
  <c r="AR231" i="1" a="1"/>
  <c r="AR231" i="1" s="1"/>
  <c r="AM228" i="1" a="1"/>
  <c r="AM228" i="1" s="1"/>
  <c r="AP229" i="1" a="1"/>
  <c r="AP229" i="1" s="1"/>
  <c r="AQ229" i="1" a="1"/>
  <c r="AQ229" i="1" s="1"/>
  <c r="AQ238" i="1" a="1"/>
  <c r="AQ238" i="1" s="1"/>
  <c r="AM229" i="1" a="1"/>
  <c r="AM229" i="1" s="1"/>
  <c r="AR228" i="1" a="1"/>
  <c r="AR228" i="1" s="1"/>
  <c r="AQ241" i="1" a="1"/>
  <c r="AQ241" i="1" s="1"/>
  <c r="AQ230" i="1" a="1"/>
  <c r="AQ230" i="1" s="1"/>
  <c r="AM239" i="1" a="1"/>
  <c r="AM239" i="1" s="1"/>
  <c r="AR230" i="1" a="1"/>
  <c r="AR230" i="1" s="1"/>
  <c r="AN231" i="1" a="1"/>
  <c r="AN231" i="1" s="1"/>
  <c r="AO230" i="1" a="1"/>
  <c r="AO230" i="1" s="1"/>
  <c r="AO239" i="1" a="1"/>
  <c r="AO239" i="1" s="1"/>
  <c r="AP238" i="1" a="1"/>
  <c r="AP238" i="1" s="1"/>
  <c r="AN232" i="1" a="1"/>
  <c r="AN232" i="1" s="1"/>
  <c r="AN240" i="1" a="1"/>
  <c r="AN240" i="1" s="1"/>
  <c r="AP232" i="1" a="1"/>
  <c r="AP232" i="1" s="1"/>
  <c r="AN228" i="1" a="1"/>
  <c r="AN228" i="1" s="1"/>
  <c r="AR229" i="1" a="1"/>
  <c r="AR229" i="1" s="1"/>
  <c r="AO231" i="1" a="1"/>
  <c r="AO231" i="1" s="1"/>
  <c r="AO240" i="1" a="1"/>
  <c r="AO240" i="1" s="1"/>
  <c r="AR242" i="1" a="1"/>
  <c r="AR242" i="1" s="1"/>
  <c r="AO238" i="1" a="1"/>
  <c r="AO238" i="1" s="1"/>
  <c r="AP239" i="1" a="1"/>
  <c r="AP239" i="1" s="1"/>
  <c r="AQ262" i="1" a="1"/>
  <c r="AQ262" i="1" s="1"/>
  <c r="AP262" i="1" a="1"/>
  <c r="AP262" i="1" s="1"/>
  <c r="AO262" i="1" a="1"/>
  <c r="AO262" i="1" s="1"/>
  <c r="AR262" i="1" a="1"/>
  <c r="AR262" i="1" s="1"/>
  <c r="AN262" i="1" a="1"/>
  <c r="AN262" i="1" s="1"/>
  <c r="AQ272" i="1" a="1"/>
  <c r="AQ272" i="1" s="1"/>
  <c r="AM262" i="1" a="1"/>
  <c r="AM262" i="1" s="1"/>
  <c r="AM272" i="1" a="1"/>
  <c r="AM272" i="1" s="1"/>
  <c r="AR272" i="1" a="1"/>
  <c r="AR272" i="1" s="1"/>
  <c r="AP272" i="1" a="1"/>
  <c r="AP272" i="1" s="1"/>
  <c r="AO272" i="1" a="1"/>
  <c r="AO272" i="1" s="1"/>
  <c r="AN272" i="1" a="1"/>
  <c r="AN272" i="1" s="1"/>
  <c r="AQ232" i="1" a="1"/>
  <c r="AQ232" i="1" s="1"/>
  <c r="AO232" i="1" a="1"/>
  <c r="AO232" i="1" s="1"/>
  <c r="AM231" i="1" a="1"/>
  <c r="AM231" i="1" s="1"/>
  <c r="AQ240" i="1" a="1"/>
  <c r="AQ240" i="1" s="1"/>
  <c r="AR232" i="1" a="1"/>
  <c r="AR232" i="1" s="1"/>
  <c r="AM230" i="1" a="1"/>
  <c r="AM230" i="1" s="1"/>
  <c r="AR238" i="1" a="1"/>
  <c r="AR238" i="1" s="1"/>
  <c r="AO228" i="1" a="1"/>
  <c r="AO228" i="1" s="1"/>
  <c r="AR239" i="1" a="1"/>
  <c r="AR239" i="1" s="1"/>
  <c r="AQ239" i="1" a="1"/>
  <c r="AQ239" i="1" s="1"/>
  <c r="AM204" i="1" a="1"/>
  <c r="AM204" i="1" s="1"/>
  <c r="AM205" i="1" a="1"/>
  <c r="AM205" i="1" s="1"/>
  <c r="AM206" i="1" a="1"/>
  <c r="AM206" i="1" s="1"/>
  <c r="AM207" i="1" a="1"/>
  <c r="AM207" i="1" s="1"/>
  <c r="AN203" i="1" a="1"/>
  <c r="AN203" i="1" s="1"/>
  <c r="AQ195" i="1" a="1"/>
  <c r="AQ195" i="1" s="1"/>
  <c r="AQ193" i="1" a="1"/>
  <c r="AQ193" i="1" s="1"/>
  <c r="AN196" i="1" a="1"/>
  <c r="AN196" i="1" s="1"/>
  <c r="AP207" i="1" a="1"/>
  <c r="AP207" i="1" s="1"/>
  <c r="AQ197" i="1" a="1"/>
  <c r="AQ197" i="1" s="1"/>
  <c r="AQ205" i="1" a="1"/>
  <c r="AQ205" i="1" s="1"/>
  <c r="AO195" i="1" a="1"/>
  <c r="AO195" i="1" s="1"/>
  <c r="AP196" i="1" a="1"/>
  <c r="AP196" i="1" s="1"/>
  <c r="AR205" i="1" a="1"/>
  <c r="AR205" i="1" s="1"/>
  <c r="AQ196" i="1" a="1"/>
  <c r="AQ196" i="1" s="1"/>
  <c r="AO203" i="1" a="1"/>
  <c r="AO203" i="1" s="1"/>
  <c r="AQ194" i="1" a="1"/>
  <c r="AQ194" i="1" s="1"/>
  <c r="AR196" i="1" a="1"/>
  <c r="AR196" i="1" s="1"/>
  <c r="AO197" i="1" a="1"/>
  <c r="AO197" i="1" s="1"/>
  <c r="AP206" i="1" a="1"/>
  <c r="AP206" i="1" s="1"/>
  <c r="AQ207" i="1" a="1"/>
  <c r="AQ207" i="1" s="1"/>
  <c r="AP195" i="1" a="1"/>
  <c r="AP195" i="1" s="1"/>
  <c r="AP193" i="1" a="1"/>
  <c r="AP193" i="1" s="1"/>
  <c r="AN204" i="1" a="1"/>
  <c r="AN204" i="1" s="1"/>
  <c r="AN205" i="1" a="1"/>
  <c r="AN205" i="1" s="1"/>
  <c r="AN206" i="1" a="1"/>
  <c r="AN206" i="1" s="1"/>
  <c r="AN207" i="1" a="1"/>
  <c r="AN207" i="1" s="1"/>
  <c r="AP203" i="1" a="1"/>
  <c r="AP203" i="1" s="1"/>
  <c r="AR195" i="1" a="1"/>
  <c r="AR195" i="1" s="1"/>
  <c r="AR193" i="1" a="1"/>
  <c r="AR193" i="1" s="1"/>
  <c r="AM195" i="1" a="1"/>
  <c r="AM195" i="1" s="1"/>
  <c r="AP205" i="1" a="1"/>
  <c r="AP205" i="1" s="1"/>
  <c r="AP197" i="1" a="1"/>
  <c r="AP197" i="1" s="1"/>
  <c r="AO196" i="1" a="1"/>
  <c r="AO196" i="1" s="1"/>
  <c r="AQ206" i="1" a="1"/>
  <c r="AQ206" i="1" s="1"/>
  <c r="AR204" i="1" a="1"/>
  <c r="AR204" i="1" s="1"/>
  <c r="AO193" i="1" a="1"/>
  <c r="AO193" i="1" s="1"/>
  <c r="AQ203" i="1" a="1"/>
  <c r="AQ203" i="1" s="1"/>
  <c r="AR194" i="1" a="1"/>
  <c r="AR194" i="1" s="1"/>
  <c r="AM197" i="1" a="1"/>
  <c r="AM197" i="1" s="1"/>
  <c r="AM193" i="1" a="1"/>
  <c r="AM193" i="1" s="1"/>
  <c r="AM203" i="1" a="1"/>
  <c r="AM203" i="1" s="1"/>
  <c r="AP204" i="1" a="1"/>
  <c r="AP204" i="1" s="1"/>
  <c r="AN195" i="1" a="1"/>
  <c r="AN195" i="1" s="1"/>
  <c r="AN194" i="1" a="1"/>
  <c r="AN194" i="1" s="1"/>
  <c r="AO194" i="1" a="1"/>
  <c r="AO194" i="1" s="1"/>
  <c r="AR207" i="1" a="1"/>
  <c r="AR207" i="1" s="1"/>
  <c r="AO204" i="1" a="1"/>
  <c r="AO204" i="1" s="1"/>
  <c r="AO205" i="1" a="1"/>
  <c r="AO205" i="1" s="1"/>
  <c r="AO206" i="1" a="1"/>
  <c r="AO206" i="1" s="1"/>
  <c r="AO207" i="1" a="1"/>
  <c r="AO207" i="1" s="1"/>
  <c r="AR203" i="1" a="1"/>
  <c r="AR203" i="1" s="1"/>
  <c r="AM196" i="1" a="1"/>
  <c r="AM196" i="1" s="1"/>
  <c r="AN197" i="1" a="1"/>
  <c r="AN197" i="1" s="1"/>
  <c r="AM194" i="1" a="1"/>
  <c r="AM194" i="1" s="1"/>
  <c r="AQ204" i="1" a="1"/>
  <c r="AQ204" i="1" s="1"/>
  <c r="AR197" i="1" a="1"/>
  <c r="AR197" i="1" s="1"/>
  <c r="AN193" i="1" a="1"/>
  <c r="AN193" i="1" s="1"/>
  <c r="AR206" i="1" a="1"/>
  <c r="AR206" i="1" s="1"/>
  <c r="AP194" i="1" a="1"/>
  <c r="AP194" i="1" s="1"/>
  <c r="AR227" i="1" a="1"/>
  <c r="AR227" i="1" s="1"/>
  <c r="AN227" i="1" a="1"/>
  <c r="AN227" i="1" s="1"/>
  <c r="AO227" i="1" a="1"/>
  <c r="AO227" i="1" s="1"/>
  <c r="AP237" i="1" a="1"/>
  <c r="AP237" i="1" s="1"/>
  <c r="AP227" i="1" a="1"/>
  <c r="AP227" i="1" s="1"/>
  <c r="AO237" i="1" a="1"/>
  <c r="AO237" i="1" s="1"/>
  <c r="AN237" i="1" a="1"/>
  <c r="AN237" i="1" s="1"/>
  <c r="AM227" i="1" a="1"/>
  <c r="AM227" i="1" s="1"/>
  <c r="AR237" i="1" a="1"/>
  <c r="AR237" i="1" s="1"/>
  <c r="AQ237" i="1" a="1"/>
  <c r="AQ237" i="1" s="1"/>
  <c r="AQ227" i="1" a="1"/>
  <c r="AQ227" i="1" s="1"/>
  <c r="AM237" i="1" a="1"/>
  <c r="AM237" i="1" s="1"/>
  <c r="AN192" i="1" a="1"/>
  <c r="AN192" i="1" s="1"/>
  <c r="AQ192" i="1" a="1"/>
  <c r="AQ192" i="1" s="1"/>
  <c r="AP202" i="1" a="1"/>
  <c r="AP202" i="1" s="1"/>
  <c r="AO192" i="1" a="1"/>
  <c r="AO192" i="1" s="1"/>
  <c r="AQ202" i="1" a="1"/>
  <c r="AQ202" i="1" s="1"/>
  <c r="AR202" i="1" a="1"/>
  <c r="AR202" i="1" s="1"/>
  <c r="AM192" i="1" a="1"/>
  <c r="AM192" i="1" s="1"/>
  <c r="AM202" i="1" a="1"/>
  <c r="AM202" i="1" s="1"/>
  <c r="AR192" i="1" a="1"/>
  <c r="AR192" i="1" s="1"/>
  <c r="AO202" i="1" a="1"/>
  <c r="AO202" i="1" s="1"/>
  <c r="AN202" i="1" a="1"/>
  <c r="AN202" i="1" s="1"/>
  <c r="AP192" i="1" a="1"/>
  <c r="AP192" i="1" s="1"/>
  <c r="AM167" i="1" a="1"/>
  <c r="AM167" i="1" s="1"/>
  <c r="AP167" i="1" a="1"/>
  <c r="AP167" i="1" s="1"/>
  <c r="AO167" i="1" a="1"/>
  <c r="AO167" i="1" s="1"/>
  <c r="AR167" i="1" a="1"/>
  <c r="AR167" i="1" s="1"/>
  <c r="AN167" i="1" a="1"/>
  <c r="AN167" i="1" s="1"/>
  <c r="AR157" i="1" a="1"/>
  <c r="AR157" i="1" s="1"/>
  <c r="AN157" i="1" a="1"/>
  <c r="AN157" i="1" s="1"/>
  <c r="AQ157" i="1" a="1"/>
  <c r="AQ157" i="1" s="1"/>
  <c r="AM157" i="1" a="1"/>
  <c r="AM157" i="1" s="1"/>
  <c r="AM169" i="1" a="1"/>
  <c r="AM169" i="1" s="1"/>
  <c r="AN171" i="1" a="1"/>
  <c r="AN171" i="1" s="1"/>
  <c r="AQ168" i="1" a="1"/>
  <c r="AQ168" i="1" s="1"/>
  <c r="AR159" i="1" a="1"/>
  <c r="AR159" i="1" s="1"/>
  <c r="AO162" i="1" a="1"/>
  <c r="AO162" i="1" s="1"/>
  <c r="AQ172" i="1" a="1"/>
  <c r="AQ172" i="1" s="1"/>
  <c r="AP169" i="1" a="1"/>
  <c r="AP169" i="1" s="1"/>
  <c r="AR172" i="1" a="1"/>
  <c r="AR172" i="1" s="1"/>
  <c r="AN168" i="1" a="1"/>
  <c r="AN168" i="1" s="1"/>
  <c r="AP159" i="1" a="1"/>
  <c r="AP159" i="1" s="1"/>
  <c r="AM158" i="1" a="1"/>
  <c r="AM158" i="1" s="1"/>
  <c r="AP168" i="1" a="1"/>
  <c r="AP168" i="1" s="1"/>
  <c r="AQ159" i="1" a="1"/>
  <c r="AQ159" i="1" s="1"/>
  <c r="AN170" i="1" a="1"/>
  <c r="AN170" i="1" s="1"/>
  <c r="AO172" i="1" a="1"/>
  <c r="AO172" i="1" s="1"/>
  <c r="AM161" i="1" a="1"/>
  <c r="AM161" i="1" s="1"/>
  <c r="AP162" i="1" a="1"/>
  <c r="AP162" i="1" s="1"/>
  <c r="AO160" i="1" a="1"/>
  <c r="AO160" i="1" s="1"/>
  <c r="AO159" i="1" a="1"/>
  <c r="AO159" i="1" s="1"/>
  <c r="AR171" i="1" a="1"/>
  <c r="AR171" i="1" s="1"/>
  <c r="AR170" i="1" a="1"/>
  <c r="AR170" i="1" s="1"/>
  <c r="AR161" i="1" a="1"/>
  <c r="AR161" i="1" s="1"/>
  <c r="AM171" i="1" a="1"/>
  <c r="AM171" i="1" s="1"/>
  <c r="AN172" i="1" a="1"/>
  <c r="AN172" i="1" s="1"/>
  <c r="AN162" i="1" a="1"/>
  <c r="AN162" i="1" s="1"/>
  <c r="AN169" i="1" a="1"/>
  <c r="AN169" i="1" s="1"/>
  <c r="AO171" i="1" a="1"/>
  <c r="AO171" i="1" s="1"/>
  <c r="AR168" i="1" a="1"/>
  <c r="AR168" i="1" s="1"/>
  <c r="AM160" i="1" a="1"/>
  <c r="AM160" i="1" s="1"/>
  <c r="AN161" i="1" a="1"/>
  <c r="AN161" i="1" s="1"/>
  <c r="AQ162" i="1" a="1"/>
  <c r="AQ162" i="1" s="1"/>
  <c r="AP170" i="1" a="1"/>
  <c r="AP170" i="1" s="1"/>
  <c r="AO158" i="1" a="1"/>
  <c r="AO158" i="1" s="1"/>
  <c r="AP158" i="1" a="1"/>
  <c r="AP158" i="1" s="1"/>
  <c r="AQ161" i="1" a="1"/>
  <c r="AQ161" i="1" s="1"/>
  <c r="AR158" i="1" a="1"/>
  <c r="AR158" i="1" s="1"/>
  <c r="AO170" i="1" a="1"/>
  <c r="AO170" i="1" s="1"/>
  <c r="AP172" i="1" a="1"/>
  <c r="AP172" i="1" s="1"/>
  <c r="AM168" i="1" a="1"/>
  <c r="AM168" i="1" s="1"/>
  <c r="AN160" i="1" a="1"/>
  <c r="AN160" i="1" s="1"/>
  <c r="AR162" i="1" a="1"/>
  <c r="AR162" i="1" s="1"/>
  <c r="AP161" i="1" a="1"/>
  <c r="AP161" i="1" s="1"/>
  <c r="AQ170" i="1" a="1"/>
  <c r="AQ170" i="1" s="1"/>
  <c r="AQ158" i="1" a="1"/>
  <c r="AQ158" i="1" s="1"/>
  <c r="AM172" i="1" a="1"/>
  <c r="AM172" i="1" s="1"/>
  <c r="AQ160" i="1" a="1"/>
  <c r="AQ160" i="1" s="1"/>
  <c r="AM162" i="1" a="1"/>
  <c r="AM162" i="1" s="1"/>
  <c r="AR160" i="1" a="1"/>
  <c r="AR160" i="1" s="1"/>
  <c r="AO169" i="1" a="1"/>
  <c r="AO169" i="1" s="1"/>
  <c r="AP171" i="1" a="1"/>
  <c r="AP171" i="1" s="1"/>
  <c r="AM159" i="1" a="1"/>
  <c r="AM159" i="1" s="1"/>
  <c r="AO161" i="1" a="1"/>
  <c r="AO161" i="1" s="1"/>
  <c r="AN158" i="1" a="1"/>
  <c r="AN158" i="1" s="1"/>
  <c r="AN159" i="1" a="1"/>
  <c r="AN159" i="1" s="1"/>
  <c r="AQ171" i="1" a="1"/>
  <c r="AQ171" i="1" s="1"/>
  <c r="AP160" i="1" a="1"/>
  <c r="AP160" i="1" s="1"/>
  <c r="AQ169" i="1" a="1"/>
  <c r="AQ169" i="1" s="1"/>
  <c r="AO168" i="1" a="1"/>
  <c r="AO168" i="1" s="1"/>
  <c r="AR169" i="1" a="1"/>
  <c r="AR169" i="1" s="1"/>
  <c r="AM170" i="1" a="1"/>
  <c r="AM170" i="1" s="1"/>
  <c r="AQ167" i="1" a="1"/>
  <c r="AQ167" i="1" s="1"/>
  <c r="AP157" i="1" a="1"/>
  <c r="AP157" i="1" s="1"/>
  <c r="AO157" i="1" a="1"/>
  <c r="AO157" i="1" s="1"/>
  <c r="AM393" i="1" a="1"/>
  <c r="AM393" i="1" s="1"/>
  <c r="AN394" i="1" a="1"/>
  <c r="AN394" i="1" s="1"/>
  <c r="AP62" i="1" a="1"/>
  <c r="AP62" i="1" s="1"/>
  <c r="AM62" i="1" a="1"/>
  <c r="AM62" i="1" s="1"/>
  <c r="AO62" i="1" a="1"/>
  <c r="AO62" i="1" s="1"/>
  <c r="AR52" i="1" a="1"/>
  <c r="AR52" i="1" s="1"/>
  <c r="AN62" i="1" a="1"/>
  <c r="AN62" i="1" s="1"/>
  <c r="AQ52" i="1" a="1"/>
  <c r="AQ52" i="1" s="1"/>
  <c r="AP52" i="1" a="1"/>
  <c r="AP52" i="1" s="1"/>
  <c r="AO52" i="1" a="1"/>
  <c r="AO52" i="1" s="1"/>
  <c r="AM52" i="1" a="1"/>
  <c r="AM52" i="1" s="1"/>
  <c r="AR62" i="1" a="1"/>
  <c r="AR62" i="1" s="1"/>
  <c r="AN52" i="1" a="1"/>
  <c r="AN52" i="1" s="1"/>
  <c r="AQ62" i="1" a="1"/>
  <c r="AQ62" i="1" s="1"/>
  <c r="AM65" i="1" a="1"/>
  <c r="AM65" i="1" s="1"/>
  <c r="AN66" i="1" a="1"/>
  <c r="AN66" i="1" s="1"/>
  <c r="AN54" i="1" a="1"/>
  <c r="AN54" i="1" s="1"/>
  <c r="AO55" i="1" a="1"/>
  <c r="AO55" i="1" s="1"/>
  <c r="AQ57" i="1" a="1"/>
  <c r="AQ57" i="1" s="1"/>
  <c r="AQ66" i="1" a="1"/>
  <c r="AQ66" i="1" s="1"/>
  <c r="AO64" i="1" a="1"/>
  <c r="AO64" i="1" s="1"/>
  <c r="AQ55" i="1" a="1"/>
  <c r="AQ55" i="1" s="1"/>
  <c r="AP53" i="1" a="1"/>
  <c r="AP53" i="1" s="1"/>
  <c r="AO67" i="1" a="1"/>
  <c r="AO67" i="1" s="1"/>
  <c r="AQ54" i="1" a="1"/>
  <c r="AQ54" i="1" s="1"/>
  <c r="AM67" i="1" a="1"/>
  <c r="AM67" i="1" s="1"/>
  <c r="AM64" i="1" a="1"/>
  <c r="AM64" i="1" s="1"/>
  <c r="AN65" i="1" a="1"/>
  <c r="AN65" i="1" s="1"/>
  <c r="AO66" i="1" a="1"/>
  <c r="AO66" i="1" s="1"/>
  <c r="AO54" i="1" a="1"/>
  <c r="AO54" i="1" s="1"/>
  <c r="AP56" i="1" a="1"/>
  <c r="AP56" i="1" s="1"/>
  <c r="AR57" i="1" a="1"/>
  <c r="AR57" i="1" s="1"/>
  <c r="AN67" i="1" a="1"/>
  <c r="AN67" i="1" s="1"/>
  <c r="AP54" i="1" a="1"/>
  <c r="AP54" i="1" s="1"/>
  <c r="AR66" i="1" a="1"/>
  <c r="AR66" i="1" s="1"/>
  <c r="AR56" i="1" a="1"/>
  <c r="AR56" i="1" s="1"/>
  <c r="AN63" i="1" a="1"/>
  <c r="AN63" i="1" s="1"/>
  <c r="AN64" i="1" a="1"/>
  <c r="AN64" i="1" s="1"/>
  <c r="AP66" i="1" a="1"/>
  <c r="AP66" i="1" s="1"/>
  <c r="AP55" i="1" a="1"/>
  <c r="AP55" i="1" s="1"/>
  <c r="AQ56" i="1" a="1"/>
  <c r="AQ56" i="1" s="1"/>
  <c r="AN53" i="1" a="1"/>
  <c r="AN53" i="1" s="1"/>
  <c r="AO65" i="1" a="1"/>
  <c r="AO65" i="1" s="1"/>
  <c r="AO53" i="1" a="1"/>
  <c r="AO53" i="1" s="1"/>
  <c r="AP65" i="1" a="1"/>
  <c r="AP65" i="1" s="1"/>
  <c r="AM57" i="1" a="1"/>
  <c r="AM57" i="1" s="1"/>
  <c r="AO57" i="1" a="1"/>
  <c r="AO57" i="1" s="1"/>
  <c r="AP57" i="1" a="1"/>
  <c r="AP57" i="1" s="1"/>
  <c r="AR67" i="1" a="1"/>
  <c r="AR67" i="1" s="1"/>
  <c r="AP64" i="1" a="1"/>
  <c r="AP64" i="1" s="1"/>
  <c r="AQ53" i="1" a="1"/>
  <c r="AQ53" i="1" s="1"/>
  <c r="AP63" i="1" a="1"/>
  <c r="AP63" i="1" s="1"/>
  <c r="AM56" i="1" a="1"/>
  <c r="AM56" i="1" s="1"/>
  <c r="AR63" i="1" a="1"/>
  <c r="AR63" i="1" s="1"/>
  <c r="AP67" i="1" a="1"/>
  <c r="AP67" i="1" s="1"/>
  <c r="AQ65" i="1" a="1"/>
  <c r="AQ65" i="1" s="1"/>
  <c r="AR54" i="1" a="1"/>
  <c r="AR54" i="1" s="1"/>
  <c r="AN57" i="1" a="1"/>
  <c r="AN57" i="1" s="1"/>
  <c r="AM55" i="1" a="1"/>
  <c r="AM55" i="1" s="1"/>
  <c r="AR55" i="1" a="1"/>
  <c r="AR55" i="1" s="1"/>
  <c r="AR53" i="1" a="1"/>
  <c r="AR53" i="1" s="1"/>
  <c r="AQ63" i="1" a="1"/>
  <c r="AQ63" i="1" s="1"/>
  <c r="AM54" i="1" a="1"/>
  <c r="AM54" i="1" s="1"/>
  <c r="AR65" i="1" a="1"/>
  <c r="AR65" i="1" s="1"/>
  <c r="AN55" i="1" a="1"/>
  <c r="AN55" i="1" s="1"/>
  <c r="AM66" i="1" a="1"/>
  <c r="AM66" i="1" s="1"/>
  <c r="AQ67" i="1" a="1"/>
  <c r="AQ67" i="1" s="1"/>
  <c r="AO63" i="1" a="1"/>
  <c r="AO63" i="1" s="1"/>
  <c r="AQ64" i="1" a="1"/>
  <c r="AQ64" i="1" s="1"/>
  <c r="AM53" i="1" a="1"/>
  <c r="AM53" i="1" s="1"/>
  <c r="AM63" i="1" a="1"/>
  <c r="AM63" i="1" s="1"/>
  <c r="AN56" i="1" a="1"/>
  <c r="AN56" i="1" s="1"/>
  <c r="AR64" i="1" a="1"/>
  <c r="AR64" i="1" s="1"/>
  <c r="AO56" i="1" a="1"/>
  <c r="AO56" i="1" s="1"/>
  <c r="AR122" i="1" a="1"/>
  <c r="AR122" i="1" s="1"/>
  <c r="AO122" i="1" a="1"/>
  <c r="AO122" i="1" s="1"/>
  <c r="AM122" i="1" a="1"/>
  <c r="AM122" i="1" s="1"/>
  <c r="AQ122" i="1" a="1"/>
  <c r="AQ122" i="1" s="1"/>
  <c r="AP122" i="1" a="1"/>
  <c r="AP122" i="1" s="1"/>
  <c r="AN122" i="1" a="1"/>
  <c r="AN122" i="1" s="1"/>
  <c r="AR132" i="1" a="1"/>
  <c r="AR132" i="1" s="1"/>
  <c r="AN132" i="1" a="1"/>
  <c r="AN132" i="1" s="1"/>
  <c r="AM132" i="1" a="1"/>
  <c r="AM132" i="1" s="1"/>
  <c r="AQ132" i="1" a="1"/>
  <c r="AQ132" i="1" s="1"/>
  <c r="AP132" i="1" a="1"/>
  <c r="AP132" i="1" s="1"/>
  <c r="AO132" i="1" a="1"/>
  <c r="AO132" i="1" s="1"/>
  <c r="AO392" i="1" a="1"/>
  <c r="AO392" i="1" s="1"/>
  <c r="AM87" i="1" a="1"/>
  <c r="AM87" i="1" s="1"/>
  <c r="AN97" i="1" a="1"/>
  <c r="AN97" i="1" s="1"/>
  <c r="AR97" i="1" a="1"/>
  <c r="AR97" i="1" s="1"/>
  <c r="AP97" i="1" a="1"/>
  <c r="AP97" i="1" s="1"/>
  <c r="AO97" i="1" a="1"/>
  <c r="AO97" i="1" s="1"/>
  <c r="AQ97" i="1" a="1"/>
  <c r="AQ97" i="1" s="1"/>
  <c r="AO87" i="1" a="1"/>
  <c r="AO87" i="1" s="1"/>
  <c r="AN87" i="1" a="1"/>
  <c r="AN87" i="1" s="1"/>
  <c r="AP87" i="1" a="1"/>
  <c r="AP87" i="1" s="1"/>
  <c r="AM97" i="1" a="1"/>
  <c r="AM97" i="1" s="1"/>
  <c r="AR87" i="1" a="1"/>
  <c r="AR87" i="1" s="1"/>
  <c r="AQ87" i="1" a="1"/>
  <c r="AQ87" i="1" s="1"/>
  <c r="AM102" i="1" a="1"/>
  <c r="AM102" i="1" s="1"/>
  <c r="AM89" i="1" a="1"/>
  <c r="AM89" i="1" s="1"/>
  <c r="AO91" i="1" a="1"/>
  <c r="AO91" i="1" s="1"/>
  <c r="AP92" i="1" a="1"/>
  <c r="AP92" i="1" s="1"/>
  <c r="AM88" i="1" a="1"/>
  <c r="AM88" i="1" s="1"/>
  <c r="AP102" i="1" a="1"/>
  <c r="AP102" i="1" s="1"/>
  <c r="AP90" i="1" a="1"/>
  <c r="AP90" i="1" s="1"/>
  <c r="AQ102" i="1" a="1"/>
  <c r="AQ102" i="1" s="1"/>
  <c r="AN88" i="1" a="1"/>
  <c r="AN88" i="1" s="1"/>
  <c r="AR102" i="1" a="1"/>
  <c r="AR102" i="1" s="1"/>
  <c r="AQ99" i="1" a="1"/>
  <c r="AQ99" i="1" s="1"/>
  <c r="AR100" i="1" a="1"/>
  <c r="AR100" i="1" s="1"/>
  <c r="AN102" i="1" a="1"/>
  <c r="AN102" i="1" s="1"/>
  <c r="AN89" i="1" a="1"/>
  <c r="AN89" i="1" s="1"/>
  <c r="AO90" i="1" a="1"/>
  <c r="AO90" i="1" s="1"/>
  <c r="AQ92" i="1" a="1"/>
  <c r="AQ92" i="1" s="1"/>
  <c r="AR99" i="1" a="1"/>
  <c r="AR99" i="1" s="1"/>
  <c r="AP89" i="1" a="1"/>
  <c r="AP89" i="1" s="1"/>
  <c r="AO101" i="1" a="1"/>
  <c r="AO101" i="1" s="1"/>
  <c r="AO88" i="1" a="1"/>
  <c r="AO88" i="1" s="1"/>
  <c r="AM101" i="1" a="1"/>
  <c r="AM101" i="1" s="1"/>
  <c r="AO102" i="1" a="1"/>
  <c r="AO102" i="1" s="1"/>
  <c r="AO89" i="1" a="1"/>
  <c r="AO89" i="1" s="1"/>
  <c r="AP91" i="1" a="1"/>
  <c r="AP91" i="1" s="1"/>
  <c r="AR92" i="1" a="1"/>
  <c r="AR92" i="1" s="1"/>
  <c r="AN101" i="1" a="1"/>
  <c r="AN101" i="1" s="1"/>
  <c r="AQ91" i="1" a="1"/>
  <c r="AQ91" i="1" s="1"/>
  <c r="AM100" i="1" a="1"/>
  <c r="AM100" i="1" s="1"/>
  <c r="AQ90" i="1" a="1"/>
  <c r="AQ90" i="1" s="1"/>
  <c r="AN100" i="1" a="1"/>
  <c r="AN100" i="1" s="1"/>
  <c r="AN98" i="1" a="1"/>
  <c r="AN98" i="1" s="1"/>
  <c r="AP88" i="1" a="1"/>
  <c r="AP88" i="1" s="1"/>
  <c r="AR88" i="1" a="1"/>
  <c r="AR88" i="1" s="1"/>
  <c r="AM98" i="1" a="1"/>
  <c r="AM98" i="1" s="1"/>
  <c r="AM99" i="1" a="1"/>
  <c r="AM99" i="1" s="1"/>
  <c r="AR91" i="1" a="1"/>
  <c r="AR91" i="1" s="1"/>
  <c r="AM92" i="1" a="1"/>
  <c r="AM92" i="1" s="1"/>
  <c r="AO98" i="1" a="1"/>
  <c r="AO98" i="1" s="1"/>
  <c r="AR90" i="1" a="1"/>
  <c r="AR90" i="1" s="1"/>
  <c r="AN91" i="1" a="1"/>
  <c r="AN91" i="1" s="1"/>
  <c r="AP101" i="1" a="1"/>
  <c r="AP101" i="1" s="1"/>
  <c r="AR89" i="1" a="1"/>
  <c r="AR89" i="1" s="1"/>
  <c r="AM90" i="1" a="1"/>
  <c r="AM90" i="1" s="1"/>
  <c r="AP99" i="1" a="1"/>
  <c r="AP99" i="1" s="1"/>
  <c r="AO100" i="1" a="1"/>
  <c r="AO100" i="1" s="1"/>
  <c r="AP98" i="1" a="1"/>
  <c r="AP98" i="1" s="1"/>
  <c r="AQ88" i="1" a="1"/>
  <c r="AQ88" i="1" s="1"/>
  <c r="AR98" i="1" a="1"/>
  <c r="AR98" i="1" s="1"/>
  <c r="AQ100" i="1" a="1"/>
  <c r="AQ100" i="1" s="1"/>
  <c r="AQ89" i="1" a="1"/>
  <c r="AQ89" i="1" s="1"/>
  <c r="AP100" i="1" a="1"/>
  <c r="AP100" i="1" s="1"/>
  <c r="AQ98" i="1" a="1"/>
  <c r="AQ98" i="1" s="1"/>
  <c r="AM91" i="1" a="1"/>
  <c r="AM91" i="1" s="1"/>
  <c r="AN99" i="1" a="1"/>
  <c r="AN99" i="1" s="1"/>
  <c r="AQ101" i="1" a="1"/>
  <c r="AQ101" i="1" s="1"/>
  <c r="AN92" i="1" a="1"/>
  <c r="AN92" i="1" s="1"/>
  <c r="AR101" i="1" a="1"/>
  <c r="AR101" i="1" s="1"/>
  <c r="AN90" i="1" a="1"/>
  <c r="AN90" i="1" s="1"/>
  <c r="AO99" i="1" a="1"/>
  <c r="AO99" i="1" s="1"/>
  <c r="AO92" i="1" a="1"/>
  <c r="AO92" i="1" s="1"/>
  <c r="AM134" i="1" a="1"/>
  <c r="AM134" i="1" s="1"/>
  <c r="AN135" i="1" a="1"/>
  <c r="AN135" i="1" s="1"/>
  <c r="AQ137" i="1" a="1"/>
  <c r="AQ137" i="1" s="1"/>
  <c r="AR133" i="1" a="1"/>
  <c r="AR133" i="1" s="1"/>
  <c r="AM127" i="1" a="1"/>
  <c r="AM127" i="1" s="1"/>
  <c r="AP123" i="1" a="1"/>
  <c r="AP123" i="1" s="1"/>
  <c r="AP113" i="1" a="1"/>
  <c r="AP113" i="1" s="1"/>
  <c r="AR124" i="1" a="1"/>
  <c r="AR124" i="1" s="1"/>
  <c r="AP135" i="1" a="1"/>
  <c r="AP135" i="1" s="1"/>
  <c r="AP127" i="1" a="1"/>
  <c r="AP127" i="1" s="1"/>
  <c r="AM113" i="1" a="1"/>
  <c r="AM113" i="1" s="1"/>
  <c r="AN134" i="1" a="1"/>
  <c r="AN134" i="1" s="1"/>
  <c r="AO136" i="1" a="1"/>
  <c r="AO136" i="1" s="1"/>
  <c r="AQ124" i="1" a="1"/>
  <c r="AQ124" i="1" s="1"/>
  <c r="AR125" i="1" a="1"/>
  <c r="AR125" i="1" s="1"/>
  <c r="AN127" i="1" a="1"/>
  <c r="AN127" i="1" s="1"/>
  <c r="AO134" i="1" a="1"/>
  <c r="AO134" i="1" s="1"/>
  <c r="AN133" i="1" a="1"/>
  <c r="AN133" i="1" s="1"/>
  <c r="AM123" i="1" a="1"/>
  <c r="AM123" i="1" s="1"/>
  <c r="AR123" i="1" a="1"/>
  <c r="AR123" i="1" s="1"/>
  <c r="AP134" i="1" a="1"/>
  <c r="AP134" i="1" s="1"/>
  <c r="AQ127" i="1" a="1"/>
  <c r="AQ127" i="1" s="1"/>
  <c r="AO135" i="1" a="1"/>
  <c r="AO135" i="1" s="1"/>
  <c r="AP136" i="1" a="1"/>
  <c r="AP136" i="1" s="1"/>
  <c r="AR137" i="1" a="1"/>
  <c r="AR137" i="1" s="1"/>
  <c r="AM133" i="1" a="1"/>
  <c r="AM133" i="1" s="1"/>
  <c r="AO127" i="1" a="1"/>
  <c r="AO127" i="1" s="1"/>
  <c r="AQ123" i="1" a="1"/>
  <c r="AQ123" i="1" s="1"/>
  <c r="AM126" i="1" a="1"/>
  <c r="AM126" i="1" s="1"/>
  <c r="AQ136" i="1" a="1"/>
  <c r="AQ136" i="1" s="1"/>
  <c r="AN126" i="1" a="1"/>
  <c r="AN126" i="1" s="1"/>
  <c r="AM125" i="1" a="1"/>
  <c r="AM125" i="1" s="1"/>
  <c r="AR136" i="1" a="1"/>
  <c r="AR136" i="1" s="1"/>
  <c r="AM124" i="1" a="1"/>
  <c r="AM124" i="1" s="1"/>
  <c r="AO126" i="1" a="1"/>
  <c r="AO126" i="1" s="1"/>
  <c r="AM135" i="1" a="1"/>
  <c r="AM135" i="1" s="1"/>
  <c r="AP124" i="1" a="1"/>
  <c r="AP124" i="1" s="1"/>
  <c r="AQ135" i="1" a="1"/>
  <c r="AQ135" i="1" s="1"/>
  <c r="AR127" i="1" a="1"/>
  <c r="AR127" i="1" s="1"/>
  <c r="AP133" i="1" a="1"/>
  <c r="AP133" i="1" s="1"/>
  <c r="AP125" i="1" a="1"/>
  <c r="AP125" i="1" s="1"/>
  <c r="AQ133" i="1" a="1"/>
  <c r="AQ133" i="1" s="1"/>
  <c r="AQ125" i="1" a="1"/>
  <c r="AQ125" i="1" s="1"/>
  <c r="AQ134" i="1" a="1"/>
  <c r="AQ134" i="1" s="1"/>
  <c r="AN124" i="1" a="1"/>
  <c r="AN124" i="1" s="1"/>
  <c r="AQ126" i="1" a="1"/>
  <c r="AQ126" i="1" s="1"/>
  <c r="AM136" i="1" a="1"/>
  <c r="AM136" i="1" s="1"/>
  <c r="AM137" i="1" a="1"/>
  <c r="AM137" i="1" s="1"/>
  <c r="AP126" i="1" a="1"/>
  <c r="AP126" i="1" s="1"/>
  <c r="AO137" i="1" a="1"/>
  <c r="AO137" i="1" s="1"/>
  <c r="AP137" i="1" a="1"/>
  <c r="AP137" i="1" s="1"/>
  <c r="AR126" i="1" a="1"/>
  <c r="AR126" i="1" s="1"/>
  <c r="AO133" i="1" a="1"/>
  <c r="AO133" i="1" s="1"/>
  <c r="AN125" i="1" a="1"/>
  <c r="AN125" i="1" s="1"/>
  <c r="AR134" i="1" a="1"/>
  <c r="AR134" i="1" s="1"/>
  <c r="AN137" i="1" a="1"/>
  <c r="AN137" i="1" s="1"/>
  <c r="AO124" i="1" a="1"/>
  <c r="AO124" i="1" s="1"/>
  <c r="AR135" i="1" a="1"/>
  <c r="AR135" i="1" s="1"/>
  <c r="AO125" i="1" a="1"/>
  <c r="AO125" i="1" s="1"/>
  <c r="AN123" i="1" a="1"/>
  <c r="AN123" i="1" s="1"/>
  <c r="AO123" i="1" a="1"/>
  <c r="AO123" i="1" s="1"/>
  <c r="AN136" i="1" a="1"/>
  <c r="AN136" i="1" s="1"/>
  <c r="AO395" i="1" a="1"/>
  <c r="AO395" i="1" s="1"/>
  <c r="AM394" i="1" a="1"/>
  <c r="AM394" i="1" s="1"/>
  <c r="AM322" i="1" a="1"/>
  <c r="AM322" i="1" s="1"/>
  <c r="AR221" i="1" a="1"/>
  <c r="AR221" i="1" s="1"/>
  <c r="AM357" i="1" a="1"/>
  <c r="AM357" i="1" s="1"/>
  <c r="AP392" i="1" a="1"/>
  <c r="AP392" i="1" s="1"/>
  <c r="AP395" i="1" a="1"/>
  <c r="AP395" i="1" s="1"/>
  <c r="AM397" i="1" a="1"/>
  <c r="AM397" i="1" s="1"/>
  <c r="AQ394" i="1" a="1"/>
  <c r="AQ394" i="1" s="1"/>
  <c r="AO397" i="1" a="1"/>
  <c r="AO397" i="1" s="1"/>
  <c r="AP396" i="1" a="1"/>
  <c r="AP396" i="1" s="1"/>
  <c r="AO394" i="1" a="1"/>
  <c r="AO394" i="1" s="1"/>
  <c r="AR397" i="1" a="1"/>
  <c r="AR397" i="1" s="1"/>
  <c r="AQ392" i="1" a="1"/>
  <c r="AQ392" i="1" s="1"/>
  <c r="AR395" i="1" a="1"/>
  <c r="AR395" i="1" s="1"/>
  <c r="AQ393" i="1" a="1"/>
  <c r="AQ393" i="1" s="1"/>
  <c r="AQ397" i="1" a="1"/>
  <c r="AQ397" i="1" s="1"/>
  <c r="AM392" i="1" a="1"/>
  <c r="AM392" i="1" s="1"/>
  <c r="AR393" i="1" a="1"/>
  <c r="AR393" i="1" s="1"/>
  <c r="AN392" i="1" a="1"/>
  <c r="AN392" i="1" s="1"/>
  <c r="AQ395" i="1" a="1"/>
  <c r="AQ395" i="1" s="1"/>
  <c r="AP394" i="1" a="1"/>
  <c r="AP394" i="1" s="1"/>
  <c r="AQ151" i="1" a="1"/>
  <c r="AQ151" i="1" s="1"/>
  <c r="AM396" i="1" a="1"/>
  <c r="AM396" i="1" s="1"/>
  <c r="AP393" i="1" a="1"/>
  <c r="AP393" i="1" s="1"/>
  <c r="AR392" i="1" a="1"/>
  <c r="AR392" i="1" s="1"/>
  <c r="AP357" i="1" a="1"/>
  <c r="AP357" i="1" s="1"/>
  <c r="AO393" i="1" a="1"/>
  <c r="AO393" i="1" s="1"/>
  <c r="AR394" i="1" a="1"/>
  <c r="AR394" i="1" s="1"/>
  <c r="AQ396" i="1" a="1"/>
  <c r="AQ396" i="1" s="1"/>
  <c r="AN397" i="1" a="1"/>
  <c r="AN397" i="1" s="1"/>
  <c r="AQ357" i="1" a="1"/>
  <c r="AQ357" i="1" s="1"/>
  <c r="AM395" i="1" a="1"/>
  <c r="AM395" i="1" s="1"/>
  <c r="AP397" i="1" a="1"/>
  <c r="AP397" i="1" s="1"/>
  <c r="AO396" i="1" a="1"/>
  <c r="AO396" i="1" s="1"/>
  <c r="AQ222" i="1" a="1"/>
  <c r="AQ222" i="1" s="1"/>
  <c r="AN395" i="1" a="1"/>
  <c r="AN395" i="1" s="1"/>
  <c r="AN396" i="1" a="1"/>
  <c r="AN396" i="1" s="1"/>
  <c r="AR396" i="1" a="1"/>
  <c r="AR396" i="1" s="1"/>
  <c r="AN393" i="1" a="1"/>
  <c r="AN393" i="1" s="1"/>
  <c r="AP253" i="1" a="1"/>
  <c r="AP253" i="1" s="1"/>
  <c r="AR290" i="1" a="1"/>
  <c r="AR290" i="1" s="1"/>
  <c r="AP322" i="1" a="1"/>
  <c r="AP322" i="1" s="1"/>
  <c r="AO322" i="1" a="1"/>
  <c r="AO322" i="1" s="1"/>
  <c r="AO357" i="1" a="1"/>
  <c r="AO357" i="1" s="1"/>
  <c r="AR357" i="1" a="1"/>
  <c r="AR357" i="1" s="1"/>
  <c r="AO187" i="1" a="1"/>
  <c r="AO187" i="1" s="1"/>
  <c r="AR288" i="1" a="1"/>
  <c r="AR288" i="1" s="1"/>
  <c r="AM359" i="1" a="1"/>
  <c r="AM359" i="1" s="1"/>
  <c r="AQ361" i="1" a="1"/>
  <c r="AQ361" i="1" s="1"/>
  <c r="AM362" i="1" a="1"/>
  <c r="AM362" i="1" s="1"/>
  <c r="AR360" i="1" a="1"/>
  <c r="AR360" i="1" s="1"/>
  <c r="AM361" i="1" a="1"/>
  <c r="AM361" i="1" s="1"/>
  <c r="AO361" i="1" a="1"/>
  <c r="AO361" i="1" s="1"/>
  <c r="AP361" i="1" a="1"/>
  <c r="AP361" i="1" s="1"/>
  <c r="AN359" i="1" a="1"/>
  <c r="AN359" i="1" s="1"/>
  <c r="AP360" i="1" a="1"/>
  <c r="AP360" i="1" s="1"/>
  <c r="AO358" i="1" a="1"/>
  <c r="AO358" i="1" s="1"/>
  <c r="AP358" i="1" a="1"/>
  <c r="AP358" i="1" s="1"/>
  <c r="AP359" i="1" a="1"/>
  <c r="AP359" i="1" s="1"/>
  <c r="AQ359" i="1" a="1"/>
  <c r="AQ359" i="1" s="1"/>
  <c r="AN361" i="1" a="1"/>
  <c r="AN361" i="1" s="1"/>
  <c r="AR359" i="1" a="1"/>
  <c r="AR359" i="1" s="1"/>
  <c r="AM358" i="1" a="1"/>
  <c r="AM358" i="1" s="1"/>
  <c r="AN360" i="1" a="1"/>
  <c r="AN360" i="1" s="1"/>
  <c r="AN358" i="1" a="1"/>
  <c r="AN358" i="1" s="1"/>
  <c r="AO359" i="1" a="1"/>
  <c r="AO359" i="1" s="1"/>
  <c r="AR361" i="1" a="1"/>
  <c r="AR361" i="1" s="1"/>
  <c r="AQ360" i="1" a="1"/>
  <c r="AQ360" i="1" s="1"/>
  <c r="AN362" i="1" a="1"/>
  <c r="AN362" i="1" s="1"/>
  <c r="AO362" i="1" a="1"/>
  <c r="AO362" i="1" s="1"/>
  <c r="AP362" i="1" a="1"/>
  <c r="AP362" i="1" s="1"/>
  <c r="AR358" i="1" a="1"/>
  <c r="AR358" i="1" s="1"/>
  <c r="AQ362" i="1" a="1"/>
  <c r="AQ362" i="1" s="1"/>
  <c r="AM360" i="1" a="1"/>
  <c r="AM360" i="1" s="1"/>
  <c r="AR362" i="1" a="1"/>
  <c r="AR362" i="1" s="1"/>
  <c r="AQ358" i="1" a="1"/>
  <c r="AQ358" i="1" s="1"/>
  <c r="AO360" i="1" a="1"/>
  <c r="AO360" i="1" s="1"/>
  <c r="AN357" i="1" a="1"/>
  <c r="AN357" i="1" s="1"/>
  <c r="AQ220" i="1" a="1"/>
  <c r="AQ220" i="1" s="1"/>
  <c r="AM253" i="1" a="1"/>
  <c r="AM253" i="1" s="1"/>
  <c r="AM252" i="1" a="1"/>
  <c r="AM252" i="1" s="1"/>
  <c r="AR152" i="1" a="1"/>
  <c r="AR152" i="1" s="1"/>
  <c r="AQ289" i="1" a="1"/>
  <c r="AQ289" i="1" s="1"/>
  <c r="AQ152" i="1" a="1"/>
  <c r="AQ152" i="1" s="1"/>
  <c r="AR151" i="1" a="1"/>
  <c r="AR151" i="1" s="1"/>
  <c r="AQ255" i="1" a="1"/>
  <c r="AQ255" i="1" s="1"/>
  <c r="AM288" i="1" a="1"/>
  <c r="AM288" i="1" s="1"/>
  <c r="AN218" i="1" a="1"/>
  <c r="AN218" i="1" s="1"/>
  <c r="AQ150" i="1" a="1"/>
  <c r="AQ150" i="1" s="1"/>
  <c r="AO222" i="1" a="1"/>
  <c r="AO222" i="1" s="1"/>
  <c r="AM152" i="1" a="1"/>
  <c r="AM152" i="1" s="1"/>
  <c r="AP150" i="1" a="1"/>
  <c r="AP150" i="1" s="1"/>
  <c r="AQ256" i="1" a="1"/>
  <c r="AQ256" i="1" s="1"/>
  <c r="AO217" i="1" a="1"/>
  <c r="AO217" i="1" s="1"/>
  <c r="AN149" i="1" a="1"/>
  <c r="AN149" i="1" s="1"/>
  <c r="AM147" i="1" a="1"/>
  <c r="AM147" i="1" s="1"/>
  <c r="AP148" i="1" a="1"/>
  <c r="AP148" i="1" s="1"/>
  <c r="AN152" i="1" a="1"/>
  <c r="AN152" i="1" s="1"/>
  <c r="AO221" i="1" a="1"/>
  <c r="AO221" i="1" s="1"/>
  <c r="AM42" i="1" a="1"/>
  <c r="AM42" i="1" s="1"/>
  <c r="AP287" i="1" a="1"/>
  <c r="AP287" i="1" s="1"/>
  <c r="AQ149" i="1" a="1"/>
  <c r="AQ149" i="1" s="1"/>
  <c r="AR322" i="1" a="1"/>
  <c r="AR322" i="1" s="1"/>
  <c r="AP252" i="1" a="1"/>
  <c r="AP252" i="1" s="1"/>
  <c r="AN292" i="1" a="1"/>
  <c r="AN292" i="1" s="1"/>
  <c r="AM289" i="1" a="1"/>
  <c r="AM289" i="1" s="1"/>
  <c r="AO151" i="1" a="1"/>
  <c r="AO151" i="1" s="1"/>
  <c r="AN183" i="1" a="1"/>
  <c r="AN183" i="1" s="1"/>
  <c r="AO288" i="1" a="1"/>
  <c r="AO288" i="1" s="1"/>
  <c r="AR42" i="1" a="1"/>
  <c r="AR42" i="1" s="1"/>
  <c r="AM290" i="1" a="1"/>
  <c r="AM290" i="1" s="1"/>
  <c r="AQ292" i="1" a="1"/>
  <c r="AQ292" i="1" s="1"/>
  <c r="AP291" i="1" a="1"/>
  <c r="AP291" i="1" s="1"/>
  <c r="AP255" i="1" a="1"/>
  <c r="AP255" i="1" s="1"/>
  <c r="AO254" i="1" a="1"/>
  <c r="AO254" i="1" s="1"/>
  <c r="AN288" i="1" a="1"/>
  <c r="AN288" i="1" s="1"/>
  <c r="AO147" i="1" a="1"/>
  <c r="AO147" i="1" s="1"/>
  <c r="AP221" i="1" a="1"/>
  <c r="AP221" i="1" s="1"/>
  <c r="AM222" i="1" a="1"/>
  <c r="AM222" i="1" s="1"/>
  <c r="AN112" i="1" a="1"/>
  <c r="AN112" i="1" s="1"/>
  <c r="AO112" i="1" a="1"/>
  <c r="AO112" i="1" s="1"/>
  <c r="AR112" i="1" a="1"/>
  <c r="AR112" i="1" s="1"/>
  <c r="AM112" i="1" a="1"/>
  <c r="AM112" i="1" s="1"/>
  <c r="AP112" i="1" a="1"/>
  <c r="AP112" i="1" s="1"/>
  <c r="AQ112" i="1" a="1"/>
  <c r="AQ112" i="1" s="1"/>
  <c r="AP42" i="1" a="1"/>
  <c r="AP42" i="1" s="1"/>
  <c r="AR289" i="1" a="1"/>
  <c r="AR289" i="1" s="1"/>
  <c r="AQ287" i="1" a="1"/>
  <c r="AQ287" i="1" s="1"/>
  <c r="AP219" i="1" a="1"/>
  <c r="AP219" i="1" s="1"/>
  <c r="AQ148" i="1" a="1"/>
  <c r="AQ148" i="1" s="1"/>
  <c r="AN253" i="1" a="1"/>
  <c r="AN253" i="1" s="1"/>
  <c r="AR148" i="1" a="1"/>
  <c r="AR148" i="1" s="1"/>
  <c r="AQ253" i="1" a="1"/>
  <c r="AQ253" i="1" s="1"/>
  <c r="AP151" i="1" a="1"/>
  <c r="AP151" i="1" s="1"/>
  <c r="AN148" i="1" a="1"/>
  <c r="AN148" i="1" s="1"/>
  <c r="AO183" i="1" a="1"/>
  <c r="AO183" i="1" s="1"/>
  <c r="AM184" i="1" a="1"/>
  <c r="AM184" i="1" s="1"/>
  <c r="AQ254" i="1" a="1"/>
  <c r="AQ254" i="1" s="1"/>
  <c r="AM219" i="1" a="1"/>
  <c r="AM219" i="1" s="1"/>
  <c r="AN220" i="1" a="1"/>
  <c r="AN220" i="1" s="1"/>
  <c r="AR219" i="1" a="1"/>
  <c r="AR219" i="1" s="1"/>
  <c r="AP290" i="1" a="1"/>
  <c r="AP290" i="1" s="1"/>
  <c r="AN256" i="1" a="1"/>
  <c r="AN256" i="1" s="1"/>
  <c r="AN185" i="1" a="1"/>
  <c r="AN185" i="1" s="1"/>
  <c r="AO219" i="1" a="1"/>
  <c r="AO219" i="1" s="1"/>
  <c r="AQ43" i="1" a="1"/>
  <c r="AQ43" i="1" s="1"/>
  <c r="AO44" i="1" a="1"/>
  <c r="AO44" i="1" s="1"/>
  <c r="AP45" i="1" a="1"/>
  <c r="AP45" i="1" s="1"/>
  <c r="AQ47" i="1" a="1"/>
  <c r="AQ47" i="1" s="1"/>
  <c r="AM43" i="1" a="1"/>
  <c r="AM43" i="1" s="1"/>
  <c r="AP44" i="1" a="1"/>
  <c r="AP44" i="1" s="1"/>
  <c r="AQ46" i="1" a="1"/>
  <c r="AQ46" i="1" s="1"/>
  <c r="AQ45" i="1" a="1"/>
  <c r="AQ45" i="1" s="1"/>
  <c r="AR47" i="1" a="1"/>
  <c r="AR47" i="1" s="1"/>
  <c r="AN43" i="1" a="1"/>
  <c r="AN43" i="1" s="1"/>
  <c r="AQ44" i="1" a="1"/>
  <c r="AQ44" i="1" s="1"/>
  <c r="AR46" i="1" a="1"/>
  <c r="AR46" i="1" s="1"/>
  <c r="AR45" i="1" a="1"/>
  <c r="AR45" i="1" s="1"/>
  <c r="AO45" i="1" a="1"/>
  <c r="AO45" i="1" s="1"/>
  <c r="AO47" i="1" a="1"/>
  <c r="AO47" i="1" s="1"/>
  <c r="AN46" i="1" a="1"/>
  <c r="AN46" i="1" s="1"/>
  <c r="AP43" i="1" a="1"/>
  <c r="AP43" i="1" s="1"/>
  <c r="AR44" i="1" a="1"/>
  <c r="AR44" i="1" s="1"/>
  <c r="AP47" i="1" a="1"/>
  <c r="AP47" i="1" s="1"/>
  <c r="AM44" i="1" a="1"/>
  <c r="AM44" i="1" s="1"/>
  <c r="AM46" i="1" a="1"/>
  <c r="AM46" i="1" s="1"/>
  <c r="AO46" i="1" a="1"/>
  <c r="AO46" i="1" s="1"/>
  <c r="AO43" i="1" a="1"/>
  <c r="AO43" i="1" s="1"/>
  <c r="AN44" i="1" a="1"/>
  <c r="AN44" i="1" s="1"/>
  <c r="AR43" i="1" a="1"/>
  <c r="AR43" i="1" s="1"/>
  <c r="AN47" i="1" a="1"/>
  <c r="AN47" i="1" s="1"/>
  <c r="AN45" i="1" a="1"/>
  <c r="AN45" i="1" s="1"/>
  <c r="AP46" i="1" a="1"/>
  <c r="AP46" i="1" s="1"/>
  <c r="AM45" i="1" a="1"/>
  <c r="AM45" i="1" s="1"/>
  <c r="AM47" i="1" a="1"/>
  <c r="AM47" i="1" s="1"/>
  <c r="AQ217" i="1" a="1"/>
  <c r="AQ217" i="1" s="1"/>
  <c r="AO42" i="1" a="1"/>
  <c r="AO42" i="1" s="1"/>
  <c r="AM292" i="1" a="1"/>
  <c r="AM292" i="1" s="1"/>
  <c r="AP288" i="1" a="1"/>
  <c r="AP288" i="1" s="1"/>
  <c r="AQ182" i="1" a="1"/>
  <c r="AQ182" i="1" s="1"/>
  <c r="AP182" i="1" a="1"/>
  <c r="AP182" i="1" s="1"/>
  <c r="AM151" i="1" a="1"/>
  <c r="AM151" i="1" s="1"/>
  <c r="AR149" i="1" a="1"/>
  <c r="AR149" i="1" s="1"/>
  <c r="AN186" i="1" a="1"/>
  <c r="AN186" i="1" s="1"/>
  <c r="AM187" i="1" a="1"/>
  <c r="AM187" i="1" s="1"/>
  <c r="AR220" i="1" a="1"/>
  <c r="AR220" i="1" s="1"/>
  <c r="AQ288" i="1" a="1"/>
  <c r="AQ288" i="1" s="1"/>
  <c r="AN291" i="1" a="1"/>
  <c r="AN291" i="1" s="1"/>
  <c r="AP289" i="1" a="1"/>
  <c r="AP289" i="1" s="1"/>
  <c r="AO152" i="1" a="1"/>
  <c r="AO152" i="1" s="1"/>
  <c r="AO150" i="1" a="1"/>
  <c r="AO150" i="1" s="1"/>
  <c r="AN287" i="1" a="1"/>
  <c r="AN287" i="1" s="1"/>
  <c r="AN254" i="1" a="1"/>
  <c r="AN254" i="1" s="1"/>
  <c r="AM150" i="1" a="1"/>
  <c r="AM150" i="1" s="1"/>
  <c r="AR150" i="1" a="1"/>
  <c r="AR150" i="1" s="1"/>
  <c r="AM148" i="1" a="1"/>
  <c r="AM148" i="1" s="1"/>
  <c r="AM186" i="1" a="1"/>
  <c r="AM186" i="1" s="1"/>
  <c r="AP183" i="1" a="1"/>
  <c r="AP183" i="1" s="1"/>
  <c r="AQ218" i="1" a="1"/>
  <c r="AQ218" i="1" s="1"/>
  <c r="AQ221" i="1" a="1"/>
  <c r="AQ221" i="1" s="1"/>
  <c r="AP186" i="1" a="1"/>
  <c r="AP186" i="1" s="1"/>
  <c r="AR184" i="1" a="1"/>
  <c r="AR184" i="1" s="1"/>
  <c r="AM183" i="1" a="1"/>
  <c r="AM183" i="1" s="1"/>
  <c r="AN289" i="1" a="1"/>
  <c r="AN289" i="1" s="1"/>
  <c r="AO290" i="1" a="1"/>
  <c r="AO290" i="1" s="1"/>
  <c r="AQ187" i="1" a="1"/>
  <c r="AQ187" i="1" s="1"/>
  <c r="AO291" i="1" a="1"/>
  <c r="AO291" i="1" s="1"/>
  <c r="AQ42" i="1" a="1"/>
  <c r="AQ42" i="1" s="1"/>
  <c r="AO255" i="1" a="1"/>
  <c r="AO255" i="1" s="1"/>
  <c r="AO292" i="1" a="1"/>
  <c r="AO292" i="1" s="1"/>
  <c r="AR291" i="1" a="1"/>
  <c r="AR291" i="1" s="1"/>
  <c r="AR257" i="1" a="1"/>
  <c r="AR257" i="1" s="1"/>
  <c r="AP257" i="1" a="1"/>
  <c r="AP257" i="1" s="1"/>
  <c r="AM254" i="1" a="1"/>
  <c r="AM254" i="1" s="1"/>
  <c r="AN150" i="1" a="1"/>
  <c r="AN150" i="1" s="1"/>
  <c r="AM185" i="1" a="1"/>
  <c r="AM185" i="1" s="1"/>
  <c r="AR185" i="1" a="1"/>
  <c r="AR185" i="1" s="1"/>
  <c r="AP218" i="1" a="1"/>
  <c r="AP218" i="1" s="1"/>
  <c r="AQ219" i="1" a="1"/>
  <c r="AQ219" i="1" s="1"/>
  <c r="AR254" i="1" a="1"/>
  <c r="AR254" i="1" s="1"/>
  <c r="AQ257" i="1" a="1"/>
  <c r="AQ257" i="1" s="1"/>
  <c r="AN255" i="1" a="1"/>
  <c r="AN255" i="1" s="1"/>
  <c r="AR256" i="1" a="1"/>
  <c r="AR256" i="1" s="1"/>
  <c r="AM149" i="1" a="1"/>
  <c r="AM149" i="1" s="1"/>
  <c r="AO257" i="1" a="1"/>
  <c r="AO257" i="1" s="1"/>
  <c r="AO185" i="1" a="1"/>
  <c r="AO185" i="1" s="1"/>
  <c r="AN257" i="1" a="1"/>
  <c r="AN257" i="1" s="1"/>
  <c r="AP152" i="1" a="1"/>
  <c r="AP152" i="1" s="1"/>
  <c r="AO149" i="1" a="1"/>
  <c r="AO149" i="1" s="1"/>
  <c r="AP187" i="1" a="1"/>
  <c r="AP187" i="1" s="1"/>
  <c r="AR186" i="1" a="1"/>
  <c r="AR186" i="1" s="1"/>
  <c r="AR147" i="1" a="1"/>
  <c r="AR147" i="1" s="1"/>
  <c r="AR218" i="1" a="1"/>
  <c r="AR218" i="1" s="1"/>
  <c r="AN221" i="1" a="1"/>
  <c r="AN221" i="1" s="1"/>
  <c r="AQ186" i="1" a="1"/>
  <c r="AQ186" i="1" s="1"/>
  <c r="AN290" i="1" a="1"/>
  <c r="AN290" i="1" s="1"/>
  <c r="AP292" i="1" a="1"/>
  <c r="AP292" i="1" s="1"/>
  <c r="AQ290" i="1" a="1"/>
  <c r="AQ290" i="1" s="1"/>
  <c r="AM324" i="1" a="1"/>
  <c r="AM324" i="1" s="1"/>
  <c r="AN325" i="1" a="1"/>
  <c r="AN325" i="1" s="1"/>
  <c r="AO327" i="1" a="1"/>
  <c r="AO327" i="1" s="1"/>
  <c r="AP323" i="1" a="1"/>
  <c r="AP323" i="1" s="1"/>
  <c r="AN324" i="1" a="1"/>
  <c r="AN324" i="1" s="1"/>
  <c r="AO326" i="1" a="1"/>
  <c r="AO326" i="1" s="1"/>
  <c r="AO325" i="1" a="1"/>
  <c r="AO325" i="1" s="1"/>
  <c r="AP327" i="1" a="1"/>
  <c r="AP327" i="1" s="1"/>
  <c r="AQ323" i="1" a="1"/>
  <c r="AQ323" i="1" s="1"/>
  <c r="AO324" i="1" a="1"/>
  <c r="AO324" i="1" s="1"/>
  <c r="AQ325" i="1" a="1"/>
  <c r="AQ325" i="1" s="1"/>
  <c r="AM327" i="1" a="1"/>
  <c r="AM327" i="1" s="1"/>
  <c r="AM326" i="1" a="1"/>
  <c r="AM326" i="1" s="1"/>
  <c r="AN327" i="1" a="1"/>
  <c r="AN327" i="1" s="1"/>
  <c r="AR323" i="1" a="1"/>
  <c r="AR323" i="1" s="1"/>
  <c r="AQ327" i="1" a="1"/>
  <c r="AQ327" i="1" s="1"/>
  <c r="AP324" i="1" a="1"/>
  <c r="AP324" i="1" s="1"/>
  <c r="AR325" i="1" a="1"/>
  <c r="AR325" i="1" s="1"/>
  <c r="AQ324" i="1" a="1"/>
  <c r="AQ324" i="1" s="1"/>
  <c r="AM323" i="1" a="1"/>
  <c r="AM323" i="1" s="1"/>
  <c r="AR326" i="1" a="1"/>
  <c r="AR326" i="1" s="1"/>
  <c r="AR324" i="1" a="1"/>
  <c r="AR324" i="1" s="1"/>
  <c r="AO323" i="1" a="1"/>
  <c r="AO323" i="1" s="1"/>
  <c r="AM325" i="1" a="1"/>
  <c r="AM325" i="1" s="1"/>
  <c r="AR327" i="1" a="1"/>
  <c r="AR327" i="1" s="1"/>
  <c r="AN323" i="1" a="1"/>
  <c r="AN323" i="1" s="1"/>
  <c r="AP325" i="1" a="1"/>
  <c r="AP325" i="1" s="1"/>
  <c r="AN326" i="1" a="1"/>
  <c r="AN326" i="1" s="1"/>
  <c r="AP326" i="1" a="1"/>
  <c r="AP326" i="1" s="1"/>
  <c r="AQ326" i="1" a="1"/>
  <c r="AQ326" i="1" s="1"/>
  <c r="AR217" i="1" a="1"/>
  <c r="AR217" i="1" s="1"/>
  <c r="AN217" i="1" a="1"/>
  <c r="AN217" i="1" s="1"/>
  <c r="AM182" i="1" a="1"/>
  <c r="AM182" i="1" s="1"/>
  <c r="AP254" i="1" a="1"/>
  <c r="AP254" i="1" s="1"/>
  <c r="AM255" i="1" a="1"/>
  <c r="AM255" i="1" s="1"/>
  <c r="AN151" i="1" a="1"/>
  <c r="AN151" i="1" s="1"/>
  <c r="AQ322" i="1" a="1"/>
  <c r="AQ322" i="1" s="1"/>
  <c r="AP256" i="1" a="1"/>
  <c r="AP256" i="1" s="1"/>
  <c r="AQ183" i="1" a="1"/>
  <c r="AQ183" i="1" s="1"/>
  <c r="AQ184" i="1" a="1"/>
  <c r="AQ184" i="1" s="1"/>
  <c r="AO252" i="1" a="1"/>
  <c r="AO252" i="1" s="1"/>
  <c r="AP147" i="1" a="1"/>
  <c r="AP147" i="1" s="1"/>
  <c r="AP220" i="1" a="1"/>
  <c r="AP220" i="1" s="1"/>
  <c r="AM220" i="1" a="1"/>
  <c r="AM220" i="1" s="1"/>
  <c r="AO256" i="1" a="1"/>
  <c r="AO256" i="1" s="1"/>
  <c r="AM287" i="1" a="1"/>
  <c r="AM287" i="1" s="1"/>
  <c r="AR255" i="1" a="1"/>
  <c r="AR255" i="1" s="1"/>
  <c r="AQ291" i="1" a="1"/>
  <c r="AQ291" i="1" s="1"/>
  <c r="AN322" i="1" a="1"/>
  <c r="AN322" i="1" s="1"/>
  <c r="AP217" i="1" a="1"/>
  <c r="AP217" i="1" s="1"/>
  <c r="AO287" i="1" a="1"/>
  <c r="AO287" i="1" s="1"/>
  <c r="AR182" i="1" a="1"/>
  <c r="AR182" i="1" s="1"/>
  <c r="AR253" i="1" a="1"/>
  <c r="AR253" i="1" s="1"/>
  <c r="AO253" i="1" a="1"/>
  <c r="AO253" i="1" s="1"/>
  <c r="AP149" i="1" a="1"/>
  <c r="AP149" i="1" s="1"/>
  <c r="AO184" i="1" a="1"/>
  <c r="AO184" i="1" s="1"/>
  <c r="AN187" i="1" a="1"/>
  <c r="AN187" i="1" s="1"/>
  <c r="AR187" i="1" a="1"/>
  <c r="AR187" i="1" s="1"/>
  <c r="AN252" i="1" a="1"/>
  <c r="AN252" i="1" s="1"/>
  <c r="AP77" i="1" a="1"/>
  <c r="AP77" i="1" s="1"/>
  <c r="AM77" i="1" a="1"/>
  <c r="AM77" i="1" s="1"/>
  <c r="AQ77" i="1" a="1"/>
  <c r="AQ77" i="1" s="1"/>
  <c r="AN77" i="1" a="1"/>
  <c r="AN77" i="1" s="1"/>
  <c r="AO77" i="1" a="1"/>
  <c r="AO77" i="1" s="1"/>
  <c r="AR77" i="1" a="1"/>
  <c r="AR77" i="1" s="1"/>
  <c r="AN147" i="1" a="1"/>
  <c r="AN147" i="1" s="1"/>
  <c r="AP222" i="1" a="1"/>
  <c r="AP222" i="1" s="1"/>
  <c r="AO218" i="1" a="1"/>
  <c r="AO218" i="1" s="1"/>
  <c r="AR252" i="1" a="1"/>
  <c r="AR252" i="1" s="1"/>
  <c r="AM291" i="1" a="1"/>
  <c r="AM291" i="1" s="1"/>
  <c r="AO289" i="1" a="1"/>
  <c r="AO289" i="1" s="1"/>
  <c r="AO182" i="1" a="1"/>
  <c r="AO182" i="1" s="1"/>
  <c r="AM257" i="1" a="1"/>
  <c r="AM257" i="1" s="1"/>
  <c r="AM256" i="1" a="1"/>
  <c r="AM256" i="1" s="1"/>
  <c r="AO148" i="1" a="1"/>
  <c r="AO148" i="1" s="1"/>
  <c r="AO186" i="1" a="1"/>
  <c r="AO186" i="1" s="1"/>
  <c r="AP185" i="1" a="1"/>
  <c r="AP185" i="1" s="1"/>
  <c r="AQ185" i="1" a="1"/>
  <c r="AQ185" i="1" s="1"/>
  <c r="AQ252" i="1" a="1"/>
  <c r="AQ252" i="1" s="1"/>
  <c r="AQ79" i="1" a="1"/>
  <c r="AQ79" i="1" s="1"/>
  <c r="AR80" i="1" a="1"/>
  <c r="AR80" i="1" s="1"/>
  <c r="AM82" i="1" a="1"/>
  <c r="AM82" i="1" s="1"/>
  <c r="AO78" i="1" a="1"/>
  <c r="AO78" i="1" s="1"/>
  <c r="AN82" i="1" a="1"/>
  <c r="AN82" i="1" s="1"/>
  <c r="AR79" i="1" a="1"/>
  <c r="AR79" i="1" s="1"/>
  <c r="AM81" i="1" a="1"/>
  <c r="AM81" i="1" s="1"/>
  <c r="AO82" i="1" a="1"/>
  <c r="AO82" i="1" s="1"/>
  <c r="AP78" i="1" a="1"/>
  <c r="AP78" i="1" s="1"/>
  <c r="AP79" i="1" a="1"/>
  <c r="AP79" i="1" s="1"/>
  <c r="AO81" i="1" a="1"/>
  <c r="AO81" i="1" s="1"/>
  <c r="AN78" i="1" a="1"/>
  <c r="AN78" i="1" s="1"/>
  <c r="AR82" i="1" a="1"/>
  <c r="AR82" i="1" s="1"/>
  <c r="AM80" i="1" a="1"/>
  <c r="AM80" i="1" s="1"/>
  <c r="AP81" i="1" a="1"/>
  <c r="AP81" i="1" s="1"/>
  <c r="AN80" i="1" a="1"/>
  <c r="AN80" i="1" s="1"/>
  <c r="AQ81" i="1" a="1"/>
  <c r="AQ81" i="1" s="1"/>
  <c r="AN79" i="1" a="1"/>
  <c r="AN79" i="1" s="1"/>
  <c r="AO79" i="1" a="1"/>
  <c r="AO79" i="1" s="1"/>
  <c r="AP82" i="1" a="1"/>
  <c r="AP82" i="1" s="1"/>
  <c r="AO80" i="1" a="1"/>
  <c r="AO80" i="1" s="1"/>
  <c r="AQ78" i="1" a="1"/>
  <c r="AQ78" i="1" s="1"/>
  <c r="AQ82" i="1" a="1"/>
  <c r="AQ82" i="1" s="1"/>
  <c r="AP80" i="1" a="1"/>
  <c r="AP80" i="1" s="1"/>
  <c r="AQ80" i="1" a="1"/>
  <c r="AQ80" i="1" s="1"/>
  <c r="AR78" i="1" a="1"/>
  <c r="AR78" i="1" s="1"/>
  <c r="AM79" i="1" a="1"/>
  <c r="AM79" i="1" s="1"/>
  <c r="AM78" i="1" a="1"/>
  <c r="AM78" i="1" s="1"/>
  <c r="AN81" i="1" a="1"/>
  <c r="AN81" i="1" s="1"/>
  <c r="AR81" i="1" a="1"/>
  <c r="AR81" i="1" s="1"/>
  <c r="AQ147" i="1" a="1"/>
  <c r="AQ147" i="1" s="1"/>
  <c r="AM218" i="1" a="1"/>
  <c r="AM218" i="1" s="1"/>
  <c r="AO220" i="1" a="1"/>
  <c r="AO220" i="1" s="1"/>
  <c r="AN222" i="1" a="1"/>
  <c r="AN222" i="1" s="1"/>
  <c r="AM217" i="1" a="1"/>
  <c r="AM217" i="1" s="1"/>
  <c r="AN42" i="1" a="1"/>
  <c r="AN42" i="1" s="1"/>
  <c r="AR292" i="1" a="1"/>
  <c r="AR292" i="1" s="1"/>
  <c r="AN182" i="1" a="1"/>
  <c r="AN182" i="1" s="1"/>
  <c r="AR287" i="1" a="1"/>
  <c r="AR287" i="1" s="1"/>
  <c r="AR183" i="1" a="1"/>
  <c r="AR183" i="1" s="1"/>
  <c r="AN184" i="1" a="1"/>
  <c r="AN184" i="1" s="1"/>
  <c r="AN219" i="1" a="1"/>
  <c r="AN219" i="1" s="1"/>
  <c r="AR222" i="1" a="1"/>
  <c r="AR222" i="1" s="1"/>
  <c r="AM221" i="1" a="1"/>
  <c r="AM221" i="1" s="1"/>
  <c r="AQ115" i="1" a="1"/>
  <c r="AQ115" i="1" s="1"/>
  <c r="AR117" i="1" a="1"/>
  <c r="AR117" i="1" s="1"/>
  <c r="AQ114" i="1" a="1"/>
  <c r="AQ114" i="1" s="1"/>
  <c r="AR116" i="1" a="1"/>
  <c r="AR116" i="1" s="1"/>
  <c r="AR115" i="1" a="1"/>
  <c r="AR115" i="1" s="1"/>
  <c r="AN113" i="1" a="1"/>
  <c r="AN113" i="1" s="1"/>
  <c r="AO113" i="1" a="1"/>
  <c r="AO113" i="1" s="1"/>
  <c r="AO115" i="1" a="1"/>
  <c r="AO115" i="1" s="1"/>
  <c r="AQ116" i="1" a="1"/>
  <c r="AQ116" i="1" s="1"/>
  <c r="AQ113" i="1" a="1"/>
  <c r="AQ113" i="1" s="1"/>
  <c r="AM114" i="1" a="1"/>
  <c r="AM114" i="1" s="1"/>
  <c r="AM117" i="1" a="1"/>
  <c r="AM117" i="1" s="1"/>
  <c r="AN114" i="1" a="1"/>
  <c r="AN114" i="1" s="1"/>
  <c r="AP115" i="1" a="1"/>
  <c r="AP115" i="1" s="1"/>
  <c r="AN117" i="1" a="1"/>
  <c r="AN117" i="1" s="1"/>
  <c r="AM116" i="1" a="1"/>
  <c r="AM116" i="1" s="1"/>
  <c r="AR114" i="1" a="1"/>
  <c r="AR114" i="1" s="1"/>
  <c r="AN116" i="1" a="1"/>
  <c r="AN116" i="1" s="1"/>
  <c r="AP114" i="1" a="1"/>
  <c r="AP114" i="1" s="1"/>
  <c r="AR113" i="1" a="1"/>
  <c r="AR113" i="1" s="1"/>
  <c r="AO116" i="1" a="1"/>
  <c r="AO116" i="1" s="1"/>
  <c r="AO114" i="1" a="1"/>
  <c r="AO114" i="1" s="1"/>
  <c r="AP116" i="1" a="1"/>
  <c r="AP116" i="1" s="1"/>
  <c r="AO117" i="1" a="1"/>
  <c r="AO117" i="1" s="1"/>
  <c r="AQ117" i="1" a="1"/>
  <c r="AQ117" i="1" s="1"/>
  <c r="AN115" i="1" a="1"/>
  <c r="AN115" i="1" s="1"/>
  <c r="AM115" i="1" a="1"/>
  <c r="AM115" i="1" s="1"/>
  <c r="AP117" i="1" a="1"/>
  <c r="AP117" i="1" s="1"/>
  <c r="AP184" i="1" a="1"/>
  <c r="AP184" i="1" s="1"/>
  <c r="AW14" i="4" l="1"/>
  <c r="AW14" i="3"/>
  <c r="AW14" i="1"/>
  <c r="AW14" i="5"/>
  <c r="BH47" i="1"/>
  <c r="BI33" i="1"/>
  <c r="BE44" i="1"/>
  <c r="BI45" i="1"/>
  <c r="BD32" i="1"/>
  <c r="BF48" i="1"/>
  <c r="BF44" i="1"/>
  <c r="BD44" i="1"/>
  <c r="BD47" i="1"/>
  <c r="BI46" i="1"/>
  <c r="BE28" i="1"/>
  <c r="BI32" i="1"/>
  <c r="BF49" i="1"/>
  <c r="BD28" i="1"/>
  <c r="BD33" i="1"/>
  <c r="BF28" i="1"/>
  <c r="BG30" i="1"/>
  <c r="BH46" i="1"/>
  <c r="BE33" i="1"/>
  <c r="BD29" i="1"/>
  <c r="BG29" i="1"/>
  <c r="BG45" i="1"/>
  <c r="BE45" i="1"/>
  <c r="BH31" i="1"/>
  <c r="BF29" i="1"/>
  <c r="BG46" i="1"/>
  <c r="BG49" i="1"/>
  <c r="BI49" i="1"/>
  <c r="BH48" i="1"/>
  <c r="BI29" i="1"/>
  <c r="BD46" i="1"/>
  <c r="BF45" i="1"/>
  <c r="BH49" i="1"/>
  <c r="BE49" i="1"/>
  <c r="BF46" i="1"/>
  <c r="BH33" i="1"/>
  <c r="BG32" i="1"/>
  <c r="BD48" i="1"/>
  <c r="BF30" i="1"/>
  <c r="BF47" i="1"/>
  <c r="BD49" i="1"/>
  <c r="BE31" i="1"/>
  <c r="BH45" i="1"/>
  <c r="BF33" i="1"/>
  <c r="BF32" i="1"/>
  <c r="BI48" i="1"/>
  <c r="BF31" i="1"/>
  <c r="BI47" i="1"/>
  <c r="BH32" i="1"/>
  <c r="BE30" i="1"/>
  <c r="BE46" i="1"/>
  <c r="BG31" i="1"/>
  <c r="BE29" i="1"/>
  <c r="BI31" i="1"/>
  <c r="BD45" i="1"/>
  <c r="BE48" i="1"/>
  <c r="BH29" i="1"/>
  <c r="BD31" i="1"/>
  <c r="BG47" i="1"/>
  <c r="BI30" i="1"/>
  <c r="BG48" i="1"/>
  <c r="BG33" i="1"/>
  <c r="BE32" i="1"/>
  <c r="BH30" i="1"/>
  <c r="BE47" i="1"/>
  <c r="BD30" i="1"/>
  <c r="BD48" i="5"/>
  <c r="BH29" i="5"/>
  <c r="BG13" i="5"/>
  <c r="BH31" i="5"/>
  <c r="BG48" i="5"/>
  <c r="BF45" i="5"/>
  <c r="BH13" i="5"/>
  <c r="BE44" i="5"/>
  <c r="BI46" i="5"/>
  <c r="BE17" i="5"/>
  <c r="BF46" i="5"/>
  <c r="BH48" i="5"/>
  <c r="BG29" i="5"/>
  <c r="BG47" i="5"/>
  <c r="BE30" i="5"/>
  <c r="BF16" i="5"/>
  <c r="BF48" i="5"/>
  <c r="BI17" i="5"/>
  <c r="BF33" i="5"/>
  <c r="BH33" i="5"/>
  <c r="BH30" i="5"/>
  <c r="BI16" i="5"/>
  <c r="BE16" i="5"/>
  <c r="BD29" i="5"/>
  <c r="BF13" i="5"/>
  <c r="BE49" i="5"/>
  <c r="BE48" i="5"/>
  <c r="BI32" i="5"/>
  <c r="BI49" i="5"/>
  <c r="BI29" i="5"/>
  <c r="BE13" i="5"/>
  <c r="BF47" i="5"/>
  <c r="BI33" i="5"/>
  <c r="BD12" i="5"/>
  <c r="BI15" i="5"/>
  <c r="BE28" i="5"/>
  <c r="BD16" i="5"/>
  <c r="BH45" i="5"/>
  <c r="BF32" i="5"/>
  <c r="BH32" i="5"/>
  <c r="BI30" i="5"/>
  <c r="BE14" i="5"/>
  <c r="BD17" i="5"/>
  <c r="BD31" i="5"/>
  <c r="BI13" i="5"/>
  <c r="BD30" i="5"/>
  <c r="BI31" i="5"/>
  <c r="BE15" i="5"/>
  <c r="BF14" i="5"/>
  <c r="BF49" i="5"/>
  <c r="BE47" i="5"/>
  <c r="BH49" i="5"/>
  <c r="BD14" i="5"/>
  <c r="BD49" i="5"/>
  <c r="BG49" i="5"/>
  <c r="BG46" i="5"/>
  <c r="BI45" i="5"/>
  <c r="BD46" i="5"/>
  <c r="BD13" i="5"/>
  <c r="BE32" i="5"/>
  <c r="BE46" i="5"/>
  <c r="BG31" i="5"/>
  <c r="BF28" i="5"/>
  <c r="BI48" i="5"/>
  <c r="BG30" i="5"/>
  <c r="BD44" i="5"/>
  <c r="BF31" i="5"/>
  <c r="BI47" i="5"/>
  <c r="BH46" i="5"/>
  <c r="BE29" i="5"/>
  <c r="BF44" i="5"/>
  <c r="BD47" i="5"/>
  <c r="BH47" i="5"/>
  <c r="BG45" i="5"/>
  <c r="BD45" i="5"/>
  <c r="BF30" i="5"/>
  <c r="BE33" i="5"/>
  <c r="BE45" i="5"/>
  <c r="BD33" i="5"/>
  <c r="BF12" i="5"/>
  <c r="BG33" i="5"/>
  <c r="BH17" i="5"/>
  <c r="BD15" i="5"/>
  <c r="BE12" i="5"/>
  <c r="BD32" i="5"/>
  <c r="BI14" i="5"/>
  <c r="BD28" i="5"/>
  <c r="BE31" i="5"/>
  <c r="BG16" i="5"/>
  <c r="BF17" i="5"/>
  <c r="BG15" i="5"/>
  <c r="BG14" i="5"/>
  <c r="BG17" i="5"/>
  <c r="BH15" i="5"/>
  <c r="BG32" i="5"/>
  <c r="BF29" i="5"/>
  <c r="BH16" i="5"/>
  <c r="BF15" i="5"/>
  <c r="BH14" i="5"/>
  <c r="BF45" i="3"/>
  <c r="BD15" i="3"/>
  <c r="BF31" i="3"/>
  <c r="BE13" i="3"/>
  <c r="BF30" i="3"/>
  <c r="BI15" i="3"/>
  <c r="BE49" i="3"/>
  <c r="BG33" i="3"/>
  <c r="BI47" i="3"/>
  <c r="BH31" i="3"/>
  <c r="BH13" i="3"/>
  <c r="BI46" i="3"/>
  <c r="BD32" i="3"/>
  <c r="BE12" i="3"/>
  <c r="BI13" i="3"/>
  <c r="BF28" i="3"/>
  <c r="BI33" i="3"/>
  <c r="BD17" i="3"/>
  <c r="BI17" i="3"/>
  <c r="BD46" i="3"/>
  <c r="BD31" i="3"/>
  <c r="BF33" i="3"/>
  <c r="BG46" i="3"/>
  <c r="BG13" i="3"/>
  <c r="BG47" i="3"/>
  <c r="BE28" i="3"/>
  <c r="BF44" i="3"/>
  <c r="BF29" i="3"/>
  <c r="BF47" i="3"/>
  <c r="BI32" i="3"/>
  <c r="BG29" i="3"/>
  <c r="BE16" i="3"/>
  <c r="BD13" i="3"/>
  <c r="BD48" i="3"/>
  <c r="BH49" i="3"/>
  <c r="BE33" i="3"/>
  <c r="BH48" i="3"/>
  <c r="BD29" i="3"/>
  <c r="BE30" i="3"/>
  <c r="BI16" i="3"/>
  <c r="BG32" i="3"/>
  <c r="BH47" i="3"/>
  <c r="BF49" i="3"/>
  <c r="BI45" i="3"/>
  <c r="BE48" i="3"/>
  <c r="BE47" i="3"/>
  <c r="BD28" i="3"/>
  <c r="BD14" i="3"/>
  <c r="BH33" i="3"/>
  <c r="BD45" i="3"/>
  <c r="BE46" i="3"/>
  <c r="BD33" i="3"/>
  <c r="BH29" i="3"/>
  <c r="BE32" i="3"/>
  <c r="BD44" i="3"/>
  <c r="BF46" i="3"/>
  <c r="BG30" i="3"/>
  <c r="BF12" i="3"/>
  <c r="BD49" i="3"/>
  <c r="BH46" i="3"/>
  <c r="BG48" i="3"/>
  <c r="BE17" i="3"/>
  <c r="BE29" i="3"/>
  <c r="BI49" i="3"/>
  <c r="BF13" i="3"/>
  <c r="BI30" i="3"/>
  <c r="BD16" i="3"/>
  <c r="BD12" i="3"/>
  <c r="BD30" i="3"/>
  <c r="BF48" i="3"/>
  <c r="BE14" i="3"/>
  <c r="BH17" i="3"/>
  <c r="BH45" i="3"/>
  <c r="BG49" i="3"/>
  <c r="BF32" i="3"/>
  <c r="BE31" i="3"/>
  <c r="BE45" i="3"/>
  <c r="BE44" i="3"/>
  <c r="BH30" i="3"/>
  <c r="BH32" i="3"/>
  <c r="BG45" i="3"/>
  <c r="BG31" i="3"/>
  <c r="BI48" i="3"/>
  <c r="BI29" i="3"/>
  <c r="BI31" i="3"/>
  <c r="BI14" i="3"/>
  <c r="BH16" i="3"/>
  <c r="BF16" i="3"/>
  <c r="BG16" i="3"/>
  <c r="BF14" i="3"/>
  <c r="BG14" i="3"/>
  <c r="BH14" i="3"/>
  <c r="BH15" i="3"/>
  <c r="BG15" i="3"/>
  <c r="BG17" i="3"/>
  <c r="BF17" i="3"/>
  <c r="BD47" i="3"/>
  <c r="BF15" i="3"/>
  <c r="BE15" i="3"/>
  <c r="BD13" i="4"/>
  <c r="BH45" i="4"/>
  <c r="BG13" i="4"/>
  <c r="BF46" i="4"/>
  <c r="BD14" i="4"/>
  <c r="BG32" i="4"/>
  <c r="BE33" i="4"/>
  <c r="BD49" i="4"/>
  <c r="BH30" i="4"/>
  <c r="BD47" i="4"/>
  <c r="BF13" i="4"/>
  <c r="BF30" i="4"/>
  <c r="BI15" i="4"/>
  <c r="BD16" i="4"/>
  <c r="BE48" i="4"/>
  <c r="BF32" i="4"/>
  <c r="BF47" i="4"/>
  <c r="BG15" i="4"/>
  <c r="BD44" i="4"/>
  <c r="BE17" i="4"/>
  <c r="BI14" i="4"/>
  <c r="BI33" i="4"/>
  <c r="BD48" i="4"/>
  <c r="BF48" i="4"/>
  <c r="BI16" i="4"/>
  <c r="BD29" i="4"/>
  <c r="BD45" i="4"/>
  <c r="BI29" i="4"/>
  <c r="BD15" i="4"/>
  <c r="BH29" i="4"/>
  <c r="BI13" i="4"/>
  <c r="BD46" i="4"/>
  <c r="BI48" i="4"/>
  <c r="BI17" i="4"/>
  <c r="BG49" i="4"/>
  <c r="BG31" i="4"/>
  <c r="BH47" i="4"/>
  <c r="BF44" i="4"/>
  <c r="BE32" i="4"/>
  <c r="BE13" i="4"/>
  <c r="BE28" i="4"/>
  <c r="BI47" i="4"/>
  <c r="BE12" i="4"/>
  <c r="BG48" i="4"/>
  <c r="BH13" i="4"/>
  <c r="BE47" i="4"/>
  <c r="BF33" i="4"/>
  <c r="BE44" i="4"/>
  <c r="BF28" i="4"/>
  <c r="BI45" i="4"/>
  <c r="BI30" i="4"/>
  <c r="BE46" i="4"/>
  <c r="BD30" i="4"/>
  <c r="BH46" i="4"/>
  <c r="BI49" i="4"/>
  <c r="BG33" i="4"/>
  <c r="BH48" i="4"/>
  <c r="BH49" i="4"/>
  <c r="BH31" i="4"/>
  <c r="BF12" i="4"/>
  <c r="BF29" i="4"/>
  <c r="BG45" i="4"/>
  <c r="BG46" i="4"/>
  <c r="BE45" i="4"/>
  <c r="BE49" i="4"/>
  <c r="BF31" i="4"/>
  <c r="BI46" i="4"/>
  <c r="BF49" i="4"/>
  <c r="BE31" i="4"/>
  <c r="BH32" i="4"/>
  <c r="BG30" i="4"/>
  <c r="BE16" i="4"/>
  <c r="BD12" i="4"/>
  <c r="BD33" i="4"/>
  <c r="BI32" i="4"/>
  <c r="BD32" i="4"/>
  <c r="BE29" i="4"/>
  <c r="BI31" i="4"/>
  <c r="BE15" i="4"/>
  <c r="BE30" i="4"/>
  <c r="BG47" i="4"/>
  <c r="BG29" i="4"/>
  <c r="BF45" i="4"/>
  <c r="BH33" i="4"/>
  <c r="BD31" i="4"/>
  <c r="BG14" i="4"/>
  <c r="BH15" i="4"/>
  <c r="BH17" i="4"/>
  <c r="BH16" i="4"/>
  <c r="BF15" i="4"/>
  <c r="BD28" i="4"/>
  <c r="BE14" i="4"/>
  <c r="BG16" i="4"/>
  <c r="BG17" i="4"/>
  <c r="BD17" i="4"/>
  <c r="BH14" i="4"/>
  <c r="BF16" i="4"/>
  <c r="BF17" i="4"/>
  <c r="BF14" i="4"/>
  <c r="BI14" i="1"/>
  <c r="BI17" i="1"/>
  <c r="BD17" i="1"/>
  <c r="BD12" i="1"/>
  <c r="BF14" i="1"/>
  <c r="BE12" i="1"/>
  <c r="BD15" i="1"/>
  <c r="BG13" i="1"/>
  <c r="BE17" i="1"/>
  <c r="BE13" i="1"/>
  <c r="BD14" i="1"/>
  <c r="BI13" i="1"/>
  <c r="BI15" i="1"/>
  <c r="BH13" i="1"/>
  <c r="BE14" i="1"/>
  <c r="BI16" i="1"/>
  <c r="BF13" i="1"/>
  <c r="BD13" i="1"/>
  <c r="BE16" i="1"/>
  <c r="BF12" i="1"/>
  <c r="BE15" i="1"/>
  <c r="BD16" i="1"/>
  <c r="BG16" i="1"/>
  <c r="BH17" i="1"/>
  <c r="BG15" i="1"/>
  <c r="BH14" i="1"/>
  <c r="BF17" i="1"/>
  <c r="BF16" i="1"/>
  <c r="BH15" i="1"/>
  <c r="BG17" i="1"/>
  <c r="BH16" i="1"/>
  <c r="BF15" i="1"/>
  <c r="BG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marijose lopez abad</author>
  </authors>
  <commentList>
    <comment ref="AL5" authorId="0" shapeId="0" xr:uid="{5DCB976D-0A6B-4409-B8D0-FB8DC0530DEC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40" authorId="0" shapeId="0" xr:uid="{228A46A1-BF16-4F89-B64F-7EB67E773DF1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75" authorId="0" shapeId="0" xr:uid="{3387D239-1529-457E-A054-5A7DE6D9BEC2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110" authorId="0" shapeId="0" xr:uid="{A82E8585-1058-4E08-A0E8-9C7327895644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145" authorId="0" shapeId="0" xr:uid="{AA604996-111E-4C42-9F92-B561354C8DEB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180" authorId="0" shapeId="0" xr:uid="{7014F0AE-190A-419E-A9E3-4A583966B65C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215" authorId="0" shapeId="0" xr:uid="{51074F09-AD0C-4A7E-86A3-0D887A6B6166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250" authorId="0" shapeId="0" xr:uid="{C1DBF962-35A2-44D6-B196-8D0AA901B775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285" authorId="0" shapeId="0" xr:uid="{CDC697A0-42E5-49ED-9D4E-085BA70E33F3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320" authorId="0" shapeId="0" xr:uid="{76F64764-E1EE-4E04-9132-01287770B7E3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E347" authorId="0" shapeId="0" xr:uid="{07A88E3B-C21B-45F1-BD14-A187B253345F}">
      <text>
        <r>
          <rPr>
            <sz val="9"/>
            <color indexed="81"/>
            <rFont val="Tahoma"/>
            <family val="2"/>
          </rPr>
          <t>Darse cuenta que la hora de mas se debe al cambio horario que hay de verano a invierno dado que se retrasa el reloj una hora.
A esa hora la consideraremos P6 o P3</t>
        </r>
      </text>
    </comment>
    <comment ref="AL355" authorId="0" shapeId="0" xr:uid="{34CD1791-619B-45A4-9807-56822856EEDB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390" authorId="0" shapeId="0" xr:uid="{7F8D2ED9-14A5-43BC-A235-039186DE699A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marijose lopez abad</author>
  </authors>
  <commentList>
    <comment ref="AL5" authorId="0" shapeId="0" xr:uid="{521B0F63-979A-4646-8827-906BEA98FBF3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40" authorId="0" shapeId="0" xr:uid="{8D6763ED-E308-489D-B04F-D7A9D36590BE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75" authorId="0" shapeId="0" xr:uid="{76D83397-80D1-41D2-AE15-223F0B93B837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110" authorId="0" shapeId="0" xr:uid="{0E6DF394-8BB8-4ECE-BA6B-4990E8615220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145" authorId="0" shapeId="0" xr:uid="{B5197F72-564A-4FBA-A9DA-6FCD104E94C3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180" authorId="0" shapeId="0" xr:uid="{44701E4B-B246-4DFC-ACA1-89D38F5E0B00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215" authorId="0" shapeId="0" xr:uid="{70BCFB7B-2421-40F3-8C7D-B98B5C235AFB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250" authorId="0" shapeId="0" xr:uid="{077333DC-5C93-4DA3-A6D7-7BA89EB6E25E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285" authorId="0" shapeId="0" xr:uid="{D3505AC1-B00B-427B-8424-98C25575AC64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320" authorId="0" shapeId="0" xr:uid="{943BFFBD-27D2-4C9E-ADB9-09AC1906CCF6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E347" authorId="0" shapeId="0" xr:uid="{C57CCA3D-90AD-421B-85E8-6825B8C4F05B}">
      <text>
        <r>
          <rPr>
            <sz val="9"/>
            <color indexed="81"/>
            <rFont val="Tahoma"/>
            <family val="2"/>
          </rPr>
          <t>Darse cuenta que la hora de mas se debe al cambio horario que hay de verano a invierno dado que se retrasa el reloj una hora.
A esa hora la consideraremos P6 o P3</t>
        </r>
      </text>
    </comment>
    <comment ref="AL355" authorId="0" shapeId="0" xr:uid="{5AF106E1-1837-49D8-AD01-DF3B3B128F10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390" authorId="0" shapeId="0" xr:uid="{93BF381A-539D-4EA9-8632-092D0B20A106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400" authorId="0" shapeId="0" xr:uid="{1B3CA9B2-408E-42E5-94D3-C64D69B987DF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410" authorId="0" shapeId="0" xr:uid="{E5B2A8D1-6BD1-48A9-BDFE-B833DEF2C2E6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marijose lopez abad</author>
  </authors>
  <commentList>
    <comment ref="AL5" authorId="0" shapeId="0" xr:uid="{7775B5A7-67F3-485B-9CBC-AD2905C20A4D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F6" authorId="0" shapeId="0" xr:uid="{D4C92665-E1A6-4D5F-86D9-D0FD77DBE1C6}">
      <text>
        <r>
          <rPr>
            <sz val="9"/>
            <color indexed="81"/>
            <rFont val="Tahoma"/>
            <family val="2"/>
          </rPr>
          <t xml:space="preserve">
ELEGIR(DIASEM(D40;2);"L";"M";"X";"J";"V";"S";"D") --&gt; Para clasificar el dia del mes según ek dia de la semana y asi identificar sabados y dominfos 
</t>
        </r>
      </text>
    </comment>
    <comment ref="AL40" authorId="0" shapeId="0" xr:uid="{40C20217-53CC-4C2A-B94E-3DEAD29D24AB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75" authorId="0" shapeId="0" xr:uid="{4B49DBF6-109C-42EB-A954-1066816B2DCC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110" authorId="0" shapeId="0" xr:uid="{F9324B1A-4AE4-436C-A710-E00900581F12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145" authorId="0" shapeId="0" xr:uid="{04F36988-53F3-42F4-8BA2-19CAAB0132A3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180" authorId="0" shapeId="0" xr:uid="{79F4C921-E6B1-4E82-915C-790F62545B33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215" authorId="0" shapeId="0" xr:uid="{563B91BB-29F0-4308-9962-04BF2F011209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250" authorId="0" shapeId="0" xr:uid="{C5EEE199-E518-41FE-9E16-30A835934B25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285" authorId="0" shapeId="0" xr:uid="{F3A8DE03-AB57-4064-ACB0-AAFC4DA1D974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320" authorId="0" shapeId="0" xr:uid="{117E53ED-35DA-4927-9FFF-B76048854E0D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E347" authorId="0" shapeId="0" xr:uid="{E6A3C8CC-4357-4E00-A9BA-8B0B99C8FD66}">
      <text>
        <r>
          <rPr>
            <sz val="9"/>
            <color indexed="81"/>
            <rFont val="Tahoma"/>
            <family val="2"/>
          </rPr>
          <t>Darse cuenta que la hora de mas se debe al cambio horario que hay de verano a invierno dado que se retrasa el reloj una hora.
A esa hora la consideraremos P6 o P3</t>
        </r>
      </text>
    </comment>
    <comment ref="AL355" authorId="0" shapeId="0" xr:uid="{A115910E-FE86-466D-A223-6436D4D24564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390" authorId="0" shapeId="0" xr:uid="{0A93F31F-3E14-4101-8F93-2DBC14847F06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400" authorId="0" shapeId="0" xr:uid="{3B3E67D7-CB6C-4769-BD30-6843579E4678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410" authorId="0" shapeId="0" xr:uid="{853CF6A7-3578-4F94-97DA-CF1E231132AC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marijose lopez abad</author>
  </authors>
  <commentList>
    <comment ref="AL5" authorId="0" shapeId="0" xr:uid="{862E9EB7-CBC4-4171-B79C-5E8D92B27FDE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40" authorId="0" shapeId="0" xr:uid="{D181D4A2-3E5D-4D23-8437-66CC7441EAAC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75" authorId="0" shapeId="0" xr:uid="{1D872762-68EB-4903-827A-6A4B402DCF1D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110" authorId="0" shapeId="0" xr:uid="{020AB52E-7E28-412C-8844-BF8AED711F4F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145" authorId="0" shapeId="0" xr:uid="{6C13B593-0A71-4EFF-A77D-9C9AA5F5309E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180" authorId="0" shapeId="0" xr:uid="{8082CBA4-3250-4A27-96E6-2ACD0A9B6FD8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215" authorId="0" shapeId="0" xr:uid="{463432AA-6F9A-49A1-956A-B8CE6CF7EBE5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250" authorId="0" shapeId="0" xr:uid="{7E868D56-F12B-4A11-B85D-5C6A8E7CB3E2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285" authorId="0" shapeId="0" xr:uid="{4B9A65D6-0986-4CC6-95CC-01F8A0C5CAC0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320" authorId="0" shapeId="0" xr:uid="{0C25FC0C-5282-422C-AB59-23138B732D56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E347" authorId="0" shapeId="0" xr:uid="{16231E41-5F3C-4255-ADE9-E3FA3BAA956E}">
      <text>
        <r>
          <rPr>
            <sz val="9"/>
            <color indexed="81"/>
            <rFont val="Tahoma"/>
            <family val="2"/>
          </rPr>
          <t>Darse cuenta que la hora de mas se debe al cambio horario que hay de verano a invierno dado que se retrasa el reloj una hora.
A esa hora la consideraremos P6 o P3</t>
        </r>
      </text>
    </comment>
    <comment ref="AL355" authorId="0" shapeId="0" xr:uid="{9C5908A3-7BC2-4268-A872-27EBD7592582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390" authorId="0" shapeId="0" xr:uid="{1C5CF031-7D74-4162-8FFB-6849A7FDA319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400" authorId="0" shapeId="0" xr:uid="{B68E99FC-CEEE-408E-9486-707E9599EF57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  <comment ref="AL410" authorId="0" shapeId="0" xr:uid="{E70A7D2E-6410-45F4-947D-52327E67C899}">
      <text>
        <r>
          <rPr>
            <sz val="9"/>
            <color indexed="81"/>
            <rFont val="Tahoma"/>
            <family val="2"/>
          </rPr>
          <t xml:space="preserve">Para calcular proiedio  hacemos la division
SUMAPRODUCTO(($B$8:$B$31=AP$12)*($D$5:$AH$5=""))+SI(AP$12="P6";CONTAR.SI($D$5:$AH$5;"P6")*FILAS($B$8:$B$31);0) --&gt; con esto calculo el numero de datos por cada periodo.
SUMAPRODUCTO(($B$8:$B$31=AK$12)*($D$5:$AH$5="")*$D$8:$AH$31)+SI(AK$12="P6";SUMAPRODUCTO(($D$5:$AH$5="P6")*$D$8:$AH$31)  --&gt; con estp calculo la suma de las k est en funcion el periodo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<sst xmlns="http://schemas.openxmlformats.org/spreadsheetml/2006/main" count="8091" uniqueCount="256">
  <si>
    <t>X</t>
  </si>
  <si>
    <t>J</t>
  </si>
  <si>
    <t>V</t>
  </si>
  <si>
    <t>S</t>
  </si>
  <si>
    <t>D</t>
  </si>
  <si>
    <t>L</t>
  </si>
  <si>
    <t>M</t>
  </si>
  <si>
    <t>P6</t>
  </si>
  <si>
    <t>00:00 - 1:00</t>
  </si>
  <si>
    <t>01:00 - 2:00</t>
  </si>
  <si>
    <t>02:00 - 3:00</t>
  </si>
  <si>
    <t>03:00 - 4:00</t>
  </si>
  <si>
    <t>04:00 - 5:00</t>
  </si>
  <si>
    <t>P1</t>
  </si>
  <si>
    <t>P2</t>
  </si>
  <si>
    <t>P3</t>
  </si>
  <si>
    <t>P4</t>
  </si>
  <si>
    <t>P5</t>
  </si>
  <si>
    <t>05:00 - 6:00</t>
  </si>
  <si>
    <t>2.0TD</t>
  </si>
  <si>
    <t>06:00 - 7:00</t>
  </si>
  <si>
    <t>3.0TD</t>
  </si>
  <si>
    <t>07:00 - 8:00</t>
  </si>
  <si>
    <t>6.1TD</t>
  </si>
  <si>
    <t>08:00 - 9:00</t>
  </si>
  <si>
    <t>6.2TD</t>
  </si>
  <si>
    <t>09:00 - 10:00</t>
  </si>
  <si>
    <t>6.3TD</t>
  </si>
  <si>
    <t>10:00 - 11:00</t>
  </si>
  <si>
    <t>6.4TD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</si>
  <si>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</si>
  <si>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</si>
  <si>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</si>
  <si>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</si>
  <si>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</si>
  <si>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</si>
  <si>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</si>
  <si>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</si>
  <si>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</si>
  <si>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</si>
  <si>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</si>
  <si>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</si>
  <si>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23:00 - 24:00</t>
  </si>
  <si>
    <t>k ESTIMADA ENERO 2025 - 3.0TD 6.XTD / 2.0TD</t>
  </si>
  <si>
    <t>k ESTIMADA FEBRERO 2025 - 3.0TD 6.XTD / 2.0TD</t>
  </si>
  <si>
    <t>k ESTIMADA MARZO 2025 - 3.0TD 6.XTD / 2.0TD</t>
  </si>
  <si>
    <t>k ESTIMADA ABRIL 2025 - 3.0TD 6.XTD / 2.0TD</t>
  </si>
  <si>
    <t>k ESTIMADA MAYO 2025 - 3.0TD 6.XTD / 2.0TD</t>
  </si>
  <si>
    <t>k ESTIMADA JUNIO 2025 - 3.0TD 6.XTD / 2.0TD</t>
  </si>
  <si>
    <t>k ESTIMADA JULIO 2025 - 3.0TD 6.XTD / 2.0TD</t>
  </si>
  <si>
    <t>k ESTIMADA AGOSTO 2025 - 3.0TD 6.XTD / 2.0TD</t>
  </si>
  <si>
    <t>k ESTIMADA SEPTIEMBRE 2025 - 3.0TD 6.XTD / 2.0TD</t>
  </si>
  <si>
    <t>k ESTIMADA OCTUBRE 2025 - 3.0TD 6.XTD / 2.0TD</t>
  </si>
  <si>
    <t>24:00 - 25:00</t>
  </si>
  <si>
    <t>k ESTIMADA NOVIEMBRE 2025 - 3.0TD 6.XTD / 2.0TD</t>
  </si>
  <si>
    <t>k ESTIMADA DICIEMBRE 2025 - 3.0TD 6.XTD / 2.0TD</t>
  </si>
  <si>
    <t>k EST AÑO 2025 - PENINSULA</t>
  </si>
  <si>
    <t xml:space="preserve">WEB ESIOS PARA SACAR EL FICHERO </t>
  </si>
  <si>
    <t>Descargas | ESIOS electricidad · datos · transparencia</t>
  </si>
  <si>
    <t>k ESTIMADA ENERO 2026 - 3.0TD 6.XTD / 2.0TD</t>
  </si>
  <si>
    <t>Hora</t>
  </si>
  <si>
    <t>k ESTIMADA FEBRERO 2026 - 3.0TD 6.XTD / 2.0TD</t>
  </si>
  <si>
    <t>k ESTIMADA MARZO 2026 - 3.0TD 6.XTD / 2.0TD</t>
  </si>
  <si>
    <t>k ESTIMADA ABRIL 2026 - 3.0TD 6.XTD / 2.0TD</t>
  </si>
  <si>
    <t>k ESTIMADA MAYO 2026 - 3.0TD 6.XTD / 2.0TD</t>
  </si>
  <si>
    <t>k ESTIMADA JUNIO 2026 - 3.0TD 6.XTD / 2.0TD</t>
  </si>
  <si>
    <t>k ESTIMADA JULIO 2026 - 3.0TD 6.XTD / 2.0TD</t>
  </si>
  <si>
    <t>k ESTIMADA AGOSTO 2026 - 3.0TD 6.XTD / 2.0TD</t>
  </si>
  <si>
    <t>k ESTIMADA SEPTIEMBRE 2026 - 3.0TD 6.XTD / 2.0TD</t>
  </si>
  <si>
    <t>k ESTIMADA OCTUBRE 2026 - 3.0TD 6.XTD / 2.0TD</t>
  </si>
  <si>
    <t>k ESTIMADA NOVIEMBRE 2026 - 3.0TD 6.XTD / 2.0TD</t>
  </si>
  <si>
    <t>k ESTIMADA DICIEMBRE 2026 - 3.0TD 6.XTD / 2.0TD</t>
  </si>
  <si>
    <t>k EST AÑO 2026 - PENINSULA</t>
  </si>
  <si>
    <t>k ESTIMADA ENERO 2024 - 3.0TD 6.XTD / 2.0TD</t>
  </si>
  <si>
    <t>PENINSULA</t>
  </si>
  <si>
    <t>2.0</t>
  </si>
  <si>
    <t>CANARIAS</t>
  </si>
  <si>
    <t>BALEARES</t>
  </si>
  <si>
    <r>
      <t xml:space="preserve">k EST ENERO 2025 - </t>
    </r>
    <r>
      <rPr>
        <b/>
        <sz val="11"/>
        <color theme="1"/>
        <rFont val="Calibri"/>
        <family val="2"/>
      </rPr>
      <t>PENINSULA</t>
    </r>
  </si>
  <si>
    <r>
      <t xml:space="preserve">k EST ENERO 2025 - </t>
    </r>
    <r>
      <rPr>
        <b/>
        <sz val="11"/>
        <color theme="1"/>
        <rFont val="Calibri"/>
        <family val="2"/>
      </rPr>
      <t>CANARIAS</t>
    </r>
  </si>
  <si>
    <r>
      <t xml:space="preserve">k EST ENERO 2025 - </t>
    </r>
    <r>
      <rPr>
        <b/>
        <sz val="11"/>
        <color theme="1"/>
        <rFont val="Calibri"/>
        <family val="2"/>
      </rPr>
      <t>BALEARES</t>
    </r>
  </si>
  <si>
    <r>
      <t xml:space="preserve">k EST FEBRERO 2025 - </t>
    </r>
    <r>
      <rPr>
        <b/>
        <sz val="11"/>
        <color theme="1"/>
        <rFont val="Calibri"/>
        <family val="2"/>
      </rPr>
      <t>PENINSULA</t>
    </r>
  </si>
  <si>
    <r>
      <t xml:space="preserve">k EST FEBRERO 2025 - </t>
    </r>
    <r>
      <rPr>
        <b/>
        <sz val="11"/>
        <color theme="1"/>
        <rFont val="Calibri"/>
        <family val="2"/>
      </rPr>
      <t>CANARIAS</t>
    </r>
  </si>
  <si>
    <r>
      <t xml:space="preserve">k EST FEBRERO 2025 - </t>
    </r>
    <r>
      <rPr>
        <b/>
        <sz val="11"/>
        <color theme="1"/>
        <rFont val="Calibri"/>
        <family val="2"/>
      </rPr>
      <t>BALEARES</t>
    </r>
  </si>
  <si>
    <r>
      <t xml:space="preserve">k EST MARZO 2025 - </t>
    </r>
    <r>
      <rPr>
        <b/>
        <sz val="11"/>
        <color theme="1"/>
        <rFont val="Calibri"/>
        <family val="2"/>
      </rPr>
      <t>PENINSULA</t>
    </r>
  </si>
  <si>
    <r>
      <t xml:space="preserve">k EST MARZO 2025 - </t>
    </r>
    <r>
      <rPr>
        <b/>
        <sz val="11"/>
        <color theme="1"/>
        <rFont val="Calibri"/>
        <family val="2"/>
      </rPr>
      <t>CANARIAS</t>
    </r>
  </si>
  <si>
    <r>
      <t xml:space="preserve">k EST MARZO 2025 - </t>
    </r>
    <r>
      <rPr>
        <b/>
        <sz val="11"/>
        <color theme="1"/>
        <rFont val="Calibri"/>
        <family val="2"/>
      </rPr>
      <t>BALEARES</t>
    </r>
  </si>
  <si>
    <r>
      <t xml:space="preserve">k EST ABRIL 2025 - </t>
    </r>
    <r>
      <rPr>
        <b/>
        <sz val="11"/>
        <color theme="1"/>
        <rFont val="Calibri"/>
        <family val="2"/>
      </rPr>
      <t>PENINSULA</t>
    </r>
  </si>
  <si>
    <r>
      <t xml:space="preserve">k EST ABRIL 2025 - </t>
    </r>
    <r>
      <rPr>
        <b/>
        <sz val="11"/>
        <color theme="1"/>
        <rFont val="Calibri"/>
        <family val="2"/>
      </rPr>
      <t>CANARIAS</t>
    </r>
  </si>
  <si>
    <r>
      <t xml:space="preserve">k EST ABRIL 2025 - </t>
    </r>
    <r>
      <rPr>
        <b/>
        <sz val="11"/>
        <color theme="1"/>
        <rFont val="Calibri"/>
        <family val="2"/>
      </rPr>
      <t>BALEARES</t>
    </r>
  </si>
  <si>
    <r>
      <t xml:space="preserve">k EST MAYO 2025 - </t>
    </r>
    <r>
      <rPr>
        <b/>
        <sz val="11"/>
        <color theme="1"/>
        <rFont val="Calibri"/>
        <family val="2"/>
      </rPr>
      <t>PENINSULA</t>
    </r>
  </si>
  <si>
    <r>
      <t xml:space="preserve">k EST MAYO 2025 - </t>
    </r>
    <r>
      <rPr>
        <b/>
        <sz val="11"/>
        <color theme="1"/>
        <rFont val="Calibri"/>
        <family val="2"/>
      </rPr>
      <t>CANARIAS</t>
    </r>
  </si>
  <si>
    <r>
      <t xml:space="preserve">k EST MAYO 2025 - </t>
    </r>
    <r>
      <rPr>
        <b/>
        <sz val="11"/>
        <color theme="1"/>
        <rFont val="Calibri"/>
        <family val="2"/>
      </rPr>
      <t>BALEARES</t>
    </r>
  </si>
  <si>
    <r>
      <t xml:space="preserve">k EST JUNIO 2025 - </t>
    </r>
    <r>
      <rPr>
        <b/>
        <sz val="11"/>
        <color theme="1"/>
        <rFont val="Calibri"/>
        <family val="2"/>
      </rPr>
      <t>PENINSULA</t>
    </r>
  </si>
  <si>
    <r>
      <t xml:space="preserve">k EST JUNIO 2025 - </t>
    </r>
    <r>
      <rPr>
        <b/>
        <sz val="11"/>
        <color theme="1"/>
        <rFont val="Calibri"/>
        <family val="2"/>
      </rPr>
      <t>CANARIAS</t>
    </r>
  </si>
  <si>
    <r>
      <t xml:space="preserve">k EST JUNIO 2025 - </t>
    </r>
    <r>
      <rPr>
        <b/>
        <sz val="11"/>
        <color theme="1"/>
        <rFont val="Calibri"/>
        <family val="2"/>
      </rPr>
      <t>BALEARES</t>
    </r>
  </si>
  <si>
    <r>
      <t xml:space="preserve">k EST JULIO 2025 - </t>
    </r>
    <r>
      <rPr>
        <b/>
        <sz val="11"/>
        <color theme="1"/>
        <rFont val="Calibri"/>
        <family val="2"/>
      </rPr>
      <t>PENINSULA</t>
    </r>
  </si>
  <si>
    <r>
      <t xml:space="preserve">k EST JULIO 2025 - </t>
    </r>
    <r>
      <rPr>
        <b/>
        <sz val="11"/>
        <color theme="1"/>
        <rFont val="Calibri"/>
        <family val="2"/>
      </rPr>
      <t>CANARIAS</t>
    </r>
  </si>
  <si>
    <r>
      <t xml:space="preserve">k EST JULIO 2025 - </t>
    </r>
    <r>
      <rPr>
        <b/>
        <sz val="11"/>
        <color theme="1"/>
        <rFont val="Calibri"/>
        <family val="2"/>
      </rPr>
      <t>BALEARES</t>
    </r>
  </si>
  <si>
    <r>
      <t xml:space="preserve">k EST AGOSTO 2025 - </t>
    </r>
    <r>
      <rPr>
        <b/>
        <sz val="11"/>
        <color theme="1"/>
        <rFont val="Calibri"/>
        <family val="2"/>
      </rPr>
      <t>PENINSULA</t>
    </r>
  </si>
  <si>
    <r>
      <t xml:space="preserve">k EST AGOSTO 2025 - </t>
    </r>
    <r>
      <rPr>
        <b/>
        <sz val="11"/>
        <color theme="1"/>
        <rFont val="Calibri"/>
        <family val="2"/>
      </rPr>
      <t>CANARIAS</t>
    </r>
  </si>
  <si>
    <r>
      <t xml:space="preserve">k EST AGOSTO 2025 - </t>
    </r>
    <r>
      <rPr>
        <b/>
        <sz val="11"/>
        <color theme="1"/>
        <rFont val="Calibri"/>
        <family val="2"/>
      </rPr>
      <t>BALEARES</t>
    </r>
  </si>
  <si>
    <r>
      <t xml:space="preserve">k EST SEPTIEMBRE 2025 - </t>
    </r>
    <r>
      <rPr>
        <b/>
        <sz val="11"/>
        <color theme="1"/>
        <rFont val="Calibri"/>
        <family val="2"/>
      </rPr>
      <t>PENINSULA</t>
    </r>
  </si>
  <si>
    <r>
      <t xml:space="preserve">k EST SEPTIEMBRE 2025 - </t>
    </r>
    <r>
      <rPr>
        <b/>
        <sz val="11"/>
        <color theme="1"/>
        <rFont val="Calibri"/>
        <family val="2"/>
      </rPr>
      <t>CANARIAS</t>
    </r>
  </si>
  <si>
    <r>
      <t xml:space="preserve">k EST SEPTIEMBRE 2025 - </t>
    </r>
    <r>
      <rPr>
        <b/>
        <sz val="11"/>
        <color theme="1"/>
        <rFont val="Calibri"/>
        <family val="2"/>
      </rPr>
      <t>BALEARES</t>
    </r>
  </si>
  <si>
    <r>
      <t xml:space="preserve">k EST OCTUBRE 2025 - </t>
    </r>
    <r>
      <rPr>
        <b/>
        <sz val="11"/>
        <color theme="1"/>
        <rFont val="Calibri"/>
        <family val="2"/>
      </rPr>
      <t>PENINSULA</t>
    </r>
  </si>
  <si>
    <r>
      <t xml:space="preserve">k EST OCTUBRE 2025 - </t>
    </r>
    <r>
      <rPr>
        <b/>
        <sz val="11"/>
        <color theme="1"/>
        <rFont val="Calibri"/>
        <family val="2"/>
      </rPr>
      <t>CANARIAS</t>
    </r>
  </si>
  <si>
    <r>
      <t xml:space="preserve">k EST OCTUBRE 2025 - </t>
    </r>
    <r>
      <rPr>
        <b/>
        <sz val="11"/>
        <color theme="1"/>
        <rFont val="Calibri"/>
        <family val="2"/>
      </rPr>
      <t>BALEARES</t>
    </r>
  </si>
  <si>
    <r>
      <t xml:space="preserve">k EST NOVIEMBRE 2025 - </t>
    </r>
    <r>
      <rPr>
        <b/>
        <sz val="11"/>
        <color theme="1"/>
        <rFont val="Calibri"/>
        <family val="2"/>
      </rPr>
      <t>PENINSULA</t>
    </r>
  </si>
  <si>
    <r>
      <t xml:space="preserve">k EST NOVIEMBRE 2025 - </t>
    </r>
    <r>
      <rPr>
        <b/>
        <sz val="11"/>
        <color theme="1"/>
        <rFont val="Calibri"/>
        <family val="2"/>
      </rPr>
      <t>CANARIAS</t>
    </r>
  </si>
  <si>
    <r>
      <t xml:space="preserve">k EST NOVIEMBRE 2025 - </t>
    </r>
    <r>
      <rPr>
        <b/>
        <sz val="11"/>
        <color theme="1"/>
        <rFont val="Calibri"/>
        <family val="2"/>
      </rPr>
      <t>BALEARES</t>
    </r>
  </si>
  <si>
    <r>
      <t xml:space="preserve">k EST DICIEMBRE 2025 - </t>
    </r>
    <r>
      <rPr>
        <b/>
        <sz val="11"/>
        <color theme="1"/>
        <rFont val="Calibri"/>
        <family val="2"/>
      </rPr>
      <t>PENINSULA</t>
    </r>
  </si>
  <si>
    <r>
      <t xml:space="preserve">k EST DICIEMBRE 2025 - </t>
    </r>
    <r>
      <rPr>
        <b/>
        <sz val="11"/>
        <color theme="1"/>
        <rFont val="Calibri"/>
        <family val="2"/>
      </rPr>
      <t>CANARIAS</t>
    </r>
  </si>
  <si>
    <r>
      <t xml:space="preserve">k EST DICIEMBRE 2025 - </t>
    </r>
    <r>
      <rPr>
        <b/>
        <sz val="11"/>
        <color theme="1"/>
        <rFont val="Calibri"/>
        <family val="2"/>
      </rPr>
      <t>BALEARES</t>
    </r>
  </si>
  <si>
    <t>k EST AÑO 2025 - CANARIAS</t>
  </si>
  <si>
    <t>k EST AÑO 2025 - BALEARES</t>
  </si>
  <si>
    <r>
      <t xml:space="preserve">k EST ENERO 2026 - </t>
    </r>
    <r>
      <rPr>
        <b/>
        <sz val="11"/>
        <color theme="1"/>
        <rFont val="Calibri"/>
        <family val="2"/>
      </rPr>
      <t>PENINSULA</t>
    </r>
  </si>
  <si>
    <r>
      <t xml:space="preserve">k EST ENERO 2026 - </t>
    </r>
    <r>
      <rPr>
        <b/>
        <sz val="11"/>
        <color theme="1"/>
        <rFont val="Calibri"/>
        <family val="2"/>
      </rPr>
      <t>CANARIAS</t>
    </r>
  </si>
  <si>
    <r>
      <t xml:space="preserve">k EST ENERO 2026 - </t>
    </r>
    <r>
      <rPr>
        <b/>
        <sz val="11"/>
        <color theme="1"/>
        <rFont val="Calibri"/>
        <family val="2"/>
      </rPr>
      <t>BALEARES</t>
    </r>
  </si>
  <si>
    <r>
      <t xml:space="preserve">k EST FEBRERO 2026 - </t>
    </r>
    <r>
      <rPr>
        <b/>
        <sz val="11"/>
        <color theme="1"/>
        <rFont val="Calibri"/>
        <family val="2"/>
      </rPr>
      <t>PENINSULA</t>
    </r>
  </si>
  <si>
    <r>
      <t xml:space="preserve">k EST FEBRERO 2026 - </t>
    </r>
    <r>
      <rPr>
        <b/>
        <sz val="11"/>
        <color theme="1"/>
        <rFont val="Calibri"/>
        <family val="2"/>
      </rPr>
      <t>CANARIAS</t>
    </r>
  </si>
  <si>
    <r>
      <t xml:space="preserve">k EST FEBRERO 2026 - </t>
    </r>
    <r>
      <rPr>
        <b/>
        <sz val="11"/>
        <color theme="1"/>
        <rFont val="Calibri"/>
        <family val="2"/>
      </rPr>
      <t>BALEARES</t>
    </r>
  </si>
  <si>
    <r>
      <t xml:space="preserve">k EST MARZO 2026 - </t>
    </r>
    <r>
      <rPr>
        <b/>
        <sz val="11"/>
        <color theme="1"/>
        <rFont val="Calibri"/>
        <family val="2"/>
      </rPr>
      <t>PENINSULA</t>
    </r>
  </si>
  <si>
    <r>
      <t xml:space="preserve">k EST MARZO 2026 - </t>
    </r>
    <r>
      <rPr>
        <b/>
        <sz val="11"/>
        <color theme="1"/>
        <rFont val="Calibri"/>
        <family val="2"/>
      </rPr>
      <t>CANARIAS</t>
    </r>
  </si>
  <si>
    <r>
      <t xml:space="preserve">k EST MARZO 2026 - </t>
    </r>
    <r>
      <rPr>
        <b/>
        <sz val="11"/>
        <color theme="1"/>
        <rFont val="Calibri"/>
        <family val="2"/>
      </rPr>
      <t>BALEARES</t>
    </r>
  </si>
  <si>
    <r>
      <t xml:space="preserve">k EST ABRIL 2026 - </t>
    </r>
    <r>
      <rPr>
        <b/>
        <sz val="11"/>
        <color theme="1"/>
        <rFont val="Calibri"/>
        <family val="2"/>
      </rPr>
      <t>PENINSULA</t>
    </r>
  </si>
  <si>
    <r>
      <t xml:space="preserve">k EST ABRIL 2026 - </t>
    </r>
    <r>
      <rPr>
        <b/>
        <sz val="11"/>
        <color theme="1"/>
        <rFont val="Calibri"/>
        <family val="2"/>
      </rPr>
      <t>CANARIAS</t>
    </r>
  </si>
  <si>
    <r>
      <t xml:space="preserve">k EST ABRIL 2026 - </t>
    </r>
    <r>
      <rPr>
        <b/>
        <sz val="11"/>
        <color theme="1"/>
        <rFont val="Calibri"/>
        <family val="2"/>
      </rPr>
      <t>BALEARES</t>
    </r>
  </si>
  <si>
    <r>
      <t xml:space="preserve">k EST MAYO 2026 - </t>
    </r>
    <r>
      <rPr>
        <b/>
        <sz val="11"/>
        <color theme="1"/>
        <rFont val="Calibri"/>
        <family val="2"/>
      </rPr>
      <t>PENINSULA</t>
    </r>
  </si>
  <si>
    <r>
      <t xml:space="preserve">k EST MAYO 2026 - </t>
    </r>
    <r>
      <rPr>
        <b/>
        <sz val="11"/>
        <color theme="1"/>
        <rFont val="Calibri"/>
        <family val="2"/>
      </rPr>
      <t>CANARIAS</t>
    </r>
  </si>
  <si>
    <r>
      <t xml:space="preserve">k EST MAYO 2026 - </t>
    </r>
    <r>
      <rPr>
        <b/>
        <sz val="11"/>
        <color theme="1"/>
        <rFont val="Calibri"/>
        <family val="2"/>
      </rPr>
      <t>BALEARES</t>
    </r>
  </si>
  <si>
    <r>
      <t xml:space="preserve">k EST JUNIO 2026 - </t>
    </r>
    <r>
      <rPr>
        <b/>
        <sz val="11"/>
        <color theme="1"/>
        <rFont val="Calibri"/>
        <family val="2"/>
      </rPr>
      <t>PENINSULA</t>
    </r>
  </si>
  <si>
    <r>
      <t xml:space="preserve">k EST JUNIO 2026 - </t>
    </r>
    <r>
      <rPr>
        <b/>
        <sz val="11"/>
        <color theme="1"/>
        <rFont val="Calibri"/>
        <family val="2"/>
      </rPr>
      <t>CANARIAS</t>
    </r>
  </si>
  <si>
    <r>
      <t xml:space="preserve">k EST JUNIO 2026 - </t>
    </r>
    <r>
      <rPr>
        <b/>
        <sz val="11"/>
        <color theme="1"/>
        <rFont val="Calibri"/>
        <family val="2"/>
      </rPr>
      <t>BALEARES</t>
    </r>
  </si>
  <si>
    <r>
      <t xml:space="preserve">k EST JULIO 2026 - </t>
    </r>
    <r>
      <rPr>
        <b/>
        <sz val="11"/>
        <color theme="1"/>
        <rFont val="Calibri"/>
        <family val="2"/>
      </rPr>
      <t>PENINSULA</t>
    </r>
  </si>
  <si>
    <r>
      <t xml:space="preserve">k EST JULIO 2026 - </t>
    </r>
    <r>
      <rPr>
        <b/>
        <sz val="11"/>
        <color theme="1"/>
        <rFont val="Calibri"/>
        <family val="2"/>
      </rPr>
      <t>CANARIAS</t>
    </r>
  </si>
  <si>
    <r>
      <t xml:space="preserve">k EST JULIO 2026 - </t>
    </r>
    <r>
      <rPr>
        <b/>
        <sz val="11"/>
        <color theme="1"/>
        <rFont val="Calibri"/>
        <family val="2"/>
      </rPr>
      <t>BALEARES</t>
    </r>
  </si>
  <si>
    <r>
      <t xml:space="preserve">k EST AGOSTO 2026 - </t>
    </r>
    <r>
      <rPr>
        <b/>
        <sz val="11"/>
        <color theme="1"/>
        <rFont val="Calibri"/>
        <family val="2"/>
      </rPr>
      <t>PENINSULA</t>
    </r>
  </si>
  <si>
    <r>
      <t xml:space="preserve">k EST AGOSTO 2026 - </t>
    </r>
    <r>
      <rPr>
        <b/>
        <sz val="11"/>
        <color theme="1"/>
        <rFont val="Calibri"/>
        <family val="2"/>
      </rPr>
      <t>CANARIAS</t>
    </r>
  </si>
  <si>
    <r>
      <t xml:space="preserve">k EST AGOSTO 2026 - </t>
    </r>
    <r>
      <rPr>
        <b/>
        <sz val="11"/>
        <color theme="1"/>
        <rFont val="Calibri"/>
        <family val="2"/>
      </rPr>
      <t>BALEARES</t>
    </r>
  </si>
  <si>
    <r>
      <t xml:space="preserve">k EST SEPTIEMBRE 2026 - </t>
    </r>
    <r>
      <rPr>
        <b/>
        <sz val="11"/>
        <color theme="1"/>
        <rFont val="Calibri"/>
        <family val="2"/>
      </rPr>
      <t>PENINSULA</t>
    </r>
  </si>
  <si>
    <r>
      <t xml:space="preserve">k EST SEPTIEMBRE 2026 - </t>
    </r>
    <r>
      <rPr>
        <b/>
        <sz val="11"/>
        <color theme="1"/>
        <rFont val="Calibri"/>
        <family val="2"/>
      </rPr>
      <t>CANARIAS</t>
    </r>
  </si>
  <si>
    <r>
      <t xml:space="preserve">k EST SEPTIEMBRE 2026 - </t>
    </r>
    <r>
      <rPr>
        <b/>
        <sz val="11"/>
        <color theme="1"/>
        <rFont val="Calibri"/>
        <family val="2"/>
      </rPr>
      <t>BALEARES</t>
    </r>
  </si>
  <si>
    <r>
      <t xml:space="preserve">k EST OCTUBRE 2026 - </t>
    </r>
    <r>
      <rPr>
        <b/>
        <sz val="11"/>
        <color theme="1"/>
        <rFont val="Calibri"/>
        <family val="2"/>
      </rPr>
      <t>PENINSULA</t>
    </r>
  </si>
  <si>
    <r>
      <t xml:space="preserve">k EST OCTUBRE 2026 - </t>
    </r>
    <r>
      <rPr>
        <b/>
        <sz val="11"/>
        <color theme="1"/>
        <rFont val="Calibri"/>
        <family val="2"/>
      </rPr>
      <t>CANARIAS</t>
    </r>
  </si>
  <si>
    <r>
      <t xml:space="preserve">k EST OCTUBRE 2026 - </t>
    </r>
    <r>
      <rPr>
        <b/>
        <sz val="11"/>
        <color theme="1"/>
        <rFont val="Calibri"/>
        <family val="2"/>
      </rPr>
      <t>BALEARES</t>
    </r>
  </si>
  <si>
    <r>
      <t xml:space="preserve">k EST NOVIEMBRE 2026 - </t>
    </r>
    <r>
      <rPr>
        <b/>
        <sz val="11"/>
        <color theme="1"/>
        <rFont val="Calibri"/>
        <family val="2"/>
      </rPr>
      <t>PENINSULA</t>
    </r>
  </si>
  <si>
    <r>
      <t xml:space="preserve">k EST NOVIEMBRE 2026 - </t>
    </r>
    <r>
      <rPr>
        <b/>
        <sz val="11"/>
        <color theme="1"/>
        <rFont val="Calibri"/>
        <family val="2"/>
      </rPr>
      <t>CANARIAS</t>
    </r>
  </si>
  <si>
    <r>
      <t xml:space="preserve">k EST NOVIEMBRE 2026 - </t>
    </r>
    <r>
      <rPr>
        <b/>
        <sz val="11"/>
        <color theme="1"/>
        <rFont val="Calibri"/>
        <family val="2"/>
      </rPr>
      <t>BALEARES</t>
    </r>
  </si>
  <si>
    <r>
      <t xml:space="preserve">k EST DICIEMBRE 2026 - </t>
    </r>
    <r>
      <rPr>
        <b/>
        <sz val="11"/>
        <color theme="1"/>
        <rFont val="Calibri"/>
        <family val="2"/>
      </rPr>
      <t>PENINSULA</t>
    </r>
  </si>
  <si>
    <r>
      <t xml:space="preserve">k EST DICIEMBRE 2026 - </t>
    </r>
    <r>
      <rPr>
        <b/>
        <sz val="11"/>
        <color theme="1"/>
        <rFont val="Calibri"/>
        <family val="2"/>
      </rPr>
      <t>CANARIAS</t>
    </r>
  </si>
  <si>
    <r>
      <t xml:space="preserve">k EST DICIEMBRE 2026 - </t>
    </r>
    <r>
      <rPr>
        <b/>
        <sz val="11"/>
        <color theme="1"/>
        <rFont val="Calibri"/>
        <family val="2"/>
      </rPr>
      <t>BALEARES</t>
    </r>
  </si>
  <si>
    <t>k EST AÑO 2026 - CANARIAS</t>
  </si>
  <si>
    <t>k EST AÑO 2026 - BALEARES</t>
  </si>
  <si>
    <r>
      <t xml:space="preserve">k EST ENERO 2024 - </t>
    </r>
    <r>
      <rPr>
        <b/>
        <sz val="11"/>
        <color theme="1"/>
        <rFont val="Calibri"/>
        <family val="2"/>
      </rPr>
      <t>PENINSULA</t>
    </r>
  </si>
  <si>
    <r>
      <t xml:space="preserve">k EST ENERO 2024 - </t>
    </r>
    <r>
      <rPr>
        <b/>
        <sz val="11"/>
        <color theme="1"/>
        <rFont val="Calibri"/>
        <family val="2"/>
      </rPr>
      <t>CANARIAS</t>
    </r>
  </si>
  <si>
    <r>
      <t xml:space="preserve">k EST ENERO 2024 - </t>
    </r>
    <r>
      <rPr>
        <b/>
        <sz val="11"/>
        <color theme="1"/>
        <rFont val="Calibri"/>
        <family val="2"/>
      </rPr>
      <t>BALEARES</t>
    </r>
  </si>
  <si>
    <t>k ESTIMADA FEBRERO 2024 - 3.0TD 6.XTD / 2.0TD</t>
  </si>
  <si>
    <r>
      <t xml:space="preserve">k EST FEBRERO 2024 - </t>
    </r>
    <r>
      <rPr>
        <b/>
        <sz val="11"/>
        <color theme="1"/>
        <rFont val="Calibri"/>
        <family val="2"/>
      </rPr>
      <t>PENINSULA</t>
    </r>
  </si>
  <si>
    <r>
      <t xml:space="preserve">k EST FEBRERO 2024 - </t>
    </r>
    <r>
      <rPr>
        <b/>
        <sz val="11"/>
        <color theme="1"/>
        <rFont val="Calibri"/>
        <family val="2"/>
      </rPr>
      <t>CANARIAS</t>
    </r>
  </si>
  <si>
    <r>
      <t xml:space="preserve">k EST FEBRERO 2024 - </t>
    </r>
    <r>
      <rPr>
        <b/>
        <sz val="11"/>
        <color theme="1"/>
        <rFont val="Calibri"/>
        <family val="2"/>
      </rPr>
      <t>BALEARES</t>
    </r>
  </si>
  <si>
    <t>k ESTIMADA MARZO 2024 - 3.0TD 6.XTD / 2.0TD</t>
  </si>
  <si>
    <r>
      <t xml:space="preserve">k EST MARZO 2024 - </t>
    </r>
    <r>
      <rPr>
        <b/>
        <sz val="11"/>
        <color theme="1"/>
        <rFont val="Calibri"/>
        <family val="2"/>
      </rPr>
      <t>PENINSULA</t>
    </r>
  </si>
  <si>
    <r>
      <t xml:space="preserve">k EST MARZO 2024 - </t>
    </r>
    <r>
      <rPr>
        <b/>
        <sz val="11"/>
        <color theme="1"/>
        <rFont val="Calibri"/>
        <family val="2"/>
      </rPr>
      <t>CANARIAS</t>
    </r>
  </si>
  <si>
    <r>
      <t xml:space="preserve">k EST MARZO 2024 - </t>
    </r>
    <r>
      <rPr>
        <b/>
        <sz val="11"/>
        <color theme="1"/>
        <rFont val="Calibri"/>
        <family val="2"/>
      </rPr>
      <t>BALEARES</t>
    </r>
  </si>
  <si>
    <t>k ESTIMADA ABRIL 2024 - 3.0TD 6.XTD / 2.0TD</t>
  </si>
  <si>
    <r>
      <t xml:space="preserve">k EST ABRIL 2024 - </t>
    </r>
    <r>
      <rPr>
        <b/>
        <sz val="11"/>
        <color theme="1"/>
        <rFont val="Calibri"/>
        <family val="2"/>
      </rPr>
      <t>PENINSULA</t>
    </r>
  </si>
  <si>
    <r>
      <t xml:space="preserve">k EST ABRIL 2024 - </t>
    </r>
    <r>
      <rPr>
        <b/>
        <sz val="11"/>
        <color theme="1"/>
        <rFont val="Calibri"/>
        <family val="2"/>
      </rPr>
      <t>CANARIAS</t>
    </r>
  </si>
  <si>
    <r>
      <t xml:space="preserve">k EST ABRIL 2024 - </t>
    </r>
    <r>
      <rPr>
        <b/>
        <sz val="11"/>
        <color theme="1"/>
        <rFont val="Calibri"/>
        <family val="2"/>
      </rPr>
      <t>BALEARES</t>
    </r>
  </si>
  <si>
    <t>k ESTIMADA MAYO 2024 - 3.0TD 6.XTD / 2.0TD</t>
  </si>
  <si>
    <r>
      <t xml:space="preserve">k EST MAYO 2024 - </t>
    </r>
    <r>
      <rPr>
        <b/>
        <sz val="11"/>
        <color theme="1"/>
        <rFont val="Calibri"/>
        <family val="2"/>
      </rPr>
      <t>PENINSULA</t>
    </r>
  </si>
  <si>
    <r>
      <t xml:space="preserve">k EST MAYO 2024 - </t>
    </r>
    <r>
      <rPr>
        <b/>
        <sz val="11"/>
        <color theme="1"/>
        <rFont val="Calibri"/>
        <family val="2"/>
      </rPr>
      <t>CANARIAS</t>
    </r>
  </si>
  <si>
    <r>
      <t xml:space="preserve">k EST MAYO 2024 - </t>
    </r>
    <r>
      <rPr>
        <b/>
        <sz val="11"/>
        <color theme="1"/>
        <rFont val="Calibri"/>
        <family val="2"/>
      </rPr>
      <t>BALEARES</t>
    </r>
  </si>
  <si>
    <t>k ESTIMADA JUNIO 2024 - 3.0TD 6.XTD / 2.0TD</t>
  </si>
  <si>
    <r>
      <t xml:space="preserve">k EST JUNIO 2024 - </t>
    </r>
    <r>
      <rPr>
        <b/>
        <sz val="11"/>
        <color theme="1"/>
        <rFont val="Calibri"/>
        <family val="2"/>
      </rPr>
      <t>PENINSULA</t>
    </r>
  </si>
  <si>
    <r>
      <t xml:space="preserve">k EST JUNIO 2024 - </t>
    </r>
    <r>
      <rPr>
        <b/>
        <sz val="11"/>
        <color theme="1"/>
        <rFont val="Calibri"/>
        <family val="2"/>
      </rPr>
      <t>CANARIAS</t>
    </r>
  </si>
  <si>
    <r>
      <t xml:space="preserve">k EST JUNIO 2024 - </t>
    </r>
    <r>
      <rPr>
        <b/>
        <sz val="11"/>
        <color theme="1"/>
        <rFont val="Calibri"/>
        <family val="2"/>
      </rPr>
      <t>BALEARES</t>
    </r>
  </si>
  <si>
    <t>k ESTIMADA JULIO 2024 - 3.0TD 6.XTD / 2.0TD</t>
  </si>
  <si>
    <r>
      <t xml:space="preserve">k EST JULIO 2024 - </t>
    </r>
    <r>
      <rPr>
        <b/>
        <sz val="11"/>
        <color theme="1"/>
        <rFont val="Calibri"/>
        <family val="2"/>
      </rPr>
      <t>PENINSULA</t>
    </r>
  </si>
  <si>
    <r>
      <t xml:space="preserve">k EST JULIO 2024 - </t>
    </r>
    <r>
      <rPr>
        <b/>
        <sz val="11"/>
        <color theme="1"/>
        <rFont val="Calibri"/>
        <family val="2"/>
      </rPr>
      <t>CANARIAS</t>
    </r>
  </si>
  <si>
    <r>
      <t xml:space="preserve">k EST JULIO 2024 - </t>
    </r>
    <r>
      <rPr>
        <b/>
        <sz val="11"/>
        <color theme="1"/>
        <rFont val="Calibri"/>
        <family val="2"/>
      </rPr>
      <t>BALEARES</t>
    </r>
  </si>
  <si>
    <t>k ESTIMADA AGOSTO 2024 - 3.0TD 6.XTD / 2.0TD</t>
  </si>
  <si>
    <r>
      <t xml:space="preserve">k EST AGOSTO 2024 - </t>
    </r>
    <r>
      <rPr>
        <b/>
        <sz val="11"/>
        <color theme="1"/>
        <rFont val="Calibri"/>
        <family val="2"/>
      </rPr>
      <t>PENINSULA</t>
    </r>
  </si>
  <si>
    <r>
      <t xml:space="preserve">k EST AGOSTO 2024 - </t>
    </r>
    <r>
      <rPr>
        <b/>
        <sz val="11"/>
        <color theme="1"/>
        <rFont val="Calibri"/>
        <family val="2"/>
      </rPr>
      <t>CANARIAS</t>
    </r>
  </si>
  <si>
    <r>
      <t xml:space="preserve">k EST AGOSTO 2024 - </t>
    </r>
    <r>
      <rPr>
        <b/>
        <sz val="11"/>
        <color theme="1"/>
        <rFont val="Calibri"/>
        <family val="2"/>
      </rPr>
      <t>BALEARES</t>
    </r>
  </si>
  <si>
    <t>k ESTIMADA SEPTIEMBRE 2024 - 3.0TD 6.XTD / 2.0TD</t>
  </si>
  <si>
    <r>
      <t xml:space="preserve">k EST SEPTIEMBRE 2024 - </t>
    </r>
    <r>
      <rPr>
        <b/>
        <sz val="11"/>
        <color theme="1"/>
        <rFont val="Calibri"/>
        <family val="2"/>
      </rPr>
      <t>PENINSULA</t>
    </r>
  </si>
  <si>
    <r>
      <t xml:space="preserve">k EST SEPTIEMBRE 2024 - </t>
    </r>
    <r>
      <rPr>
        <b/>
        <sz val="11"/>
        <color theme="1"/>
        <rFont val="Calibri"/>
        <family val="2"/>
      </rPr>
      <t>CANARIAS</t>
    </r>
  </si>
  <si>
    <r>
      <t xml:space="preserve">k EST SEPTIEMBRE 2024 - </t>
    </r>
    <r>
      <rPr>
        <b/>
        <sz val="11"/>
        <color theme="1"/>
        <rFont val="Calibri"/>
        <family val="2"/>
      </rPr>
      <t>BALEARES</t>
    </r>
  </si>
  <si>
    <t>k ESTIMADA OCTUBRE 2024 - 3.0TD 6.XTD / 2.0TD</t>
  </si>
  <si>
    <r>
      <t xml:space="preserve">k EST OCTUBRE 2024 - </t>
    </r>
    <r>
      <rPr>
        <b/>
        <sz val="11"/>
        <color theme="1"/>
        <rFont val="Calibri"/>
        <family val="2"/>
      </rPr>
      <t>PENINSULA</t>
    </r>
  </si>
  <si>
    <r>
      <t xml:space="preserve">k EST OCTUBRE 2024 - </t>
    </r>
    <r>
      <rPr>
        <b/>
        <sz val="11"/>
        <color theme="1"/>
        <rFont val="Calibri"/>
        <family val="2"/>
      </rPr>
      <t>CANARIAS</t>
    </r>
  </si>
  <si>
    <r>
      <t xml:space="preserve">k EST OCTUBRE 2024 - </t>
    </r>
    <r>
      <rPr>
        <b/>
        <sz val="11"/>
        <color theme="1"/>
        <rFont val="Calibri"/>
        <family val="2"/>
      </rPr>
      <t>BALEARES</t>
    </r>
  </si>
  <si>
    <t>k ESTIMADA NOVIEMBRE 2024 - 3.0TD 6.XTD / 2.0TD</t>
  </si>
  <si>
    <r>
      <t xml:space="preserve">k EST NOVIEMBRE 2024 - </t>
    </r>
    <r>
      <rPr>
        <b/>
        <sz val="11"/>
        <color theme="1"/>
        <rFont val="Calibri"/>
        <family val="2"/>
      </rPr>
      <t>PENINSULA</t>
    </r>
  </si>
  <si>
    <r>
      <t xml:space="preserve">k EST NOVIEMBRE 2024 - </t>
    </r>
    <r>
      <rPr>
        <b/>
        <sz val="11"/>
        <color theme="1"/>
        <rFont val="Calibri"/>
        <family val="2"/>
      </rPr>
      <t>CANARIAS</t>
    </r>
  </si>
  <si>
    <r>
      <t xml:space="preserve">k EST NOVIEMBRE 2024 - </t>
    </r>
    <r>
      <rPr>
        <b/>
        <sz val="11"/>
        <color theme="1"/>
        <rFont val="Calibri"/>
        <family val="2"/>
      </rPr>
      <t>BALEARES</t>
    </r>
  </si>
  <si>
    <t>k ESTIMADA DICIEMBRE 2024 - 3.0TD 6.XTD / 2.0TD</t>
  </si>
  <si>
    <r>
      <t xml:space="preserve">k EST DICIEMBRE 2024 - </t>
    </r>
    <r>
      <rPr>
        <b/>
        <sz val="11"/>
        <color theme="1"/>
        <rFont val="Calibri"/>
        <family val="2"/>
      </rPr>
      <t>PENINSULA</t>
    </r>
  </si>
  <si>
    <r>
      <t xml:space="preserve">k EST DICIEMBRE 2024 - </t>
    </r>
    <r>
      <rPr>
        <b/>
        <sz val="11"/>
        <color theme="1"/>
        <rFont val="Calibri"/>
        <family val="2"/>
      </rPr>
      <t>CANARIAS</t>
    </r>
  </si>
  <si>
    <r>
      <t xml:space="preserve">k EST DICIEMBRE 2024 - </t>
    </r>
    <r>
      <rPr>
        <b/>
        <sz val="11"/>
        <color theme="1"/>
        <rFont val="Calibri"/>
        <family val="2"/>
      </rPr>
      <t>BALEARES</t>
    </r>
  </si>
  <si>
    <t>k EST AÑO 2024 - PENINSULA</t>
  </si>
  <si>
    <t>k EST AÑO 2024 - CANARIAS</t>
  </si>
  <si>
    <t>k EST AÑO 2024 - BALEARES</t>
  </si>
  <si>
    <t>k ESTIMADA ENERO 2023 - 3.0TD 6.XTD / 2.0TD</t>
  </si>
  <si>
    <r>
      <t xml:space="preserve">k EST ENERO 2023 - </t>
    </r>
    <r>
      <rPr>
        <b/>
        <sz val="11"/>
        <color theme="1"/>
        <rFont val="Calibri"/>
        <family val="2"/>
      </rPr>
      <t>PENINSULA</t>
    </r>
  </si>
  <si>
    <r>
      <t xml:space="preserve">k EST ENERO 2023 - </t>
    </r>
    <r>
      <rPr>
        <b/>
        <sz val="11"/>
        <color theme="1"/>
        <rFont val="Calibri"/>
        <family val="2"/>
      </rPr>
      <t>CANARIAS</t>
    </r>
  </si>
  <si>
    <r>
      <t xml:space="preserve">k EST ENERO 2023 - </t>
    </r>
    <r>
      <rPr>
        <b/>
        <sz val="11"/>
        <color theme="1"/>
        <rFont val="Calibri"/>
        <family val="2"/>
      </rPr>
      <t>BALEARES</t>
    </r>
  </si>
  <si>
    <t>k ESTIMADA FEBRERO 2023 - 3.0TD 6.XTD / 2.0TD</t>
  </si>
  <si>
    <r>
      <t xml:space="preserve">k EST FEBRERO 2023 - </t>
    </r>
    <r>
      <rPr>
        <b/>
        <sz val="11"/>
        <color theme="1"/>
        <rFont val="Calibri"/>
        <family val="2"/>
      </rPr>
      <t>PENINSULA</t>
    </r>
  </si>
  <si>
    <r>
      <t xml:space="preserve">k EST FEBRERO 2023 - </t>
    </r>
    <r>
      <rPr>
        <b/>
        <sz val="11"/>
        <color theme="1"/>
        <rFont val="Calibri"/>
        <family val="2"/>
      </rPr>
      <t>CANARIAS</t>
    </r>
  </si>
  <si>
    <r>
      <t xml:space="preserve">k EST FEBRERO 2023 - </t>
    </r>
    <r>
      <rPr>
        <b/>
        <sz val="11"/>
        <color theme="1"/>
        <rFont val="Calibri"/>
        <family val="2"/>
      </rPr>
      <t>BALEARES</t>
    </r>
  </si>
  <si>
    <t>k ESTIMADA MARZO 2023 - 3.0TD 6.XTD / 2.0TD</t>
  </si>
  <si>
    <r>
      <t xml:space="preserve">k EST MARZO 2023 - </t>
    </r>
    <r>
      <rPr>
        <b/>
        <sz val="11"/>
        <color theme="1"/>
        <rFont val="Calibri"/>
        <family val="2"/>
      </rPr>
      <t>PENINSULA</t>
    </r>
  </si>
  <si>
    <r>
      <t xml:space="preserve">k EST MARZO 2023 - </t>
    </r>
    <r>
      <rPr>
        <b/>
        <sz val="11"/>
        <color theme="1"/>
        <rFont val="Calibri"/>
        <family val="2"/>
      </rPr>
      <t>CANARIAS</t>
    </r>
  </si>
  <si>
    <r>
      <t xml:space="preserve">k EST MARZO 2023 - </t>
    </r>
    <r>
      <rPr>
        <b/>
        <sz val="11"/>
        <color theme="1"/>
        <rFont val="Calibri"/>
        <family val="2"/>
      </rPr>
      <t>BALEARES</t>
    </r>
  </si>
  <si>
    <t>k ESTIMADA ABRIL 2023 - 3.0TD 6.XTD / 2.0TD</t>
  </si>
  <si>
    <r>
      <t xml:space="preserve">k EST ABRIL 2023 - </t>
    </r>
    <r>
      <rPr>
        <b/>
        <sz val="11"/>
        <color theme="1"/>
        <rFont val="Calibri"/>
        <family val="2"/>
      </rPr>
      <t>PENINSULA</t>
    </r>
  </si>
  <si>
    <r>
      <t xml:space="preserve">k EST ABRIL 2023 - </t>
    </r>
    <r>
      <rPr>
        <b/>
        <sz val="11"/>
        <color theme="1"/>
        <rFont val="Calibri"/>
        <family val="2"/>
      </rPr>
      <t>CANARIAS</t>
    </r>
  </si>
  <si>
    <r>
      <t xml:space="preserve">k EST ABRIL 2023 - </t>
    </r>
    <r>
      <rPr>
        <b/>
        <sz val="11"/>
        <color theme="1"/>
        <rFont val="Calibri"/>
        <family val="2"/>
      </rPr>
      <t>BALEARES</t>
    </r>
  </si>
  <si>
    <t>k ESTIMADA MAYO 2023 - 3.0TD 6.XTD / 2.0TD</t>
  </si>
  <si>
    <r>
      <t xml:space="preserve">k EST MAYO 2023 - </t>
    </r>
    <r>
      <rPr>
        <b/>
        <sz val="11"/>
        <color theme="1"/>
        <rFont val="Calibri"/>
        <family val="2"/>
      </rPr>
      <t>PENINSULA</t>
    </r>
  </si>
  <si>
    <r>
      <t xml:space="preserve">k EST MAYO 2023 - </t>
    </r>
    <r>
      <rPr>
        <b/>
        <sz val="11"/>
        <color theme="1"/>
        <rFont val="Calibri"/>
        <family val="2"/>
      </rPr>
      <t>CANARIAS</t>
    </r>
  </si>
  <si>
    <r>
      <t xml:space="preserve">k EST MAYO 2023 - </t>
    </r>
    <r>
      <rPr>
        <b/>
        <sz val="11"/>
        <color theme="1"/>
        <rFont val="Calibri"/>
        <family val="2"/>
      </rPr>
      <t>BALEARES</t>
    </r>
  </si>
  <si>
    <t>k ESTIMADA JUNIO 2023 - 3.0TD 6.XTD / 2.0TD</t>
  </si>
  <si>
    <r>
      <t xml:space="preserve">k EST JUNIO 2023 - </t>
    </r>
    <r>
      <rPr>
        <b/>
        <sz val="11"/>
        <color theme="1"/>
        <rFont val="Calibri"/>
        <family val="2"/>
      </rPr>
      <t>PENINSULA</t>
    </r>
  </si>
  <si>
    <r>
      <t xml:space="preserve">k EST JUNIO 2023 - </t>
    </r>
    <r>
      <rPr>
        <b/>
        <sz val="11"/>
        <color theme="1"/>
        <rFont val="Calibri"/>
        <family val="2"/>
      </rPr>
      <t>CANARIAS</t>
    </r>
  </si>
  <si>
    <r>
      <t xml:space="preserve">k EST JUNIO 2023 - </t>
    </r>
    <r>
      <rPr>
        <b/>
        <sz val="11"/>
        <color theme="1"/>
        <rFont val="Calibri"/>
        <family val="2"/>
      </rPr>
      <t>BALEARES</t>
    </r>
  </si>
  <si>
    <t>k ESTIMADA JULIO 2023 - 3.0TD 6.XTD / 2.0TD</t>
  </si>
  <si>
    <r>
      <t xml:space="preserve">k EST JULIO 2023 - </t>
    </r>
    <r>
      <rPr>
        <b/>
        <sz val="11"/>
        <color theme="1"/>
        <rFont val="Calibri"/>
        <family val="2"/>
      </rPr>
      <t>PENINSULA</t>
    </r>
  </si>
  <si>
    <r>
      <t xml:space="preserve">k EST JULIO 2023 - </t>
    </r>
    <r>
      <rPr>
        <b/>
        <sz val="11"/>
        <color theme="1"/>
        <rFont val="Calibri"/>
        <family val="2"/>
      </rPr>
      <t>CANARIAS</t>
    </r>
  </si>
  <si>
    <r>
      <t xml:space="preserve">k EST JULIO 2023 - </t>
    </r>
    <r>
      <rPr>
        <b/>
        <sz val="11"/>
        <color theme="1"/>
        <rFont val="Calibri"/>
        <family val="2"/>
      </rPr>
      <t>BALEARES</t>
    </r>
  </si>
  <si>
    <t>k ESTIMADA AGOSTO 2023 - 3.0TD 6.XTD / 2.0TD</t>
  </si>
  <si>
    <r>
      <t xml:space="preserve">k EST AGOSTO 2023 - </t>
    </r>
    <r>
      <rPr>
        <b/>
        <sz val="11"/>
        <color theme="1"/>
        <rFont val="Calibri"/>
        <family val="2"/>
      </rPr>
      <t>PENINSULA</t>
    </r>
  </si>
  <si>
    <r>
      <t xml:space="preserve">k EST AGOSTO 2023 - </t>
    </r>
    <r>
      <rPr>
        <b/>
        <sz val="11"/>
        <color theme="1"/>
        <rFont val="Calibri"/>
        <family val="2"/>
      </rPr>
      <t>CANARIAS</t>
    </r>
  </si>
  <si>
    <r>
      <t xml:space="preserve">k EST AGOSTO 2023 - </t>
    </r>
    <r>
      <rPr>
        <b/>
        <sz val="11"/>
        <color theme="1"/>
        <rFont val="Calibri"/>
        <family val="2"/>
      </rPr>
      <t>BALEARES</t>
    </r>
  </si>
  <si>
    <t>k ESTIMADA SEPTIEMBRE 2023 - 3.0TD 6.XTD / 2.0TD</t>
  </si>
  <si>
    <r>
      <t xml:space="preserve">k EST SEPTIEMBRE 2023 - </t>
    </r>
    <r>
      <rPr>
        <b/>
        <sz val="11"/>
        <color theme="1"/>
        <rFont val="Calibri"/>
        <family val="2"/>
      </rPr>
      <t>PENINSULA</t>
    </r>
  </si>
  <si>
    <r>
      <t xml:space="preserve">k EST SEPTIEMBRE 2023 - </t>
    </r>
    <r>
      <rPr>
        <b/>
        <sz val="11"/>
        <color theme="1"/>
        <rFont val="Calibri"/>
        <family val="2"/>
      </rPr>
      <t>CANARIAS</t>
    </r>
  </si>
  <si>
    <r>
      <t xml:space="preserve">k EST SEPTIEMBRE 2023 - </t>
    </r>
    <r>
      <rPr>
        <b/>
        <sz val="11"/>
        <color theme="1"/>
        <rFont val="Calibri"/>
        <family val="2"/>
      </rPr>
      <t>BALEARES</t>
    </r>
  </si>
  <si>
    <t>k ESTIMADA OCTUBRE 2023 - 3.0TD 6.XTD / 2.0TD</t>
  </si>
  <si>
    <r>
      <t xml:space="preserve">k EST OCTUBRE 2023 - </t>
    </r>
    <r>
      <rPr>
        <b/>
        <sz val="11"/>
        <color theme="1"/>
        <rFont val="Calibri"/>
        <family val="2"/>
      </rPr>
      <t>PENINSULA</t>
    </r>
  </si>
  <si>
    <r>
      <t xml:space="preserve">k EST OCTUBRE 2023 - </t>
    </r>
    <r>
      <rPr>
        <b/>
        <sz val="11"/>
        <color theme="1"/>
        <rFont val="Calibri"/>
        <family val="2"/>
      </rPr>
      <t>CANARIAS</t>
    </r>
  </si>
  <si>
    <r>
      <t xml:space="preserve">k EST OCTUBRE 2023 - </t>
    </r>
    <r>
      <rPr>
        <b/>
        <sz val="11"/>
        <color theme="1"/>
        <rFont val="Calibri"/>
        <family val="2"/>
      </rPr>
      <t>BALEARES</t>
    </r>
  </si>
  <si>
    <t>k ESTIMADA NOVIEMBRE 2023 - 3.0TD 6.XTD / 2.0TD</t>
  </si>
  <si>
    <r>
      <t xml:space="preserve">k EST NOVIEMBRE 2023 - </t>
    </r>
    <r>
      <rPr>
        <b/>
        <sz val="11"/>
        <color theme="1"/>
        <rFont val="Calibri"/>
        <family val="2"/>
      </rPr>
      <t>PENINSULA</t>
    </r>
  </si>
  <si>
    <r>
      <t xml:space="preserve">k EST NOVIEMBRE 2023 - </t>
    </r>
    <r>
      <rPr>
        <b/>
        <sz val="11"/>
        <color theme="1"/>
        <rFont val="Calibri"/>
        <family val="2"/>
      </rPr>
      <t>CANARIAS</t>
    </r>
  </si>
  <si>
    <r>
      <t xml:space="preserve">k EST NOVIEMBRE 2023 - </t>
    </r>
    <r>
      <rPr>
        <b/>
        <sz val="11"/>
        <color theme="1"/>
        <rFont val="Calibri"/>
        <family val="2"/>
      </rPr>
      <t>BALEARES</t>
    </r>
  </si>
  <si>
    <t>k ESTIMADA DICIEMBRE 2023 - 3.0TD 6.XTD / 2.0TD</t>
  </si>
  <si>
    <r>
      <t xml:space="preserve">k EST DICIEMBRE 2023 - </t>
    </r>
    <r>
      <rPr>
        <b/>
        <sz val="11"/>
        <color theme="1"/>
        <rFont val="Calibri"/>
        <family val="2"/>
      </rPr>
      <t>PENINSULA</t>
    </r>
  </si>
  <si>
    <r>
      <t xml:space="preserve">k EST DICIEMBRE 2023 - </t>
    </r>
    <r>
      <rPr>
        <b/>
        <sz val="11"/>
        <color theme="1"/>
        <rFont val="Calibri"/>
        <family val="2"/>
      </rPr>
      <t>CANARIAS</t>
    </r>
  </si>
  <si>
    <r>
      <t xml:space="preserve">k EST DICIEMBRE 2023 - </t>
    </r>
    <r>
      <rPr>
        <b/>
        <sz val="11"/>
        <color theme="1"/>
        <rFont val="Calibri"/>
        <family val="2"/>
      </rPr>
      <t>BALEARES</t>
    </r>
  </si>
  <si>
    <t>k EST AÑO 2023 - PENINSULA</t>
  </si>
  <si>
    <t>k EST AÑO 2023 - CANARIAS</t>
  </si>
  <si>
    <t>k EST AÑO 2023 - BALEARES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</si>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</sst>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0.000000"/>
    <numFmt numFmtId="166" formatCode="0.00000000"/>
  </numFmts>
  <fonts count="5" x14ac:knownFonts="1">
    <font>
      <sz val="11"/>
      <color theme="1"/>
      <name val="Calibri"/>
      <family val="2"/>
      <charset val="1"/>
    </font>
    <font>
      <b/>
      <sz val="18"/>
      <color theme="1"/>
      <name val="Calibri"/>
      <family val="2"/>
      <charset val="1"/>
    </font>
    <font>
      <sz val="9"/>
      <color indexed="81"/>
      <name val="Tahoma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5" tint="0.59987182226020086"/>
        <bgColor rgb="FFFFCC9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65" fontId="0" fillId="5" borderId="0" xfId="0" applyNumberFormat="1" applyFill="1"/>
    <xf numFmtId="166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4" fillId="9" borderId="0" xfId="1" applyFill="1" applyAlignment="1">
      <alignment horizontal="center"/>
    </xf>
    <xf numFmtId="165" fontId="0" fillId="5" borderId="0" xfId="0" applyNumberFormat="1" applyFill="1" applyAlignment="1">
      <alignment horizontal="center"/>
    </xf>
  </cellXfs>
  <cellStyles count="2">
    <cellStyle name="Hipervínculo" xfId="1" builtinId="8"/>
    <cellStyle name="Normal" xfId="0" builtinId="0"/>
  </cellStyles>
  <dxfs count="600"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66FF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0070C0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6600"/>
        </patternFill>
      </fill>
    </dxf>
    <dxf>
      <fill>
        <patternFill>
          <bgColor rgb="FFFF66FF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CC000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0070C0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66FF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0070C0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6600"/>
        </patternFill>
      </fill>
    </dxf>
    <dxf>
      <fill>
        <patternFill>
          <bgColor rgb="FFFF66FF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CC000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0070C0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0070C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66FF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0070C0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6600"/>
        </patternFill>
      </fill>
    </dxf>
    <dxf>
      <fill>
        <patternFill>
          <bgColor rgb="FFFF66FF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CC000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0070C0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0070C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66FF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0070C0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6600"/>
        </patternFill>
      </fill>
    </dxf>
    <dxf>
      <fill>
        <patternFill>
          <bgColor rgb="FFFF66FF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CC000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0070C0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0070C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FF66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0000"/>
      <color rgb="FFFF66FF"/>
      <color rgb="FFFF66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696191</xdr:colOff>
      <xdr:row>6</xdr:row>
      <xdr:rowOff>95826</xdr:rowOff>
    </xdr:from>
    <xdr:to>
      <xdr:col>50</xdr:col>
      <xdr:colOff>611909</xdr:colOff>
      <xdr:row>23</xdr:row>
      <xdr:rowOff>115454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2D73A5F-ECED-4CD2-B7ED-9D0563E4ADA9}"/>
            </a:ext>
          </a:extLst>
        </xdr:cNvPr>
        <xdr:cNvSpPr txBox="1"/>
      </xdr:nvSpPr>
      <xdr:spPr>
        <a:xfrm>
          <a:off x="33747941" y="1175326"/>
          <a:ext cx="4087668" cy="3150178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/>
            <a:t>COMO SE HA PLANTEADO EL CALCULO DE LA K</a:t>
          </a:r>
          <a:r>
            <a:rPr lang="es-ES" sz="1100" b="1" baseline="0"/>
            <a:t> ESTIMADA POR PERIODOS</a:t>
          </a:r>
        </a:p>
        <a:p>
          <a:pPr algn="ctr"/>
          <a:endParaRPr lang="es-ES" sz="1100" b="1" baseline="0"/>
        </a:p>
        <a:p>
          <a:pPr algn="l"/>
          <a:r>
            <a:rPr lang="es-ES" sz="1100" b="1" baseline="0"/>
            <a:t>Se saca de ESIOS el fichero de las k estimadas correspondientes al año pasadoy lo que se hara es un estuido a 12 meses anteriores para saber mas o mneso como se comportaran en el siguiente año (rollin 12 meses)</a:t>
          </a:r>
        </a:p>
        <a:p>
          <a:pPr algn="l"/>
          <a:endParaRPr lang="es-ES" sz="1100" b="1" baseline="0"/>
        </a:p>
        <a:p>
          <a:pPr algn="l"/>
          <a:r>
            <a:rPr lang="es-ES" sz="1100" b="1" baseline="0"/>
            <a:t>Lo que he hecho es coger el fichero de REE y trasponer filas y columnas luego usando el CALEND_PERIODOS le pongo a su hoar el periodod correspondiente, y a su dia igual dado que en S,D y festivos no se tiene en cuenta las horas por que todo ese dia es considerado P6, ademas tengo en cuenta los dias gestivos reconocidos diferentes de sabados y domingos que se encuentran en la hoja FESTIVOS.</a:t>
          </a:r>
        </a:p>
        <a:p>
          <a:pPr algn="l"/>
          <a:endParaRPr lang="es-ES" sz="1100" b="1" baseline="0"/>
        </a:p>
        <a:p>
          <a:pPr algn="l"/>
          <a:endParaRPr lang="es-ES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696191</xdr:colOff>
      <xdr:row>6</xdr:row>
      <xdr:rowOff>95826</xdr:rowOff>
    </xdr:from>
    <xdr:to>
      <xdr:col>50</xdr:col>
      <xdr:colOff>611909</xdr:colOff>
      <xdr:row>23</xdr:row>
      <xdr:rowOff>115454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D0072FA-D9B1-47A3-AE8F-0A3507E48203}"/>
            </a:ext>
          </a:extLst>
        </xdr:cNvPr>
        <xdr:cNvSpPr txBox="1"/>
      </xdr:nvSpPr>
      <xdr:spPr>
        <a:xfrm>
          <a:off x="33747941" y="1175326"/>
          <a:ext cx="4087668" cy="3150178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/>
            <a:t>COMO SE HA PLANTEADO EL CALCULO DE LA K</a:t>
          </a:r>
          <a:r>
            <a:rPr lang="es-ES" sz="1100" b="1" baseline="0"/>
            <a:t> ESTIMADA POR PERIODOS</a:t>
          </a:r>
        </a:p>
        <a:p>
          <a:pPr algn="ctr"/>
          <a:endParaRPr lang="es-ES" sz="1100" b="1" baseline="0"/>
        </a:p>
        <a:p>
          <a:pPr algn="l"/>
          <a:r>
            <a:rPr lang="es-ES" sz="1100" b="1" baseline="0"/>
            <a:t>Se saca de ESIOS el fichero de las k estimadas correspondientes al año pasadoy lo que se hara es un estuido a 12 meses anteriores para saber mas o mneso como se comportaran en el siguiente año (rollin 12 meses)</a:t>
          </a:r>
        </a:p>
        <a:p>
          <a:pPr algn="l"/>
          <a:endParaRPr lang="es-ES" sz="1100" b="1" baseline="0"/>
        </a:p>
        <a:p>
          <a:pPr algn="l"/>
          <a:r>
            <a:rPr lang="es-ES" sz="1100" b="1" baseline="0"/>
            <a:t>Lo que he hecho es coger el fichero de REE y trasponer filas y columnas luego usando el CALEND_PERIODOS le pongo a su hoar el periodod correspondiente, y a su dia igual dado que en S,D y festivos no se tiene en cuenta las horas por que todo ese dia es considerado P6, ademas tengo en cuenta los dias gestivos reconocidos diferentes de sabados y domingos que se encuentran en la hoja FESTIVOS.</a:t>
          </a:r>
        </a:p>
        <a:p>
          <a:pPr algn="l"/>
          <a:endParaRPr lang="es-ES" sz="1100" b="1" baseline="0"/>
        </a:p>
        <a:p>
          <a:pPr algn="l"/>
          <a:endParaRPr lang="es-ES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696191</xdr:colOff>
      <xdr:row>6</xdr:row>
      <xdr:rowOff>95826</xdr:rowOff>
    </xdr:from>
    <xdr:to>
      <xdr:col>50</xdr:col>
      <xdr:colOff>611909</xdr:colOff>
      <xdr:row>23</xdr:row>
      <xdr:rowOff>115454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789FFD0-B201-89BA-455B-86EE96B4316E}"/>
            </a:ext>
          </a:extLst>
        </xdr:cNvPr>
        <xdr:cNvSpPr txBox="1"/>
      </xdr:nvSpPr>
      <xdr:spPr>
        <a:xfrm>
          <a:off x="31845827" y="1158008"/>
          <a:ext cx="4095173" cy="3159991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/>
            <a:t>COMO SE HA PLANTEADO EL CALCULO DE LA K</a:t>
          </a:r>
          <a:r>
            <a:rPr lang="es-ES" sz="1100" b="1" baseline="0"/>
            <a:t> ESTIMADA POR PERIODOS</a:t>
          </a:r>
        </a:p>
        <a:p>
          <a:pPr algn="ctr"/>
          <a:endParaRPr lang="es-ES" sz="1100" b="1" baseline="0"/>
        </a:p>
        <a:p>
          <a:pPr algn="l"/>
          <a:r>
            <a:rPr lang="es-ES" sz="1100" b="1" baseline="0"/>
            <a:t>Se saca de ESIOS el fichero de las k estimadas correspondientes al año pasadoy lo que se hara es un estuido a 12 meses anteriores para saber mas o mneso como se comportaran en el siguiente año (rollin 12 meses)</a:t>
          </a:r>
        </a:p>
        <a:p>
          <a:pPr algn="l"/>
          <a:endParaRPr lang="es-ES" sz="1100" b="1" baseline="0"/>
        </a:p>
        <a:p>
          <a:pPr algn="l"/>
          <a:r>
            <a:rPr lang="es-ES" sz="1100" b="1" baseline="0"/>
            <a:t>Lo que he hecho es coger el fichero de REE y trasponer filas y columnas luego usando el CALEND_PERIODOS le pongo a su hoar el periodod correspondiente, y a su dia igual dado que en S,D y festivos no se tiene en cuenta las horas por que todo ese dia es considerado P6, ademas tengo en cuenta los dias gestivos reconocidos diferentes de sabados y domingos que se encuentran en la hoja FESTIVOS.</a:t>
          </a:r>
        </a:p>
        <a:p>
          <a:pPr algn="l"/>
          <a:endParaRPr lang="es-ES" sz="1100" b="1" baseline="0"/>
        </a:p>
        <a:p>
          <a:pPr algn="l"/>
          <a:endParaRPr lang="es-ES" sz="11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696191</xdr:colOff>
      <xdr:row>6</xdr:row>
      <xdr:rowOff>95826</xdr:rowOff>
    </xdr:from>
    <xdr:to>
      <xdr:col>50</xdr:col>
      <xdr:colOff>611909</xdr:colOff>
      <xdr:row>23</xdr:row>
      <xdr:rowOff>115454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3BB1F17-C164-4463-83C0-BB5DFC9313B9}"/>
            </a:ext>
          </a:extLst>
        </xdr:cNvPr>
        <xdr:cNvSpPr txBox="1"/>
      </xdr:nvSpPr>
      <xdr:spPr>
        <a:xfrm>
          <a:off x="33747941" y="1175326"/>
          <a:ext cx="4087668" cy="3150178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/>
            <a:t>COMO SE HA PLANTEADO EL CALCULO DE LA K</a:t>
          </a:r>
          <a:r>
            <a:rPr lang="es-ES" sz="1100" b="1" baseline="0"/>
            <a:t> ESTIMADA POR PERIODOS</a:t>
          </a:r>
        </a:p>
        <a:p>
          <a:pPr algn="ctr"/>
          <a:endParaRPr lang="es-ES" sz="1100" b="1" baseline="0"/>
        </a:p>
        <a:p>
          <a:pPr algn="l"/>
          <a:r>
            <a:rPr lang="es-ES" sz="1100" b="1" baseline="0"/>
            <a:t>Se saca de ESIOS el fichero de las k estimadas correspondientes al año pasadoy lo que se hara es un estuido a 12 meses anteriores para saber mas o mneso como se comportaran en el siguiente año (rollin 12 meses)</a:t>
          </a:r>
        </a:p>
        <a:p>
          <a:pPr algn="l"/>
          <a:endParaRPr lang="es-ES" sz="1100" b="1" baseline="0"/>
        </a:p>
        <a:p>
          <a:pPr algn="l"/>
          <a:r>
            <a:rPr lang="es-ES" sz="1100" b="1" baseline="0"/>
            <a:t>Lo que he hecho es coger el fichero de REE y trasponer filas y columnas luego usando el CALEND_PERIODOS le pongo a su hoar el periodod correspondiente, y a su dia igual dado que en S,D y festivos no se tiene en cuenta las horas por que todo ese dia es considerado P6, ademas tengo en cuenta los dias gestivos reconocidos diferentes de sabados y domingos que se encuentran en la hoja FESTIVOS.</a:t>
          </a:r>
        </a:p>
        <a:p>
          <a:pPr algn="l"/>
          <a:endParaRPr lang="es-ES" sz="1100" b="1" baseline="0"/>
        </a:p>
        <a:p>
          <a:pPr algn="l"/>
          <a:endParaRPr lang="es-ES" sz="1100" b="1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s://www.esios.ree.es/es/descargas?date_type=datos&amp;start_date=01-04-2026&amp;end_date=30-04-2026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hyperlink" Target="https://www.esios.ree.es/es/descargas?date_type=datos&amp;start_date=01-04-2026&amp;end_date=30-04-2026" TargetMode="Externa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hyperlink" Target="https://www.esios.ree.es/es/descargas?date_type=datos&amp;start_date=01-04-2026&amp;end_date=30-04-2026" TargetMode="Externa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hyperlink" Target="https://www.esios.ree.es/es/descargas?date_type=datos&amp;start_date=01-04-2026&amp;end_date=30-04-2026" TargetMode="External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49BC8-EECE-41BF-8EA3-DCD4E225BBAD}">
  <dimension ref="A1:BJ417"/>
  <sheetViews>
    <sheetView topLeftCell="AG6" zoomScale="44" workbookViewId="0">
      <selection activeCell="BC18" sqref="BC18"/>
    </sheetView>
  </sheetViews>
  <sheetFormatPr baseColWidth="10" defaultColWidth="10.90625" defaultRowHeight="14.25" customHeight="1" x14ac:dyDescent="0.35"/>
  <cols>
    <col min="1" max="2" width="10.90625" style="1"/>
    <col min="3" max="3" width="3.36328125" style="1" bestFit="1" customWidth="1"/>
    <col min="4" max="4" width="10.26953125" style="1" bestFit="1" customWidth="1"/>
    <col min="5" max="5" width="12.26953125" style="1" bestFit="1" customWidth="1"/>
    <col min="6" max="6" width="11.36328125" style="1" bestFit="1" customWidth="1"/>
    <col min="7" max="7" width="11.36328125" style="1" customWidth="1"/>
    <col min="8" max="36" width="11.36328125" style="1" bestFit="1" customWidth="1"/>
    <col min="37" max="37" width="10.90625" style="1"/>
    <col min="38" max="38" width="6.08984375" style="1" bestFit="1" customWidth="1"/>
    <col min="39" max="44" width="9.36328125" style="1" bestFit="1" customWidth="1"/>
    <col min="45" max="46" width="10.90625" style="1"/>
    <col min="47" max="47" width="4.453125" style="1" bestFit="1" customWidth="1"/>
    <col min="48" max="48" width="11" style="1" bestFit="1" customWidth="1"/>
    <col min="49" max="49" width="11.54296875" style="1" bestFit="1" customWidth="1"/>
    <col min="50" max="16384" width="10.90625" style="1"/>
  </cols>
  <sheetData>
    <row r="1" spans="1:62" ht="14.25" customHeight="1" x14ac:dyDescent="0.35">
      <c r="A1" s="15" t="s">
        <v>204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T1" s="16" t="s">
        <v>57</v>
      </c>
      <c r="AU1" s="16"/>
      <c r="AV1" s="16"/>
      <c r="AW1" s="16"/>
      <c r="AX1" s="17" t="s">
        <v>58</v>
      </c>
      <c r="AY1" s="17"/>
      <c r="AZ1" s="17"/>
      <c r="BA1" s="17"/>
      <c r="BB1" s="17"/>
      <c r="BC1" s="12"/>
    </row>
    <row r="2" spans="1:62" ht="14.25" customHeight="1" x14ac:dyDescent="0.3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62" ht="14.25" customHeight="1" x14ac:dyDescent="0.35">
      <c r="AL3" s="10"/>
      <c r="AM3" s="10"/>
      <c r="AN3" s="10"/>
      <c r="AO3" s="10"/>
      <c r="AP3" s="10"/>
      <c r="AQ3" s="10"/>
      <c r="AR3" s="10"/>
    </row>
    <row r="4" spans="1:62" ht="14.25" customHeight="1" x14ac:dyDescent="0.35">
      <c r="F4" s="1" t="str">
        <f>IF(OR(F6="S",F6="D",F7=DATE(2023,1,1)),"P3","")</f>
        <v>P3</v>
      </c>
      <c r="G4" s="1" t="str">
        <f t="shared" ref="G4:AJ4" si="0">IF(OR(G6="S",G6="D",G7=DATE(2023,1,1)),"P3","")</f>
        <v/>
      </c>
      <c r="H4" s="1" t="str">
        <f t="shared" si="0"/>
        <v/>
      </c>
      <c r="I4" s="1" t="str">
        <f t="shared" si="0"/>
        <v/>
      </c>
      <c r="J4" s="1" t="str">
        <f t="shared" si="0"/>
        <v/>
      </c>
      <c r="K4" s="1" t="str">
        <f t="shared" si="0"/>
        <v/>
      </c>
      <c r="L4" s="1" t="str">
        <f t="shared" si="0"/>
        <v>P3</v>
      </c>
      <c r="M4" s="1" t="str">
        <f t="shared" si="0"/>
        <v>P3</v>
      </c>
      <c r="N4" s="1" t="str">
        <f t="shared" si="0"/>
        <v/>
      </c>
      <c r="O4" s="1" t="str">
        <f t="shared" si="0"/>
        <v/>
      </c>
      <c r="P4" s="1" t="str">
        <f t="shared" si="0"/>
        <v/>
      </c>
      <c r="Q4" s="1" t="str">
        <f t="shared" si="0"/>
        <v/>
      </c>
      <c r="R4" s="1" t="str">
        <f t="shared" si="0"/>
        <v/>
      </c>
      <c r="S4" s="1" t="str">
        <f t="shared" si="0"/>
        <v>P3</v>
      </c>
      <c r="T4" s="1" t="str">
        <f t="shared" si="0"/>
        <v>P3</v>
      </c>
      <c r="U4" s="1" t="str">
        <f t="shared" si="0"/>
        <v/>
      </c>
      <c r="V4" s="1" t="str">
        <f t="shared" si="0"/>
        <v/>
      </c>
      <c r="W4" s="1" t="str">
        <f t="shared" si="0"/>
        <v/>
      </c>
      <c r="X4" s="1" t="str">
        <f t="shared" si="0"/>
        <v/>
      </c>
      <c r="Y4" s="1" t="str">
        <f t="shared" si="0"/>
        <v/>
      </c>
      <c r="Z4" s="1" t="str">
        <f t="shared" si="0"/>
        <v>P3</v>
      </c>
      <c r="AA4" s="1" t="str">
        <f t="shared" si="0"/>
        <v>P3</v>
      </c>
      <c r="AB4" s="1" t="str">
        <f t="shared" si="0"/>
        <v/>
      </c>
      <c r="AC4" s="1" t="str">
        <f t="shared" si="0"/>
        <v/>
      </c>
      <c r="AD4" s="1" t="str">
        <f t="shared" si="0"/>
        <v/>
      </c>
      <c r="AE4" s="1" t="str">
        <f t="shared" si="0"/>
        <v/>
      </c>
      <c r="AF4" s="1" t="str">
        <f t="shared" si="0"/>
        <v/>
      </c>
      <c r="AG4" s="1" t="str">
        <f t="shared" si="0"/>
        <v>P3</v>
      </c>
      <c r="AH4" s="1" t="str">
        <f t="shared" si="0"/>
        <v>P3</v>
      </c>
      <c r="AI4" s="1" t="str">
        <f t="shared" si="0"/>
        <v/>
      </c>
      <c r="AJ4" s="1" t="str">
        <f t="shared" si="0"/>
        <v/>
      </c>
      <c r="AL4" s="10"/>
      <c r="AM4" s="10"/>
      <c r="AN4" s="10"/>
      <c r="AO4" s="10"/>
      <c r="AP4" s="10"/>
      <c r="AQ4" s="10"/>
      <c r="AR4" s="10"/>
    </row>
    <row r="5" spans="1:62" ht="14.5" x14ac:dyDescent="0.35">
      <c r="F5" s="1" t="str">
        <f>IF(OR(F6="S",F6="D",F7=DATE(2023,1,1)),"P6","")</f>
        <v>P6</v>
      </c>
      <c r="G5" s="1" t="str">
        <f t="shared" ref="G5:AJ5" si="1">IF(OR(G6="S",G6="D",G7=DATE(2023,1,1)),"P6","")</f>
        <v/>
      </c>
      <c r="H5" s="1" t="str">
        <f t="shared" si="1"/>
        <v/>
      </c>
      <c r="I5" s="1" t="str">
        <f t="shared" si="1"/>
        <v/>
      </c>
      <c r="J5" s="1" t="str">
        <f t="shared" si="1"/>
        <v/>
      </c>
      <c r="K5" s="1" t="str">
        <f t="shared" si="1"/>
        <v/>
      </c>
      <c r="L5" s="1" t="str">
        <f t="shared" si="1"/>
        <v>P6</v>
      </c>
      <c r="M5" s="1" t="str">
        <f t="shared" si="1"/>
        <v>P6</v>
      </c>
      <c r="N5" s="1" t="str">
        <f t="shared" si="1"/>
        <v/>
      </c>
      <c r="O5" s="1" t="str">
        <f t="shared" si="1"/>
        <v/>
      </c>
      <c r="P5" s="1" t="str">
        <f t="shared" si="1"/>
        <v/>
      </c>
      <c r="Q5" s="1" t="str">
        <f t="shared" si="1"/>
        <v/>
      </c>
      <c r="R5" s="1" t="str">
        <f t="shared" si="1"/>
        <v/>
      </c>
      <c r="S5" s="1" t="str">
        <f t="shared" si="1"/>
        <v>P6</v>
      </c>
      <c r="T5" s="1" t="str">
        <f t="shared" si="1"/>
        <v>P6</v>
      </c>
      <c r="U5" s="1" t="str">
        <f t="shared" si="1"/>
        <v/>
      </c>
      <c r="V5" s="1" t="str">
        <f t="shared" si="1"/>
        <v/>
      </c>
      <c r="W5" s="1" t="str">
        <f t="shared" si="1"/>
        <v/>
      </c>
      <c r="X5" s="1" t="str">
        <f t="shared" si="1"/>
        <v/>
      </c>
      <c r="Y5" s="1" t="str">
        <f t="shared" si="1"/>
        <v/>
      </c>
      <c r="Z5" s="1" t="str">
        <f t="shared" si="1"/>
        <v>P6</v>
      </c>
      <c r="AA5" s="1" t="str">
        <f t="shared" si="1"/>
        <v>P6</v>
      </c>
      <c r="AB5" s="1" t="str">
        <f t="shared" si="1"/>
        <v/>
      </c>
      <c r="AC5" s="1" t="str">
        <f t="shared" si="1"/>
        <v/>
      </c>
      <c r="AD5" s="1" t="str">
        <f t="shared" si="1"/>
        <v/>
      </c>
      <c r="AE5" s="1" t="str">
        <f t="shared" si="1"/>
        <v/>
      </c>
      <c r="AF5" s="1" t="str">
        <f t="shared" si="1"/>
        <v/>
      </c>
      <c r="AG5" s="1" t="str">
        <f t="shared" si="1"/>
        <v>P6</v>
      </c>
      <c r="AH5" s="1" t="str">
        <f t="shared" si="1"/>
        <v>P6</v>
      </c>
      <c r="AI5" s="1" t="str">
        <f t="shared" si="1"/>
        <v/>
      </c>
      <c r="AJ5" s="1" t="str">
        <f t="shared" si="1"/>
        <v/>
      </c>
      <c r="AL5" s="14" t="s">
        <v>205</v>
      </c>
      <c r="AM5" s="14"/>
      <c r="AN5" s="14"/>
      <c r="AO5" s="14"/>
      <c r="AP5" s="14"/>
      <c r="AQ5" s="14"/>
      <c r="AR5" s="14"/>
    </row>
    <row r="6" spans="1:62" ht="14.5" x14ac:dyDescent="0.35">
      <c r="F6" s="1" t="str">
        <f>CHOOSE(WEEKDAY(F7,2),"L","M","X","J","V","S","D")</f>
        <v>D</v>
      </c>
      <c r="G6" s="1" t="str">
        <f t="shared" ref="G6:AJ6" si="2">CHOOSE(WEEKDAY(G7,2),"L","M","X","J","V","S","D")</f>
        <v>L</v>
      </c>
      <c r="H6" s="1" t="str">
        <f t="shared" si="2"/>
        <v>M</v>
      </c>
      <c r="I6" s="1" t="str">
        <f t="shared" si="2"/>
        <v>X</v>
      </c>
      <c r="J6" s="1" t="str">
        <f t="shared" si="2"/>
        <v>J</v>
      </c>
      <c r="K6" s="1" t="str">
        <f t="shared" si="2"/>
        <v>V</v>
      </c>
      <c r="L6" s="1" t="str">
        <f t="shared" si="2"/>
        <v>S</v>
      </c>
      <c r="M6" s="1" t="str">
        <f t="shared" si="2"/>
        <v>D</v>
      </c>
      <c r="N6" s="1" t="str">
        <f t="shared" si="2"/>
        <v>L</v>
      </c>
      <c r="O6" s="1" t="str">
        <f t="shared" si="2"/>
        <v>M</v>
      </c>
      <c r="P6" s="1" t="str">
        <f t="shared" si="2"/>
        <v>X</v>
      </c>
      <c r="Q6" s="1" t="str">
        <f t="shared" si="2"/>
        <v>J</v>
      </c>
      <c r="R6" s="1" t="str">
        <f t="shared" si="2"/>
        <v>V</v>
      </c>
      <c r="S6" s="1" t="str">
        <f t="shared" si="2"/>
        <v>S</v>
      </c>
      <c r="T6" s="1" t="str">
        <f t="shared" si="2"/>
        <v>D</v>
      </c>
      <c r="U6" s="1" t="str">
        <f t="shared" si="2"/>
        <v>L</v>
      </c>
      <c r="V6" s="1" t="str">
        <f t="shared" si="2"/>
        <v>M</v>
      </c>
      <c r="W6" s="1" t="str">
        <f t="shared" si="2"/>
        <v>X</v>
      </c>
      <c r="X6" s="1" t="str">
        <f t="shared" si="2"/>
        <v>J</v>
      </c>
      <c r="Y6" s="1" t="str">
        <f t="shared" si="2"/>
        <v>V</v>
      </c>
      <c r="Z6" s="1" t="str">
        <f t="shared" si="2"/>
        <v>S</v>
      </c>
      <c r="AA6" s="1" t="str">
        <f t="shared" si="2"/>
        <v>D</v>
      </c>
      <c r="AB6" s="1" t="str">
        <f t="shared" si="2"/>
        <v>L</v>
      </c>
      <c r="AC6" s="1" t="str">
        <f t="shared" si="2"/>
        <v>M</v>
      </c>
      <c r="AD6" s="1" t="str">
        <f t="shared" si="2"/>
        <v>X</v>
      </c>
      <c r="AE6" s="1" t="str">
        <f t="shared" si="2"/>
        <v>J</v>
      </c>
      <c r="AF6" s="1" t="str">
        <f t="shared" si="2"/>
        <v>V</v>
      </c>
      <c r="AG6" s="1" t="str">
        <f t="shared" si="2"/>
        <v>S</v>
      </c>
      <c r="AH6" s="1" t="str">
        <f t="shared" si="2"/>
        <v>D</v>
      </c>
      <c r="AI6" s="1" t="str">
        <f t="shared" si="2"/>
        <v>L</v>
      </c>
      <c r="AJ6" s="1" t="str">
        <f t="shared" si="2"/>
        <v>M</v>
      </c>
      <c r="AL6" s="4"/>
      <c r="AM6" s="4" t="s">
        <v>13</v>
      </c>
      <c r="AN6" s="4" t="s">
        <v>14</v>
      </c>
      <c r="AO6" s="4" t="s">
        <v>15</v>
      </c>
      <c r="AP6" s="4" t="s">
        <v>16</v>
      </c>
      <c r="AQ6" s="4" t="s">
        <v>17</v>
      </c>
      <c r="AR6" s="4" t="s">
        <v>7</v>
      </c>
    </row>
    <row r="7" spans="1:62" s="3" customFormat="1" ht="14.5" x14ac:dyDescent="0.35">
      <c r="A7" s="3" t="s">
        <v>76</v>
      </c>
      <c r="B7" s="3" t="s">
        <v>77</v>
      </c>
      <c r="C7" s="3" t="s">
        <v>75</v>
      </c>
      <c r="D7" s="3" t="s">
        <v>74</v>
      </c>
      <c r="F7" s="3">
        <v>44927</v>
      </c>
      <c r="G7" s="3">
        <v>44928</v>
      </c>
      <c r="H7" s="3">
        <v>44929</v>
      </c>
      <c r="I7" s="3">
        <v>44930</v>
      </c>
      <c r="J7" s="3">
        <v>44931</v>
      </c>
      <c r="K7" s="3">
        <v>44932</v>
      </c>
      <c r="L7" s="3">
        <v>44933</v>
      </c>
      <c r="M7" s="3">
        <v>44934</v>
      </c>
      <c r="N7" s="3">
        <v>44935</v>
      </c>
      <c r="O7" s="3">
        <v>44936</v>
      </c>
      <c r="P7" s="3">
        <v>44937</v>
      </c>
      <c r="Q7" s="3">
        <v>44938</v>
      </c>
      <c r="R7" s="3">
        <v>44939</v>
      </c>
      <c r="S7" s="3">
        <v>44940</v>
      </c>
      <c r="T7" s="3">
        <v>44941</v>
      </c>
      <c r="U7" s="3">
        <v>44942</v>
      </c>
      <c r="V7" s="3">
        <v>44943</v>
      </c>
      <c r="W7" s="3">
        <v>44944</v>
      </c>
      <c r="X7" s="3">
        <v>44945</v>
      </c>
      <c r="Y7" s="3">
        <v>44946</v>
      </c>
      <c r="Z7" s="3">
        <v>44947</v>
      </c>
      <c r="AA7" s="3">
        <v>44948</v>
      </c>
      <c r="AB7" s="3">
        <v>44949</v>
      </c>
      <c r="AC7" s="3">
        <v>44950</v>
      </c>
      <c r="AD7" s="3">
        <v>44951</v>
      </c>
      <c r="AE7" s="3">
        <v>44952</v>
      </c>
      <c r="AF7" s="3">
        <v>44953</v>
      </c>
      <c r="AG7" s="3">
        <v>44954</v>
      </c>
      <c r="AH7" s="3">
        <v>44955</v>
      </c>
      <c r="AI7" s="3">
        <v>44956</v>
      </c>
      <c r="AJ7" s="3">
        <v>44957</v>
      </c>
      <c r="AL7" s="4" t="s">
        <v>19</v>
      </c>
      <c r="AM7" s="6" cm="1">
        <f t="array" ref="AM7">IFERROR((SUMPRODUCT(($C$8:$C$31=AM$6)*($F$4:$AJ$4="")*$F$8:$AJ$31)+IF(AM$6="P3",SUMPRODUCT(($F$4:$AJ$4="P3")*$F$8:$AJ$31),0))/(SUMPRODUCT(($C$8:$C$31=AM$6)*($F$4:$AJ$4=""))+IF(AM$6="P3",COUNTIF($F$4:$AJ$4,"P3")*ROWS($C$8:$C$31),0)),"")</f>
        <v>1.1232200568181814</v>
      </c>
      <c r="AN7" s="6" cm="1">
        <f t="array" ref="AN7">IFERROR((SUMPRODUCT(($C$8:$C$31=AN$6)*($F$4:$AJ$4="")*$F$8:$AJ$31)+IF(AN$6="P3",SUMPRODUCT(($F$4:$AJ$4="P3")*$F$8:$AJ$31),0))/(SUMPRODUCT(($C$8:$C$31=AN$6)*($F$4:$AJ$4=""))+IF(AN$6="P3",COUNTIF($F$4:$AJ$4,"P3")*ROWS($C$8:$C$31),0)),"")</f>
        <v>1.1531414204545456</v>
      </c>
      <c r="AO7" s="6" cm="1">
        <f t="array" ref="AO7">IFERROR((SUMPRODUCT(($C$8:$C$31=AO$6)*($F$4:$AJ$4="")*$F$8:$AJ$31)+IF(AO$6="P3",SUMPRODUCT(($F$4:$AJ$4="P3")*$F$8:$AJ$31),0))/(SUMPRODUCT(($C$8:$C$31=AO$6)*($F$4:$AJ$4=""))+IF(AO$6="P3",COUNTIF($F$4:$AJ$4,"P3")*ROWS($C$8:$C$31),0)),"")</f>
        <v>1.2666623724489789</v>
      </c>
      <c r="AP7" s="6" t="str" cm="1">
        <f t="array" ref="AP7">IFERROR((SUMPRODUCT(($C$8:$C$31=AP$6)*($F$4:$AJ$4="")*$F$8:$AJ$31)+IF(AP$6="P3",SUMPRODUCT(($F$4:$AJ$4="P3")*$F$8:$AJ$31),0))/(SUMPRODUCT(($C$8:$C$31=AP$6)*($F$4:$AJ$4=""))+IF(AP$6="P3",COUNTIF($F$4:$AJ$4,"P3")*ROWS($C$8:$C$31),0)),"")</f>
        <v/>
      </c>
      <c r="AQ7" s="6" t="str" cm="1">
        <f t="array" ref="AQ7">IFERROR((SUMPRODUCT(($C$8:$C$31=AQ$6)*($F$4:$AJ$4="")*$F$8:$AJ$31)+IF(AQ$6="P3",SUMPRODUCT(($F$4:$AJ$4="P3")*$F$8:$AJ$31),0))/(SUMPRODUCT(($C$8:$C$31=AQ$6)*($F$4:$AJ$4=""))+IF(AQ$6="P3",COUNTIF($F$4:$AJ$4,"P3")*ROWS($C$8:$C$31),0)),"")</f>
        <v/>
      </c>
      <c r="AR7" s="6" t="str" cm="1">
        <f t="array" ref="AR7">IFERROR((SUMPRODUCT(($C$8:$C$31=AR$6)*($F$4:$AJ$4="")*$F$8:$AJ$31)+IF(AR$6="P3",SUMPRODUCT(($F$4:$AJ$4="P3")*$F$8:$AJ$31),0))/(SUMPRODUCT(($C$8:$C$31=AR$6)*($F$4:$AJ$4=""))+IF(AR$6="P3",COUNTIF($F$4:$AJ$4,"P3")*ROWS($C$8:$C$31),0)),"")</f>
        <v/>
      </c>
      <c r="BB7" s="11"/>
      <c r="BC7" s="11"/>
      <c r="BD7" s="11"/>
      <c r="BE7" s="11"/>
      <c r="BF7" s="11"/>
      <c r="BG7" s="11"/>
      <c r="BH7" s="11"/>
      <c r="BI7" s="11"/>
      <c r="BJ7" s="11"/>
    </row>
    <row r="8" spans="1:62" ht="14.5" x14ac:dyDescent="0.35">
      <c r="A8" s="1" t="s">
        <v>7</v>
      </c>
      <c r="B8" s="1" t="s">
        <v>7</v>
      </c>
      <c r="C8" s="1" t="s">
        <v>15</v>
      </c>
      <c r="D8" s="1" t="s">
        <v>7</v>
      </c>
      <c r="E8" s="1" t="s">
        <v>8</v>
      </c>
      <c r="F8" s="1">
        <v>1.31488</v>
      </c>
      <c r="G8" s="1">
        <v>1.3233900000000001</v>
      </c>
      <c r="H8" s="1">
        <v>1.22864</v>
      </c>
      <c r="I8" s="1">
        <v>1.2508900000000001</v>
      </c>
      <c r="J8" s="1">
        <v>1.21913</v>
      </c>
      <c r="K8" s="1">
        <v>1.29891</v>
      </c>
      <c r="L8" s="1">
        <v>1.2467699999999999</v>
      </c>
      <c r="M8" s="1">
        <v>1.2899700000000001</v>
      </c>
      <c r="N8" s="1">
        <v>1.3233900000000001</v>
      </c>
      <c r="O8" s="1">
        <v>1.22864</v>
      </c>
      <c r="P8" s="1">
        <v>1.2508900000000001</v>
      </c>
      <c r="Q8" s="1">
        <v>1.21913</v>
      </c>
      <c r="R8" s="1">
        <v>1.27999</v>
      </c>
      <c r="S8" s="1">
        <v>1.2467699999999999</v>
      </c>
      <c r="T8" s="1">
        <v>1.2899700000000001</v>
      </c>
      <c r="U8" s="1">
        <v>1.3233900000000001</v>
      </c>
      <c r="V8" s="1">
        <v>1.22864</v>
      </c>
      <c r="W8" s="1">
        <v>1.2508900000000001</v>
      </c>
      <c r="X8" s="1">
        <v>1.21913</v>
      </c>
      <c r="Y8" s="1">
        <v>1.27999</v>
      </c>
      <c r="Z8" s="1">
        <v>1.2467699999999999</v>
      </c>
      <c r="AA8" s="1">
        <v>1.2899700000000001</v>
      </c>
      <c r="AB8" s="1">
        <v>1.3233900000000001</v>
      </c>
      <c r="AC8" s="1">
        <v>1.22864</v>
      </c>
      <c r="AD8" s="1">
        <v>1.2508900000000001</v>
      </c>
      <c r="AE8" s="1">
        <v>1.21913</v>
      </c>
      <c r="AF8" s="1">
        <v>1.27999</v>
      </c>
      <c r="AG8" s="1">
        <v>1.2467699999999999</v>
      </c>
      <c r="AH8" s="1">
        <v>1.2899700000000001</v>
      </c>
      <c r="AI8" s="1">
        <v>1.3233900000000001</v>
      </c>
      <c r="AJ8" s="1">
        <v>1.22864</v>
      </c>
      <c r="AL8" s="4" t="s">
        <v>21</v>
      </c>
      <c r="AM8" s="6" cm="1">
        <f t="array" ref="AM8">IFERROR((SUMPRODUCT(($D$8:$D$31=AM$6)*($F$5:$AJ$5="")*$F$8:$AJ$31)+IF(AM$6="P6",SUMPRODUCT(($F$5:$AJ$5="P6")*$F$8:$AJ$31),0))/(SUMPRODUCT(($D$8:$D$31=AM$6)*($F$5:$AJ$5=""))+IF(AM$6="P6",COUNTIF($F$5:$AJ$5,"P6")*ROWS($D$8:$D$31),0)),"")</f>
        <v>1.1236779292929286</v>
      </c>
      <c r="AN8" s="6" cm="1">
        <f t="array" ref="AN8">IFERROR((SUMPRODUCT(($D$8:$D$31=AN$6)*($F$5:$AJ$5="")*$F$8:$AJ$31)+IF(AN$6="P6",SUMPRODUCT(($F$5:$AJ$5="P6")*$F$8:$AJ$31),0))/(SUMPRODUCT(($D$8:$D$31=AN$6)*($F$5:$AJ$5=""))+IF(AN$6="P6",COUNTIF($F$5:$AJ$5,"P6")*ROWS($D$8:$D$31),0)),"")</f>
        <v>1.1568272077922077</v>
      </c>
      <c r="AO8" s="6" t="str">
        <f>IFERROR((SUMPRODUCT(($D$8:$D$31=AO$6)*($F$5:$AJ$5="")*$F$8:$AJ$31)+IF(AO$6="P6",SUMPRODUCT(($F$5:$AJ$5="P6")*$F$8:$AJ$31),0))/(SUMPRODUCT(($D$8:$D$31=AO$6)*($F$5:$AJ$5=""))+IF(AO$6="P6",COUNTIF($F$5:$AJ$5,"P6")*ROWS($D$8:$D$31),0)),"")</f>
        <v/>
      </c>
      <c r="AP8" s="6" t="str">
        <f>IFERROR((SUMPRODUCT(($D$8:$D$31=AP$6)*($F$5:$AJ$5="")*$F$8:$AJ$31)+IF(AP$6="P6",SUMPRODUCT(($F$5:$AJ$5="P6")*$F$8:$AJ$31),0))/(SUMPRODUCT(($D$8:$D$31=AP$6)*($F$5:$AJ$5=""))+IF(AP$6="P6",COUNTIF($F$5:$AJ$5,"P6")*ROWS($D$8:$D$31),0)),"")</f>
        <v/>
      </c>
      <c r="AQ8" s="6" t="str">
        <f>IFERROR((SUMPRODUCT(($D$8:$D$31=AQ$6)*($F$5:$AJ$5="")*$F$8:$AJ$31)+IF(AQ$6="P6",SUMPRODUCT(($F$5:$AJ$5="P6")*$F$8:$AJ$31),0))/(SUMPRODUCT(($D$8:$D$31=AQ$6)*($F$5:$AJ$5=""))+IF(AQ$6="P6",COUNTIF($F$5:$AJ$5,"P6")*ROWS($D$8:$D$31),0)),"")</f>
        <v/>
      </c>
      <c r="AR8" s="6">
        <f>IFERROR((SUMPRODUCT(($D$8:$D$31=AR$6)*($F$5:$AJ$5="")*$F$8:$AJ$31)+IF(AR$6="P6",SUMPRODUCT(($F$5:$AJ$5="P6")*$F$8:$AJ$31),0))/(SUMPRODUCT(($D$8:$D$31=AR$6)*($F$5:$AJ$5=""))+IF(AR$6="P6",COUNTIF($F$5:$AJ$5,"P6")*ROWS($D$8:$D$31),0)),"")</f>
        <v>1.2666623724489789</v>
      </c>
      <c r="BB8" s="10"/>
      <c r="BC8" s="10"/>
      <c r="BD8" s="10"/>
      <c r="BE8" s="10"/>
      <c r="BF8" s="10"/>
      <c r="BG8" s="10"/>
      <c r="BH8" s="10"/>
      <c r="BI8" s="10"/>
      <c r="BJ8" s="10"/>
    </row>
    <row r="9" spans="1:62" ht="14.5" x14ac:dyDescent="0.35">
      <c r="A9" s="1" t="s">
        <v>7</v>
      </c>
      <c r="B9" s="1" t="s">
        <v>7</v>
      </c>
      <c r="C9" s="1" t="s">
        <v>15</v>
      </c>
      <c r="D9" s="1" t="s">
        <v>7</v>
      </c>
      <c r="E9" s="1" t="s">
        <v>9</v>
      </c>
      <c r="F9" s="1">
        <v>1.3694999999999999</v>
      </c>
      <c r="G9" s="1">
        <v>1.38975</v>
      </c>
      <c r="H9" s="1">
        <v>1.2896000000000001</v>
      </c>
      <c r="I9" s="1">
        <v>1.30877</v>
      </c>
      <c r="J9" s="1">
        <v>1.2867999999999999</v>
      </c>
      <c r="K9" s="1">
        <v>1.3463499999999999</v>
      </c>
      <c r="L9" s="1">
        <v>1.3002899999999999</v>
      </c>
      <c r="M9" s="1">
        <v>1.3420099999999999</v>
      </c>
      <c r="N9" s="1">
        <v>1.38975</v>
      </c>
      <c r="O9" s="1">
        <v>1.2896000000000001</v>
      </c>
      <c r="P9" s="1">
        <v>1.30877</v>
      </c>
      <c r="Q9" s="1">
        <v>1.2867999999999999</v>
      </c>
      <c r="R9" s="1">
        <v>1.3397399999999999</v>
      </c>
      <c r="S9" s="1">
        <v>1.3002899999999999</v>
      </c>
      <c r="T9" s="1">
        <v>1.3420099999999999</v>
      </c>
      <c r="U9" s="1">
        <v>1.38975</v>
      </c>
      <c r="V9" s="1">
        <v>1.2896000000000001</v>
      </c>
      <c r="W9" s="1">
        <v>1.30877</v>
      </c>
      <c r="X9" s="1">
        <v>1.2867999999999999</v>
      </c>
      <c r="Y9" s="1">
        <v>1.3397399999999999</v>
      </c>
      <c r="Z9" s="1">
        <v>1.3002899999999999</v>
      </c>
      <c r="AA9" s="1">
        <v>1.3420099999999999</v>
      </c>
      <c r="AB9" s="1">
        <v>1.38975</v>
      </c>
      <c r="AC9" s="1">
        <v>1.2896000000000001</v>
      </c>
      <c r="AD9" s="1">
        <v>1.30877</v>
      </c>
      <c r="AE9" s="1">
        <v>1.2867999999999999</v>
      </c>
      <c r="AF9" s="1">
        <v>1.3397399999999999</v>
      </c>
      <c r="AG9" s="1">
        <v>1.3002899999999999</v>
      </c>
      <c r="AH9" s="1">
        <v>1.3420099999999999</v>
      </c>
      <c r="AI9" s="1">
        <v>1.38975</v>
      </c>
      <c r="AJ9" s="1">
        <v>1.2896000000000001</v>
      </c>
      <c r="AL9" s="4" t="s">
        <v>23</v>
      </c>
      <c r="AM9" s="6" cm="1">
        <f t="array" ref="AM9">IFERROR((SUMPRODUCT(($D$8:$D$31=AM$6)*($F$5:$AJ$5="")*$F$8:$AJ$31)+IF(AM$6="P6",SUMPRODUCT(($F$5:$AJ$5="P6")*$F$8:$AJ$31),0))/(SUMPRODUCT(($D$8:$D$31=AM$6)*($F$5:$AJ$5=""))+IF(AM$6="P6",COUNTIF($F$5:$AJ$5,"P6")*ROWS($D$8:$D$31),0)),"")</f>
        <v>1.1236779292929286</v>
      </c>
      <c r="AN9" s="6">
        <f>IFERROR((SUMPRODUCT(($D$8:$D$31=AN$6)*($F$5:$AJ$5="")*$F$8:$AJ$31)+IF(AN$6="P6",SUMPRODUCT(($F$5:$AJ$5="P6")*$F$8:$AJ$31),0))/(SUMPRODUCT(($D$8:$D$31=AN$6)*($F$5:$AJ$5=""))+IF(AN$6="P6",COUNTIF($F$5:$AJ$5,"P6")*ROWS($D$8:$D$31),0)),"")</f>
        <v>1.1568272077922077</v>
      </c>
      <c r="AO9" s="5"/>
      <c r="AP9" s="5"/>
      <c r="AQ9" s="5"/>
      <c r="AR9" s="6">
        <f>IFERROR((SUMPRODUCT(($D$8:$D$31=AR$6)*($F$5:$AJ$5="")*$F$8:$AJ$31)+IF(AR$6="P6",SUMPRODUCT(($F$5:$AJ$5="P6")*$F$8:$AJ$31),0))/(SUMPRODUCT(($D$8:$D$31=AR$6)*($F$5:$AJ$5=""))+IF(AR$6="P6",COUNTIF($F$5:$AJ$5,"P6")*ROWS($D$8:$D$31),0)),"")</f>
        <v>1.2666623724489789</v>
      </c>
      <c r="BB9" s="10"/>
      <c r="BC9" s="10"/>
      <c r="BD9" s="10"/>
      <c r="BE9" s="10"/>
      <c r="BF9" s="10"/>
      <c r="BG9" s="10"/>
      <c r="BH9" s="10"/>
      <c r="BI9" s="10"/>
      <c r="BJ9" s="10"/>
    </row>
    <row r="10" spans="1:62" ht="14.5" x14ac:dyDescent="0.35">
      <c r="A10" s="1" t="s">
        <v>7</v>
      </c>
      <c r="B10" s="1" t="s">
        <v>7</v>
      </c>
      <c r="C10" s="1" t="s">
        <v>15</v>
      </c>
      <c r="D10" s="1" t="s">
        <v>7</v>
      </c>
      <c r="E10" s="1" t="s">
        <v>10</v>
      </c>
      <c r="F10" s="1">
        <v>1.44878</v>
      </c>
      <c r="G10" s="1">
        <v>1.4387099999999999</v>
      </c>
      <c r="H10" s="1">
        <v>1.32385</v>
      </c>
      <c r="I10" s="1">
        <v>1.3535900000000001</v>
      </c>
      <c r="J10" s="1">
        <v>1.32063</v>
      </c>
      <c r="K10" s="1">
        <v>1.3949199999999999</v>
      </c>
      <c r="L10" s="1">
        <v>1.3571899999999999</v>
      </c>
      <c r="M10" s="1">
        <v>1.38815</v>
      </c>
      <c r="N10" s="1">
        <v>1.4387099999999999</v>
      </c>
      <c r="O10" s="1">
        <v>1.32385</v>
      </c>
      <c r="P10" s="1">
        <v>1.3535900000000001</v>
      </c>
      <c r="Q10" s="1">
        <v>1.32063</v>
      </c>
      <c r="R10" s="1">
        <v>1.37263</v>
      </c>
      <c r="S10" s="1">
        <v>1.3571899999999999</v>
      </c>
      <c r="T10" s="1">
        <v>1.38815</v>
      </c>
      <c r="U10" s="1">
        <v>1.4387099999999999</v>
      </c>
      <c r="V10" s="1">
        <v>1.32385</v>
      </c>
      <c r="W10" s="1">
        <v>1.3535900000000001</v>
      </c>
      <c r="X10" s="1">
        <v>1.32063</v>
      </c>
      <c r="Y10" s="1">
        <v>1.37263</v>
      </c>
      <c r="Z10" s="1">
        <v>1.3571899999999999</v>
      </c>
      <c r="AA10" s="1">
        <v>1.38815</v>
      </c>
      <c r="AB10" s="1">
        <v>1.4387099999999999</v>
      </c>
      <c r="AC10" s="1">
        <v>1.32385</v>
      </c>
      <c r="AD10" s="1">
        <v>1.3535900000000001</v>
      </c>
      <c r="AE10" s="1">
        <v>1.32063</v>
      </c>
      <c r="AF10" s="1">
        <v>1.37263</v>
      </c>
      <c r="AG10" s="1">
        <v>1.3571899999999999</v>
      </c>
      <c r="AH10" s="1">
        <v>1.38815</v>
      </c>
      <c r="AI10" s="1">
        <v>1.4387099999999999</v>
      </c>
      <c r="AJ10" s="1">
        <v>1.32385</v>
      </c>
      <c r="AL10" s="4" t="s">
        <v>25</v>
      </c>
      <c r="AM10" s="6" cm="1">
        <f t="array" ref="AM10">IFERROR((SUMPRODUCT(($D$8:$D$31=AM$6)*($F$5:$AJ$5="")*$F$8:$AJ$31)+IF(AM$6="P6",SUMPRODUCT(($F$5:$AJ$5="P6")*$F$8:$AJ$31),0))/(SUMPRODUCT(($D$8:$D$31=AM$6)*($F$5:$AJ$5=""))+IF(AM$6="P6",COUNTIF($F$5:$AJ$5,"P6")*ROWS($D$8:$D$31),0)),"")</f>
        <v>1.1236779292929286</v>
      </c>
      <c r="AN10" s="6">
        <f>IFERROR((SUMPRODUCT(($D$8:$D$31=AN$6)*($F$5:$AJ$5="")*$F$8:$AJ$31)+IF(AN$6="P6",SUMPRODUCT(($F$5:$AJ$5="P6")*$F$8:$AJ$31),0))/(SUMPRODUCT(($D$8:$D$31=AN$6)*($F$5:$AJ$5=""))+IF(AN$6="P6",COUNTIF($F$5:$AJ$5,"P6")*ROWS($D$8:$D$31),0)),"")</f>
        <v>1.1568272077922077</v>
      </c>
      <c r="AO10" s="5"/>
      <c r="AP10" s="5"/>
      <c r="AQ10" s="5"/>
      <c r="AR10" s="6">
        <f>IFERROR((SUMPRODUCT(($D$8:$D$31=AR$6)*($F$5:$AJ$5="")*$F$8:$AJ$31)+IF(AR$6="P6",SUMPRODUCT(($F$5:$AJ$5="P6")*$F$8:$AJ$31),0))/(SUMPRODUCT(($D$8:$D$31=AR$6)*($F$5:$AJ$5=""))+IF(AR$6="P6",COUNTIF($F$5:$AJ$5,"P6")*ROWS($D$8:$D$31),0)),"")</f>
        <v>1.2666623724489789</v>
      </c>
      <c r="BB10" s="10"/>
      <c r="BC10" s="13" t="s">
        <v>252</v>
      </c>
      <c r="BD10" s="13"/>
      <c r="BE10" s="13"/>
      <c r="BF10" s="13"/>
      <c r="BG10" s="13"/>
      <c r="BH10" s="13"/>
      <c r="BI10" s="13"/>
      <c r="BJ10" s="10"/>
    </row>
    <row r="11" spans="1:62" ht="14.5" x14ac:dyDescent="0.35">
      <c r="A11" s="1" t="s">
        <v>7</v>
      </c>
      <c r="B11" s="1" t="s">
        <v>7</v>
      </c>
      <c r="C11" s="1" t="s">
        <v>15</v>
      </c>
      <c r="D11" s="1" t="s">
        <v>7</v>
      </c>
      <c r="E11" s="1" t="s">
        <v>11</v>
      </c>
      <c r="F11" s="1">
        <v>1.5090399999999999</v>
      </c>
      <c r="G11" s="1">
        <v>1.45208</v>
      </c>
      <c r="H11" s="1">
        <v>1.3444100000000001</v>
      </c>
      <c r="I11" s="1">
        <v>1.36856</v>
      </c>
      <c r="J11" s="1">
        <v>1.32934</v>
      </c>
      <c r="K11" s="1">
        <v>1.4305600000000001</v>
      </c>
      <c r="L11" s="1">
        <v>1.3914200000000001</v>
      </c>
      <c r="M11" s="1">
        <v>1.4225099999999999</v>
      </c>
      <c r="N11" s="1">
        <v>1.45208</v>
      </c>
      <c r="O11" s="1">
        <v>1.3444100000000001</v>
      </c>
      <c r="P11" s="1">
        <v>1.36856</v>
      </c>
      <c r="Q11" s="1">
        <v>1.32934</v>
      </c>
      <c r="R11" s="1">
        <v>1.4058600000000001</v>
      </c>
      <c r="S11" s="1">
        <v>1.3914200000000001</v>
      </c>
      <c r="T11" s="1">
        <v>1.4225099999999999</v>
      </c>
      <c r="U11" s="1">
        <v>1.45208</v>
      </c>
      <c r="V11" s="1">
        <v>1.3444100000000001</v>
      </c>
      <c r="W11" s="1">
        <v>1.36856</v>
      </c>
      <c r="X11" s="1">
        <v>1.32934</v>
      </c>
      <c r="Y11" s="1">
        <v>1.4058600000000001</v>
      </c>
      <c r="Z11" s="1">
        <v>1.3914200000000001</v>
      </c>
      <c r="AA11" s="1">
        <v>1.4225099999999999</v>
      </c>
      <c r="AB11" s="1">
        <v>1.45208</v>
      </c>
      <c r="AC11" s="1">
        <v>1.3444100000000001</v>
      </c>
      <c r="AD11" s="1">
        <v>1.36856</v>
      </c>
      <c r="AE11" s="1">
        <v>1.32934</v>
      </c>
      <c r="AF11" s="1">
        <v>1.4058600000000001</v>
      </c>
      <c r="AG11" s="1">
        <v>1.3914200000000001</v>
      </c>
      <c r="AH11" s="1">
        <v>1.4225099999999999</v>
      </c>
      <c r="AI11" s="1">
        <v>1.45208</v>
      </c>
      <c r="AJ11" s="1">
        <v>1.3444100000000001</v>
      </c>
      <c r="AL11" s="4" t="s">
        <v>27</v>
      </c>
      <c r="AM11" s="6" cm="1">
        <f t="array" ref="AM11">IFERROR((SUMPRODUCT(($D$8:$D$31=AM$6)*($F$5:$AJ$5="")*$F$8:$AJ$31)+IF(AM$6="P6",SUMPRODUCT(($F$5:$AJ$5="P6")*$F$8:$AJ$31),0))/(SUMPRODUCT(($D$8:$D$31=AM$6)*($F$5:$AJ$5=""))+IF(AM$6="P6",COUNTIF($F$5:$AJ$5,"P6")*ROWS($D$8:$D$31),0)),"")</f>
        <v>1.1236779292929286</v>
      </c>
      <c r="AN11" s="6">
        <f>IFERROR((SUMPRODUCT(($D$8:$D$31=AN$6)*($F$5:$AJ$5="")*$F$8:$AJ$31)+IF(AN$6="P6",SUMPRODUCT(($F$5:$AJ$5="P6")*$F$8:$AJ$31),0))/(SUMPRODUCT(($D$8:$D$31=AN$6)*($F$5:$AJ$5=""))+IF(AN$6="P6",COUNTIF($F$5:$AJ$5,"P6")*ROWS($D$8:$D$31),0)),"")</f>
        <v>1.1568272077922077</v>
      </c>
      <c r="AO11" s="5"/>
      <c r="AP11" s="5"/>
      <c r="AQ11" s="5"/>
      <c r="AR11" s="6">
        <f>IFERROR((SUMPRODUCT(($D$8:$D$31=AR$6)*($F$5:$AJ$5="")*$F$8:$AJ$31)+IF(AR$6="P6",SUMPRODUCT(($F$5:$AJ$5="P6")*$F$8:$AJ$31),0))/(SUMPRODUCT(($D$8:$D$31=AR$6)*($F$5:$AJ$5=""))+IF(AR$6="P6",COUNTIF($F$5:$AJ$5,"P6")*ROWS($D$8:$D$31),0)),"")</f>
        <v>1.2666623724489789</v>
      </c>
      <c r="BB11" s="10"/>
      <c r="BC11" s="4"/>
      <c r="BD11" s="4" t="s">
        <v>13</v>
      </c>
      <c r="BE11" s="4" t="s">
        <v>14</v>
      </c>
      <c r="BF11" s="4" t="s">
        <v>15</v>
      </c>
      <c r="BG11" s="4" t="s">
        <v>16</v>
      </c>
      <c r="BH11" s="4" t="s">
        <v>17</v>
      </c>
      <c r="BI11" s="4" t="s">
        <v>7</v>
      </c>
      <c r="BJ11" s="10"/>
    </row>
    <row r="12" spans="1:62" ht="14.5" x14ac:dyDescent="0.35">
      <c r="A12" s="1" t="s">
        <v>7</v>
      </c>
      <c r="B12" s="1" t="s">
        <v>7</v>
      </c>
      <c r="C12" s="1" t="s">
        <v>15</v>
      </c>
      <c r="D12" s="1" t="s">
        <v>7</v>
      </c>
      <c r="E12" s="1" t="s">
        <v>12</v>
      </c>
      <c r="F12" s="1">
        <v>1.54593</v>
      </c>
      <c r="G12" s="1">
        <v>1.4515199999999999</v>
      </c>
      <c r="H12" s="1">
        <v>1.3351200000000001</v>
      </c>
      <c r="I12" s="1">
        <v>1.36687</v>
      </c>
      <c r="J12" s="1">
        <v>1.3291299999999999</v>
      </c>
      <c r="K12" s="1">
        <v>1.45086</v>
      </c>
      <c r="L12" s="1">
        <v>1.40245</v>
      </c>
      <c r="M12" s="1">
        <v>1.4443600000000001</v>
      </c>
      <c r="N12" s="1">
        <v>1.4515199999999999</v>
      </c>
      <c r="O12" s="1">
        <v>1.3351200000000001</v>
      </c>
      <c r="P12" s="1">
        <v>1.36687</v>
      </c>
      <c r="Q12" s="1">
        <v>1.3291299999999999</v>
      </c>
      <c r="R12" s="1">
        <v>1.4150700000000001</v>
      </c>
      <c r="S12" s="1">
        <v>1.40245</v>
      </c>
      <c r="T12" s="1">
        <v>1.4443600000000001</v>
      </c>
      <c r="U12" s="1">
        <v>1.4515199999999999</v>
      </c>
      <c r="V12" s="1">
        <v>1.3351200000000001</v>
      </c>
      <c r="W12" s="1">
        <v>1.36687</v>
      </c>
      <c r="X12" s="1">
        <v>1.3291299999999999</v>
      </c>
      <c r="Y12" s="1">
        <v>1.4150700000000001</v>
      </c>
      <c r="Z12" s="1">
        <v>1.40245</v>
      </c>
      <c r="AA12" s="1">
        <v>1.4443600000000001</v>
      </c>
      <c r="AB12" s="1">
        <v>1.4515199999999999</v>
      </c>
      <c r="AC12" s="1">
        <v>1.3351200000000001</v>
      </c>
      <c r="AD12" s="1">
        <v>1.36687</v>
      </c>
      <c r="AE12" s="1">
        <v>1.3291299999999999</v>
      </c>
      <c r="AF12" s="1">
        <v>1.4150700000000001</v>
      </c>
      <c r="AG12" s="1">
        <v>1.40245</v>
      </c>
      <c r="AH12" s="1">
        <v>1.4443600000000001</v>
      </c>
      <c r="AI12" s="1">
        <v>1.4515199999999999</v>
      </c>
      <c r="AJ12" s="1">
        <v>1.3351200000000001</v>
      </c>
      <c r="AL12" s="4" t="s">
        <v>29</v>
      </c>
      <c r="AM12" s="6" cm="1">
        <f t="array" ref="AM12">IFERROR((SUMPRODUCT(($D$8:$D$31=AM$6)*($F$5:$AJ$5="")*$F$8:$AJ$31)+IF(AM$6="P6",SUMPRODUCT(($F$5:$AJ$5="P6")*$F$8:$AJ$31),0))/(SUMPRODUCT(($D$8:$D$31=AM$6)*($F$5:$AJ$5=""))+IF(AM$6="P6",COUNTIF($F$5:$AJ$5,"P6")*ROWS($D$8:$D$31),0)),"")</f>
        <v>1.1236779292929286</v>
      </c>
      <c r="AN12" s="6">
        <f>IFERROR((SUMPRODUCT(($D$8:$D$31=AN$6)*($F$5:$AJ$5="")*$F$8:$AJ$31)+IF(AN$6="P6",SUMPRODUCT(($F$5:$AJ$5="P6")*$F$8:$AJ$31),0))/(SUMPRODUCT(($D$8:$D$31=AN$6)*($F$5:$AJ$5=""))+IF(AN$6="P6",COUNTIF($F$5:$AJ$5,"P6")*ROWS($D$8:$D$31),0)),"")</f>
        <v>1.1568272077922077</v>
      </c>
      <c r="AO12" s="5"/>
      <c r="AP12" s="5"/>
      <c r="AQ12" s="5"/>
      <c r="AR12" s="6" cm="1">
        <f t="array" ref="AR12">IFERROR((SUMPRODUCT(($D$8:$D$31=AR$6)*($F$5:$AJ$5="")*$F$8:$AJ$31)+IF(AR$6="P6",SUMPRODUCT(($F$5:$AJ$5="P6")*$F$8:$AJ$31),0))/(SUMPRODUCT(($D$8:$D$31=AR$6)*($F$5:$AJ$5=""))+IF(AR$6="P6",COUNTIF($F$5:$AJ$5,"P6")*ROWS($D$8:$D$31),0)),"")</f>
        <v>1.2666623724489789</v>
      </c>
      <c r="BB12" s="10"/>
      <c r="BC12" s="4" t="s">
        <v>19</v>
      </c>
      <c r="BD12" s="6">
        <f>AVERAGE(AM7,AM42,AM77,AM112,AM147,AM182,AM217,AM252,AM287,AM322,AM357,AM392)</f>
        <v>0.99296324775772715</v>
      </c>
      <c r="BE12" s="6">
        <f>AVERAGE(AN7,AN42,AN77,AN112,AN147,AN182,AN217,AN252,AN287,AN322,AN357,AN392)</f>
        <v>1.0635638050203118</v>
      </c>
      <c r="BF12" s="6">
        <f>AVERAGE(AO7,AO42,AO77,AO112,AO147,AO182,AO217,AO252,AO287,AO322,AO357,AO392)</f>
        <v>1.0876568786097318</v>
      </c>
      <c r="BG12" s="6"/>
      <c r="BH12" s="6"/>
      <c r="BI12" s="6"/>
      <c r="BJ12" s="10"/>
    </row>
    <row r="13" spans="1:62" ht="14.5" x14ac:dyDescent="0.35">
      <c r="A13" s="1" t="s">
        <v>7</v>
      </c>
      <c r="B13" s="1" t="s">
        <v>7</v>
      </c>
      <c r="C13" s="1" t="s">
        <v>15</v>
      </c>
      <c r="D13" s="1" t="s">
        <v>7</v>
      </c>
      <c r="E13" s="1" t="s">
        <v>18</v>
      </c>
      <c r="F13" s="1">
        <v>1.54924</v>
      </c>
      <c r="G13" s="1">
        <v>1.3874599999999999</v>
      </c>
      <c r="H13" s="1">
        <v>1.30165</v>
      </c>
      <c r="I13" s="1">
        <v>1.3399799999999999</v>
      </c>
      <c r="J13" s="1">
        <v>1.3158700000000001</v>
      </c>
      <c r="K13" s="1">
        <v>1.4417500000000001</v>
      </c>
      <c r="L13" s="1">
        <v>1.3967000000000001</v>
      </c>
      <c r="M13" s="1">
        <v>1.4357500000000001</v>
      </c>
      <c r="N13" s="1">
        <v>1.3874599999999999</v>
      </c>
      <c r="O13" s="1">
        <v>1.30165</v>
      </c>
      <c r="P13" s="1">
        <v>1.3399799999999999</v>
      </c>
      <c r="Q13" s="1">
        <v>1.3158700000000001</v>
      </c>
      <c r="R13" s="1">
        <v>1.3605400000000001</v>
      </c>
      <c r="S13" s="1">
        <v>1.3967000000000001</v>
      </c>
      <c r="T13" s="1">
        <v>1.4357500000000001</v>
      </c>
      <c r="U13" s="1">
        <v>1.3874599999999999</v>
      </c>
      <c r="V13" s="1">
        <v>1.30165</v>
      </c>
      <c r="W13" s="1">
        <v>1.3399799999999999</v>
      </c>
      <c r="X13" s="1">
        <v>1.3158700000000001</v>
      </c>
      <c r="Y13" s="1">
        <v>1.3605400000000001</v>
      </c>
      <c r="Z13" s="1">
        <v>1.3967000000000001</v>
      </c>
      <c r="AA13" s="1">
        <v>1.4357500000000001</v>
      </c>
      <c r="AB13" s="1">
        <v>1.3874599999999999</v>
      </c>
      <c r="AC13" s="1">
        <v>1.30165</v>
      </c>
      <c r="AD13" s="1">
        <v>1.3399799999999999</v>
      </c>
      <c r="AE13" s="1">
        <v>1.3158700000000001</v>
      </c>
      <c r="AF13" s="1">
        <v>1.3605400000000001</v>
      </c>
      <c r="AG13" s="1">
        <v>1.3967000000000001</v>
      </c>
      <c r="AH13" s="1">
        <v>1.4357500000000001</v>
      </c>
      <c r="AI13" s="1">
        <v>1.3874599999999999</v>
      </c>
      <c r="AJ13" s="1">
        <v>1.30165</v>
      </c>
      <c r="AL13" s="10"/>
      <c r="AM13" s="10"/>
      <c r="AN13" s="10"/>
      <c r="AO13" s="10"/>
      <c r="AP13" s="10"/>
      <c r="AQ13" s="10"/>
      <c r="AR13" s="10"/>
      <c r="BB13" s="10"/>
      <c r="BC13" s="4" t="s">
        <v>21</v>
      </c>
      <c r="BD13" s="6">
        <f>AVERAGE(AM8,AM43,AM78,AM113,AM148,AM183,AM218,AM253,AM288,AM323,AM358,AM393)</f>
        <v>1.0549987455507452</v>
      </c>
      <c r="BE13" s="6">
        <f t="shared" ref="BE13:BI17" si="3">AVERAGE(AN8,AN43,AN113,AN148,AN183,AN218,AN253,AN288,AN323,AN358,AN393)</f>
        <v>1.0851322554662266</v>
      </c>
      <c r="BF13" s="6">
        <f t="shared" si="3"/>
        <v>0.94427948618841451</v>
      </c>
      <c r="BG13" s="6">
        <f t="shared" si="3"/>
        <v>0.93921603300579504</v>
      </c>
      <c r="BH13" s="6">
        <f t="shared" si="3"/>
        <v>1.1547446021438876</v>
      </c>
      <c r="BI13" s="6">
        <f t="shared" si="3"/>
        <v>1.0740859275355681</v>
      </c>
      <c r="BJ13" s="10"/>
    </row>
    <row r="14" spans="1:62" ht="14.5" x14ac:dyDescent="0.35">
      <c r="A14" s="1" t="s">
        <v>7</v>
      </c>
      <c r="B14" s="1" t="s">
        <v>7</v>
      </c>
      <c r="C14" s="1" t="s">
        <v>15</v>
      </c>
      <c r="D14" s="1" t="s">
        <v>7</v>
      </c>
      <c r="E14" s="1" t="s">
        <v>20</v>
      </c>
      <c r="F14" s="1">
        <v>1.5169699999999999</v>
      </c>
      <c r="G14" s="1">
        <v>1.2536799999999999</v>
      </c>
      <c r="H14" s="1">
        <v>1.21591</v>
      </c>
      <c r="I14" s="1">
        <v>1.22725</v>
      </c>
      <c r="J14" s="1">
        <v>1.2092099999999999</v>
      </c>
      <c r="K14" s="1">
        <v>1.3923300000000001</v>
      </c>
      <c r="L14" s="1">
        <v>1.34724</v>
      </c>
      <c r="M14" s="1">
        <v>1.39611</v>
      </c>
      <c r="N14" s="1">
        <v>1.2536799999999999</v>
      </c>
      <c r="O14" s="1">
        <v>1.21591</v>
      </c>
      <c r="P14" s="1">
        <v>1.22725</v>
      </c>
      <c r="Q14" s="1">
        <v>1.2092099999999999</v>
      </c>
      <c r="R14" s="1">
        <v>1.2575000000000001</v>
      </c>
      <c r="S14" s="1">
        <v>1.34724</v>
      </c>
      <c r="T14" s="1">
        <v>1.39611</v>
      </c>
      <c r="U14" s="1">
        <v>1.2536799999999999</v>
      </c>
      <c r="V14" s="1">
        <v>1.21591</v>
      </c>
      <c r="W14" s="1">
        <v>1.22725</v>
      </c>
      <c r="X14" s="1">
        <v>1.2092099999999999</v>
      </c>
      <c r="Y14" s="1">
        <v>1.2575000000000001</v>
      </c>
      <c r="Z14" s="1">
        <v>1.34724</v>
      </c>
      <c r="AA14" s="1">
        <v>1.39611</v>
      </c>
      <c r="AB14" s="1">
        <v>1.2536799999999999</v>
      </c>
      <c r="AC14" s="1">
        <v>1.21591</v>
      </c>
      <c r="AD14" s="1">
        <v>1.22725</v>
      </c>
      <c r="AE14" s="1">
        <v>1.2092099999999999</v>
      </c>
      <c r="AF14" s="1">
        <v>1.2575000000000001</v>
      </c>
      <c r="AG14" s="1">
        <v>1.34724</v>
      </c>
      <c r="AH14" s="1">
        <v>1.39611</v>
      </c>
      <c r="AI14" s="1">
        <v>1.2536799999999999</v>
      </c>
      <c r="AJ14" s="1">
        <v>1.21591</v>
      </c>
      <c r="AL14" s="10"/>
      <c r="AM14" s="10"/>
      <c r="AN14" s="10"/>
      <c r="AO14" s="10"/>
      <c r="AP14" s="10"/>
      <c r="AQ14" s="10"/>
      <c r="AR14" s="10"/>
      <c r="AU14" s="1" cm="1">
        <f t="array" ref="AU14">SUMPRODUCT(($D$8:$D$31=AM$6)*($F$5:$AJ$5=""))+IF(AM$6="P6",COUNTIF($F$5:$AJ$5,"P6")*ROWS($D$8:$D$31),0)</f>
        <v>198</v>
      </c>
      <c r="AV14" s="1" cm="1">
        <f t="array" ref="AV14">SUMPRODUCT(($D$8:$D$31=AM$6)*($F$5:$AJ$5="")*$F$8:$AJ$31)+IF(AM$6="P6",SUMPRODUCT(($F$5:$AJ$5="P6")*$F$8:$AJ$31))</f>
        <v>222.48822999999987</v>
      </c>
      <c r="AW14" s="7">
        <f>AV14/AU14</f>
        <v>1.1236779292929286</v>
      </c>
      <c r="BB14" s="10"/>
      <c r="BC14" s="4" t="s">
        <v>23</v>
      </c>
      <c r="BD14" s="6">
        <f>AVERAGE(AM9,AM44,AM79,AM114,AM149,AM184,AM219,AM254,AM289,AM324,AM359,AM394)</f>
        <v>1.0549987455507452</v>
      </c>
      <c r="BE14" s="6">
        <f t="shared" si="3"/>
        <v>1.0851322554662266</v>
      </c>
      <c r="BF14" s="6">
        <f t="shared" si="3"/>
        <v>0.94427948618841451</v>
      </c>
      <c r="BG14" s="6">
        <f t="shared" si="3"/>
        <v>0.93921603300579504</v>
      </c>
      <c r="BH14" s="6">
        <f t="shared" si="3"/>
        <v>1.1547446021438876</v>
      </c>
      <c r="BI14" s="6">
        <f t="shared" si="3"/>
        <v>1.0740859275355681</v>
      </c>
      <c r="BJ14" s="10"/>
    </row>
    <row r="15" spans="1:62" ht="14.5" x14ac:dyDescent="0.35">
      <c r="A15" s="1" t="s">
        <v>7</v>
      </c>
      <c r="B15" s="1" t="s">
        <v>7</v>
      </c>
      <c r="C15" s="1" t="s">
        <v>15</v>
      </c>
      <c r="D15" s="1" t="s">
        <v>7</v>
      </c>
      <c r="E15" s="1" t="s">
        <v>22</v>
      </c>
      <c r="F15" s="1">
        <v>1.46285</v>
      </c>
      <c r="G15" s="1">
        <v>1.12656</v>
      </c>
      <c r="H15" s="1">
        <v>1.1081799999999999</v>
      </c>
      <c r="I15" s="1">
        <v>1.10463</v>
      </c>
      <c r="J15" s="1">
        <v>1.1055299999999999</v>
      </c>
      <c r="K15" s="1">
        <v>1.35517</v>
      </c>
      <c r="L15" s="1">
        <v>1.29223</v>
      </c>
      <c r="M15" s="1">
        <v>1.34188</v>
      </c>
      <c r="N15" s="1">
        <v>1.12656</v>
      </c>
      <c r="O15" s="1">
        <v>1.1081799999999999</v>
      </c>
      <c r="P15" s="1">
        <v>1.10463</v>
      </c>
      <c r="Q15" s="1">
        <v>1.1055299999999999</v>
      </c>
      <c r="R15" s="1">
        <v>1.1519999999999999</v>
      </c>
      <c r="S15" s="1">
        <v>1.29223</v>
      </c>
      <c r="T15" s="1">
        <v>1.34188</v>
      </c>
      <c r="U15" s="1">
        <v>1.12656</v>
      </c>
      <c r="V15" s="1">
        <v>1.1081799999999999</v>
      </c>
      <c r="W15" s="1">
        <v>1.10463</v>
      </c>
      <c r="X15" s="1">
        <v>1.1055299999999999</v>
      </c>
      <c r="Y15" s="1">
        <v>1.1519999999999999</v>
      </c>
      <c r="Z15" s="1">
        <v>1.29223</v>
      </c>
      <c r="AA15" s="1">
        <v>1.34188</v>
      </c>
      <c r="AB15" s="1">
        <v>1.12656</v>
      </c>
      <c r="AC15" s="1">
        <v>1.1081799999999999</v>
      </c>
      <c r="AD15" s="1">
        <v>1.10463</v>
      </c>
      <c r="AE15" s="1">
        <v>1.1055299999999999</v>
      </c>
      <c r="AF15" s="1">
        <v>1.1519999999999999</v>
      </c>
      <c r="AG15" s="1">
        <v>1.29223</v>
      </c>
      <c r="AH15" s="1">
        <v>1.34188</v>
      </c>
      <c r="AI15" s="1">
        <v>1.12656</v>
      </c>
      <c r="AJ15" s="1">
        <v>1.1081799999999999</v>
      </c>
      <c r="AL15" s="14" t="s">
        <v>206</v>
      </c>
      <c r="AM15" s="14"/>
      <c r="AN15" s="14"/>
      <c r="AO15" s="14"/>
      <c r="AP15" s="14"/>
      <c r="AQ15" s="14"/>
      <c r="AR15" s="14"/>
      <c r="AU15" s="1" cm="1">
        <f t="array" ref="AU15">SUMPRODUCT(($D$8:$D$31=AN$6)*($F$5:$AJ$5=""))+IF(AN$6="P6",COUNTIF($F$5:$AJ$5,"P6")*ROWS($D$8:$D$31),0)</f>
        <v>154</v>
      </c>
      <c r="BB15" s="10"/>
      <c r="BC15" s="4" t="s">
        <v>25</v>
      </c>
      <c r="BD15" s="6">
        <f>AVERAGE(AM10,AM45,AM80,AM115,AM150,AM185,AM220,AM255,AM290,AM325,AM360,AM395)</f>
        <v>1.0549987455507452</v>
      </c>
      <c r="BE15" s="6">
        <f t="shared" si="3"/>
        <v>1.0851322554662266</v>
      </c>
      <c r="BF15" s="6">
        <f t="shared" si="3"/>
        <v>0.94427948618841451</v>
      </c>
      <c r="BG15" s="6">
        <f t="shared" si="3"/>
        <v>0.93921603300579504</v>
      </c>
      <c r="BH15" s="6">
        <f t="shared" si="3"/>
        <v>1.1547446021438876</v>
      </c>
      <c r="BI15" s="6">
        <f t="shared" si="3"/>
        <v>1.0740859275355681</v>
      </c>
      <c r="BJ15" s="10"/>
    </row>
    <row r="16" spans="1:62" ht="14.5" x14ac:dyDescent="0.35">
      <c r="A16" s="1" t="s">
        <v>16</v>
      </c>
      <c r="B16" s="1" t="s">
        <v>16</v>
      </c>
      <c r="C16" s="1" t="s">
        <v>14</v>
      </c>
      <c r="D16" s="1" t="s">
        <v>14</v>
      </c>
      <c r="E16" s="1" t="s">
        <v>24</v>
      </c>
      <c r="F16" s="1">
        <v>1.4194800000000001</v>
      </c>
      <c r="G16" s="1">
        <v>1.13584</v>
      </c>
      <c r="H16" s="1">
        <v>1.1238300000000001</v>
      </c>
      <c r="I16" s="1">
        <v>1.1381699999999999</v>
      </c>
      <c r="J16" s="1">
        <v>1.1375500000000001</v>
      </c>
      <c r="K16" s="1">
        <v>1.3664700000000001</v>
      </c>
      <c r="L16" s="1">
        <v>1.23058</v>
      </c>
      <c r="M16" s="1">
        <v>1.2903800000000001</v>
      </c>
      <c r="N16" s="1">
        <v>1.13584</v>
      </c>
      <c r="O16" s="1">
        <v>1.1238300000000001</v>
      </c>
      <c r="P16" s="1">
        <v>1.1381699999999999</v>
      </c>
      <c r="Q16" s="1">
        <v>1.1375500000000001</v>
      </c>
      <c r="R16" s="1">
        <v>1.1756899999999999</v>
      </c>
      <c r="S16" s="1">
        <v>1.23058</v>
      </c>
      <c r="T16" s="1">
        <v>1.2903800000000001</v>
      </c>
      <c r="U16" s="1">
        <v>1.13584</v>
      </c>
      <c r="V16" s="1">
        <v>1.1238300000000001</v>
      </c>
      <c r="W16" s="1">
        <v>1.1381699999999999</v>
      </c>
      <c r="X16" s="1">
        <v>1.1375500000000001</v>
      </c>
      <c r="Y16" s="1">
        <v>1.1756899999999999</v>
      </c>
      <c r="Z16" s="1">
        <v>1.23058</v>
      </c>
      <c r="AA16" s="1">
        <v>1.2903800000000001</v>
      </c>
      <c r="AB16" s="1">
        <v>1.13584</v>
      </c>
      <c r="AC16" s="1">
        <v>1.1238300000000001</v>
      </c>
      <c r="AD16" s="1">
        <v>1.1381699999999999</v>
      </c>
      <c r="AE16" s="1">
        <v>1.1375500000000001</v>
      </c>
      <c r="AF16" s="1">
        <v>1.1756899999999999</v>
      </c>
      <c r="AG16" s="1">
        <v>1.23058</v>
      </c>
      <c r="AH16" s="1">
        <v>1.2903800000000001</v>
      </c>
      <c r="AI16" s="1">
        <v>1.13584</v>
      </c>
      <c r="AJ16" s="1">
        <v>1.1238300000000001</v>
      </c>
      <c r="AL16" s="4"/>
      <c r="AM16" s="4" t="s">
        <v>13</v>
      </c>
      <c r="AN16" s="4" t="s">
        <v>14</v>
      </c>
      <c r="AO16" s="4" t="s">
        <v>15</v>
      </c>
      <c r="AP16" s="4" t="s">
        <v>16</v>
      </c>
      <c r="AQ16" s="4" t="s">
        <v>17</v>
      </c>
      <c r="AR16" s="4" t="s">
        <v>7</v>
      </c>
      <c r="AU16" s="1" cm="1">
        <f t="array" ref="AU16">SUMPRODUCT(($D$8:$D$31=AR$6)*($F$5:$AJ$5=""))+IF(AR$6="P6",COUNTIF($F$5:$AJ$5,"P6")*ROWS($D$8:$D$31),0)</f>
        <v>392</v>
      </c>
      <c r="BB16" s="10"/>
      <c r="BC16" s="4" t="s">
        <v>27</v>
      </c>
      <c r="BD16" s="6">
        <f>AVERAGE(AM11,AM46,AM81,AM116,AM151,AM186,AM221,AM256,AM291,AM326,AM361,AM396)</f>
        <v>1.0549987455507452</v>
      </c>
      <c r="BE16" s="6">
        <f t="shared" si="3"/>
        <v>1.0851322554662266</v>
      </c>
      <c r="BF16" s="6">
        <f t="shared" si="3"/>
        <v>0.94427948618841451</v>
      </c>
      <c r="BG16" s="6">
        <f t="shared" si="3"/>
        <v>0.93921603300579504</v>
      </c>
      <c r="BH16" s="6">
        <f t="shared" si="3"/>
        <v>1.1547446021438876</v>
      </c>
      <c r="BI16" s="6">
        <f t="shared" si="3"/>
        <v>1.0740859275355681</v>
      </c>
      <c r="BJ16" s="10"/>
    </row>
    <row r="17" spans="1:62" ht="14.5" x14ac:dyDescent="0.35">
      <c r="A17" s="1" t="s">
        <v>16</v>
      </c>
      <c r="B17" s="1" t="s">
        <v>16</v>
      </c>
      <c r="C17" s="1" t="s">
        <v>14</v>
      </c>
      <c r="D17" s="1" t="s">
        <v>13</v>
      </c>
      <c r="E17" s="1" t="s">
        <v>26</v>
      </c>
      <c r="F17" s="1">
        <v>1.28569</v>
      </c>
      <c r="G17" s="1">
        <v>1.11347</v>
      </c>
      <c r="H17" s="1">
        <v>1.1049899999999999</v>
      </c>
      <c r="I17" s="1">
        <v>1.12764</v>
      </c>
      <c r="J17" s="1">
        <v>1.1256699999999999</v>
      </c>
      <c r="K17" s="1">
        <v>1.2740400000000001</v>
      </c>
      <c r="L17" s="1">
        <v>1.1337299999999999</v>
      </c>
      <c r="M17" s="1">
        <v>1.19259</v>
      </c>
      <c r="N17" s="1">
        <v>1.11347</v>
      </c>
      <c r="O17" s="1">
        <v>1.1049899999999999</v>
      </c>
      <c r="P17" s="1">
        <v>1.12764</v>
      </c>
      <c r="Q17" s="1">
        <v>1.1256699999999999</v>
      </c>
      <c r="R17" s="1">
        <v>1.1406400000000001</v>
      </c>
      <c r="S17" s="1">
        <v>1.1337299999999999</v>
      </c>
      <c r="T17" s="1">
        <v>1.19259</v>
      </c>
      <c r="U17" s="1">
        <v>1.11347</v>
      </c>
      <c r="V17" s="1">
        <v>1.1049899999999999</v>
      </c>
      <c r="W17" s="1">
        <v>1.12764</v>
      </c>
      <c r="X17" s="1">
        <v>1.1256699999999999</v>
      </c>
      <c r="Y17" s="1">
        <v>1.1406400000000001</v>
      </c>
      <c r="Z17" s="1">
        <v>1.1337299999999999</v>
      </c>
      <c r="AA17" s="1">
        <v>1.19259</v>
      </c>
      <c r="AB17" s="1">
        <v>1.11347</v>
      </c>
      <c r="AC17" s="1">
        <v>1.1049899999999999</v>
      </c>
      <c r="AD17" s="1">
        <v>1.12764</v>
      </c>
      <c r="AE17" s="1">
        <v>1.1256699999999999</v>
      </c>
      <c r="AF17" s="1">
        <v>1.1406400000000001</v>
      </c>
      <c r="AG17" s="1">
        <v>1.1337299999999999</v>
      </c>
      <c r="AH17" s="1">
        <v>1.19259</v>
      </c>
      <c r="AI17" s="1">
        <v>1.11347</v>
      </c>
      <c r="AJ17" s="1">
        <v>1.1049899999999999</v>
      </c>
      <c r="AL17" s="4" t="s">
        <v>19</v>
      </c>
      <c r="AM17" s="6" cm="1">
        <f t="array" ref="AM17">IFERROR((SUMPRODUCT(($C$8:$C$31=AM$6)*($F$4:$AJ$4="")*$F$8:$AJ$31)+IF(AM$6="P3",SUMPRODUCT(($F$4:$AJ$4="P3")*$F$8:$AJ$31),0))/(SUMPRODUCT(($C$8:$C$31=AM$6)*($F$4:$AJ$4=""))+IF(AM$6="P3",COUNTIF($F$4:$AJ$4,"P3")*ROWS($C$8:$C$31),0)),"")</f>
        <v>1.1232200568181814</v>
      </c>
      <c r="AN17" s="6" cm="1">
        <f t="array" ref="AN17">IFERROR((SUMPRODUCT(($C$8:$C$31=AN$6)*($F$4:$AJ$4="")*$F$8:$AJ$31)+IF(AN$6="P3",SUMPRODUCT(($F$4:$AJ$4="P3")*$F$8:$AJ$31),0))/(SUMPRODUCT(($C$8:$C$31=AN$6)*($F$4:$AJ$4=""))+IF(AN$6="P3",COUNTIF($F$4:$AJ$4,"P3")*ROWS($C$8:$C$31),0)),"")</f>
        <v>1.1531414204545456</v>
      </c>
      <c r="AO17" s="6" cm="1">
        <f t="array" ref="AO17">IFERROR((SUMPRODUCT(($C$8:$C$31=AO$6)*($F$4:$AJ$4="")*$F$8:$AJ$31)+IF(AO$6="P3",SUMPRODUCT(($F$4:$AJ$4="P3")*$F$8:$AJ$31),0))/(SUMPRODUCT(($C$8:$C$31=AO$6)*($F$4:$AJ$4=""))+IF(AO$6="P3",COUNTIF($F$4:$AJ$4,"P3")*ROWS($C$8:$C$31),0)),"")</f>
        <v>1.2666623724489789</v>
      </c>
      <c r="AP17" s="6" t="str" cm="1">
        <f t="array" ref="AP17">IFERROR((SUMPRODUCT(($C$8:$C$31=AP$6)*($F$4:$AJ$4="")*$F$8:$AJ$31)+IF(AP$6="P3",SUMPRODUCT(($F$4:$AJ$4="P3")*$F$8:$AJ$31),0))/(SUMPRODUCT(($C$8:$C$31=AP$6)*($F$4:$AJ$4=""))+IF(AP$6="P3",COUNTIF($F$4:$AJ$4,"P3")*ROWS($C$8:$C$31),0)),"")</f>
        <v/>
      </c>
      <c r="AQ17" s="6" t="str" cm="1">
        <f t="array" ref="AQ17">IFERROR((SUMPRODUCT(($C$8:$C$31=AQ$6)*($F$4:$AJ$4="")*$F$8:$AJ$31)+IF(AQ$6="P3",SUMPRODUCT(($F$4:$AJ$4="P3")*$F$8:$AJ$31),0))/(SUMPRODUCT(($C$8:$C$31=AQ$6)*($F$4:$AJ$4=""))+IF(AQ$6="P3",COUNTIF($F$4:$AJ$4,"P3")*ROWS($C$8:$C$31),0)),"")</f>
        <v/>
      </c>
      <c r="AR17" s="6" t="str" cm="1">
        <f t="array" ref="AR17">IFERROR((SUMPRODUCT(($C$8:$C$31=AR$6)*($F$4:$AJ$4="")*$F$8:$AJ$31)+IF(AR$6="P3",SUMPRODUCT(($F$4:$AJ$4="P3")*$F$8:$AJ$31),0))/(SUMPRODUCT(($C$8:$C$31=AR$6)*($F$4:$AJ$4=""))+IF(AR$6="P3",COUNTIF($F$4:$AJ$4,"P3")*ROWS($C$8:$C$31),0)),"")</f>
        <v/>
      </c>
      <c r="BB17" s="10"/>
      <c r="BC17" s="4" t="s">
        <v>29</v>
      </c>
      <c r="BD17" s="6">
        <f>AVERAGE(AM12,AM47,AM82,AM117,AM152,AM187,AM222,AM257,AM292,AM327,AM362,AM397)</f>
        <v>1.0549987455507452</v>
      </c>
      <c r="BE17" s="6">
        <f t="shared" si="3"/>
        <v>1.0851322554662266</v>
      </c>
      <c r="BF17" s="6">
        <f t="shared" si="3"/>
        <v>0.94427948618841451</v>
      </c>
      <c r="BG17" s="6">
        <f t="shared" si="3"/>
        <v>0.93921603300579504</v>
      </c>
      <c r="BH17" s="6">
        <f t="shared" si="3"/>
        <v>1.1547446021438876</v>
      </c>
      <c r="BI17" s="6">
        <f t="shared" si="3"/>
        <v>1.0740859275355681</v>
      </c>
      <c r="BJ17" s="10"/>
    </row>
    <row r="18" spans="1:62" ht="14.5" x14ac:dyDescent="0.35">
      <c r="A18" s="1" t="s">
        <v>14</v>
      </c>
      <c r="B18" s="1" t="s">
        <v>15</v>
      </c>
      <c r="C18" s="1" t="s">
        <v>13</v>
      </c>
      <c r="D18" s="1" t="s">
        <v>13</v>
      </c>
      <c r="E18" s="1" t="s">
        <v>28</v>
      </c>
      <c r="F18" s="1">
        <v>1.1632800000000001</v>
      </c>
      <c r="G18" s="1">
        <v>1.0644899999999999</v>
      </c>
      <c r="H18" s="1">
        <v>1.06308</v>
      </c>
      <c r="I18" s="1">
        <v>1.0838300000000001</v>
      </c>
      <c r="J18" s="1">
        <v>1.08291</v>
      </c>
      <c r="K18" s="1">
        <v>1.1767000000000001</v>
      </c>
      <c r="L18" s="1">
        <v>1.0649</v>
      </c>
      <c r="M18" s="1">
        <v>1.1028</v>
      </c>
      <c r="N18" s="1">
        <v>1.0644899999999999</v>
      </c>
      <c r="O18" s="1">
        <v>1.06308</v>
      </c>
      <c r="P18" s="1">
        <v>1.0838300000000001</v>
      </c>
      <c r="Q18" s="1">
        <v>1.08291</v>
      </c>
      <c r="R18" s="1">
        <v>1.0839000000000001</v>
      </c>
      <c r="S18" s="1">
        <v>1.0649</v>
      </c>
      <c r="T18" s="1">
        <v>1.1028</v>
      </c>
      <c r="U18" s="1">
        <v>1.0644899999999999</v>
      </c>
      <c r="V18" s="1">
        <v>1.06308</v>
      </c>
      <c r="W18" s="1">
        <v>1.0838300000000001</v>
      </c>
      <c r="X18" s="1">
        <v>1.08291</v>
      </c>
      <c r="Y18" s="1">
        <v>1.0839000000000001</v>
      </c>
      <c r="Z18" s="1">
        <v>1.0649</v>
      </c>
      <c r="AA18" s="1">
        <v>1.1028</v>
      </c>
      <c r="AB18" s="1">
        <v>1.0644899999999999</v>
      </c>
      <c r="AC18" s="1">
        <v>1.06308</v>
      </c>
      <c r="AD18" s="1">
        <v>1.0838300000000001</v>
      </c>
      <c r="AE18" s="1">
        <v>1.08291</v>
      </c>
      <c r="AF18" s="1">
        <v>1.0839000000000001</v>
      </c>
      <c r="AG18" s="1">
        <v>1.0649</v>
      </c>
      <c r="AH18" s="1">
        <v>1.1028</v>
      </c>
      <c r="AI18" s="1">
        <v>1.0644899999999999</v>
      </c>
      <c r="AJ18" s="1">
        <v>1.06308</v>
      </c>
      <c r="AL18" s="4" t="s">
        <v>21</v>
      </c>
      <c r="AM18" s="6" t="str" cm="1">
        <f t="array" ref="AM18">IFERROR((SUMPRODUCT(($A$8:$A$31=AM$16)*($F$5:$AJ$5="")*$F$8:$AJ$31)+IF(AM$16="P6",SUMPRODUCT(($F$5:$AJ$5="P6")*$F$8:$AJ$31),0))/(SUMPRODUCT(($A$8:$A$31=AM$16)*($F$5:$AJ$5=""))+IF(AM$16="P6",COUNTIF($F$5:$AJ$5,"P6")*ROWS($A$8:$A$31),0)),"")</f>
        <v/>
      </c>
      <c r="AN18" s="6" cm="1">
        <f t="array" ref="AN18">IFERROR((SUMPRODUCT(($A$8:$A$31=AN$16)*($F$5:$AJ$5="")*$F$8:$AJ$31)+IF(AN$16="P6",SUMPRODUCT(($F$5:$AJ$5="P6")*$F$8:$AJ$31),0))/(SUMPRODUCT(($A$8:$A$31=AN$16)*($F$5:$AJ$5=""))+IF(AN$16="P6",COUNTIF($F$5:$AJ$5,"P6")*ROWS($A$8:$A$31),0)),"")</f>
        <v>1.1175081313131308</v>
      </c>
      <c r="AO18" s="6" t="str" cm="1">
        <f t="array" ref="AO18">IFERROR((SUMPRODUCT(($A$8:$A$31=AO$16)*($F$5:$AJ$5="")*$F$8:$AJ$31)+IF(AO$16="P6",SUMPRODUCT(($F$5:$AJ$5="P6")*$F$8:$AJ$31),0))/(SUMPRODUCT(($A$8:$A$31=AO$16)*($F$5:$AJ$5=""))+IF(AO$16="P6",COUNTIF($F$5:$AJ$5,"P6")*ROWS($A$8:$A$31),0)),"")</f>
        <v/>
      </c>
      <c r="AP18" s="6" cm="1">
        <f t="array" ref="AP18">IFERROR((SUMPRODUCT(($A$8:$A$31=AP$16)*($F$5:$AJ$5="")*$F$8:$AJ$31)+IF(AP$16="P6",SUMPRODUCT(($F$5:$AJ$5="P6")*$F$8:$AJ$31),0))/(SUMPRODUCT(($A$8:$A$31=AP$16)*($F$5:$AJ$5=""))+IF(AP$16="P6",COUNTIF($F$5:$AJ$5,"P6")*ROWS($A$8:$A$31),0)),"")</f>
        <v>1.1647598051948049</v>
      </c>
      <c r="AQ18" s="6" t="str" cm="1">
        <f t="array" ref="AQ18">IFERROR((SUMPRODUCT(($A$8:$A$31=AQ$16)*($F$5:$AJ$5="")*$F$8:$AJ$31)+IF(AQ$16="P6",SUMPRODUCT(($F$5:$AJ$5="P6")*$F$8:$AJ$31),0))/(SUMPRODUCT(($A$8:$A$31=AQ$16)*($F$5:$AJ$5=""))+IF(AQ$16="P6",COUNTIF($F$5:$AJ$5,"P6")*ROWS($A$8:$A$31),0)),"")</f>
        <v/>
      </c>
      <c r="AR18" s="6" cm="1">
        <f t="array" ref="AR18">IFERROR((SUMPRODUCT(($A$8:$A$31=AR$16)*($F$5:$AJ$5="")*$F$8:$AJ$31)+IF(AR$16="P6",SUMPRODUCT(($F$5:$AJ$5="P6")*$F$8:$AJ$31),0))/(SUMPRODUCT(($A$8:$A$31=AR$16)*($F$5:$AJ$5=""))+IF(AR$16="P6",COUNTIF($F$5:$AJ$5,"P6")*ROWS($A$8:$A$31),0)),"")</f>
        <v>1.2666623724489789</v>
      </c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 ht="14.5" x14ac:dyDescent="0.35">
      <c r="A19" s="1" t="s">
        <v>14</v>
      </c>
      <c r="B19" s="1" t="s">
        <v>15</v>
      </c>
      <c r="C19" s="1" t="s">
        <v>13</v>
      </c>
      <c r="D19" s="1" t="s">
        <v>13</v>
      </c>
      <c r="E19" s="1" t="s">
        <v>30</v>
      </c>
      <c r="F19" s="1">
        <v>1.11961</v>
      </c>
      <c r="G19" s="1">
        <v>1.05816</v>
      </c>
      <c r="H19" s="1">
        <v>1.0644199999999999</v>
      </c>
      <c r="I19" s="1">
        <v>1.0773299999999999</v>
      </c>
      <c r="J19" s="1">
        <v>1.0795600000000001</v>
      </c>
      <c r="K19" s="1">
        <v>1.1493599999999999</v>
      </c>
      <c r="L19" s="1">
        <v>1.05088</v>
      </c>
      <c r="M19" s="1">
        <v>1.0755399999999999</v>
      </c>
      <c r="N19" s="1">
        <v>1.05816</v>
      </c>
      <c r="O19" s="1">
        <v>1.0644199999999999</v>
      </c>
      <c r="P19" s="1">
        <v>1.0773299999999999</v>
      </c>
      <c r="Q19" s="1">
        <v>1.0795600000000001</v>
      </c>
      <c r="R19" s="1">
        <v>1.08162</v>
      </c>
      <c r="S19" s="1">
        <v>1.05088</v>
      </c>
      <c r="T19" s="1">
        <v>1.0755399999999999</v>
      </c>
      <c r="U19" s="1">
        <v>1.05816</v>
      </c>
      <c r="V19" s="1">
        <v>1.0644199999999999</v>
      </c>
      <c r="W19" s="1">
        <v>1.0773299999999999</v>
      </c>
      <c r="X19" s="1">
        <v>1.0795600000000001</v>
      </c>
      <c r="Y19" s="1">
        <v>1.08162</v>
      </c>
      <c r="Z19" s="1">
        <v>1.05088</v>
      </c>
      <c r="AA19" s="1">
        <v>1.0755399999999999</v>
      </c>
      <c r="AB19" s="1">
        <v>1.05816</v>
      </c>
      <c r="AC19" s="1">
        <v>1.0644199999999999</v>
      </c>
      <c r="AD19" s="1">
        <v>1.0773299999999999</v>
      </c>
      <c r="AE19" s="1">
        <v>1.0795600000000001</v>
      </c>
      <c r="AF19" s="1">
        <v>1.08162</v>
      </c>
      <c r="AG19" s="1">
        <v>1.05088</v>
      </c>
      <c r="AH19" s="1">
        <v>1.0755399999999999</v>
      </c>
      <c r="AI19" s="1">
        <v>1.05816</v>
      </c>
      <c r="AJ19" s="1">
        <v>1.0644199999999999</v>
      </c>
      <c r="AL19" s="4" t="s">
        <v>23</v>
      </c>
      <c r="AM19" s="6" t="str" cm="1">
        <f t="array" ref="AM19">IFERROR((SUMPRODUCT(($A$8:$A$31=AM$16)*($F$5:$AJ$5="")*$F$8:$AJ$31)+IF(AM$16="P6",SUMPRODUCT(($F$5:$AJ$5="P6")*$F$8:$AJ$31),0))/(SUMPRODUCT(($A$8:$A$31=AM$16)*($F$5:$AJ$5=""))+IF(AM$16="P6",COUNTIF($F$5:$AJ$5,"P6")*ROWS($A$8:$A$31),0)),"")</f>
        <v/>
      </c>
      <c r="AN19" s="6" cm="1">
        <f t="array" ref="AN19">IFERROR((SUMPRODUCT(($A$8:$A$31=AN$16)*($F$5:$AJ$5="")*$F$8:$AJ$31)+IF(AN$16="P6",SUMPRODUCT(($F$5:$AJ$5="P6")*$F$8:$AJ$31),0))/(SUMPRODUCT(($A$8:$A$31=AN$16)*($F$5:$AJ$5=""))+IF(AN$16="P6",COUNTIF($F$5:$AJ$5,"P6")*ROWS($A$8:$A$31),0)),"")</f>
        <v>1.1175081313131308</v>
      </c>
      <c r="AO19" s="6" t="str" cm="1">
        <f t="array" ref="AO19">IFERROR((SUMPRODUCT(($A$8:$A$31=AO$16)*($F$5:$AJ$5="")*$F$8:$AJ$31)+IF(AO$16="P6",SUMPRODUCT(($F$5:$AJ$5="P6")*$F$8:$AJ$31),0))/(SUMPRODUCT(($A$8:$A$31=AO$16)*($F$5:$AJ$5=""))+IF(AO$16="P6",COUNTIF($F$5:$AJ$5,"P6")*ROWS($A$8:$A$31),0)),"")</f>
        <v/>
      </c>
      <c r="AP19" s="6" cm="1">
        <f t="array" ref="AP19">IFERROR((SUMPRODUCT(($A$8:$A$31=AP$16)*($F$5:$AJ$5="")*$F$8:$AJ$31)+IF(AP$16="P6",SUMPRODUCT(($F$5:$AJ$5="P6")*$F$8:$AJ$31),0))/(SUMPRODUCT(($A$8:$A$31=AP$16)*($F$5:$AJ$5=""))+IF(AP$16="P6",COUNTIF($F$5:$AJ$5,"P6")*ROWS($A$8:$A$31),0)),"")</f>
        <v>1.1647598051948049</v>
      </c>
      <c r="AQ19" s="6" t="str" cm="1">
        <f t="array" ref="AQ19">IFERROR((SUMPRODUCT(($A$8:$A$31=AQ$16)*($F$5:$AJ$5="")*$F$8:$AJ$31)+IF(AQ$16="P6",SUMPRODUCT(($F$5:$AJ$5="P6")*$F$8:$AJ$31),0))/(SUMPRODUCT(($A$8:$A$31=AQ$16)*($F$5:$AJ$5=""))+IF(AQ$16="P6",COUNTIF($F$5:$AJ$5,"P6")*ROWS($A$8:$A$31),0)),"")</f>
        <v/>
      </c>
      <c r="AR19" s="6" cm="1">
        <f t="array" ref="AR19">IFERROR((SUMPRODUCT(($A$8:$A$31=AR$16)*($F$5:$AJ$5="")*$F$8:$AJ$31)+IF(AR$16="P6",SUMPRODUCT(($F$5:$AJ$5="P6")*$F$8:$AJ$31),0))/(SUMPRODUCT(($A$8:$A$31=AR$16)*($F$5:$AJ$5=""))+IF(AR$16="P6",COUNTIF($F$5:$AJ$5,"P6")*ROWS($A$8:$A$31),0)),"")</f>
        <v>1.2666623724489789</v>
      </c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 ht="14.5" x14ac:dyDescent="0.35">
      <c r="A20" s="1" t="s">
        <v>14</v>
      </c>
      <c r="B20" s="1" t="s">
        <v>15</v>
      </c>
      <c r="C20" s="1" t="s">
        <v>13</v>
      </c>
      <c r="D20" s="1" t="s">
        <v>13</v>
      </c>
      <c r="E20" s="1" t="s">
        <v>31</v>
      </c>
      <c r="F20" s="1">
        <v>1.1065400000000001</v>
      </c>
      <c r="G20" s="1">
        <v>1.0602</v>
      </c>
      <c r="H20" s="1">
        <v>1.0748</v>
      </c>
      <c r="I20" s="1">
        <v>1.0787199999999999</v>
      </c>
      <c r="J20" s="1">
        <v>1.07744</v>
      </c>
      <c r="K20" s="1">
        <v>1.1402000000000001</v>
      </c>
      <c r="L20" s="1">
        <v>1.0597300000000001</v>
      </c>
      <c r="M20" s="1">
        <v>1.0806899999999999</v>
      </c>
      <c r="N20" s="1">
        <v>1.0602</v>
      </c>
      <c r="O20" s="1">
        <v>1.0748</v>
      </c>
      <c r="P20" s="1">
        <v>1.0787199999999999</v>
      </c>
      <c r="Q20" s="1">
        <v>1.07744</v>
      </c>
      <c r="R20" s="1">
        <v>1.0926400000000001</v>
      </c>
      <c r="S20" s="1">
        <v>1.0597300000000001</v>
      </c>
      <c r="T20" s="1">
        <v>1.0806899999999999</v>
      </c>
      <c r="U20" s="1">
        <v>1.0602</v>
      </c>
      <c r="V20" s="1">
        <v>1.0748</v>
      </c>
      <c r="W20" s="1">
        <v>1.0787199999999999</v>
      </c>
      <c r="X20" s="1">
        <v>1.07744</v>
      </c>
      <c r="Y20" s="1">
        <v>1.0926400000000001</v>
      </c>
      <c r="Z20" s="1">
        <v>1.0597300000000001</v>
      </c>
      <c r="AA20" s="1">
        <v>1.0806899999999999</v>
      </c>
      <c r="AB20" s="1">
        <v>1.0602</v>
      </c>
      <c r="AC20" s="1">
        <v>1.0748</v>
      </c>
      <c r="AD20" s="1">
        <v>1.0787199999999999</v>
      </c>
      <c r="AE20" s="1">
        <v>1.07744</v>
      </c>
      <c r="AF20" s="1">
        <v>1.0926400000000001</v>
      </c>
      <c r="AG20" s="1">
        <v>1.0597300000000001</v>
      </c>
      <c r="AH20" s="1">
        <v>1.0806899999999999</v>
      </c>
      <c r="AI20" s="1">
        <v>1.0602</v>
      </c>
      <c r="AJ20" s="1">
        <v>1.0748</v>
      </c>
      <c r="AL20" s="4" t="s">
        <v>25</v>
      </c>
      <c r="AM20" s="6" t="str" cm="1">
        <f t="array" ref="AM20">IFERROR((SUMPRODUCT(($A$8:$A$31=AM$16)*($F$5:$AJ$5="")*$F$8:$AJ$31)+IF(AM$16="P6",SUMPRODUCT(($F$5:$AJ$5="P6")*$F$8:$AJ$31),0))/(SUMPRODUCT(($A$8:$A$31=AM$16)*($F$5:$AJ$5=""))+IF(AM$16="P6",COUNTIF($F$5:$AJ$5,"P6")*ROWS($A$8:$A$31),0)),"")</f>
        <v/>
      </c>
      <c r="AN20" s="6" cm="1">
        <f t="array" ref="AN20">IFERROR((SUMPRODUCT(($A$8:$A$31=AN$16)*($F$5:$AJ$5="")*$F$8:$AJ$31)+IF(AN$16="P6",SUMPRODUCT(($F$5:$AJ$5="P6")*$F$8:$AJ$31),0))/(SUMPRODUCT(($A$8:$A$31=AN$16)*($F$5:$AJ$5=""))+IF(AN$16="P6",COUNTIF($F$5:$AJ$5,"P6")*ROWS($A$8:$A$31),0)),"")</f>
        <v>1.1175081313131308</v>
      </c>
      <c r="AO20" s="6" t="str" cm="1">
        <f t="array" ref="AO20">IFERROR((SUMPRODUCT(($A$8:$A$31=AO$16)*($F$5:$AJ$5="")*$F$8:$AJ$31)+IF(AO$16="P6",SUMPRODUCT(($F$5:$AJ$5="P6")*$F$8:$AJ$31),0))/(SUMPRODUCT(($A$8:$A$31=AO$16)*($F$5:$AJ$5=""))+IF(AO$16="P6",COUNTIF($F$5:$AJ$5,"P6")*ROWS($A$8:$A$31),0)),"")</f>
        <v/>
      </c>
      <c r="AP20" s="6" cm="1">
        <f t="array" ref="AP20">IFERROR((SUMPRODUCT(($A$8:$A$31=AP$16)*($F$5:$AJ$5="")*$F$8:$AJ$31)+IF(AP$16="P6",SUMPRODUCT(($F$5:$AJ$5="P6")*$F$8:$AJ$31),0))/(SUMPRODUCT(($A$8:$A$31=AP$16)*($F$5:$AJ$5=""))+IF(AP$16="P6",COUNTIF($F$5:$AJ$5,"P6")*ROWS($A$8:$A$31),0)),"")</f>
        <v>1.1647598051948049</v>
      </c>
      <c r="AQ20" s="6" t="str" cm="1">
        <f t="array" ref="AQ20">IFERROR((SUMPRODUCT(($A$8:$A$31=AQ$16)*($F$5:$AJ$5="")*$F$8:$AJ$31)+IF(AQ$16="P6",SUMPRODUCT(($F$5:$AJ$5="P6")*$F$8:$AJ$31),0))/(SUMPRODUCT(($A$8:$A$31=AQ$16)*($F$5:$AJ$5=""))+IF(AQ$16="P6",COUNTIF($F$5:$AJ$5,"P6")*ROWS($A$8:$A$31),0)),"")</f>
        <v/>
      </c>
      <c r="AR20" s="6" cm="1">
        <f t="array" ref="AR20">IFERROR((SUMPRODUCT(($A$8:$A$31=AR$16)*($F$5:$AJ$5="")*$F$8:$AJ$31)+IF(AR$16="P6",SUMPRODUCT(($F$5:$AJ$5="P6")*$F$8:$AJ$31),0))/(SUMPRODUCT(($A$8:$A$31=AR$16)*($F$5:$AJ$5=""))+IF(AR$16="P6",COUNTIF($F$5:$AJ$5,"P6")*ROWS($A$8:$A$31),0)),"")</f>
        <v>1.2666623724489789</v>
      </c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 ht="14.5" x14ac:dyDescent="0.35">
      <c r="A21" s="1" t="s">
        <v>14</v>
      </c>
      <c r="B21" s="1" t="s">
        <v>15</v>
      </c>
      <c r="C21" s="1" t="s">
        <v>13</v>
      </c>
      <c r="D21" s="1" t="s">
        <v>13</v>
      </c>
      <c r="E21" s="1" t="s">
        <v>32</v>
      </c>
      <c r="F21" s="1">
        <v>1.09924</v>
      </c>
      <c r="G21" s="1">
        <v>1.0478799999999999</v>
      </c>
      <c r="H21" s="1">
        <v>1.0651999999999999</v>
      </c>
      <c r="I21" s="1">
        <v>1.07189</v>
      </c>
      <c r="J21" s="1">
        <v>1.0603400000000001</v>
      </c>
      <c r="K21" s="1">
        <v>1.1251500000000001</v>
      </c>
      <c r="L21" s="1">
        <v>1.0519499999999999</v>
      </c>
      <c r="M21" s="1">
        <v>1.05691</v>
      </c>
      <c r="N21" s="1">
        <v>1.0478799999999999</v>
      </c>
      <c r="O21" s="1">
        <v>1.0651999999999999</v>
      </c>
      <c r="P21" s="1">
        <v>1.07189</v>
      </c>
      <c r="Q21" s="1">
        <v>1.0603400000000001</v>
      </c>
      <c r="R21" s="1">
        <v>1.0781499999999999</v>
      </c>
      <c r="S21" s="1">
        <v>1.0519499999999999</v>
      </c>
      <c r="T21" s="1">
        <v>1.05691</v>
      </c>
      <c r="U21" s="1">
        <v>1.0478799999999999</v>
      </c>
      <c r="V21" s="1">
        <v>1.0651999999999999</v>
      </c>
      <c r="W21" s="1">
        <v>1.07189</v>
      </c>
      <c r="X21" s="1">
        <v>1.0603400000000001</v>
      </c>
      <c r="Y21" s="1">
        <v>1.0781499999999999</v>
      </c>
      <c r="Z21" s="1">
        <v>1.0519499999999999</v>
      </c>
      <c r="AA21" s="1">
        <v>1.05691</v>
      </c>
      <c r="AB21" s="1">
        <v>1.0478799999999999</v>
      </c>
      <c r="AC21" s="1">
        <v>1.0651999999999999</v>
      </c>
      <c r="AD21" s="1">
        <v>1.07189</v>
      </c>
      <c r="AE21" s="1">
        <v>1.0603400000000001</v>
      </c>
      <c r="AF21" s="1">
        <v>1.0781499999999999</v>
      </c>
      <c r="AG21" s="1">
        <v>1.0519499999999999</v>
      </c>
      <c r="AH21" s="1">
        <v>1.05691</v>
      </c>
      <c r="AI21" s="1">
        <v>1.0478799999999999</v>
      </c>
      <c r="AJ21" s="1">
        <v>1.0651999999999999</v>
      </c>
      <c r="AL21" s="4" t="s">
        <v>27</v>
      </c>
      <c r="AM21" s="6" t="str" cm="1">
        <f t="array" ref="AM21">IFERROR((SUMPRODUCT(($A$8:$A$31=AM$16)*($F$5:$AJ$5="")*$F$8:$AJ$31)+IF(AM$16="P6",SUMPRODUCT(($F$5:$AJ$5="P6")*$F$8:$AJ$31),0))/(SUMPRODUCT(($A$8:$A$31=AM$16)*($F$5:$AJ$5=""))+IF(AM$16="P6",COUNTIF($F$5:$AJ$5,"P6")*ROWS($A$8:$A$31),0)),"")</f>
        <v/>
      </c>
      <c r="AN21" s="6" cm="1">
        <f t="array" ref="AN21">IFERROR((SUMPRODUCT(($A$8:$A$31=AN$16)*($F$5:$AJ$5="")*$F$8:$AJ$31)+IF(AN$16="P6",SUMPRODUCT(($F$5:$AJ$5="P6")*$F$8:$AJ$31),0))/(SUMPRODUCT(($A$8:$A$31=AN$16)*($F$5:$AJ$5=""))+IF(AN$16="P6",COUNTIF($F$5:$AJ$5,"P6")*ROWS($A$8:$A$31),0)),"")</f>
        <v>1.1175081313131308</v>
      </c>
      <c r="AO21" s="6" t="str" cm="1">
        <f t="array" ref="AO21">IFERROR((SUMPRODUCT(($A$8:$A$31=AO$16)*($F$5:$AJ$5="")*$F$8:$AJ$31)+IF(AO$16="P6",SUMPRODUCT(($F$5:$AJ$5="P6")*$F$8:$AJ$31),0))/(SUMPRODUCT(($A$8:$A$31=AO$16)*($F$5:$AJ$5=""))+IF(AO$16="P6",COUNTIF($F$5:$AJ$5,"P6")*ROWS($A$8:$A$31),0)),"")</f>
        <v/>
      </c>
      <c r="AP21" s="6" cm="1">
        <f t="array" ref="AP21">IFERROR((SUMPRODUCT(($A$8:$A$31=AP$16)*($F$5:$AJ$5="")*$F$8:$AJ$31)+IF(AP$16="P6",SUMPRODUCT(($F$5:$AJ$5="P6")*$F$8:$AJ$31),0))/(SUMPRODUCT(($A$8:$A$31=AP$16)*($F$5:$AJ$5=""))+IF(AP$16="P6",COUNTIF($F$5:$AJ$5,"P6")*ROWS($A$8:$A$31),0)),"")</f>
        <v>1.1647598051948049</v>
      </c>
      <c r="AQ21" s="6" t="str" cm="1">
        <f t="array" ref="AQ21">IFERROR((SUMPRODUCT(($A$8:$A$31=AQ$16)*($F$5:$AJ$5="")*$F$8:$AJ$31)+IF(AQ$16="P6",SUMPRODUCT(($F$5:$AJ$5="P6")*$F$8:$AJ$31),0))/(SUMPRODUCT(($A$8:$A$31=AQ$16)*($F$5:$AJ$5=""))+IF(AQ$16="P6",COUNTIF($F$5:$AJ$5,"P6")*ROWS($A$8:$A$31),0)),"")</f>
        <v/>
      </c>
      <c r="AR21" s="6" cm="1">
        <f t="array" ref="AR21">IFERROR((SUMPRODUCT(($A$8:$A$31=AR$16)*($F$5:$AJ$5="")*$F$8:$AJ$31)+IF(AR$16="P6",SUMPRODUCT(($F$5:$AJ$5="P6")*$F$8:$AJ$31),0))/(SUMPRODUCT(($A$8:$A$31=AR$16)*($F$5:$AJ$5=""))+IF(AR$16="P6",COUNTIF($F$5:$AJ$5,"P6")*ROWS($A$8:$A$31),0)),"")</f>
        <v>1.2666623724489789</v>
      </c>
    </row>
    <row r="22" spans="1:62" ht="14.5" x14ac:dyDescent="0.35">
      <c r="A22" s="1" t="s">
        <v>14</v>
      </c>
      <c r="B22" s="1" t="s">
        <v>15</v>
      </c>
      <c r="C22" s="1" t="s">
        <v>14</v>
      </c>
      <c r="D22" s="1" t="s">
        <v>14</v>
      </c>
      <c r="E22" s="1" t="s">
        <v>33</v>
      </c>
      <c r="F22" s="1">
        <v>1.1088800000000001</v>
      </c>
      <c r="G22" s="1">
        <v>1.05803</v>
      </c>
      <c r="H22" s="1">
        <v>1.0767199999999999</v>
      </c>
      <c r="I22" s="1">
        <v>1.0787800000000001</v>
      </c>
      <c r="J22" s="1">
        <v>1.05</v>
      </c>
      <c r="K22" s="1">
        <v>1.1337900000000001</v>
      </c>
      <c r="L22" s="1">
        <v>1.0657300000000001</v>
      </c>
      <c r="M22" s="1">
        <v>1.0573699999999999</v>
      </c>
      <c r="N22" s="1">
        <v>1.05803</v>
      </c>
      <c r="O22" s="1">
        <v>1.0767199999999999</v>
      </c>
      <c r="P22" s="1">
        <v>1.0787800000000001</v>
      </c>
      <c r="Q22" s="1">
        <v>1.05</v>
      </c>
      <c r="R22" s="1">
        <v>1.0857399999999999</v>
      </c>
      <c r="S22" s="1">
        <v>1.0657300000000001</v>
      </c>
      <c r="T22" s="1">
        <v>1.0573699999999999</v>
      </c>
      <c r="U22" s="1">
        <v>1.05803</v>
      </c>
      <c r="V22" s="1">
        <v>1.0767199999999999</v>
      </c>
      <c r="W22" s="1">
        <v>1.0787800000000001</v>
      </c>
      <c r="X22" s="1">
        <v>1.05</v>
      </c>
      <c r="Y22" s="1">
        <v>1.0857399999999999</v>
      </c>
      <c r="Z22" s="1">
        <v>1.0657300000000001</v>
      </c>
      <c r="AA22" s="1">
        <v>1.0573699999999999</v>
      </c>
      <c r="AB22" s="1">
        <v>1.05803</v>
      </c>
      <c r="AC22" s="1">
        <v>1.0767199999999999</v>
      </c>
      <c r="AD22" s="1">
        <v>1.0787800000000001</v>
      </c>
      <c r="AE22" s="1">
        <v>1.05</v>
      </c>
      <c r="AF22" s="1">
        <v>1.0857399999999999</v>
      </c>
      <c r="AG22" s="1">
        <v>1.0657300000000001</v>
      </c>
      <c r="AH22" s="1">
        <v>1.0573699999999999</v>
      </c>
      <c r="AI22" s="1">
        <v>1.05803</v>
      </c>
      <c r="AJ22" s="1">
        <v>1.0767199999999999</v>
      </c>
      <c r="AL22" s="4" t="s">
        <v>29</v>
      </c>
      <c r="AM22" s="6" t="str" cm="1">
        <f t="array" ref="AM22">IFERROR((SUMPRODUCT(($A$8:$A$31=AM$16)*($F$5:$AJ$5="")*$F$8:$AJ$31)+IF(AM$16="P6",SUMPRODUCT(($F$5:$AJ$5="P6")*$F$8:$AJ$31),0))/(SUMPRODUCT(($A$8:$A$31=AM$16)*($F$5:$AJ$5=""))+IF(AM$16="P6",COUNTIF($F$5:$AJ$5,"P6")*ROWS($A$8:$A$31),0)),"")</f>
        <v/>
      </c>
      <c r="AN22" s="6" cm="1">
        <f t="array" ref="AN22">IFERROR((SUMPRODUCT(($A$8:$A$31=AN$16)*($F$5:$AJ$5="")*$F$8:$AJ$31)+IF(AN$16="P6",SUMPRODUCT(($F$5:$AJ$5="P6")*$F$8:$AJ$31),0))/(SUMPRODUCT(($A$8:$A$31=AN$16)*($F$5:$AJ$5=""))+IF(AN$16="P6",COUNTIF($F$5:$AJ$5,"P6")*ROWS($A$8:$A$31),0)),"")</f>
        <v>1.1175081313131308</v>
      </c>
      <c r="AO22" s="6" t="str" cm="1">
        <f t="array" ref="AO22">IFERROR((SUMPRODUCT(($A$8:$A$31=AO$16)*($F$5:$AJ$5="")*$F$8:$AJ$31)+IF(AO$16="P6",SUMPRODUCT(($F$5:$AJ$5="P6")*$F$8:$AJ$31),0))/(SUMPRODUCT(($A$8:$A$31=AO$16)*($F$5:$AJ$5=""))+IF(AO$16="P6",COUNTIF($F$5:$AJ$5,"P6")*ROWS($A$8:$A$31),0)),"")</f>
        <v/>
      </c>
      <c r="AP22" s="6" cm="1">
        <f t="array" ref="AP22">IFERROR((SUMPRODUCT(($A$8:$A$31=AP$16)*($F$5:$AJ$5="")*$F$8:$AJ$31)+IF(AP$16="P6",SUMPRODUCT(($F$5:$AJ$5="P6")*$F$8:$AJ$31),0))/(SUMPRODUCT(($A$8:$A$31=AP$16)*($F$5:$AJ$5=""))+IF(AP$16="P6",COUNTIF($F$5:$AJ$5,"P6")*ROWS($A$8:$A$31),0)),"")</f>
        <v>1.1647598051948049</v>
      </c>
      <c r="AQ22" s="6" t="str" cm="1">
        <f t="array" ref="AQ22">IFERROR((SUMPRODUCT(($A$8:$A$31=AQ$16)*($F$5:$AJ$5="")*$F$8:$AJ$31)+IF(AQ$16="P6",SUMPRODUCT(($F$5:$AJ$5="P6")*$F$8:$AJ$31),0))/(SUMPRODUCT(($A$8:$A$31=AQ$16)*($F$5:$AJ$5=""))+IF(AQ$16="P6",COUNTIF($F$5:$AJ$5,"P6")*ROWS($A$8:$A$31),0)),"")</f>
        <v/>
      </c>
      <c r="AR22" s="6" cm="1">
        <f t="array" ref="AR22">IFERROR((SUMPRODUCT(($A$8:$A$31=AR$16)*($F$5:$AJ$5="")*$F$8:$AJ$31)+IF(AR$16="P6",SUMPRODUCT(($F$5:$AJ$5="P6")*$F$8:$AJ$31),0))/(SUMPRODUCT(($A$8:$A$31=AR$16)*($F$5:$AJ$5=""))+IF(AR$16="P6",COUNTIF($F$5:$AJ$5,"P6")*ROWS($A$8:$A$31),0)),"")</f>
        <v>1.2666623724489789</v>
      </c>
    </row>
    <row r="23" spans="1:62" ht="14.5" x14ac:dyDescent="0.35">
      <c r="A23" s="1" t="s">
        <v>16</v>
      </c>
      <c r="B23" s="1" t="s">
        <v>16</v>
      </c>
      <c r="C23" s="1" t="s">
        <v>14</v>
      </c>
      <c r="D23" s="1" t="s">
        <v>14</v>
      </c>
      <c r="E23" s="1" t="s">
        <v>34</v>
      </c>
      <c r="F23" s="1">
        <v>1.1731499999999999</v>
      </c>
      <c r="G23" s="1">
        <v>1.0940799999999999</v>
      </c>
      <c r="H23" s="1">
        <v>1.11124</v>
      </c>
      <c r="I23" s="1">
        <v>1.11141</v>
      </c>
      <c r="J23" s="1">
        <v>1.0962400000000001</v>
      </c>
      <c r="K23" s="1">
        <v>1.1861600000000001</v>
      </c>
      <c r="L23" s="1">
        <v>1.1180399999999999</v>
      </c>
      <c r="M23" s="1">
        <v>1.1114200000000001</v>
      </c>
      <c r="N23" s="1">
        <v>1.0940799999999999</v>
      </c>
      <c r="O23" s="1">
        <v>1.11124</v>
      </c>
      <c r="P23" s="1">
        <v>1.11141</v>
      </c>
      <c r="Q23" s="1">
        <v>1.0962400000000001</v>
      </c>
      <c r="R23" s="1">
        <v>1.1215900000000001</v>
      </c>
      <c r="S23" s="1">
        <v>1.1180399999999999</v>
      </c>
      <c r="T23" s="1">
        <v>1.1114200000000001</v>
      </c>
      <c r="U23" s="1">
        <v>1.0940799999999999</v>
      </c>
      <c r="V23" s="1">
        <v>1.11124</v>
      </c>
      <c r="W23" s="1">
        <v>1.11141</v>
      </c>
      <c r="X23" s="1">
        <v>1.0962400000000001</v>
      </c>
      <c r="Y23" s="1">
        <v>1.1215900000000001</v>
      </c>
      <c r="Z23" s="1">
        <v>1.1180399999999999</v>
      </c>
      <c r="AA23" s="1">
        <v>1.1114200000000001</v>
      </c>
      <c r="AB23" s="1">
        <v>1.0940799999999999</v>
      </c>
      <c r="AC23" s="1">
        <v>1.11124</v>
      </c>
      <c r="AD23" s="1">
        <v>1.11141</v>
      </c>
      <c r="AE23" s="1">
        <v>1.0962400000000001</v>
      </c>
      <c r="AF23" s="1">
        <v>1.1215900000000001</v>
      </c>
      <c r="AG23" s="1">
        <v>1.1180399999999999</v>
      </c>
      <c r="AH23" s="1">
        <v>1.1114200000000001</v>
      </c>
      <c r="AI23" s="1">
        <v>1.0940799999999999</v>
      </c>
      <c r="AJ23" s="1">
        <v>1.11124</v>
      </c>
      <c r="AL23" s="10"/>
      <c r="AM23" s="10"/>
      <c r="AN23" s="10"/>
      <c r="AO23" s="10"/>
      <c r="AP23" s="10"/>
      <c r="AQ23" s="10"/>
      <c r="AR23" s="10"/>
      <c r="BB23" s="11"/>
      <c r="BC23" s="11"/>
      <c r="BD23" s="11"/>
      <c r="BE23" s="11"/>
      <c r="BF23" s="11"/>
      <c r="BG23" s="11"/>
      <c r="BH23" s="11"/>
      <c r="BI23" s="11"/>
      <c r="BJ23" s="11"/>
    </row>
    <row r="24" spans="1:62" ht="14.5" x14ac:dyDescent="0.35">
      <c r="A24" s="1" t="s">
        <v>16</v>
      </c>
      <c r="B24" s="1" t="s">
        <v>16</v>
      </c>
      <c r="C24" s="1" t="s">
        <v>14</v>
      </c>
      <c r="D24" s="1" t="s">
        <v>14</v>
      </c>
      <c r="E24" s="1" t="s">
        <v>35</v>
      </c>
      <c r="F24" s="1">
        <v>1.2406900000000001</v>
      </c>
      <c r="G24" s="1">
        <v>1.11544</v>
      </c>
      <c r="H24" s="1">
        <v>1.13168</v>
      </c>
      <c r="I24" s="1">
        <v>1.12904</v>
      </c>
      <c r="J24" s="1">
        <v>1.11835</v>
      </c>
      <c r="K24" s="1">
        <v>1.2161900000000001</v>
      </c>
      <c r="L24" s="1">
        <v>1.1575200000000001</v>
      </c>
      <c r="M24" s="1">
        <v>1.15286</v>
      </c>
      <c r="N24" s="1">
        <v>1.11544</v>
      </c>
      <c r="O24" s="1">
        <v>1.13168</v>
      </c>
      <c r="P24" s="1">
        <v>1.12904</v>
      </c>
      <c r="Q24" s="1">
        <v>1.11835</v>
      </c>
      <c r="R24" s="1">
        <v>1.1506000000000001</v>
      </c>
      <c r="S24" s="1">
        <v>1.1575200000000001</v>
      </c>
      <c r="T24" s="1">
        <v>1.15286</v>
      </c>
      <c r="U24" s="1">
        <v>1.11544</v>
      </c>
      <c r="V24" s="1">
        <v>1.13168</v>
      </c>
      <c r="W24" s="1">
        <v>1.12904</v>
      </c>
      <c r="X24" s="1">
        <v>1.11835</v>
      </c>
      <c r="Y24" s="1">
        <v>1.1506000000000001</v>
      </c>
      <c r="Z24" s="1">
        <v>1.1575200000000001</v>
      </c>
      <c r="AA24" s="1">
        <v>1.15286</v>
      </c>
      <c r="AB24" s="1">
        <v>1.11544</v>
      </c>
      <c r="AC24" s="1">
        <v>1.13168</v>
      </c>
      <c r="AD24" s="1">
        <v>1.12904</v>
      </c>
      <c r="AE24" s="1">
        <v>1.11835</v>
      </c>
      <c r="AF24" s="1">
        <v>1.1506000000000001</v>
      </c>
      <c r="AG24" s="1">
        <v>1.1575200000000001</v>
      </c>
      <c r="AH24" s="1">
        <v>1.15286</v>
      </c>
      <c r="AI24" s="1">
        <v>1.11544</v>
      </c>
      <c r="AJ24" s="1">
        <v>1.13168</v>
      </c>
      <c r="AL24" s="10"/>
      <c r="AM24" s="10"/>
      <c r="AN24" s="10"/>
      <c r="AO24" s="10"/>
      <c r="AP24" s="10"/>
      <c r="AQ24" s="10"/>
      <c r="AR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14.5" x14ac:dyDescent="0.35">
      <c r="A25" s="1" t="s">
        <v>16</v>
      </c>
      <c r="B25" s="1" t="s">
        <v>16</v>
      </c>
      <c r="C25" s="1" t="s">
        <v>14</v>
      </c>
      <c r="D25" s="1" t="s">
        <v>14</v>
      </c>
      <c r="E25" s="1" t="s">
        <v>36</v>
      </c>
      <c r="F25" s="1">
        <v>1.30375</v>
      </c>
      <c r="G25" s="1">
        <v>1.13358</v>
      </c>
      <c r="H25" s="1">
        <v>1.1333200000000001</v>
      </c>
      <c r="I25" s="1">
        <v>1.1408499999999999</v>
      </c>
      <c r="J25" s="1">
        <v>1.1296999999999999</v>
      </c>
      <c r="K25" s="1">
        <v>1.2396199999999999</v>
      </c>
      <c r="L25" s="1">
        <v>1.1809799999999999</v>
      </c>
      <c r="M25" s="1">
        <v>1.19326</v>
      </c>
      <c r="N25" s="1">
        <v>1.13358</v>
      </c>
      <c r="O25" s="1">
        <v>1.1333200000000001</v>
      </c>
      <c r="P25" s="1">
        <v>1.1408499999999999</v>
      </c>
      <c r="Q25" s="1">
        <v>1.1296999999999999</v>
      </c>
      <c r="R25" s="1">
        <v>1.16415</v>
      </c>
      <c r="S25" s="1">
        <v>1.1809799999999999</v>
      </c>
      <c r="T25" s="1">
        <v>1.19326</v>
      </c>
      <c r="U25" s="1">
        <v>1.13358</v>
      </c>
      <c r="V25" s="1">
        <v>1.1333200000000001</v>
      </c>
      <c r="W25" s="1">
        <v>1.1408499999999999</v>
      </c>
      <c r="X25" s="1">
        <v>1.1296999999999999</v>
      </c>
      <c r="Y25" s="1">
        <v>1.16415</v>
      </c>
      <c r="Z25" s="1">
        <v>1.1809799999999999</v>
      </c>
      <c r="AA25" s="1">
        <v>1.19326</v>
      </c>
      <c r="AB25" s="1">
        <v>1.13358</v>
      </c>
      <c r="AC25" s="1">
        <v>1.1333200000000001</v>
      </c>
      <c r="AD25" s="1">
        <v>1.1408499999999999</v>
      </c>
      <c r="AE25" s="1">
        <v>1.1296999999999999</v>
      </c>
      <c r="AF25" s="1">
        <v>1.16415</v>
      </c>
      <c r="AG25" s="1">
        <v>1.1809799999999999</v>
      </c>
      <c r="AH25" s="1">
        <v>1.19326</v>
      </c>
      <c r="AI25" s="1">
        <v>1.13358</v>
      </c>
      <c r="AJ25" s="1">
        <v>1.1333200000000001</v>
      </c>
      <c r="AL25" s="14" t="s">
        <v>207</v>
      </c>
      <c r="AM25" s="14"/>
      <c r="AN25" s="14"/>
      <c r="AO25" s="14"/>
      <c r="AP25" s="14"/>
      <c r="AQ25" s="14"/>
      <c r="AR25" s="14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14.5" x14ac:dyDescent="0.35">
      <c r="A26" s="1" t="s">
        <v>14</v>
      </c>
      <c r="B26" s="1" t="s">
        <v>15</v>
      </c>
      <c r="C26" s="1" t="s">
        <v>13</v>
      </c>
      <c r="D26" s="1" t="s">
        <v>13</v>
      </c>
      <c r="E26" s="1" t="s">
        <v>37</v>
      </c>
      <c r="F26" s="1">
        <v>1.30016</v>
      </c>
      <c r="G26" s="1">
        <v>1.13984</v>
      </c>
      <c r="H26" s="1">
        <v>1.13619</v>
      </c>
      <c r="I26" s="1">
        <v>1.157</v>
      </c>
      <c r="J26" s="1">
        <v>1.1602699999999999</v>
      </c>
      <c r="K26" s="1">
        <v>1.2406999999999999</v>
      </c>
      <c r="L26" s="1">
        <v>1.19635</v>
      </c>
      <c r="M26" s="1">
        <v>1.18553</v>
      </c>
      <c r="N26" s="1">
        <v>1.13984</v>
      </c>
      <c r="O26" s="1">
        <v>1.13619</v>
      </c>
      <c r="P26" s="1">
        <v>1.157</v>
      </c>
      <c r="Q26" s="1">
        <v>1.1602699999999999</v>
      </c>
      <c r="R26" s="1">
        <v>1.1810499999999999</v>
      </c>
      <c r="S26" s="1">
        <v>1.19635</v>
      </c>
      <c r="T26" s="1">
        <v>1.18553</v>
      </c>
      <c r="U26" s="1">
        <v>1.13984</v>
      </c>
      <c r="V26" s="1">
        <v>1.13619</v>
      </c>
      <c r="W26" s="1">
        <v>1.157</v>
      </c>
      <c r="X26" s="1">
        <v>1.1602699999999999</v>
      </c>
      <c r="Y26" s="1">
        <v>1.1810499999999999</v>
      </c>
      <c r="Z26" s="1">
        <v>1.19635</v>
      </c>
      <c r="AA26" s="1">
        <v>1.18553</v>
      </c>
      <c r="AB26" s="1">
        <v>1.13984</v>
      </c>
      <c r="AC26" s="1">
        <v>1.13619</v>
      </c>
      <c r="AD26" s="1">
        <v>1.157</v>
      </c>
      <c r="AE26" s="1">
        <v>1.1602699999999999</v>
      </c>
      <c r="AF26" s="1">
        <v>1.1810499999999999</v>
      </c>
      <c r="AG26" s="1">
        <v>1.19635</v>
      </c>
      <c r="AH26" s="1">
        <v>1.18553</v>
      </c>
      <c r="AI26" s="1">
        <v>1.13984</v>
      </c>
      <c r="AJ26" s="1">
        <v>1.13619</v>
      </c>
      <c r="AL26" s="4"/>
      <c r="AM26" s="4" t="s">
        <v>13</v>
      </c>
      <c r="AN26" s="4" t="s">
        <v>14</v>
      </c>
      <c r="AO26" s="4" t="s">
        <v>15</v>
      </c>
      <c r="AP26" s="4" t="s">
        <v>16</v>
      </c>
      <c r="AQ26" s="4" t="s">
        <v>17</v>
      </c>
      <c r="AR26" s="4" t="s">
        <v>7</v>
      </c>
      <c r="BB26" s="10"/>
      <c r="BC26" s="13" t="s">
        <v>253</v>
      </c>
      <c r="BD26" s="13"/>
      <c r="BE26" s="13"/>
      <c r="BF26" s="13"/>
      <c r="BG26" s="13"/>
      <c r="BH26" s="13"/>
      <c r="BI26" s="13"/>
      <c r="BJ26" s="10"/>
    </row>
    <row r="27" spans="1:62" ht="14.5" x14ac:dyDescent="0.35">
      <c r="A27" s="1" t="s">
        <v>14</v>
      </c>
      <c r="B27" s="1" t="s">
        <v>15</v>
      </c>
      <c r="C27" s="1" t="s">
        <v>13</v>
      </c>
      <c r="D27" s="1" t="s">
        <v>13</v>
      </c>
      <c r="E27" s="1" t="s">
        <v>38</v>
      </c>
      <c r="F27" s="1">
        <v>1.28349</v>
      </c>
      <c r="G27" s="1">
        <v>1.1512</v>
      </c>
      <c r="H27" s="1">
        <v>1.1462000000000001</v>
      </c>
      <c r="I27" s="1">
        <v>1.1697200000000001</v>
      </c>
      <c r="J27" s="1">
        <v>1.1792100000000001</v>
      </c>
      <c r="K27" s="1">
        <v>1.23716</v>
      </c>
      <c r="L27" s="1">
        <v>1.2121</v>
      </c>
      <c r="M27" s="1">
        <v>1.19825</v>
      </c>
      <c r="N27" s="1">
        <v>1.1512</v>
      </c>
      <c r="O27" s="1">
        <v>1.1462000000000001</v>
      </c>
      <c r="P27" s="1">
        <v>1.1697200000000001</v>
      </c>
      <c r="Q27" s="1">
        <v>1.1792100000000001</v>
      </c>
      <c r="R27" s="1">
        <v>1.22227</v>
      </c>
      <c r="S27" s="1">
        <v>1.2121</v>
      </c>
      <c r="T27" s="1">
        <v>1.19825</v>
      </c>
      <c r="U27" s="1">
        <v>1.1512</v>
      </c>
      <c r="V27" s="1">
        <v>1.1462000000000001</v>
      </c>
      <c r="W27" s="1">
        <v>1.1697200000000001</v>
      </c>
      <c r="X27" s="1">
        <v>1.1792100000000001</v>
      </c>
      <c r="Y27" s="1">
        <v>1.22227</v>
      </c>
      <c r="Z27" s="1">
        <v>1.2121</v>
      </c>
      <c r="AA27" s="1">
        <v>1.19825</v>
      </c>
      <c r="AB27" s="1">
        <v>1.1512</v>
      </c>
      <c r="AC27" s="1">
        <v>1.1462000000000001</v>
      </c>
      <c r="AD27" s="1">
        <v>1.1697200000000001</v>
      </c>
      <c r="AE27" s="1">
        <v>1.1792100000000001</v>
      </c>
      <c r="AF27" s="1">
        <v>1.22227</v>
      </c>
      <c r="AG27" s="1">
        <v>1.2121</v>
      </c>
      <c r="AH27" s="1">
        <v>1.19825</v>
      </c>
      <c r="AI27" s="1">
        <v>1.1512</v>
      </c>
      <c r="AJ27" s="1">
        <v>1.1462000000000001</v>
      </c>
      <c r="AL27" s="4" t="s">
        <v>19</v>
      </c>
      <c r="AM27" s="6" cm="1">
        <f t="array" ref="AM27">IFERROR((SUMPRODUCT(($C$8:$C$31=AM$6)*($F$4:$AJ$4="")*$F$8:$AJ$31)+IF(AM$6="P3",SUMPRODUCT(($F$4:$AJ$4="P3")*$F$8:$AJ$31),0))/(SUMPRODUCT(($C$8:$C$31=AM$6)*($F$4:$AJ$4=""))+IF(AM$6="P3",COUNTIF($F$4:$AJ$4,"P3")*ROWS($C$8:$C$31),0)),"")</f>
        <v>1.1232200568181814</v>
      </c>
      <c r="AN27" s="6" cm="1">
        <f t="array" ref="AN27">IFERROR((SUMPRODUCT(($C$8:$C$31=AN$6)*($F$4:$AJ$4="")*$F$8:$AJ$31)+IF(AN$6="P3",SUMPRODUCT(($F$4:$AJ$4="P3")*$F$8:$AJ$31),0))/(SUMPRODUCT(($C$8:$C$31=AN$6)*($F$4:$AJ$4=""))+IF(AN$6="P3",COUNTIF($F$4:$AJ$4,"P3")*ROWS($C$8:$C$31),0)),"")</f>
        <v>1.1531414204545456</v>
      </c>
      <c r="AO27" s="6" cm="1">
        <f t="array" ref="AO27">IFERROR((SUMPRODUCT(($C$8:$C$31=AO$6)*($F$4:$AJ$4="")*$F$8:$AJ$31)+IF(AO$6="P3",SUMPRODUCT(($F$4:$AJ$4="P3")*$F$8:$AJ$31),0))/(SUMPRODUCT(($C$8:$C$31=AO$6)*($F$4:$AJ$4=""))+IF(AO$6="P3",COUNTIF($F$4:$AJ$4,"P3")*ROWS($C$8:$C$31),0)),"")</f>
        <v>1.2666623724489789</v>
      </c>
      <c r="AP27" s="6" t="str" cm="1">
        <f t="array" ref="AP27">IFERROR((SUMPRODUCT(($C$8:$C$31=AP$6)*($F$4:$AJ$4="")*$F$8:$AJ$31)+IF(AP$6="P3",SUMPRODUCT(($F$4:$AJ$4="P3")*$F$8:$AJ$31),0))/(SUMPRODUCT(($C$8:$C$31=AP$6)*($F$4:$AJ$4=""))+IF(AP$6="P3",COUNTIF($F$4:$AJ$4,"P3")*ROWS($C$8:$C$31),0)),"")</f>
        <v/>
      </c>
      <c r="AQ27" s="6" t="str" cm="1">
        <f t="array" ref="AQ27">IFERROR((SUMPRODUCT(($C$8:$C$31=AQ$6)*($F$4:$AJ$4="")*$F$8:$AJ$31)+IF(AQ$6="P3",SUMPRODUCT(($F$4:$AJ$4="P3")*$F$8:$AJ$31),0))/(SUMPRODUCT(($C$8:$C$31=AQ$6)*($F$4:$AJ$4=""))+IF(AQ$6="P3",COUNTIF($F$4:$AJ$4,"P3")*ROWS($C$8:$C$31),0)),"")</f>
        <v/>
      </c>
      <c r="AR27" s="6" t="str" cm="1">
        <f t="array" ref="AR27">IFERROR((SUMPRODUCT(($C$8:$C$31=AR$6)*($F$4:$AJ$4="")*$F$8:$AJ$31)+IF(AR$6="P3",SUMPRODUCT(($F$4:$AJ$4="P3")*$F$8:$AJ$31),0))/(SUMPRODUCT(($C$8:$C$31=AR$6)*($F$4:$AJ$4=""))+IF(AR$6="P3",COUNTIF($F$4:$AJ$4,"P3")*ROWS($C$8:$C$31),0)),"")</f>
        <v/>
      </c>
      <c r="BB27" s="10"/>
      <c r="BC27" s="4"/>
      <c r="BD27" s="4" t="s">
        <v>13</v>
      </c>
      <c r="BE27" s="4" t="s">
        <v>14</v>
      </c>
      <c r="BF27" s="4" t="s">
        <v>15</v>
      </c>
      <c r="BG27" s="4" t="s">
        <v>16</v>
      </c>
      <c r="BH27" s="4" t="s">
        <v>17</v>
      </c>
      <c r="BI27" s="4" t="s">
        <v>7</v>
      </c>
      <c r="BJ27" s="10"/>
    </row>
    <row r="28" spans="1:62" ht="14.5" x14ac:dyDescent="0.35">
      <c r="A28" s="1" t="s">
        <v>14</v>
      </c>
      <c r="B28" s="1" t="s">
        <v>15</v>
      </c>
      <c r="C28" s="1" t="s">
        <v>13</v>
      </c>
      <c r="D28" s="1" t="s">
        <v>13</v>
      </c>
      <c r="E28" s="1" t="s">
        <v>39</v>
      </c>
      <c r="F28" s="1">
        <v>1.2946599999999999</v>
      </c>
      <c r="G28" s="1">
        <v>1.15903</v>
      </c>
      <c r="H28" s="1">
        <v>1.1516200000000001</v>
      </c>
      <c r="I28" s="1">
        <v>1.1660299999999999</v>
      </c>
      <c r="J28" s="1">
        <v>1.1893400000000001</v>
      </c>
      <c r="K28" s="1">
        <v>1.2386999999999999</v>
      </c>
      <c r="L28" s="1">
        <v>1.2245699999999999</v>
      </c>
      <c r="M28" s="1">
        <v>1.2061999999999999</v>
      </c>
      <c r="N28" s="1">
        <v>1.15903</v>
      </c>
      <c r="O28" s="1">
        <v>1.1516200000000001</v>
      </c>
      <c r="P28" s="1">
        <v>1.1660299999999999</v>
      </c>
      <c r="Q28" s="1">
        <v>1.1893400000000001</v>
      </c>
      <c r="R28" s="1">
        <v>1.2353099999999999</v>
      </c>
      <c r="S28" s="1">
        <v>1.2245699999999999</v>
      </c>
      <c r="T28" s="1">
        <v>1.2061999999999999</v>
      </c>
      <c r="U28" s="1">
        <v>1.15903</v>
      </c>
      <c r="V28" s="1">
        <v>1.1516200000000001</v>
      </c>
      <c r="W28" s="1">
        <v>1.1660299999999999</v>
      </c>
      <c r="X28" s="1">
        <v>1.1893400000000001</v>
      </c>
      <c r="Y28" s="1">
        <v>1.2353099999999999</v>
      </c>
      <c r="Z28" s="1">
        <v>1.2245699999999999</v>
      </c>
      <c r="AA28" s="1">
        <v>1.2061999999999999</v>
      </c>
      <c r="AB28" s="1">
        <v>1.15903</v>
      </c>
      <c r="AC28" s="1">
        <v>1.1516200000000001</v>
      </c>
      <c r="AD28" s="1">
        <v>1.1660299999999999</v>
      </c>
      <c r="AE28" s="1">
        <v>1.1893400000000001</v>
      </c>
      <c r="AF28" s="1">
        <v>1.2353099999999999</v>
      </c>
      <c r="AG28" s="1">
        <v>1.2245699999999999</v>
      </c>
      <c r="AH28" s="1">
        <v>1.2061999999999999</v>
      </c>
      <c r="AI28" s="1">
        <v>1.15903</v>
      </c>
      <c r="AJ28" s="1">
        <v>1.1516200000000001</v>
      </c>
      <c r="AL28" s="4" t="s">
        <v>21</v>
      </c>
      <c r="AM28" s="6" t="str" cm="1">
        <f t="array" ref="AM28">IFERROR((SUMPRODUCT(($B$8:$B$31=AM$26)*($F$5:$AJ$5="")*$F$8:$AJ$31)+IF(AM$26="P6",SUMPRODUCT(($F$5:$AJ$5="P6")*$F$8:$AJ$31),0))/(SUMPRODUCT(($B$8:$B$31=AM$26)*($F$5:$AJ$5=""))+IF(AM$26="P6",COUNTIF($F$5:$AJ$5,"P6")*ROWS($B$8:$B$31),0)),"")</f>
        <v/>
      </c>
      <c r="AN28" s="6" t="str" cm="1">
        <f t="array" ref="AN28">IFERROR((SUMPRODUCT(($B$8:$B$31=AN$26)*($F$5:$AJ$5="")*$F$8:$AJ$31)+IF(AN$26="P6",SUMPRODUCT(($F$5:$AJ$5="P6")*$F$8:$AJ$31),0))/(SUMPRODUCT(($B$8:$B$31=AN$26)*($F$5:$AJ$5=""))+IF(AN$26="P6",COUNTIF($F$5:$AJ$5,"P6")*ROWS($B$8:$B$31),0)),"")</f>
        <v/>
      </c>
      <c r="AO28" s="6" cm="1">
        <f t="array" ref="AO28">IFERROR((SUMPRODUCT(($B$8:$B$31=AO$26)*($F$5:$AJ$5="")*$F$8:$AJ$31)+IF(AO$26="P6",SUMPRODUCT(($F$5:$AJ$5="P6")*$F$8:$AJ$31),0))/(SUMPRODUCT(($B$8:$B$31=AO$26)*($F$5:$AJ$5=""))+IF(AO$26="P6",COUNTIF($F$5:$AJ$5,"P6")*ROWS($B$8:$B$31),0)),"")</f>
        <v>1.1175081313131308</v>
      </c>
      <c r="AP28" s="6" cm="1">
        <f t="array" ref="AP28">IFERROR((SUMPRODUCT(($B$8:$B$31=AP$26)*($F$5:$AJ$5="")*$F$8:$AJ$31)+IF(AP$26="P6",SUMPRODUCT(($F$5:$AJ$5="P6")*$F$8:$AJ$31),0))/(SUMPRODUCT(($B$8:$B$31=AP$26)*($F$5:$AJ$5=""))+IF(AP$26="P6",COUNTIF($F$5:$AJ$5,"P6")*ROWS($B$8:$B$31),0)),"")</f>
        <v>1.1647598051948049</v>
      </c>
      <c r="AQ28" s="6" t="str" cm="1">
        <f t="array" ref="AQ28">IFERROR((SUMPRODUCT(($B$8:$B$31=AQ$26)*($F$5:$AJ$5="")*$F$8:$AJ$31)+IF(AQ$26="P6",SUMPRODUCT(($F$5:$AJ$5="P6")*$F$8:$AJ$31),0))/(SUMPRODUCT(($B$8:$B$31=AQ$26)*($F$5:$AJ$5=""))+IF(AQ$26="P6",COUNTIF($F$5:$AJ$5,"P6")*ROWS($B$8:$B$31),0)),"")</f>
        <v/>
      </c>
      <c r="AR28" s="6" cm="1">
        <f t="array" ref="AR28">IFERROR((SUMPRODUCT(($B$8:$B$31=AR$26)*($F$5:$AJ$5="")*$F$8:$AJ$31)+IF(AR$26="P6",SUMPRODUCT(($F$5:$AJ$5="P6")*$F$8:$AJ$31),0))/(SUMPRODUCT(($B$8:$B$31=AR$26)*($F$5:$AJ$5=""))+IF(AR$26="P6",COUNTIF($F$5:$AJ$5,"P6")*ROWS($B$8:$B$31),0)),"")</f>
        <v>1.2666623724489789</v>
      </c>
      <c r="BB28" s="10"/>
      <c r="BC28" s="4" t="s">
        <v>19</v>
      </c>
      <c r="BD28" s="6">
        <f>AVERAGE(AM17,AM52,AM87,AM122,AM157,AM192,AM227,AM262,AM297,AM332,AM367,AM402)</f>
        <v>0.99296324775772715</v>
      </c>
      <c r="BE28" s="6">
        <f t="shared" ref="BE28:BI33" si="4">AVERAGE(AN17,AN52,AN87,AN122,AN157,AN192,AN227,AN262,AN297,AN332,AN367,AN402)</f>
        <v>1.0635638050203118</v>
      </c>
      <c r="BF28" s="6">
        <f t="shared" si="4"/>
        <v>1.0876568786097318</v>
      </c>
      <c r="BG28" s="6"/>
      <c r="BH28" s="6"/>
      <c r="BI28" s="6"/>
      <c r="BJ28" s="10"/>
    </row>
    <row r="29" spans="1:62" ht="14.5" x14ac:dyDescent="0.35">
      <c r="A29" s="1" t="s">
        <v>14</v>
      </c>
      <c r="B29" s="1" t="s">
        <v>15</v>
      </c>
      <c r="C29" s="1" t="s">
        <v>13</v>
      </c>
      <c r="D29" s="1" t="s">
        <v>13</v>
      </c>
      <c r="E29" s="1" t="s">
        <v>40</v>
      </c>
      <c r="F29" s="1">
        <v>1.29132</v>
      </c>
      <c r="G29" s="1">
        <v>1.1726099999999999</v>
      </c>
      <c r="H29" s="1">
        <v>1.16204</v>
      </c>
      <c r="I29" s="1">
        <v>1.15768</v>
      </c>
      <c r="J29" s="1">
        <v>1.1847799999999999</v>
      </c>
      <c r="K29" s="1">
        <v>1.24857</v>
      </c>
      <c r="L29" s="1">
        <v>1.2202999999999999</v>
      </c>
      <c r="M29" s="1">
        <v>1.2060500000000001</v>
      </c>
      <c r="N29" s="1">
        <v>1.1726099999999999</v>
      </c>
      <c r="O29" s="1">
        <v>1.16204</v>
      </c>
      <c r="P29" s="1">
        <v>1.15768</v>
      </c>
      <c r="Q29" s="1">
        <v>1.1847799999999999</v>
      </c>
      <c r="R29" s="1">
        <v>1.2387900000000001</v>
      </c>
      <c r="S29" s="1">
        <v>1.2202999999999999</v>
      </c>
      <c r="T29" s="1">
        <v>1.2060500000000001</v>
      </c>
      <c r="U29" s="1">
        <v>1.1726099999999999</v>
      </c>
      <c r="V29" s="1">
        <v>1.16204</v>
      </c>
      <c r="W29" s="1">
        <v>1.15768</v>
      </c>
      <c r="X29" s="1">
        <v>1.1847799999999999</v>
      </c>
      <c r="Y29" s="1">
        <v>1.2387900000000001</v>
      </c>
      <c r="Z29" s="1">
        <v>1.2202999999999999</v>
      </c>
      <c r="AA29" s="1">
        <v>1.2060500000000001</v>
      </c>
      <c r="AB29" s="1">
        <v>1.1726099999999999</v>
      </c>
      <c r="AC29" s="1">
        <v>1.16204</v>
      </c>
      <c r="AD29" s="1">
        <v>1.15768</v>
      </c>
      <c r="AE29" s="1">
        <v>1.1847799999999999</v>
      </c>
      <c r="AF29" s="1">
        <v>1.2387900000000001</v>
      </c>
      <c r="AG29" s="1">
        <v>1.2202999999999999</v>
      </c>
      <c r="AH29" s="1">
        <v>1.2060500000000001</v>
      </c>
      <c r="AI29" s="1">
        <v>1.1726099999999999</v>
      </c>
      <c r="AJ29" s="1">
        <v>1.16204</v>
      </c>
      <c r="AL29" s="4" t="s">
        <v>23</v>
      </c>
      <c r="AM29" s="6" t="str" cm="1">
        <f t="array" ref="AM29">IFERROR((SUMPRODUCT(($B$8:$B$31=AM$26)*($F$5:$AJ$5="")*$F$8:$AJ$31)+IF(AM$26="P6",SUMPRODUCT(($F$5:$AJ$5="P6")*$F$8:$AJ$31),0))/(SUMPRODUCT(($B$8:$B$31=AM$26)*($F$5:$AJ$5=""))+IF(AM$26="P6",COUNTIF($F$5:$AJ$5,"P6")*ROWS($B$8:$B$31),0)),"")</f>
        <v/>
      </c>
      <c r="AN29" s="6" t="str" cm="1">
        <f t="array" ref="AN29">IFERROR((SUMPRODUCT(($B$8:$B$31=AN$26)*($F$5:$AJ$5="")*$F$8:$AJ$31)+IF(AN$26="P6",SUMPRODUCT(($F$5:$AJ$5="P6")*$F$8:$AJ$31),0))/(SUMPRODUCT(($B$8:$B$31=AN$26)*($F$5:$AJ$5=""))+IF(AN$26="P6",COUNTIF($F$5:$AJ$5,"P6")*ROWS($B$8:$B$31),0)),"")</f>
        <v/>
      </c>
      <c r="AO29" s="6" cm="1">
        <f t="array" ref="AO29">IFERROR((SUMPRODUCT(($B$8:$B$31=AO$26)*($F$5:$AJ$5="")*$F$8:$AJ$31)+IF(AO$26="P6",SUMPRODUCT(($F$5:$AJ$5="P6")*$F$8:$AJ$31),0))/(SUMPRODUCT(($B$8:$B$31=AO$26)*($F$5:$AJ$5=""))+IF(AO$26="P6",COUNTIF($F$5:$AJ$5,"P6")*ROWS($B$8:$B$31),0)),"")</f>
        <v>1.1175081313131308</v>
      </c>
      <c r="AP29" s="6" cm="1">
        <f t="array" ref="AP29">IFERROR((SUMPRODUCT(($B$8:$B$31=AP$26)*($F$5:$AJ$5="")*$F$8:$AJ$31)+IF(AP$26="P6",SUMPRODUCT(($F$5:$AJ$5="P6")*$F$8:$AJ$31),0))/(SUMPRODUCT(($B$8:$B$31=AP$26)*($F$5:$AJ$5=""))+IF(AP$26="P6",COUNTIF($F$5:$AJ$5,"P6")*ROWS($B$8:$B$31),0)),"")</f>
        <v>1.1647598051948049</v>
      </c>
      <c r="AQ29" s="6" t="str" cm="1">
        <f t="array" ref="AQ29">IFERROR((SUMPRODUCT(($B$8:$B$31=AQ$26)*($F$5:$AJ$5="")*$F$8:$AJ$31)+IF(AQ$26="P6",SUMPRODUCT(($F$5:$AJ$5="P6")*$F$8:$AJ$31),0))/(SUMPRODUCT(($B$8:$B$31=AQ$26)*($F$5:$AJ$5=""))+IF(AQ$26="P6",COUNTIF($F$5:$AJ$5,"P6")*ROWS($B$8:$B$31),0)),"")</f>
        <v/>
      </c>
      <c r="AR29" s="6" cm="1">
        <f t="array" ref="AR29">IFERROR((SUMPRODUCT(($B$8:$B$31=AR$26)*($F$5:$AJ$5="")*$F$8:$AJ$31)+IF(AR$26="P6",SUMPRODUCT(($F$5:$AJ$5="P6")*$F$8:$AJ$31),0))/(SUMPRODUCT(($B$8:$B$31=AR$26)*($F$5:$AJ$5=""))+IF(AR$26="P6",COUNTIF($F$5:$AJ$5,"P6")*ROWS($B$8:$B$31),0)),"")</f>
        <v>1.2666623724489789</v>
      </c>
      <c r="BB29" s="10"/>
      <c r="BC29" s="4" t="s">
        <v>21</v>
      </c>
      <c r="BD29" s="6">
        <f t="shared" ref="BD29:BD33" si="5">AVERAGE(AM18,AM53,AM88,AM123,AM158,AM193,AM228,AM263,AM298,AM333,AM368,AM403)</f>
        <v>0.89786455266955201</v>
      </c>
      <c r="BE29" s="6">
        <f t="shared" si="4"/>
        <v>1.0889907638134273</v>
      </c>
      <c r="BF29" s="6">
        <f>AVERAGE(AO18,AO53,AO88,AO123,AO158,AO193,AO228,AO263,AO298,AO333,AO368,AO403)</f>
        <v>1.0276843908472479</v>
      </c>
      <c r="BG29" s="6">
        <f t="shared" si="4"/>
        <v>1.0582133703599139</v>
      </c>
      <c r="BH29" s="6">
        <f t="shared" si="4"/>
        <v>1.08146251082251</v>
      </c>
      <c r="BI29" s="6">
        <f t="shared" si="4"/>
        <v>1.0876568786097318</v>
      </c>
      <c r="BJ29" s="10"/>
    </row>
    <row r="30" spans="1:62" ht="14.5" x14ac:dyDescent="0.35">
      <c r="A30" s="1" t="s">
        <v>16</v>
      </c>
      <c r="B30" s="1" t="s">
        <v>16</v>
      </c>
      <c r="C30" s="1" t="s">
        <v>14</v>
      </c>
      <c r="D30" s="1" t="s">
        <v>14</v>
      </c>
      <c r="E30" s="1" t="s">
        <v>41</v>
      </c>
      <c r="F30" s="1">
        <v>1.32683</v>
      </c>
      <c r="G30" s="1">
        <v>1.20763</v>
      </c>
      <c r="H30" s="1">
        <v>1.21976</v>
      </c>
      <c r="I30" s="1">
        <v>1.2036100000000001</v>
      </c>
      <c r="J30" s="1">
        <v>1.2164299999999999</v>
      </c>
      <c r="K30" s="1">
        <v>1.2623</v>
      </c>
      <c r="L30" s="1">
        <v>1.22811</v>
      </c>
      <c r="M30" s="1">
        <v>1.22885</v>
      </c>
      <c r="N30" s="1">
        <v>1.20763</v>
      </c>
      <c r="O30" s="1">
        <v>1.21976</v>
      </c>
      <c r="P30" s="1">
        <v>1.2036100000000001</v>
      </c>
      <c r="Q30" s="1">
        <v>1.2164299999999999</v>
      </c>
      <c r="R30" s="1">
        <v>1.27061</v>
      </c>
      <c r="S30" s="1">
        <v>1.22811</v>
      </c>
      <c r="T30" s="1">
        <v>1.22885</v>
      </c>
      <c r="U30" s="1">
        <v>1.20763</v>
      </c>
      <c r="V30" s="1">
        <v>1.21976</v>
      </c>
      <c r="W30" s="1">
        <v>1.2036100000000001</v>
      </c>
      <c r="X30" s="1">
        <v>1.2164299999999999</v>
      </c>
      <c r="Y30" s="1">
        <v>1.27061</v>
      </c>
      <c r="Z30" s="1">
        <v>1.22811</v>
      </c>
      <c r="AA30" s="1">
        <v>1.22885</v>
      </c>
      <c r="AB30" s="1">
        <v>1.20763</v>
      </c>
      <c r="AC30" s="1">
        <v>1.21976</v>
      </c>
      <c r="AD30" s="1">
        <v>1.2036100000000001</v>
      </c>
      <c r="AE30" s="1">
        <v>1.2164299999999999</v>
      </c>
      <c r="AF30" s="1">
        <v>1.27061</v>
      </c>
      <c r="AG30" s="1">
        <v>1.22811</v>
      </c>
      <c r="AH30" s="1">
        <v>1.22885</v>
      </c>
      <c r="AI30" s="1">
        <v>1.20763</v>
      </c>
      <c r="AJ30" s="1">
        <v>1.21976</v>
      </c>
      <c r="AL30" s="4" t="s">
        <v>25</v>
      </c>
      <c r="AM30" s="6" t="str" cm="1">
        <f t="array" ref="AM30">IFERROR((SUMPRODUCT(($B$8:$B$31=AM$26)*($F$5:$AJ$5="")*$F$8:$AJ$31)+IF(AM$26="P6",SUMPRODUCT(($F$5:$AJ$5="P6")*$F$8:$AJ$31),0))/(SUMPRODUCT(($B$8:$B$31=AM$26)*($F$5:$AJ$5=""))+IF(AM$26="P6",COUNTIF($F$5:$AJ$5,"P6")*ROWS($B$8:$B$31),0)),"")</f>
        <v/>
      </c>
      <c r="AN30" s="6" t="str" cm="1">
        <f t="array" ref="AN30">IFERROR((SUMPRODUCT(($B$8:$B$31=AN$26)*($F$5:$AJ$5="")*$F$8:$AJ$31)+IF(AN$26="P6",SUMPRODUCT(($F$5:$AJ$5="P6")*$F$8:$AJ$31),0))/(SUMPRODUCT(($B$8:$B$31=AN$26)*($F$5:$AJ$5=""))+IF(AN$26="P6",COUNTIF($F$5:$AJ$5,"P6")*ROWS($B$8:$B$31),0)),"")</f>
        <v/>
      </c>
      <c r="AO30" s="6" cm="1">
        <f t="array" ref="AO30">IFERROR((SUMPRODUCT(($B$8:$B$31=AO$26)*($F$5:$AJ$5="")*$F$8:$AJ$31)+IF(AO$26="P6",SUMPRODUCT(($F$5:$AJ$5="P6")*$F$8:$AJ$31),0))/(SUMPRODUCT(($B$8:$B$31=AO$26)*($F$5:$AJ$5=""))+IF(AO$26="P6",COUNTIF($F$5:$AJ$5,"P6")*ROWS($B$8:$B$31),0)),"")</f>
        <v>1.1175081313131308</v>
      </c>
      <c r="AP30" s="6" cm="1">
        <f t="array" ref="AP30">IFERROR((SUMPRODUCT(($B$8:$B$31=AP$26)*($F$5:$AJ$5="")*$F$8:$AJ$31)+IF(AP$26="P6",SUMPRODUCT(($F$5:$AJ$5="P6")*$F$8:$AJ$31),0))/(SUMPRODUCT(($B$8:$B$31=AP$26)*($F$5:$AJ$5=""))+IF(AP$26="P6",COUNTIF($F$5:$AJ$5,"P6")*ROWS($B$8:$B$31),0)),"")</f>
        <v>1.1647598051948049</v>
      </c>
      <c r="AQ30" s="6" t="str" cm="1">
        <f t="array" ref="AQ30">IFERROR((SUMPRODUCT(($B$8:$B$31=AQ$26)*($F$5:$AJ$5="")*$F$8:$AJ$31)+IF(AQ$26="P6",SUMPRODUCT(($F$5:$AJ$5="P6")*$F$8:$AJ$31),0))/(SUMPRODUCT(($B$8:$B$31=AQ$26)*($F$5:$AJ$5=""))+IF(AQ$26="P6",COUNTIF($F$5:$AJ$5,"P6")*ROWS($B$8:$B$31),0)),"")</f>
        <v/>
      </c>
      <c r="AR30" s="6" cm="1">
        <f t="array" ref="AR30">IFERROR((SUMPRODUCT(($B$8:$B$31=AR$26)*($F$5:$AJ$5="")*$F$8:$AJ$31)+IF(AR$26="P6",SUMPRODUCT(($F$5:$AJ$5="P6")*$F$8:$AJ$31),0))/(SUMPRODUCT(($B$8:$B$31=AR$26)*($F$5:$AJ$5=""))+IF(AR$26="P6",COUNTIF($F$5:$AJ$5,"P6")*ROWS($B$8:$B$31),0)),"")</f>
        <v>1.2666623724489789</v>
      </c>
      <c r="BB30" s="10"/>
      <c r="BC30" s="4" t="s">
        <v>23</v>
      </c>
      <c r="BD30" s="6">
        <f t="shared" si="5"/>
        <v>0.89786455266955201</v>
      </c>
      <c r="BE30" s="6">
        <f t="shared" si="4"/>
        <v>1.0889907638134273</v>
      </c>
      <c r="BF30" s="6">
        <f t="shared" si="4"/>
        <v>1.0276843908472479</v>
      </c>
      <c r="BG30" s="6">
        <f t="shared" si="4"/>
        <v>1.0582133703599139</v>
      </c>
      <c r="BH30" s="6">
        <f t="shared" si="4"/>
        <v>1.08146251082251</v>
      </c>
      <c r="BI30" s="6">
        <f t="shared" si="4"/>
        <v>1.0876568786097318</v>
      </c>
      <c r="BJ30" s="10"/>
    </row>
    <row r="31" spans="1:62" ht="14.5" x14ac:dyDescent="0.35">
      <c r="A31" s="1" t="s">
        <v>16</v>
      </c>
      <c r="B31" s="1" t="s">
        <v>16</v>
      </c>
      <c r="C31" s="1" t="s">
        <v>14</v>
      </c>
      <c r="D31" s="1" t="s">
        <v>14</v>
      </c>
      <c r="E31" s="1" t="s">
        <v>42</v>
      </c>
      <c r="F31" s="1">
        <v>1.3725400000000001</v>
      </c>
      <c r="G31" s="1">
        <v>1.2531000000000001</v>
      </c>
      <c r="H31" s="1">
        <v>1.2708600000000001</v>
      </c>
      <c r="I31" s="1">
        <v>1.26817</v>
      </c>
      <c r="J31" s="1">
        <v>1.2616000000000001</v>
      </c>
      <c r="K31" s="1">
        <v>1.2882899999999999</v>
      </c>
      <c r="L31" s="1">
        <v>1.2555000000000001</v>
      </c>
      <c r="M31" s="1">
        <v>1.28206</v>
      </c>
      <c r="N31" s="1">
        <v>1.2531000000000001</v>
      </c>
      <c r="O31" s="1">
        <v>1.2708600000000001</v>
      </c>
      <c r="P31" s="1">
        <v>1.26817</v>
      </c>
      <c r="Q31" s="1">
        <v>1.2616000000000001</v>
      </c>
      <c r="R31" s="1">
        <v>1.3027599999999999</v>
      </c>
      <c r="S31" s="1">
        <v>1.2555000000000001</v>
      </c>
      <c r="T31" s="1">
        <v>1.28206</v>
      </c>
      <c r="U31" s="1">
        <v>1.2531000000000001</v>
      </c>
      <c r="V31" s="1">
        <v>1.2708600000000001</v>
      </c>
      <c r="W31" s="1">
        <v>1.26817</v>
      </c>
      <c r="X31" s="1">
        <v>1.2616000000000001</v>
      </c>
      <c r="Y31" s="1">
        <v>1.3027599999999999</v>
      </c>
      <c r="Z31" s="1">
        <v>1.2555000000000001</v>
      </c>
      <c r="AA31" s="1">
        <v>1.28206</v>
      </c>
      <c r="AB31" s="1">
        <v>1.2531000000000001</v>
      </c>
      <c r="AC31" s="1">
        <v>1.2708600000000001</v>
      </c>
      <c r="AD31" s="1">
        <v>1.26817</v>
      </c>
      <c r="AE31" s="1">
        <v>1.2616000000000001</v>
      </c>
      <c r="AF31" s="1">
        <v>1.3027599999999999</v>
      </c>
      <c r="AG31" s="1">
        <v>1.2555000000000001</v>
      </c>
      <c r="AH31" s="1">
        <v>1.28206</v>
      </c>
      <c r="AI31" s="1">
        <v>1.2531000000000001</v>
      </c>
      <c r="AJ31" s="1">
        <v>1.2708600000000001</v>
      </c>
      <c r="AL31" s="4" t="s">
        <v>27</v>
      </c>
      <c r="AM31" s="6" t="str" cm="1">
        <f t="array" ref="AM31">IFERROR((SUMPRODUCT(($B$8:$B$31=AM$26)*($F$5:$AJ$5="")*$F$8:$AJ$31)+IF(AM$26="P6",SUMPRODUCT(($F$5:$AJ$5="P6")*$F$8:$AJ$31),0))/(SUMPRODUCT(($B$8:$B$31=AM$26)*($F$5:$AJ$5=""))+IF(AM$26="P6",COUNTIF($F$5:$AJ$5,"P6")*ROWS($B$8:$B$31),0)),"")</f>
        <v/>
      </c>
      <c r="AN31" s="6" t="str" cm="1">
        <f t="array" ref="AN31">IFERROR((SUMPRODUCT(($B$8:$B$31=AN$26)*($F$5:$AJ$5="")*$F$8:$AJ$31)+IF(AN$26="P6",SUMPRODUCT(($F$5:$AJ$5="P6")*$F$8:$AJ$31),0))/(SUMPRODUCT(($B$8:$B$31=AN$26)*($F$5:$AJ$5=""))+IF(AN$26="P6",COUNTIF($F$5:$AJ$5,"P6")*ROWS($B$8:$B$31),0)),"")</f>
        <v/>
      </c>
      <c r="AO31" s="6" cm="1">
        <f t="array" ref="AO31">IFERROR((SUMPRODUCT(($B$8:$B$31=AO$26)*($F$5:$AJ$5="")*$F$8:$AJ$31)+IF(AO$26="P6",SUMPRODUCT(($F$5:$AJ$5="P6")*$F$8:$AJ$31),0))/(SUMPRODUCT(($B$8:$B$31=AO$26)*($F$5:$AJ$5=""))+IF(AO$26="P6",COUNTIF($F$5:$AJ$5,"P6")*ROWS($B$8:$B$31),0)),"")</f>
        <v>1.1175081313131308</v>
      </c>
      <c r="AP31" s="6" cm="1">
        <f t="array" ref="AP31">IFERROR((SUMPRODUCT(($B$8:$B$31=AP$26)*($F$5:$AJ$5="")*$F$8:$AJ$31)+IF(AP$26="P6",SUMPRODUCT(($F$5:$AJ$5="P6")*$F$8:$AJ$31),0))/(SUMPRODUCT(($B$8:$B$31=AP$26)*($F$5:$AJ$5=""))+IF(AP$26="P6",COUNTIF($F$5:$AJ$5,"P6")*ROWS($B$8:$B$31),0)),"")</f>
        <v>1.1647598051948049</v>
      </c>
      <c r="AQ31" s="6" t="str" cm="1">
        <f t="array" ref="AQ31">IFERROR((SUMPRODUCT(($B$8:$B$31=AQ$26)*($F$5:$AJ$5="")*$F$8:$AJ$31)+IF(AQ$26="P6",SUMPRODUCT(($F$5:$AJ$5="P6")*$F$8:$AJ$31),0))/(SUMPRODUCT(($B$8:$B$31=AQ$26)*($F$5:$AJ$5=""))+IF(AQ$26="P6",COUNTIF($F$5:$AJ$5,"P6")*ROWS($B$8:$B$31),0)),"")</f>
        <v/>
      </c>
      <c r="AR31" s="6" cm="1">
        <f t="array" ref="AR31">IFERROR((SUMPRODUCT(($B$8:$B$31=AR$26)*($F$5:$AJ$5="")*$F$8:$AJ$31)+IF(AR$26="P6",SUMPRODUCT(($F$5:$AJ$5="P6")*$F$8:$AJ$31),0))/(SUMPRODUCT(($B$8:$B$31=AR$26)*($F$5:$AJ$5=""))+IF(AR$26="P6",COUNTIF($F$5:$AJ$5,"P6")*ROWS($B$8:$B$31),0)),"")</f>
        <v>1.2666623724489789</v>
      </c>
      <c r="BB31" s="10"/>
      <c r="BC31" s="4" t="s">
        <v>25</v>
      </c>
      <c r="BD31" s="6">
        <f t="shared" si="5"/>
        <v>0.89786455266955201</v>
      </c>
      <c r="BE31" s="6">
        <f t="shared" si="4"/>
        <v>1.0889907638134273</v>
      </c>
      <c r="BF31" s="6">
        <f t="shared" si="4"/>
        <v>1.0276843908472479</v>
      </c>
      <c r="BG31" s="6">
        <f t="shared" si="4"/>
        <v>1.0582133703599139</v>
      </c>
      <c r="BH31" s="6">
        <f t="shared" si="4"/>
        <v>1.08146251082251</v>
      </c>
      <c r="BI31" s="6">
        <f t="shared" si="4"/>
        <v>1.0876568786097318</v>
      </c>
      <c r="BJ31" s="10"/>
    </row>
    <row r="32" spans="1:62" ht="14.25" customHeight="1" x14ac:dyDescent="0.35">
      <c r="AL32" s="4" t="s">
        <v>29</v>
      </c>
      <c r="AM32" s="6" t="str" cm="1">
        <f t="array" ref="AM32">IFERROR((SUMPRODUCT(($B$8:$B$31=AM$26)*($F$5:$AJ$5="")*$F$8:$AJ$31)+IF(AM$26="P6",SUMPRODUCT(($F$5:$AJ$5="P6")*$F$8:$AJ$31),0))/(SUMPRODUCT(($B$8:$B$31=AM$26)*($F$5:$AJ$5=""))+IF(AM$26="P6",COUNTIF($F$5:$AJ$5,"P6")*ROWS($B$8:$B$31),0)),"")</f>
        <v/>
      </c>
      <c r="AN32" s="6" t="str" cm="1">
        <f t="array" ref="AN32">IFERROR((SUMPRODUCT(($B$8:$B$31=AN$26)*($F$5:$AJ$5="")*$F$8:$AJ$31)+IF(AN$26="P6",SUMPRODUCT(($F$5:$AJ$5="P6")*$F$8:$AJ$31),0))/(SUMPRODUCT(($B$8:$B$31=AN$26)*($F$5:$AJ$5=""))+IF(AN$26="P6",COUNTIF($F$5:$AJ$5,"P6")*ROWS($B$8:$B$31),0)),"")</f>
        <v/>
      </c>
      <c r="AO32" s="6" cm="1">
        <f t="array" ref="AO32">IFERROR((SUMPRODUCT(($B$8:$B$31=AO$26)*($F$5:$AJ$5="")*$F$8:$AJ$31)+IF(AO$26="P6",SUMPRODUCT(($F$5:$AJ$5="P6")*$F$8:$AJ$31),0))/(SUMPRODUCT(($B$8:$B$31=AO$26)*($F$5:$AJ$5=""))+IF(AO$26="P6",COUNTIF($F$5:$AJ$5,"P6")*ROWS($B$8:$B$31),0)),"")</f>
        <v>1.1175081313131308</v>
      </c>
      <c r="AP32" s="6" cm="1">
        <f t="array" ref="AP32">IFERROR((SUMPRODUCT(($B$8:$B$31=AP$26)*($F$5:$AJ$5="")*$F$8:$AJ$31)+IF(AP$26="P6",SUMPRODUCT(($F$5:$AJ$5="P6")*$F$8:$AJ$31),0))/(SUMPRODUCT(($B$8:$B$31=AP$26)*($F$5:$AJ$5=""))+IF(AP$26="P6",COUNTIF($F$5:$AJ$5,"P6")*ROWS($B$8:$B$31),0)),"")</f>
        <v>1.1647598051948049</v>
      </c>
      <c r="AQ32" s="6" t="str" cm="1">
        <f t="array" ref="AQ32">IFERROR((SUMPRODUCT(($B$8:$B$31=AQ$26)*($F$5:$AJ$5="")*$F$8:$AJ$31)+IF(AQ$26="P6",SUMPRODUCT(($F$5:$AJ$5="P6")*$F$8:$AJ$31),0))/(SUMPRODUCT(($B$8:$B$31=AQ$26)*($F$5:$AJ$5=""))+IF(AQ$26="P6",COUNTIF($F$5:$AJ$5,"P6")*ROWS($B$8:$B$31),0)),"")</f>
        <v/>
      </c>
      <c r="AR32" s="6" cm="1">
        <f t="array" ref="AR32">IFERROR((SUMPRODUCT(($B$8:$B$31=AR$26)*($F$5:$AJ$5="")*$F$8:$AJ$31)+IF(AR$26="P6",SUMPRODUCT(($F$5:$AJ$5="P6")*$F$8:$AJ$31),0))/(SUMPRODUCT(($B$8:$B$31=AR$26)*($F$5:$AJ$5=""))+IF(AR$26="P6",COUNTIF($F$5:$AJ$5,"P6")*ROWS($B$8:$B$31),0)),"")</f>
        <v>1.2666623724489789</v>
      </c>
      <c r="BB32" s="10"/>
      <c r="BC32" s="4" t="s">
        <v>27</v>
      </c>
      <c r="BD32" s="6">
        <f t="shared" si="5"/>
        <v>0.89786455266955201</v>
      </c>
      <c r="BE32" s="6">
        <f t="shared" si="4"/>
        <v>1.0889907638134273</v>
      </c>
      <c r="BF32" s="6">
        <f t="shared" si="4"/>
        <v>1.0276843908472479</v>
      </c>
      <c r="BG32" s="6">
        <f t="shared" si="4"/>
        <v>1.0582133703599139</v>
      </c>
      <c r="BH32" s="6">
        <f t="shared" si="4"/>
        <v>1.08146251082251</v>
      </c>
      <c r="BI32" s="6">
        <f t="shared" si="4"/>
        <v>1.0876568786097318</v>
      </c>
      <c r="BJ32" s="10"/>
    </row>
    <row r="33" spans="1:62" ht="14.25" customHeight="1" x14ac:dyDescent="0.35">
      <c r="BB33" s="10"/>
      <c r="BC33" s="4" t="s">
        <v>29</v>
      </c>
      <c r="BD33" s="6">
        <f t="shared" si="5"/>
        <v>0.89786455266955201</v>
      </c>
      <c r="BE33" s="6">
        <f t="shared" si="4"/>
        <v>1.0889907638134273</v>
      </c>
      <c r="BF33" s="6">
        <f t="shared" si="4"/>
        <v>1.0276843908472479</v>
      </c>
      <c r="BG33" s="6">
        <f t="shared" si="4"/>
        <v>1.0582133703599139</v>
      </c>
      <c r="BH33" s="6">
        <f t="shared" si="4"/>
        <v>1.08146251082251</v>
      </c>
      <c r="BI33" s="6">
        <f t="shared" si="4"/>
        <v>1.0876568786097318</v>
      </c>
      <c r="BJ33" s="10"/>
    </row>
    <row r="34" spans="1:62" ht="14.25" customHeight="1" x14ac:dyDescent="0.35"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ht="14.25" customHeight="1" x14ac:dyDescent="0.35"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 ht="14.25" customHeight="1" x14ac:dyDescent="0.35">
      <c r="A36" s="15" t="s">
        <v>208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 ht="14.25" customHeight="1" x14ac:dyDescent="0.3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</row>
    <row r="38" spans="1:62" ht="14.25" customHeight="1" x14ac:dyDescent="0.35">
      <c r="AL38" s="10"/>
      <c r="AM38" s="10"/>
      <c r="AN38" s="10"/>
      <c r="AO38" s="10"/>
      <c r="AP38" s="10"/>
      <c r="AQ38" s="10"/>
      <c r="AR38" s="10"/>
    </row>
    <row r="39" spans="1:62" ht="14.25" customHeight="1" x14ac:dyDescent="0.35">
      <c r="F39" s="1" t="str">
        <f>IF(OR(F41="S",F41="D"),"P3","")</f>
        <v/>
      </c>
      <c r="G39" s="1" t="str">
        <f t="shared" ref="G39:AG39" si="6">IF(OR(G41="S",G41="D"),"P3","")</f>
        <v/>
      </c>
      <c r="H39" s="1" t="str">
        <f t="shared" si="6"/>
        <v/>
      </c>
      <c r="I39" s="1" t="str">
        <f t="shared" si="6"/>
        <v>P3</v>
      </c>
      <c r="J39" s="1" t="str">
        <f t="shared" si="6"/>
        <v>P3</v>
      </c>
      <c r="K39" s="1" t="str">
        <f t="shared" si="6"/>
        <v/>
      </c>
      <c r="L39" s="1" t="str">
        <f t="shared" si="6"/>
        <v/>
      </c>
      <c r="M39" s="1" t="str">
        <f t="shared" si="6"/>
        <v/>
      </c>
      <c r="N39" s="1" t="str">
        <f t="shared" si="6"/>
        <v/>
      </c>
      <c r="O39" s="1" t="str">
        <f t="shared" si="6"/>
        <v/>
      </c>
      <c r="P39" s="1" t="str">
        <f t="shared" si="6"/>
        <v>P3</v>
      </c>
      <c r="Q39" s="1" t="str">
        <f t="shared" si="6"/>
        <v>P3</v>
      </c>
      <c r="R39" s="1" t="str">
        <f t="shared" si="6"/>
        <v/>
      </c>
      <c r="S39" s="1" t="str">
        <f t="shared" si="6"/>
        <v/>
      </c>
      <c r="T39" s="1" t="str">
        <f t="shared" si="6"/>
        <v/>
      </c>
      <c r="U39" s="1" t="str">
        <f t="shared" si="6"/>
        <v/>
      </c>
      <c r="V39" s="1" t="str">
        <f t="shared" si="6"/>
        <v/>
      </c>
      <c r="W39" s="1" t="str">
        <f t="shared" si="6"/>
        <v>P3</v>
      </c>
      <c r="X39" s="1" t="str">
        <f t="shared" si="6"/>
        <v>P3</v>
      </c>
      <c r="Y39" s="1" t="str">
        <f t="shared" si="6"/>
        <v/>
      </c>
      <c r="Z39" s="1" t="str">
        <f t="shared" si="6"/>
        <v/>
      </c>
      <c r="AA39" s="1" t="str">
        <f t="shared" si="6"/>
        <v/>
      </c>
      <c r="AB39" s="1" t="str">
        <f t="shared" si="6"/>
        <v/>
      </c>
      <c r="AC39" s="1" t="str">
        <f t="shared" si="6"/>
        <v/>
      </c>
      <c r="AD39" s="1" t="str">
        <f t="shared" si="6"/>
        <v>P3</v>
      </c>
      <c r="AE39" s="1" t="str">
        <f t="shared" si="6"/>
        <v>P3</v>
      </c>
      <c r="AF39" s="1" t="str">
        <f t="shared" si="6"/>
        <v/>
      </c>
      <c r="AG39" s="1" t="str">
        <f t="shared" si="6"/>
        <v/>
      </c>
      <c r="AL39" s="10"/>
      <c r="AM39" s="10"/>
      <c r="AN39" s="10"/>
      <c r="AO39" s="10"/>
      <c r="AP39" s="10"/>
      <c r="AQ39" s="10"/>
      <c r="AR39" s="10"/>
      <c r="BB39" s="11"/>
      <c r="BC39" s="11"/>
      <c r="BD39" s="11"/>
      <c r="BE39" s="11"/>
      <c r="BF39" s="11"/>
      <c r="BG39" s="11"/>
      <c r="BH39" s="11"/>
      <c r="BI39" s="11"/>
      <c r="BJ39" s="11"/>
    </row>
    <row r="40" spans="1:62" ht="14.25" customHeight="1" x14ac:dyDescent="0.35">
      <c r="F40" s="1" t="str">
        <f>IF(OR(F41="S",F41="D"),"P6","")</f>
        <v/>
      </c>
      <c r="G40" s="1" t="str">
        <f t="shared" ref="G40:AG40" si="7">IF(OR(G41="S",G41="D"),"P6","")</f>
        <v/>
      </c>
      <c r="H40" s="1" t="str">
        <f t="shared" si="7"/>
        <v/>
      </c>
      <c r="I40" s="1" t="str">
        <f t="shared" si="7"/>
        <v>P6</v>
      </c>
      <c r="J40" s="1" t="str">
        <f t="shared" si="7"/>
        <v>P6</v>
      </c>
      <c r="K40" s="1" t="str">
        <f t="shared" si="7"/>
        <v/>
      </c>
      <c r="L40" s="1" t="str">
        <f t="shared" si="7"/>
        <v/>
      </c>
      <c r="M40" s="1" t="str">
        <f t="shared" si="7"/>
        <v/>
      </c>
      <c r="N40" s="1" t="str">
        <f t="shared" si="7"/>
        <v/>
      </c>
      <c r="O40" s="1" t="str">
        <f t="shared" si="7"/>
        <v/>
      </c>
      <c r="P40" s="1" t="str">
        <f t="shared" si="7"/>
        <v>P6</v>
      </c>
      <c r="Q40" s="1" t="str">
        <f t="shared" si="7"/>
        <v>P6</v>
      </c>
      <c r="R40" s="1" t="str">
        <f t="shared" si="7"/>
        <v/>
      </c>
      <c r="S40" s="1" t="str">
        <f t="shared" si="7"/>
        <v/>
      </c>
      <c r="T40" s="1" t="str">
        <f t="shared" si="7"/>
        <v/>
      </c>
      <c r="U40" s="1" t="str">
        <f t="shared" si="7"/>
        <v/>
      </c>
      <c r="V40" s="1" t="str">
        <f t="shared" si="7"/>
        <v/>
      </c>
      <c r="W40" s="1" t="str">
        <f t="shared" si="7"/>
        <v>P6</v>
      </c>
      <c r="X40" s="1" t="str">
        <f t="shared" si="7"/>
        <v>P6</v>
      </c>
      <c r="Y40" s="1" t="str">
        <f t="shared" si="7"/>
        <v/>
      </c>
      <c r="Z40" s="1" t="str">
        <f t="shared" si="7"/>
        <v/>
      </c>
      <c r="AA40" s="1" t="str">
        <f t="shared" si="7"/>
        <v/>
      </c>
      <c r="AB40" s="1" t="str">
        <f t="shared" si="7"/>
        <v/>
      </c>
      <c r="AC40" s="1" t="str">
        <f t="shared" si="7"/>
        <v/>
      </c>
      <c r="AD40" s="1" t="str">
        <f t="shared" si="7"/>
        <v>P6</v>
      </c>
      <c r="AE40" s="1" t="str">
        <f t="shared" si="7"/>
        <v>P6</v>
      </c>
      <c r="AF40" s="1" t="str">
        <f t="shared" si="7"/>
        <v/>
      </c>
      <c r="AG40" s="1" t="str">
        <f t="shared" si="7"/>
        <v/>
      </c>
      <c r="AL40" s="14" t="s">
        <v>209</v>
      </c>
      <c r="AM40" s="14"/>
      <c r="AN40" s="14"/>
      <c r="AO40" s="14"/>
      <c r="AP40" s="14"/>
      <c r="AQ40" s="14"/>
      <c r="AR40" s="14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4.25" customHeight="1" x14ac:dyDescent="0.35">
      <c r="F41" s="1" t="str">
        <f>CHOOSE(WEEKDAY(F42,2),"L","M","X","J","V","S","D")</f>
        <v>X</v>
      </c>
      <c r="G41" s="1" t="str">
        <f t="shared" ref="G41:AG41" si="8">CHOOSE(WEEKDAY(G42,2),"L","M","X","J","V","S","D")</f>
        <v>J</v>
      </c>
      <c r="H41" s="1" t="str">
        <f t="shared" si="8"/>
        <v>V</v>
      </c>
      <c r="I41" s="1" t="str">
        <f t="shared" si="8"/>
        <v>S</v>
      </c>
      <c r="J41" s="1" t="str">
        <f t="shared" si="8"/>
        <v>D</v>
      </c>
      <c r="K41" s="1" t="str">
        <f t="shared" si="8"/>
        <v>L</v>
      </c>
      <c r="L41" s="1" t="str">
        <f t="shared" si="8"/>
        <v>M</v>
      </c>
      <c r="M41" s="1" t="str">
        <f t="shared" si="8"/>
        <v>X</v>
      </c>
      <c r="N41" s="1" t="str">
        <f t="shared" si="8"/>
        <v>J</v>
      </c>
      <c r="O41" s="1" t="str">
        <f t="shared" si="8"/>
        <v>V</v>
      </c>
      <c r="P41" s="1" t="str">
        <f t="shared" si="8"/>
        <v>S</v>
      </c>
      <c r="Q41" s="1" t="str">
        <f t="shared" si="8"/>
        <v>D</v>
      </c>
      <c r="R41" s="1" t="str">
        <f t="shared" si="8"/>
        <v>L</v>
      </c>
      <c r="S41" s="1" t="str">
        <f t="shared" si="8"/>
        <v>M</v>
      </c>
      <c r="T41" s="1" t="str">
        <f t="shared" si="8"/>
        <v>X</v>
      </c>
      <c r="U41" s="1" t="str">
        <f t="shared" si="8"/>
        <v>J</v>
      </c>
      <c r="V41" s="1" t="str">
        <f t="shared" si="8"/>
        <v>V</v>
      </c>
      <c r="W41" s="1" t="str">
        <f t="shared" si="8"/>
        <v>S</v>
      </c>
      <c r="X41" s="1" t="str">
        <f t="shared" si="8"/>
        <v>D</v>
      </c>
      <c r="Y41" s="1" t="str">
        <f t="shared" si="8"/>
        <v>L</v>
      </c>
      <c r="Z41" s="1" t="str">
        <f t="shared" si="8"/>
        <v>M</v>
      </c>
      <c r="AA41" s="1" t="str">
        <f t="shared" si="8"/>
        <v>X</v>
      </c>
      <c r="AB41" s="1" t="str">
        <f t="shared" si="8"/>
        <v>J</v>
      </c>
      <c r="AC41" s="1" t="str">
        <f t="shared" si="8"/>
        <v>V</v>
      </c>
      <c r="AD41" s="1" t="str">
        <f t="shared" si="8"/>
        <v>S</v>
      </c>
      <c r="AE41" s="1" t="str">
        <f t="shared" si="8"/>
        <v>D</v>
      </c>
      <c r="AF41" s="1" t="str">
        <f t="shared" si="8"/>
        <v>L</v>
      </c>
      <c r="AG41" s="1" t="str">
        <f t="shared" si="8"/>
        <v>M</v>
      </c>
      <c r="AL41" s="4"/>
      <c r="AM41" s="4" t="s">
        <v>13</v>
      </c>
      <c r="AN41" s="4" t="s">
        <v>14</v>
      </c>
      <c r="AO41" s="4" t="s">
        <v>15</v>
      </c>
      <c r="AP41" s="4" t="s">
        <v>16</v>
      </c>
      <c r="AQ41" s="4" t="s">
        <v>17</v>
      </c>
      <c r="AR41" s="4" t="s">
        <v>7</v>
      </c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 ht="14.25" customHeight="1" x14ac:dyDescent="0.35">
      <c r="A42" s="3" t="s">
        <v>76</v>
      </c>
      <c r="B42" s="3" t="s">
        <v>77</v>
      </c>
      <c r="C42" s="3" t="s">
        <v>75</v>
      </c>
      <c r="D42" s="3" t="s">
        <v>74</v>
      </c>
      <c r="F42" s="8">
        <v>44958</v>
      </c>
      <c r="G42" s="8">
        <v>44959</v>
      </c>
      <c r="H42" s="8">
        <v>44960</v>
      </c>
      <c r="I42" s="8">
        <v>44961</v>
      </c>
      <c r="J42" s="8">
        <v>44962</v>
      </c>
      <c r="K42" s="8">
        <v>44963</v>
      </c>
      <c r="L42" s="8">
        <v>44964</v>
      </c>
      <c r="M42" s="8">
        <v>44965</v>
      </c>
      <c r="N42" s="8">
        <v>44966</v>
      </c>
      <c r="O42" s="8">
        <v>44967</v>
      </c>
      <c r="P42" s="8">
        <v>44968</v>
      </c>
      <c r="Q42" s="8">
        <v>44969</v>
      </c>
      <c r="R42" s="8">
        <v>44970</v>
      </c>
      <c r="S42" s="8">
        <v>44971</v>
      </c>
      <c r="T42" s="8">
        <v>44972</v>
      </c>
      <c r="U42" s="8">
        <v>44973</v>
      </c>
      <c r="V42" s="8">
        <v>44974</v>
      </c>
      <c r="W42" s="8">
        <v>44975</v>
      </c>
      <c r="X42" s="8">
        <v>44976</v>
      </c>
      <c r="Y42" s="8">
        <v>44977</v>
      </c>
      <c r="Z42" s="8">
        <v>44978</v>
      </c>
      <c r="AA42" s="8">
        <v>44979</v>
      </c>
      <c r="AB42" s="8">
        <v>44980</v>
      </c>
      <c r="AC42" s="8">
        <v>44981</v>
      </c>
      <c r="AD42" s="8">
        <v>44982</v>
      </c>
      <c r="AE42" s="8">
        <v>44983</v>
      </c>
      <c r="AF42" s="8">
        <v>44984</v>
      </c>
      <c r="AG42" s="8">
        <v>44985</v>
      </c>
      <c r="AL42" s="4" t="s">
        <v>19</v>
      </c>
      <c r="AM42" s="6" cm="1">
        <f t="array" ref="AM42">IFERROR((SUMPRODUCT(($C$43:$C$66=AM$41)*($F$39:$AG$39="")*$F$43:$AG$66)+IF(AM$41="P3",SUMPRODUCT(($F$39:$AG$39="P3")*$F$43:$AG$66),0))/(SUMPRODUCT(($C$43:$C$66=AM$41)*($F$39:$AG$39=""))+IF(AM$41="P3",COUNTIF($F$39:$AG$39,"P3")*ROWS($C$43:$C$66),0)),"")</f>
        <v>1.0568554999999993</v>
      </c>
      <c r="AN42" s="6" cm="1">
        <f t="array" ref="AN42">IFERROR((SUMPRODUCT(($C$43:$C$66=AN$41)*($F$39:$AG$39="")*$F$43:$AG$66)+IF(AN$41="P3",SUMPRODUCT(($F$39:$AG$39="P3")*$F$43:$AG$66),0))/(SUMPRODUCT(($C$43:$C$66=AN$41)*($F$39:$AG$39=""))+IF(AN$41="P3",COUNTIF($F$39:$AG$39,"P3")*ROWS($C$43:$C$66),0)),"")</f>
        <v>1.0918449999999991</v>
      </c>
      <c r="AO42" s="6" cm="1">
        <f t="array" ref="AO42">IFERROR((SUMPRODUCT(($C$43:$C$66=AO$41)*($F$39:$AG$39="")*$F$43:$AG$66)+IF(AO$41="P3",SUMPRODUCT(($F$39:$AG$39="P3")*$F$43:$AG$66),0))/(SUMPRODUCT(($C$43:$C$66=AO$41)*($F$39:$AG$39=""))+IF(AO$41="P3",COUNTIF($F$39:$AG$39,"P3")*ROWS($C$43:$C$66),0)),"")</f>
        <v>1.2186345454545444</v>
      </c>
      <c r="AP42" s="6" t="str" cm="1">
        <f t="array" ref="AP42">IFERROR((SUMPRODUCT(($C$43:$C$66=AP$41)*($F$39:$AG$39="")*$F$43:$AG$66)+IF(AP$41="P3",SUMPRODUCT(($F$39:$AG$39="P3")*$F$43:$AG$66),0))/(SUMPRODUCT(($C$43:$C$66=AP$41)*($F$39:$AG$39=""))+IF(AP$41="P3",COUNTIF($F$39:$AG$39,"P3")*ROWS($C$43:$C$66),0)),"")</f>
        <v/>
      </c>
      <c r="AQ42" s="6" t="str" cm="1">
        <f t="array" ref="AQ42">IFERROR((SUMPRODUCT(($C$43:$C$66=AQ$41)*($F$39:$AG$39="")*$F$43:$AG$66)+IF(AQ$41="P3",SUMPRODUCT(($F$39:$AG$39="P3")*$F$43:$AG$66),0))/(SUMPRODUCT(($C$43:$C$66=AQ$41)*($F$39:$AG$39=""))+IF(AQ$41="P3",COUNTIF($F$39:$AG$39,"P3")*ROWS($C$43:$C$66),0)),"")</f>
        <v/>
      </c>
      <c r="AR42" s="6" t="str" cm="1">
        <f t="array" ref="AR42">IFERROR((SUMPRODUCT(($C$43:$C$66=AR$41)*($F$39:$AG$39="")*$F$43:$AG$66)+IF(AR$41="P3",SUMPRODUCT(($F$39:$AG$39="P3")*$F$43:$AG$66),0))/(SUMPRODUCT(($C$43:$C$66=AR$41)*($F$39:$AG$39=""))+IF(AR$41="P3",COUNTIF($F$39:$AG$39,"P3")*ROWS($C$43:$C$66),0)),"")</f>
        <v/>
      </c>
      <c r="BB42" s="10"/>
      <c r="BC42" s="13" t="s">
        <v>254</v>
      </c>
      <c r="BD42" s="13"/>
      <c r="BE42" s="13"/>
      <c r="BF42" s="13"/>
      <c r="BG42" s="13"/>
      <c r="BH42" s="13"/>
      <c r="BI42" s="13"/>
      <c r="BJ42" s="10"/>
    </row>
    <row r="43" spans="1:62" ht="14.25" customHeight="1" x14ac:dyDescent="0.35">
      <c r="A43" s="1" t="s">
        <v>7</v>
      </c>
      <c r="B43" s="1" t="s">
        <v>7</v>
      </c>
      <c r="C43" s="1" t="s">
        <v>15</v>
      </c>
      <c r="D43" s="1" t="s">
        <v>7</v>
      </c>
      <c r="E43" s="1" t="s">
        <v>8</v>
      </c>
      <c r="F43" s="1">
        <v>1.2202299999999999</v>
      </c>
      <c r="G43" s="1">
        <v>1.1975800000000001</v>
      </c>
      <c r="H43" s="1">
        <v>1.2076800000000001</v>
      </c>
      <c r="I43" s="1">
        <v>1.21523</v>
      </c>
      <c r="J43" s="1">
        <v>1.2751699999999999</v>
      </c>
      <c r="K43" s="1">
        <v>1.2877799999999999</v>
      </c>
      <c r="L43" s="1">
        <v>1.2363</v>
      </c>
      <c r="M43" s="1">
        <v>1.2202299999999999</v>
      </c>
      <c r="N43" s="1">
        <v>1.1975800000000001</v>
      </c>
      <c r="O43" s="1">
        <v>1.2076800000000001</v>
      </c>
      <c r="P43" s="1">
        <v>1.21523</v>
      </c>
      <c r="Q43" s="1">
        <v>1.2751699999999999</v>
      </c>
      <c r="R43" s="1">
        <v>1.2877799999999999</v>
      </c>
      <c r="S43" s="1">
        <v>1.2363</v>
      </c>
      <c r="T43" s="1">
        <v>1.2202299999999999</v>
      </c>
      <c r="U43" s="1">
        <v>1.1975800000000001</v>
      </c>
      <c r="V43" s="1">
        <v>1.2076800000000001</v>
      </c>
      <c r="W43" s="1">
        <v>1.21523</v>
      </c>
      <c r="X43" s="1">
        <v>1.2751699999999999</v>
      </c>
      <c r="Y43" s="1">
        <v>1.2877799999999999</v>
      </c>
      <c r="Z43" s="1">
        <v>1.2363</v>
      </c>
      <c r="AA43" s="1">
        <v>1.2202299999999999</v>
      </c>
      <c r="AB43" s="1">
        <v>1.1975800000000001</v>
      </c>
      <c r="AC43" s="1">
        <v>1.2076800000000001</v>
      </c>
      <c r="AD43" s="1">
        <v>1.21523</v>
      </c>
      <c r="AE43" s="1">
        <v>1.2751699999999999</v>
      </c>
      <c r="AF43" s="1">
        <v>1.2877799999999999</v>
      </c>
      <c r="AG43" s="1">
        <v>1.2363</v>
      </c>
      <c r="AL43" s="4" t="s">
        <v>21</v>
      </c>
      <c r="AM43" s="6" cm="1">
        <f t="array" ref="AM43">IFERROR((SUMPRODUCT(($D$43:$D$66=AM$41)*($F$40:$AG$40="")*$F$43:$AG$66)+IF(AM$41="P6",SUMPRODUCT(($F$40:$AG$40="P6")*$F$43:$AG$66),0))/(SUMPRODUCT(($D$43:$D$66=AM$41)*($F$40:$AG$40=""))+IF(AM$41="P6",COUNTIF($F$40:$AG$40,"P6")*ROWS($D$43:$D$66),0)),"")</f>
        <v>1.054847555555555</v>
      </c>
      <c r="AN43" s="6" cm="1">
        <f t="array" ref="AN43">IFERROR((SUMPRODUCT(($D$43:$D$66=AN$41)*($F$40:$AG$40="")*$F$43:$AG$66)+IF(AN$41="P6",SUMPRODUCT(($F$40:$AG$40="P6")*$F$43:$AG$66),0))/(SUMPRODUCT(($D$43:$D$66=AN$41)*($F$40:$AG$40=""))+IF(AN$41="P6",COUNTIF($F$40:$AG$40,"P6")*ROWS($D$43:$D$66),0)),"")</f>
        <v>1.0994251428571429</v>
      </c>
      <c r="AO43" s="6" t="str" cm="1">
        <f t="array" ref="AO43">IFERROR((SUMPRODUCT(($D$43:$D$66=AO$41)*($F$40:$AG$40="")*$F$43:$AG$66)+IF(AO$41="P6",SUMPRODUCT(($F$40:$AG$40="P6")*$F$43:$AG$66),0))/(SUMPRODUCT(($D$43:$D$66=AO$41)*($F$40:$AG$40=""))+IF(AO$41="P6",COUNTIF($F$40:$AG$40,"P6")*ROWS($D$43:$D$66),0)),"")</f>
        <v/>
      </c>
      <c r="AP43" s="6" t="str" cm="1">
        <f t="array" ref="AP43">IFERROR((SUMPRODUCT(($D$43:$D$66=AP$41)*($F$40:$AG$40="")*$F$43:$AG$66)+IF(AP$41="P6",SUMPRODUCT(($F$40:$AG$40="P6")*$F$43:$AG$66),0))/(SUMPRODUCT(($D$43:$D$66=AP$41)*($F$40:$AG$40=""))+IF(AP$41="P6",COUNTIF($F$40:$AG$40,"P6")*ROWS($D$43:$D$66),0)),"")</f>
        <v/>
      </c>
      <c r="AQ43" s="6" t="str" cm="1">
        <f t="array" ref="AQ43">IFERROR((SUMPRODUCT(($D$43:$D$66=AQ$41)*($F$40:$AG$40="")*$F$43:$AG$66)+IF(AQ$41="P6",SUMPRODUCT(($F$40:$AG$40="P6")*$F$43:$AG$66),0))/(SUMPRODUCT(($D$43:$D$66=AQ$41)*($F$40:$AG$40=""))+IF(AQ$41="P6",COUNTIF($F$40:$AG$40,"P6")*ROWS($D$43:$D$66),0)),"")</f>
        <v/>
      </c>
      <c r="AR43" s="6" cm="1">
        <f t="array" ref="AR43">IFERROR((SUMPRODUCT(($D$43:$D$66=AR$41)*($F$40:$AG$40="")*$F$43:$AG$66)+IF(AR$41="P6",SUMPRODUCT(($F$40:$AG$40="P6")*$F$43:$AG$66),0))/(SUMPRODUCT(($D$43:$D$66=AR$41)*($F$40:$AG$40=""))+IF(AR$41="P6",COUNTIF($F$40:$AG$40,"P6")*ROWS($D$43:$D$66),0)),"")</f>
        <v>1.2186345454545444</v>
      </c>
      <c r="BB43" s="10"/>
      <c r="BC43" s="4"/>
      <c r="BD43" s="4" t="s">
        <v>13</v>
      </c>
      <c r="BE43" s="4" t="s">
        <v>14</v>
      </c>
      <c r="BF43" s="4" t="s">
        <v>15</v>
      </c>
      <c r="BG43" s="4" t="s">
        <v>16</v>
      </c>
      <c r="BH43" s="4" t="s">
        <v>17</v>
      </c>
      <c r="BI43" s="4" t="s">
        <v>7</v>
      </c>
      <c r="BJ43" s="10"/>
    </row>
    <row r="44" spans="1:62" ht="14.25" customHeight="1" x14ac:dyDescent="0.35">
      <c r="A44" s="1" t="s">
        <v>7</v>
      </c>
      <c r="B44" s="1" t="s">
        <v>7</v>
      </c>
      <c r="C44" s="1" t="s">
        <v>15</v>
      </c>
      <c r="D44" s="1" t="s">
        <v>7</v>
      </c>
      <c r="E44" s="1" t="s">
        <v>9</v>
      </c>
      <c r="F44" s="1">
        <v>1.26891</v>
      </c>
      <c r="G44" s="1">
        <v>1.25403</v>
      </c>
      <c r="H44" s="1">
        <v>1.24922</v>
      </c>
      <c r="I44" s="1">
        <v>1.2593000000000001</v>
      </c>
      <c r="J44" s="1">
        <v>1.34341</v>
      </c>
      <c r="K44" s="1">
        <v>1.35622</v>
      </c>
      <c r="L44" s="1">
        <v>1.27904</v>
      </c>
      <c r="M44" s="1">
        <v>1.26891</v>
      </c>
      <c r="N44" s="1">
        <v>1.25403</v>
      </c>
      <c r="O44" s="1">
        <v>1.24922</v>
      </c>
      <c r="P44" s="1">
        <v>1.2593000000000001</v>
      </c>
      <c r="Q44" s="1">
        <v>1.34341</v>
      </c>
      <c r="R44" s="1">
        <v>1.35622</v>
      </c>
      <c r="S44" s="1">
        <v>1.27904</v>
      </c>
      <c r="T44" s="1">
        <v>1.26891</v>
      </c>
      <c r="U44" s="1">
        <v>1.25403</v>
      </c>
      <c r="V44" s="1">
        <v>1.24922</v>
      </c>
      <c r="W44" s="1">
        <v>1.2593000000000001</v>
      </c>
      <c r="X44" s="1">
        <v>1.34341</v>
      </c>
      <c r="Y44" s="1">
        <v>1.35622</v>
      </c>
      <c r="Z44" s="1">
        <v>1.27904</v>
      </c>
      <c r="AA44" s="1">
        <v>1.26891</v>
      </c>
      <c r="AB44" s="1">
        <v>1.25403</v>
      </c>
      <c r="AC44" s="1">
        <v>1.24922</v>
      </c>
      <c r="AD44" s="1">
        <v>1.2593000000000001</v>
      </c>
      <c r="AE44" s="1">
        <v>1.34341</v>
      </c>
      <c r="AF44" s="1">
        <v>1.35622</v>
      </c>
      <c r="AG44" s="1">
        <v>1.27904</v>
      </c>
      <c r="AL44" s="4" t="s">
        <v>23</v>
      </c>
      <c r="AM44" s="6" cm="1">
        <f t="array" ref="AM44">IFERROR((SUMPRODUCT(($D$43:$D$66=AM$41)*($F$40:$AG$40="")*$F$43:$AG$66)+IF(AM$41="P6",SUMPRODUCT(($F$40:$AG$40="P6")*$F$43:$AG$66),0))/(SUMPRODUCT(($D$43:$D$66=AM$41)*($F$40:$AG$40=""))+IF(AM$41="P6",COUNTIF($F$40:$AG$40,"P6")*ROWS($D$43:$D$66),0)),"")</f>
        <v>1.054847555555555</v>
      </c>
      <c r="AN44" s="6" cm="1">
        <f t="array" ref="AN44">IFERROR((SUMPRODUCT(($D$43:$D$66=AN$41)*($F$40:$AG$40="")*$F$43:$AG$66)+IF(AN$41="P6",SUMPRODUCT(($F$40:$AG$40="P6")*$F$43:$AG$66),0))/(SUMPRODUCT(($D$43:$D$66=AN$41)*($F$40:$AG$40=""))+IF(AN$41="P6",COUNTIF($F$40:$AG$40,"P6")*ROWS($D$43:$D$66),0)),"")</f>
        <v>1.0994251428571429</v>
      </c>
      <c r="AO44" s="5" t="str" cm="1">
        <f t="array" ref="AO44">IFERROR((SUMPRODUCT(($D$43:$D$66=AO$41)*($F$40:$AG$40="")*$F$43:$AG$66)+IF(AO$41="P6",SUMPRODUCT(($F$40:$AG$40="P6")*$F$43:$AG$66),0))/(SUMPRODUCT(($D$43:$D$66=AO$41)*($F$40:$AG$40=""))+IF(AO$41="P6",COUNTIF($F$40:$AG$40,"P6")*ROWS($D$43:$D$66),0)),"")</f>
        <v/>
      </c>
      <c r="AP44" s="5" t="str" cm="1">
        <f t="array" ref="AP44">IFERROR((SUMPRODUCT(($D$43:$D$66=AP$41)*($F$40:$AG$40="")*$F$43:$AG$66)+IF(AP$41="P6",SUMPRODUCT(($F$40:$AG$40="P6")*$F$43:$AG$66),0))/(SUMPRODUCT(($D$43:$D$66=AP$41)*($F$40:$AG$40=""))+IF(AP$41="P6",COUNTIF($F$40:$AG$40,"P6")*ROWS($D$43:$D$66),0)),"")</f>
        <v/>
      </c>
      <c r="AQ44" s="5" t="str" cm="1">
        <f t="array" ref="AQ44">IFERROR((SUMPRODUCT(($D$43:$D$66=AQ$41)*($F$40:$AG$40="")*$F$43:$AG$66)+IF(AQ$41="P6",SUMPRODUCT(($F$40:$AG$40="P6")*$F$43:$AG$66),0))/(SUMPRODUCT(($D$43:$D$66=AQ$41)*($F$40:$AG$40=""))+IF(AQ$41="P6",COUNTIF($F$40:$AG$40,"P6")*ROWS($D$43:$D$66),0)),"")</f>
        <v/>
      </c>
      <c r="AR44" s="6" cm="1">
        <f t="array" ref="AR44">IFERROR((SUMPRODUCT(($D$43:$D$66=AR$41)*($F$40:$AG$40="")*$F$43:$AG$66)+IF(AR$41="P6",SUMPRODUCT(($F$40:$AG$40="P6")*$F$43:$AG$66),0))/(SUMPRODUCT(($D$43:$D$66=AR$41)*($F$40:$AG$40=""))+IF(AR$41="P6",COUNTIF($F$40:$AG$40,"P6")*ROWS($D$43:$D$66),0)),"")</f>
        <v>1.2186345454545444</v>
      </c>
      <c r="BB44" s="10"/>
      <c r="BC44" s="4" t="s">
        <v>19</v>
      </c>
      <c r="BD44" s="6">
        <f>AVERAGE(AM27,AM62,AM97,AM132,AM167,AM202,AM237,AM272,AM307,AM342,AM377,AM412)</f>
        <v>0.99296324775772715</v>
      </c>
      <c r="BE44" s="6">
        <f t="shared" ref="BE44:BI49" si="9">AVERAGE(AN27,AN62,AN97,AN132,AN167,AN202,AN237,AN272,AN307,AN342,AN377,AN412)</f>
        <v>1.0635638050203118</v>
      </c>
      <c r="BF44" s="6">
        <f t="shared" si="9"/>
        <v>1.0876568786097318</v>
      </c>
      <c r="BG44" s="6"/>
      <c r="BH44" s="6"/>
      <c r="BI44" s="6"/>
      <c r="BJ44" s="10"/>
    </row>
    <row r="45" spans="1:62" ht="14.25" customHeight="1" x14ac:dyDescent="0.35">
      <c r="A45" s="1" t="s">
        <v>7</v>
      </c>
      <c r="B45" s="1" t="s">
        <v>7</v>
      </c>
      <c r="C45" s="1" t="s">
        <v>15</v>
      </c>
      <c r="D45" s="1" t="s">
        <v>7</v>
      </c>
      <c r="E45" s="1" t="s">
        <v>10</v>
      </c>
      <c r="F45" s="1">
        <v>1.2959099999999999</v>
      </c>
      <c r="G45" s="1">
        <v>1.2956099999999999</v>
      </c>
      <c r="H45" s="1">
        <v>1.28674</v>
      </c>
      <c r="I45" s="1">
        <v>1.3025199999999999</v>
      </c>
      <c r="J45" s="1">
        <v>1.38646</v>
      </c>
      <c r="K45" s="1">
        <v>1.39011</v>
      </c>
      <c r="L45" s="1">
        <v>1.3083100000000001</v>
      </c>
      <c r="M45" s="1">
        <v>1.2959099999999999</v>
      </c>
      <c r="N45" s="1">
        <v>1.2956099999999999</v>
      </c>
      <c r="O45" s="1">
        <v>1.28674</v>
      </c>
      <c r="P45" s="1">
        <v>1.3025199999999999</v>
      </c>
      <c r="Q45" s="1">
        <v>1.38646</v>
      </c>
      <c r="R45" s="1">
        <v>1.39011</v>
      </c>
      <c r="S45" s="1">
        <v>1.3083100000000001</v>
      </c>
      <c r="T45" s="1">
        <v>1.2959099999999999</v>
      </c>
      <c r="U45" s="1">
        <v>1.2956099999999999</v>
      </c>
      <c r="V45" s="1">
        <v>1.28674</v>
      </c>
      <c r="W45" s="1">
        <v>1.3025199999999999</v>
      </c>
      <c r="X45" s="1">
        <v>1.38646</v>
      </c>
      <c r="Y45" s="1">
        <v>1.39011</v>
      </c>
      <c r="Z45" s="1">
        <v>1.3083100000000001</v>
      </c>
      <c r="AA45" s="1">
        <v>1.2959099999999999</v>
      </c>
      <c r="AB45" s="1">
        <v>1.2956099999999999</v>
      </c>
      <c r="AC45" s="1">
        <v>1.28674</v>
      </c>
      <c r="AD45" s="1">
        <v>1.3025199999999999</v>
      </c>
      <c r="AE45" s="1">
        <v>1.38646</v>
      </c>
      <c r="AF45" s="1">
        <v>1.39011</v>
      </c>
      <c r="AG45" s="1">
        <v>1.3083100000000001</v>
      </c>
      <c r="AL45" s="4" t="s">
        <v>25</v>
      </c>
      <c r="AM45" s="6" cm="1">
        <f t="array" ref="AM45">IFERROR((SUMPRODUCT(($D$43:$D$66=AM$41)*($F$40:$AG$40="")*$F$43:$AG$66)+IF(AM$41="P6",SUMPRODUCT(($F$40:$AG$40="P6")*$F$43:$AG$66),0))/(SUMPRODUCT(($D$43:$D$66=AM$41)*($F$40:$AG$40=""))+IF(AM$41="P6",COUNTIF($F$40:$AG$40,"P6")*ROWS($D$43:$D$66),0)),"")</f>
        <v>1.054847555555555</v>
      </c>
      <c r="AN45" s="6" cm="1">
        <f t="array" ref="AN45">IFERROR((SUMPRODUCT(($D$43:$D$66=AN$41)*($F$40:$AG$40="")*$F$43:$AG$66)+IF(AN$41="P6",SUMPRODUCT(($F$40:$AG$40="P6")*$F$43:$AG$66),0))/(SUMPRODUCT(($D$43:$D$66=AN$41)*($F$40:$AG$40=""))+IF(AN$41="P6",COUNTIF($F$40:$AG$40,"P6")*ROWS($D$43:$D$66),0)),"")</f>
        <v>1.0994251428571429</v>
      </c>
      <c r="AO45" s="5" t="str" cm="1">
        <f t="array" ref="AO45">IFERROR((SUMPRODUCT(($D$43:$D$66=AO$41)*($F$40:$AG$40="")*$F$43:$AG$66)+IF(AO$41="P6",SUMPRODUCT(($F$40:$AG$40="P6")*$F$43:$AG$66),0))/(SUMPRODUCT(($D$43:$D$66=AO$41)*($F$40:$AG$40=""))+IF(AO$41="P6",COUNTIF($F$40:$AG$40,"P6")*ROWS($D$43:$D$66),0)),"")</f>
        <v/>
      </c>
      <c r="AP45" s="5" t="str" cm="1">
        <f t="array" ref="AP45">IFERROR((SUMPRODUCT(($D$43:$D$66=AP$41)*($F$40:$AG$40="")*$F$43:$AG$66)+IF(AP$41="P6",SUMPRODUCT(($F$40:$AG$40="P6")*$F$43:$AG$66),0))/(SUMPRODUCT(($D$43:$D$66=AP$41)*($F$40:$AG$40=""))+IF(AP$41="P6",COUNTIF($F$40:$AG$40,"P6")*ROWS($D$43:$D$66),0)),"")</f>
        <v/>
      </c>
      <c r="AQ45" s="5" t="str" cm="1">
        <f t="array" ref="AQ45">IFERROR((SUMPRODUCT(($D$43:$D$66=AQ$41)*($F$40:$AG$40="")*$F$43:$AG$66)+IF(AQ$41="P6",SUMPRODUCT(($F$40:$AG$40="P6")*$F$43:$AG$66),0))/(SUMPRODUCT(($D$43:$D$66=AQ$41)*($F$40:$AG$40=""))+IF(AQ$41="P6",COUNTIF($F$40:$AG$40,"P6")*ROWS($D$43:$D$66),0)),"")</f>
        <v/>
      </c>
      <c r="AR45" s="6" cm="1">
        <f t="array" ref="AR45">IFERROR((SUMPRODUCT(($D$43:$D$66=AR$41)*($F$40:$AG$40="")*$F$43:$AG$66)+IF(AR$41="P6",SUMPRODUCT(($F$40:$AG$40="P6")*$F$43:$AG$66),0))/(SUMPRODUCT(($D$43:$D$66=AR$41)*($F$40:$AG$40=""))+IF(AR$41="P6",COUNTIF($F$40:$AG$40,"P6")*ROWS($D$43:$D$66),0)),"")</f>
        <v>1.2186345454545444</v>
      </c>
      <c r="BB45" s="10"/>
      <c r="BC45" s="4" t="s">
        <v>21</v>
      </c>
      <c r="BD45" s="6">
        <f t="shared" ref="BD45:BD49" si="10">AVERAGE(AM28,AM63,AM98,AM133,AM168,AM203,AM238,AM273,AM308,AM343,AM378,AM413)</f>
        <v>0.88957479076479051</v>
      </c>
      <c r="BE45" s="6">
        <f t="shared" si="9"/>
        <v>0.91640617003367009</v>
      </c>
      <c r="BF45" s="6">
        <f t="shared" si="9"/>
        <v>1.0940371915572962</v>
      </c>
      <c r="BG45" s="6">
        <f t="shared" si="9"/>
        <v>1.1186931920934675</v>
      </c>
      <c r="BH45" s="6">
        <f t="shared" si="9"/>
        <v>1.1857016119491266</v>
      </c>
      <c r="BI45" s="6">
        <f t="shared" si="9"/>
        <v>1.0876568786097318</v>
      </c>
      <c r="BJ45" s="10"/>
    </row>
    <row r="46" spans="1:62" ht="14.25" customHeight="1" x14ac:dyDescent="0.35">
      <c r="A46" s="1" t="s">
        <v>7</v>
      </c>
      <c r="B46" s="1" t="s">
        <v>7</v>
      </c>
      <c r="C46" s="1" t="s">
        <v>15</v>
      </c>
      <c r="D46" s="1" t="s">
        <v>7</v>
      </c>
      <c r="E46" s="1" t="s">
        <v>11</v>
      </c>
      <c r="F46" s="1">
        <v>1.31833</v>
      </c>
      <c r="G46" s="1">
        <v>1.3233999999999999</v>
      </c>
      <c r="H46" s="1">
        <v>1.29932</v>
      </c>
      <c r="I46" s="1">
        <v>1.3255699999999999</v>
      </c>
      <c r="J46" s="1">
        <v>1.4228700000000001</v>
      </c>
      <c r="K46" s="1">
        <v>1.3871800000000001</v>
      </c>
      <c r="L46" s="1">
        <v>1.3156600000000001</v>
      </c>
      <c r="M46" s="1">
        <v>1.31833</v>
      </c>
      <c r="N46" s="1">
        <v>1.3233999999999999</v>
      </c>
      <c r="O46" s="1">
        <v>1.29932</v>
      </c>
      <c r="P46" s="1">
        <v>1.3255699999999999</v>
      </c>
      <c r="Q46" s="1">
        <v>1.4228700000000001</v>
      </c>
      <c r="R46" s="1">
        <v>1.3871800000000001</v>
      </c>
      <c r="S46" s="1">
        <v>1.3156600000000001</v>
      </c>
      <c r="T46" s="1">
        <v>1.31833</v>
      </c>
      <c r="U46" s="1">
        <v>1.3233999999999999</v>
      </c>
      <c r="V46" s="1">
        <v>1.29932</v>
      </c>
      <c r="W46" s="1">
        <v>1.3255699999999999</v>
      </c>
      <c r="X46" s="1">
        <v>1.4228700000000001</v>
      </c>
      <c r="Y46" s="1">
        <v>1.3871800000000001</v>
      </c>
      <c r="Z46" s="1">
        <v>1.3156600000000001</v>
      </c>
      <c r="AA46" s="1">
        <v>1.31833</v>
      </c>
      <c r="AB46" s="1">
        <v>1.3233999999999999</v>
      </c>
      <c r="AC46" s="1">
        <v>1.29932</v>
      </c>
      <c r="AD46" s="1">
        <v>1.3255699999999999</v>
      </c>
      <c r="AE46" s="1">
        <v>1.4228700000000001</v>
      </c>
      <c r="AF46" s="1">
        <v>1.3871800000000001</v>
      </c>
      <c r="AG46" s="1">
        <v>1.3156600000000001</v>
      </c>
      <c r="AL46" s="4" t="s">
        <v>27</v>
      </c>
      <c r="AM46" s="6" cm="1">
        <f t="array" ref="AM46">IFERROR((SUMPRODUCT(($D$43:$D$66=AM$41)*($F$40:$AG$40="")*$F$43:$AG$66)+IF(AM$41="P6",SUMPRODUCT(($F$40:$AG$40="P6")*$F$43:$AG$66),0))/(SUMPRODUCT(($D$43:$D$66=AM$41)*($F$40:$AG$40=""))+IF(AM$41="P6",COUNTIF($F$40:$AG$40,"P6")*ROWS($D$43:$D$66),0)),"")</f>
        <v>1.054847555555555</v>
      </c>
      <c r="AN46" s="6" cm="1">
        <f t="array" ref="AN46">IFERROR((SUMPRODUCT(($D$43:$D$66=AN$41)*($F$40:$AG$40="")*$F$43:$AG$66)+IF(AN$41="P6",SUMPRODUCT(($F$40:$AG$40="P6")*$F$43:$AG$66),0))/(SUMPRODUCT(($D$43:$D$66=AN$41)*($F$40:$AG$40=""))+IF(AN$41="P6",COUNTIF($F$40:$AG$40,"P6")*ROWS($D$43:$D$66),0)),"")</f>
        <v>1.0994251428571429</v>
      </c>
      <c r="AO46" s="5" t="str" cm="1">
        <f t="array" ref="AO46">IFERROR((SUMPRODUCT(($D$43:$D$66=AO$41)*($F$40:$AG$40="")*$F$43:$AG$66)+IF(AO$41="P6",SUMPRODUCT(($F$40:$AG$40="P6")*$F$43:$AG$66),0))/(SUMPRODUCT(($D$43:$D$66=AO$41)*($F$40:$AG$40=""))+IF(AO$41="P6",COUNTIF($F$40:$AG$40,"P6")*ROWS($D$43:$D$66),0)),"")</f>
        <v/>
      </c>
      <c r="AP46" s="5" t="str" cm="1">
        <f t="array" ref="AP46">IFERROR((SUMPRODUCT(($D$43:$D$66=AP$41)*($F$40:$AG$40="")*$F$43:$AG$66)+IF(AP$41="P6",SUMPRODUCT(($F$40:$AG$40="P6")*$F$43:$AG$66),0))/(SUMPRODUCT(($D$43:$D$66=AP$41)*($F$40:$AG$40=""))+IF(AP$41="P6",COUNTIF($F$40:$AG$40,"P6")*ROWS($D$43:$D$66),0)),"")</f>
        <v/>
      </c>
      <c r="AQ46" s="5" t="str" cm="1">
        <f t="array" ref="AQ46">IFERROR((SUMPRODUCT(($D$43:$D$66=AQ$41)*($F$40:$AG$40="")*$F$43:$AG$66)+IF(AQ$41="P6",SUMPRODUCT(($F$40:$AG$40="P6")*$F$43:$AG$66),0))/(SUMPRODUCT(($D$43:$D$66=AQ$41)*($F$40:$AG$40=""))+IF(AQ$41="P6",COUNTIF($F$40:$AG$40,"P6")*ROWS($D$43:$D$66),0)),"")</f>
        <v/>
      </c>
      <c r="AR46" s="6" cm="1">
        <f t="array" ref="AR46">IFERROR((SUMPRODUCT(($D$43:$D$66=AR$41)*($F$40:$AG$40="")*$F$43:$AG$66)+IF(AR$41="P6",SUMPRODUCT(($F$40:$AG$40="P6")*$F$43:$AG$66),0))/(SUMPRODUCT(($D$43:$D$66=AR$41)*($F$40:$AG$40=""))+IF(AR$41="P6",COUNTIF($F$40:$AG$40,"P6")*ROWS($D$43:$D$66),0)),"")</f>
        <v>1.2186345454545444</v>
      </c>
      <c r="BB46" s="10"/>
      <c r="BC46" s="4" t="s">
        <v>23</v>
      </c>
      <c r="BD46" s="6">
        <f t="shared" si="10"/>
        <v>0.88957479076479051</v>
      </c>
      <c r="BE46" s="6">
        <f t="shared" si="9"/>
        <v>0.91640617003367009</v>
      </c>
      <c r="BF46" s="6">
        <f t="shared" si="9"/>
        <v>1.0940371915572962</v>
      </c>
      <c r="BG46" s="6">
        <f t="shared" si="9"/>
        <v>1.1186931920934675</v>
      </c>
      <c r="BH46" s="6">
        <f t="shared" si="9"/>
        <v>1.1857016119491266</v>
      </c>
      <c r="BI46" s="6">
        <f t="shared" si="9"/>
        <v>1.0876568786097318</v>
      </c>
      <c r="BJ46" s="10"/>
    </row>
    <row r="47" spans="1:62" ht="14.25" customHeight="1" x14ac:dyDescent="0.35">
      <c r="A47" s="1" t="s">
        <v>7</v>
      </c>
      <c r="B47" s="1" t="s">
        <v>7</v>
      </c>
      <c r="C47" s="1" t="s">
        <v>15</v>
      </c>
      <c r="D47" s="1" t="s">
        <v>7</v>
      </c>
      <c r="E47" s="1" t="s">
        <v>12</v>
      </c>
      <c r="F47" s="1">
        <v>1.3063899999999999</v>
      </c>
      <c r="G47" s="1">
        <v>1.3269</v>
      </c>
      <c r="H47" s="1">
        <v>1.3027899999999999</v>
      </c>
      <c r="I47" s="1">
        <v>1.3583700000000001</v>
      </c>
      <c r="J47" s="1">
        <v>1.42605</v>
      </c>
      <c r="K47" s="1">
        <v>1.3775200000000001</v>
      </c>
      <c r="L47" s="1">
        <v>1.3135300000000001</v>
      </c>
      <c r="M47" s="1">
        <v>1.3063899999999999</v>
      </c>
      <c r="N47" s="1">
        <v>1.3269</v>
      </c>
      <c r="O47" s="1">
        <v>1.3027899999999999</v>
      </c>
      <c r="P47" s="1">
        <v>1.3583700000000001</v>
      </c>
      <c r="Q47" s="1">
        <v>1.42605</v>
      </c>
      <c r="R47" s="1">
        <v>1.3775200000000001</v>
      </c>
      <c r="S47" s="1">
        <v>1.3135300000000001</v>
      </c>
      <c r="T47" s="1">
        <v>1.3063899999999999</v>
      </c>
      <c r="U47" s="1">
        <v>1.3269</v>
      </c>
      <c r="V47" s="1">
        <v>1.3027899999999999</v>
      </c>
      <c r="W47" s="1">
        <v>1.3583700000000001</v>
      </c>
      <c r="X47" s="1">
        <v>1.42605</v>
      </c>
      <c r="Y47" s="1">
        <v>1.3775200000000001</v>
      </c>
      <c r="Z47" s="1">
        <v>1.3135300000000001</v>
      </c>
      <c r="AA47" s="1">
        <v>1.3063899999999999</v>
      </c>
      <c r="AB47" s="1">
        <v>1.3269</v>
      </c>
      <c r="AC47" s="1">
        <v>1.3027899999999999</v>
      </c>
      <c r="AD47" s="1">
        <v>1.3583700000000001</v>
      </c>
      <c r="AE47" s="1">
        <v>1.42605</v>
      </c>
      <c r="AF47" s="1">
        <v>1.3775200000000001</v>
      </c>
      <c r="AG47" s="1">
        <v>1.3135300000000001</v>
      </c>
      <c r="AL47" s="4" t="s">
        <v>29</v>
      </c>
      <c r="AM47" s="6" cm="1">
        <f t="array" ref="AM47">IFERROR((SUMPRODUCT(($D$43:$D$66=AM$41)*($F$40:$AG$40="")*$F$43:$AG$66)+IF(AM$41="P6",SUMPRODUCT(($F$40:$AG$40="P6")*$F$43:$AG$66),0))/(SUMPRODUCT(($D$43:$D$66=AM$41)*($F$40:$AG$40=""))+IF(AM$41="P6",COUNTIF($F$40:$AG$40,"P6")*ROWS($D$43:$D$66),0)),"")</f>
        <v>1.054847555555555</v>
      </c>
      <c r="AN47" s="6" cm="1">
        <f t="array" ref="AN47">IFERROR((SUMPRODUCT(($D$43:$D$66=AN$41)*($F$40:$AG$40="")*$F$43:$AG$66)+IF(AN$41="P6",SUMPRODUCT(($F$40:$AG$40="P6")*$F$43:$AG$66),0))/(SUMPRODUCT(($D$43:$D$66=AN$41)*($F$40:$AG$40=""))+IF(AN$41="P6",COUNTIF($F$40:$AG$40,"P6")*ROWS($D$43:$D$66),0)),"")</f>
        <v>1.0994251428571429</v>
      </c>
      <c r="AO47" s="5" t="str" cm="1">
        <f t="array" ref="AO47">IFERROR((SUMPRODUCT(($D$43:$D$66=AO$41)*($F$40:$AG$40="")*$F$43:$AG$66)+IF(AO$41="P6",SUMPRODUCT(($F$40:$AG$40="P6")*$F$43:$AG$66),0))/(SUMPRODUCT(($D$43:$D$66=AO$41)*($F$40:$AG$40=""))+IF(AO$41="P6",COUNTIF($F$40:$AG$40,"P6")*ROWS($D$43:$D$66),0)),"")</f>
        <v/>
      </c>
      <c r="AP47" s="5" t="str" cm="1">
        <f t="array" ref="AP47">IFERROR((SUMPRODUCT(($D$43:$D$66=AP$41)*($F$40:$AG$40="")*$F$43:$AG$66)+IF(AP$41="P6",SUMPRODUCT(($F$40:$AG$40="P6")*$F$43:$AG$66),0))/(SUMPRODUCT(($D$43:$D$66=AP$41)*($F$40:$AG$40=""))+IF(AP$41="P6",COUNTIF($F$40:$AG$40,"P6")*ROWS($D$43:$D$66),0)),"")</f>
        <v/>
      </c>
      <c r="AQ47" s="5" t="str" cm="1">
        <f t="array" ref="AQ47">IFERROR((SUMPRODUCT(($D$43:$D$66=AQ$41)*($F$40:$AG$40="")*$F$43:$AG$66)+IF(AQ$41="P6",SUMPRODUCT(($F$40:$AG$40="P6")*$F$43:$AG$66),0))/(SUMPRODUCT(($D$43:$D$66=AQ$41)*($F$40:$AG$40=""))+IF(AQ$41="P6",COUNTIF($F$40:$AG$40,"P6")*ROWS($D$43:$D$66),0)),"")</f>
        <v/>
      </c>
      <c r="AR47" s="6" cm="1">
        <f t="array" ref="AR47">IFERROR((SUMPRODUCT(($D$43:$D$66=AR$41)*($F$40:$AG$40="")*$F$43:$AG$66)+IF(AR$41="P6",SUMPRODUCT(($F$40:$AG$40="P6")*$F$43:$AG$66),0))/(SUMPRODUCT(($D$43:$D$66=AR$41)*($F$40:$AG$40=""))+IF(AR$41="P6",COUNTIF($F$40:$AG$40,"P6")*ROWS($D$43:$D$66),0)),"")</f>
        <v>1.2186345454545444</v>
      </c>
      <c r="BB47" s="10"/>
      <c r="BC47" s="4" t="s">
        <v>25</v>
      </c>
      <c r="BD47" s="6">
        <f t="shared" si="10"/>
        <v>0.88957479076479051</v>
      </c>
      <c r="BE47" s="6">
        <f t="shared" si="9"/>
        <v>0.91640617003367009</v>
      </c>
      <c r="BF47" s="6">
        <f t="shared" si="9"/>
        <v>1.0940371915572962</v>
      </c>
      <c r="BG47" s="6">
        <f t="shared" si="9"/>
        <v>1.1186931920934675</v>
      </c>
      <c r="BH47" s="6">
        <f t="shared" si="9"/>
        <v>1.1857016119491266</v>
      </c>
      <c r="BI47" s="6">
        <f t="shared" si="9"/>
        <v>1.0876568786097318</v>
      </c>
      <c r="BJ47" s="10"/>
    </row>
    <row r="48" spans="1:62" ht="14.25" customHeight="1" x14ac:dyDescent="0.35">
      <c r="A48" s="1" t="s">
        <v>7</v>
      </c>
      <c r="B48" s="1" t="s">
        <v>7</v>
      </c>
      <c r="C48" s="1" t="s">
        <v>15</v>
      </c>
      <c r="D48" s="1" t="s">
        <v>7</v>
      </c>
      <c r="E48" s="1" t="s">
        <v>18</v>
      </c>
      <c r="F48" s="1">
        <v>1.2650300000000001</v>
      </c>
      <c r="G48" s="1">
        <v>1.28233</v>
      </c>
      <c r="H48" s="1">
        <v>1.2683199999999999</v>
      </c>
      <c r="I48" s="1">
        <v>1.3264800000000001</v>
      </c>
      <c r="J48" s="1">
        <v>1.4066700000000001</v>
      </c>
      <c r="K48" s="1">
        <v>1.3275699999999999</v>
      </c>
      <c r="L48" s="1">
        <v>1.2777799999999999</v>
      </c>
      <c r="M48" s="1">
        <v>1.2650300000000001</v>
      </c>
      <c r="N48" s="1">
        <v>1.28233</v>
      </c>
      <c r="O48" s="1">
        <v>1.2683199999999999</v>
      </c>
      <c r="P48" s="1">
        <v>1.3264800000000001</v>
      </c>
      <c r="Q48" s="1">
        <v>1.4066700000000001</v>
      </c>
      <c r="R48" s="1">
        <v>1.3275699999999999</v>
      </c>
      <c r="S48" s="1">
        <v>1.2777799999999999</v>
      </c>
      <c r="T48" s="1">
        <v>1.2650300000000001</v>
      </c>
      <c r="U48" s="1">
        <v>1.28233</v>
      </c>
      <c r="V48" s="1">
        <v>1.2683199999999999</v>
      </c>
      <c r="W48" s="1">
        <v>1.3264800000000001</v>
      </c>
      <c r="X48" s="1">
        <v>1.4066700000000001</v>
      </c>
      <c r="Y48" s="1">
        <v>1.3275699999999999</v>
      </c>
      <c r="Z48" s="1">
        <v>1.2777799999999999</v>
      </c>
      <c r="AA48" s="1">
        <v>1.2650300000000001</v>
      </c>
      <c r="AB48" s="1">
        <v>1.28233</v>
      </c>
      <c r="AC48" s="1">
        <v>1.2683199999999999</v>
      </c>
      <c r="AD48" s="1">
        <v>1.3264800000000001</v>
      </c>
      <c r="AE48" s="1">
        <v>1.4066700000000001</v>
      </c>
      <c r="AF48" s="1">
        <v>1.3275699999999999</v>
      </c>
      <c r="AG48" s="1">
        <v>1.2777799999999999</v>
      </c>
      <c r="AL48" s="10"/>
      <c r="AM48" s="10"/>
      <c r="AN48" s="10"/>
      <c r="AO48" s="10"/>
      <c r="AP48" s="10"/>
      <c r="AQ48" s="10"/>
      <c r="AR48" s="10"/>
      <c r="BB48" s="10"/>
      <c r="BC48" s="4" t="s">
        <v>27</v>
      </c>
      <c r="BD48" s="6">
        <f t="shared" si="10"/>
        <v>0.88957479076479051</v>
      </c>
      <c r="BE48" s="6">
        <f t="shared" si="9"/>
        <v>0.91640617003367009</v>
      </c>
      <c r="BF48" s="6">
        <f t="shared" si="9"/>
        <v>1.0940371915572962</v>
      </c>
      <c r="BG48" s="6">
        <f t="shared" si="9"/>
        <v>1.1186931920934675</v>
      </c>
      <c r="BH48" s="6">
        <f t="shared" si="9"/>
        <v>1.1857016119491266</v>
      </c>
      <c r="BI48" s="6">
        <f t="shared" si="9"/>
        <v>1.0876568786097318</v>
      </c>
      <c r="BJ48" s="10"/>
    </row>
    <row r="49" spans="1:62" ht="14.25" customHeight="1" x14ac:dyDescent="0.35">
      <c r="A49" s="1" t="s">
        <v>7</v>
      </c>
      <c r="B49" s="1" t="s">
        <v>7</v>
      </c>
      <c r="C49" s="1" t="s">
        <v>15</v>
      </c>
      <c r="D49" s="1" t="s">
        <v>7</v>
      </c>
      <c r="E49" s="1" t="s">
        <v>20</v>
      </c>
      <c r="F49" s="1">
        <v>1.1500699999999999</v>
      </c>
      <c r="G49" s="1">
        <v>1.1457599999999999</v>
      </c>
      <c r="H49" s="1">
        <v>1.16394</v>
      </c>
      <c r="I49" s="1">
        <v>1.2760800000000001</v>
      </c>
      <c r="J49" s="1">
        <v>1.3677999999999999</v>
      </c>
      <c r="K49" s="1">
        <v>1.1767300000000001</v>
      </c>
      <c r="L49" s="1">
        <v>1.1670400000000001</v>
      </c>
      <c r="M49" s="1">
        <v>1.1500699999999999</v>
      </c>
      <c r="N49" s="1">
        <v>1.1457599999999999</v>
      </c>
      <c r="O49" s="1">
        <v>1.16394</v>
      </c>
      <c r="P49" s="1">
        <v>1.2760800000000001</v>
      </c>
      <c r="Q49" s="1">
        <v>1.3677999999999999</v>
      </c>
      <c r="R49" s="1">
        <v>1.1767300000000001</v>
      </c>
      <c r="S49" s="1">
        <v>1.1670400000000001</v>
      </c>
      <c r="T49" s="1">
        <v>1.1500699999999999</v>
      </c>
      <c r="U49" s="1">
        <v>1.1457599999999999</v>
      </c>
      <c r="V49" s="1">
        <v>1.16394</v>
      </c>
      <c r="W49" s="1">
        <v>1.2760800000000001</v>
      </c>
      <c r="X49" s="1">
        <v>1.3677999999999999</v>
      </c>
      <c r="Y49" s="1">
        <v>1.1767300000000001</v>
      </c>
      <c r="Z49" s="1">
        <v>1.1670400000000001</v>
      </c>
      <c r="AA49" s="1">
        <v>1.1500699999999999</v>
      </c>
      <c r="AB49" s="1">
        <v>1.1457599999999999</v>
      </c>
      <c r="AC49" s="1">
        <v>1.16394</v>
      </c>
      <c r="AD49" s="1">
        <v>1.2760800000000001</v>
      </c>
      <c r="AE49" s="1">
        <v>1.3677999999999999</v>
      </c>
      <c r="AF49" s="1">
        <v>1.1767300000000001</v>
      </c>
      <c r="AG49" s="1">
        <v>1.1670400000000001</v>
      </c>
      <c r="AL49" s="10"/>
      <c r="AM49" s="10"/>
      <c r="AN49" s="10"/>
      <c r="AO49" s="10"/>
      <c r="AP49" s="10"/>
      <c r="AQ49" s="10"/>
      <c r="AR49" s="10"/>
      <c r="BB49" s="10"/>
      <c r="BC49" s="4" t="s">
        <v>29</v>
      </c>
      <c r="BD49" s="6">
        <f t="shared" si="10"/>
        <v>0.88957479076479051</v>
      </c>
      <c r="BE49" s="6">
        <f t="shared" si="9"/>
        <v>0.91640617003367009</v>
      </c>
      <c r="BF49" s="6">
        <f t="shared" si="9"/>
        <v>1.0940371915572962</v>
      </c>
      <c r="BG49" s="6">
        <f t="shared" si="9"/>
        <v>1.1186931920934675</v>
      </c>
      <c r="BH49" s="6">
        <f t="shared" si="9"/>
        <v>1.1857016119491266</v>
      </c>
      <c r="BI49" s="6">
        <f t="shared" si="9"/>
        <v>1.0876568786097318</v>
      </c>
      <c r="BJ49" s="10"/>
    </row>
    <row r="50" spans="1:62" ht="14.25" customHeight="1" x14ac:dyDescent="0.35">
      <c r="A50" s="1" t="s">
        <v>7</v>
      </c>
      <c r="B50" s="1" t="s">
        <v>7</v>
      </c>
      <c r="C50" s="1" t="s">
        <v>15</v>
      </c>
      <c r="D50" s="1" t="s">
        <v>7</v>
      </c>
      <c r="E50" s="1" t="s">
        <v>22</v>
      </c>
      <c r="F50" s="1">
        <v>1.0467</v>
      </c>
      <c r="G50" s="1">
        <v>1.04271</v>
      </c>
      <c r="H50" s="1">
        <v>1.06016</v>
      </c>
      <c r="I50" s="1">
        <v>1.20597</v>
      </c>
      <c r="J50" s="1">
        <v>1.3213299999999999</v>
      </c>
      <c r="K50" s="1">
        <v>1.0525199999999999</v>
      </c>
      <c r="L50" s="1">
        <v>1.0654399999999999</v>
      </c>
      <c r="M50" s="1">
        <v>1.0467</v>
      </c>
      <c r="N50" s="1">
        <v>1.04271</v>
      </c>
      <c r="O50" s="1">
        <v>1.06016</v>
      </c>
      <c r="P50" s="1">
        <v>1.20597</v>
      </c>
      <c r="Q50" s="1">
        <v>1.3213299999999999</v>
      </c>
      <c r="R50" s="1">
        <v>1.0525199999999999</v>
      </c>
      <c r="S50" s="1">
        <v>1.0654399999999999</v>
      </c>
      <c r="T50" s="1">
        <v>1.0467</v>
      </c>
      <c r="U50" s="1">
        <v>1.04271</v>
      </c>
      <c r="V50" s="1">
        <v>1.06016</v>
      </c>
      <c r="W50" s="1">
        <v>1.20597</v>
      </c>
      <c r="X50" s="1">
        <v>1.3213299999999999</v>
      </c>
      <c r="Y50" s="1">
        <v>1.0525199999999999</v>
      </c>
      <c r="Z50" s="1">
        <v>1.0654399999999999</v>
      </c>
      <c r="AA50" s="1">
        <v>1.0467</v>
      </c>
      <c r="AB50" s="1">
        <v>1.04271</v>
      </c>
      <c r="AC50" s="1">
        <v>1.06016</v>
      </c>
      <c r="AD50" s="1">
        <v>1.20597</v>
      </c>
      <c r="AE50" s="1">
        <v>1.3213299999999999</v>
      </c>
      <c r="AF50" s="1">
        <v>1.0525199999999999</v>
      </c>
      <c r="AG50" s="1">
        <v>1.0654399999999999</v>
      </c>
      <c r="AL50" s="14" t="s">
        <v>210</v>
      </c>
      <c r="AM50" s="14"/>
      <c r="AN50" s="14"/>
      <c r="AO50" s="14"/>
      <c r="AP50" s="14"/>
      <c r="AQ50" s="14"/>
      <c r="AR50" s="14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 ht="14.25" customHeight="1" x14ac:dyDescent="0.35">
      <c r="A51" s="1" t="s">
        <v>16</v>
      </c>
      <c r="B51" s="1" t="s">
        <v>16</v>
      </c>
      <c r="C51" s="1" t="s">
        <v>14</v>
      </c>
      <c r="D51" s="1" t="s">
        <v>14</v>
      </c>
      <c r="E51" s="1" t="s">
        <v>24</v>
      </c>
      <c r="F51" s="1">
        <v>1.07396</v>
      </c>
      <c r="G51" s="1">
        <v>1.0755600000000001</v>
      </c>
      <c r="H51" s="1">
        <v>1.0883100000000001</v>
      </c>
      <c r="I51" s="1">
        <v>1.1485799999999999</v>
      </c>
      <c r="J51" s="1">
        <v>1.2510600000000001</v>
      </c>
      <c r="K51" s="1">
        <v>1.06911</v>
      </c>
      <c r="L51" s="1">
        <v>1.0971500000000001</v>
      </c>
      <c r="M51" s="1">
        <v>1.07396</v>
      </c>
      <c r="N51" s="1">
        <v>1.0755600000000001</v>
      </c>
      <c r="O51" s="1">
        <v>1.0883100000000001</v>
      </c>
      <c r="P51" s="1">
        <v>1.1485799999999999</v>
      </c>
      <c r="Q51" s="1">
        <v>1.2510600000000001</v>
      </c>
      <c r="R51" s="1">
        <v>1.06911</v>
      </c>
      <c r="S51" s="1">
        <v>1.0971500000000001</v>
      </c>
      <c r="T51" s="1">
        <v>1.07396</v>
      </c>
      <c r="U51" s="1">
        <v>1.0755600000000001</v>
      </c>
      <c r="V51" s="1">
        <v>1.0883100000000001</v>
      </c>
      <c r="W51" s="1">
        <v>1.1485799999999999</v>
      </c>
      <c r="X51" s="1">
        <v>1.2510600000000001</v>
      </c>
      <c r="Y51" s="1">
        <v>1.06911</v>
      </c>
      <c r="Z51" s="1">
        <v>1.0971500000000001</v>
      </c>
      <c r="AA51" s="1">
        <v>1.07396</v>
      </c>
      <c r="AB51" s="1">
        <v>1.0755600000000001</v>
      </c>
      <c r="AC51" s="1">
        <v>1.0883100000000001</v>
      </c>
      <c r="AD51" s="1">
        <v>1.1485799999999999</v>
      </c>
      <c r="AE51" s="1">
        <v>1.2510600000000001</v>
      </c>
      <c r="AF51" s="1">
        <v>1.06911</v>
      </c>
      <c r="AG51" s="1">
        <v>1.0971500000000001</v>
      </c>
      <c r="AL51" s="4"/>
      <c r="AM51" s="4" t="s">
        <v>13</v>
      </c>
      <c r="AN51" s="4" t="s">
        <v>14</v>
      </c>
      <c r="AO51" s="4" t="s">
        <v>15</v>
      </c>
      <c r="AP51" s="4" t="s">
        <v>16</v>
      </c>
      <c r="AQ51" s="4" t="s">
        <v>17</v>
      </c>
      <c r="AR51" s="4" t="s">
        <v>7</v>
      </c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 ht="14.25" customHeight="1" x14ac:dyDescent="0.35">
      <c r="A52" s="1" t="s">
        <v>16</v>
      </c>
      <c r="B52" s="1" t="s">
        <v>16</v>
      </c>
      <c r="C52" s="1" t="s">
        <v>14</v>
      </c>
      <c r="D52" s="1" t="s">
        <v>13</v>
      </c>
      <c r="E52" s="1" t="s">
        <v>26</v>
      </c>
      <c r="F52" s="1">
        <v>1.0395000000000001</v>
      </c>
      <c r="G52" s="1">
        <v>1.03607</v>
      </c>
      <c r="H52" s="1">
        <v>1.04965</v>
      </c>
      <c r="I52" s="1">
        <v>1.0543400000000001</v>
      </c>
      <c r="J52" s="1">
        <v>1.1196699999999999</v>
      </c>
      <c r="K52" s="1">
        <v>1.0241199999999999</v>
      </c>
      <c r="L52" s="1">
        <v>1.0445800000000001</v>
      </c>
      <c r="M52" s="1">
        <v>1.0395000000000001</v>
      </c>
      <c r="N52" s="1">
        <v>1.03607</v>
      </c>
      <c r="O52" s="1">
        <v>1.04965</v>
      </c>
      <c r="P52" s="1">
        <v>1.0543400000000001</v>
      </c>
      <c r="Q52" s="1">
        <v>1.1196699999999999</v>
      </c>
      <c r="R52" s="1">
        <v>1.0241199999999999</v>
      </c>
      <c r="S52" s="1">
        <v>1.0445800000000001</v>
      </c>
      <c r="T52" s="1">
        <v>1.0395000000000001</v>
      </c>
      <c r="U52" s="1">
        <v>1.03607</v>
      </c>
      <c r="V52" s="1">
        <v>1.04965</v>
      </c>
      <c r="W52" s="1">
        <v>1.0543400000000001</v>
      </c>
      <c r="X52" s="1">
        <v>1.1196699999999999</v>
      </c>
      <c r="Y52" s="1">
        <v>1.0241199999999999</v>
      </c>
      <c r="Z52" s="1">
        <v>1.0445800000000001</v>
      </c>
      <c r="AA52" s="1">
        <v>1.0395000000000001</v>
      </c>
      <c r="AB52" s="1">
        <v>1.03607</v>
      </c>
      <c r="AC52" s="1">
        <v>1.04965</v>
      </c>
      <c r="AD52" s="1">
        <v>1.0543400000000001</v>
      </c>
      <c r="AE52" s="1">
        <v>1.1196699999999999</v>
      </c>
      <c r="AF52" s="1">
        <v>1.0241199999999999</v>
      </c>
      <c r="AG52" s="1">
        <v>1.0445800000000001</v>
      </c>
      <c r="AL52" s="4" t="s">
        <v>19</v>
      </c>
      <c r="AM52" s="6" cm="1">
        <f t="array" ref="AM52">IFERROR((SUMPRODUCT(($C$43:$C$66=AM$41)*($F$39:$AG$39="")*$F$43:$AG$66)+IF(AM$41="P3",SUMPRODUCT(($F$39:$AG$39="P3")*$F$43:$AG$66),0))/(SUMPRODUCT(($C$43:$C$66=AM$41)*($F$39:$AG$39=""))+IF(AM$41="P3",COUNTIF($F$39:$AG$39,"P3")*ROWS($C$43:$C$66),0)),"")</f>
        <v>1.0568554999999993</v>
      </c>
      <c r="AN52" s="6" cm="1">
        <f t="array" ref="AN52">IFERROR((SUMPRODUCT(($C$43:$C$66=AN$41)*($F$39:$AG$39="")*$F$43:$AG$66)+IF(AN$41="P3",SUMPRODUCT(($F$39:$AG$39="P3")*$F$43:$AG$66),0))/(SUMPRODUCT(($C$43:$C$66=AN$41)*($F$39:$AG$39=""))+IF(AN$41="P3",COUNTIF($F$39:$AG$39,"P3")*ROWS($C$43:$C$66),0)),"")</f>
        <v>1.0918449999999991</v>
      </c>
      <c r="AO52" s="6" cm="1">
        <f t="array" ref="AO52">IFERROR((SUMPRODUCT(($C$43:$C$66=AO$41)*($F$39:$AG$39="")*$F$43:$AG$66)+IF(AO$41="P3",SUMPRODUCT(($F$39:$AG$39="P3")*$F$43:$AG$66),0))/(SUMPRODUCT(($C$43:$C$66=AO$41)*($F$39:$AG$39=""))+IF(AO$41="P3",COUNTIF($F$39:$AG$39,"P3")*ROWS($C$43:$C$66),0)),"")</f>
        <v>1.2186345454545444</v>
      </c>
      <c r="AP52" s="6" t="str" cm="1">
        <f t="array" ref="AP52">IFERROR((SUMPRODUCT(($C$43:$C$66=AP$41)*($F$39:$AG$39="")*$F$43:$AG$66)+IF(AP$41="P3",SUMPRODUCT(($F$39:$AG$39="P3")*$F$43:$AG$66),0))/(SUMPRODUCT(($C$43:$C$66=AP$41)*($F$39:$AG$39=""))+IF(AP$41="P3",COUNTIF($F$39:$AG$39,"P3")*ROWS($C$43:$C$66),0)),"")</f>
        <v/>
      </c>
      <c r="AQ52" s="6" t="str" cm="1">
        <f t="array" ref="AQ52">IFERROR((SUMPRODUCT(($C$43:$C$66=AQ$41)*($F$39:$AG$39="")*$F$43:$AG$66)+IF(AQ$41="P3",SUMPRODUCT(($F$39:$AG$39="P3")*$F$43:$AG$66),0))/(SUMPRODUCT(($C$43:$C$66=AQ$41)*($F$39:$AG$39=""))+IF(AQ$41="P3",COUNTIF($F$39:$AG$39,"P3")*ROWS($C$43:$C$66),0)),"")</f>
        <v/>
      </c>
      <c r="AR52" s="6" t="str" cm="1">
        <f t="array" ref="AR52">IFERROR((SUMPRODUCT(($C$43:$C$66=AR$41)*($F$39:$AG$39="")*$F$43:$AG$66)+IF(AR$41="P3",SUMPRODUCT(($F$39:$AG$39="P3")*$F$43:$AG$66),0))/(SUMPRODUCT(($C$43:$C$66=AR$41)*($F$39:$AG$39=""))+IF(AR$41="P3",COUNTIF($F$39:$AG$39,"P3")*ROWS($C$43:$C$66),0)),"")</f>
        <v/>
      </c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 ht="14.25" customHeight="1" x14ac:dyDescent="0.35">
      <c r="A53" s="1" t="s">
        <v>14</v>
      </c>
      <c r="B53" s="1" t="s">
        <v>15</v>
      </c>
      <c r="C53" s="1" t="s">
        <v>13</v>
      </c>
      <c r="D53" s="1" t="s">
        <v>13</v>
      </c>
      <c r="E53" s="1" t="s">
        <v>28</v>
      </c>
      <c r="F53" s="1">
        <v>1.0124899999999999</v>
      </c>
      <c r="G53" s="1">
        <v>1.0014400000000001</v>
      </c>
      <c r="H53" s="1">
        <v>1.0012300000000001</v>
      </c>
      <c r="I53" s="1">
        <v>1.01119</v>
      </c>
      <c r="J53" s="1">
        <v>1.0496300000000001</v>
      </c>
      <c r="K53" s="1">
        <v>0.99888999999999994</v>
      </c>
      <c r="L53" s="1">
        <v>1.01261</v>
      </c>
      <c r="M53" s="1">
        <v>1.0124899999999999</v>
      </c>
      <c r="N53" s="1">
        <v>1.0014400000000001</v>
      </c>
      <c r="O53" s="1">
        <v>1.0012300000000001</v>
      </c>
      <c r="P53" s="1">
        <v>1.01119</v>
      </c>
      <c r="Q53" s="1">
        <v>1.0496300000000001</v>
      </c>
      <c r="R53" s="1">
        <v>0.99888999999999994</v>
      </c>
      <c r="S53" s="1">
        <v>1.01261</v>
      </c>
      <c r="T53" s="1">
        <v>1.0124899999999999</v>
      </c>
      <c r="U53" s="1">
        <v>1.0014400000000001</v>
      </c>
      <c r="V53" s="1">
        <v>1.0012300000000001</v>
      </c>
      <c r="W53" s="1">
        <v>1.01119</v>
      </c>
      <c r="X53" s="1">
        <v>1.0496300000000001</v>
      </c>
      <c r="Y53" s="1">
        <v>0.99888999999999994</v>
      </c>
      <c r="Z53" s="1">
        <v>1.01261</v>
      </c>
      <c r="AA53" s="1">
        <v>1.0124899999999999</v>
      </c>
      <c r="AB53" s="1">
        <v>1.0014400000000001</v>
      </c>
      <c r="AC53" s="1">
        <v>1.0012300000000001</v>
      </c>
      <c r="AD53" s="1">
        <v>1.01119</v>
      </c>
      <c r="AE53" s="1">
        <v>1.0496300000000001</v>
      </c>
      <c r="AF53" s="1">
        <v>0.99888999999999994</v>
      </c>
      <c r="AG53" s="1">
        <v>1.01261</v>
      </c>
      <c r="AL53" s="4" t="s">
        <v>21</v>
      </c>
      <c r="AM53" s="6" t="str" cm="1">
        <f t="array" ref="AM53">IFERROR((SUMPRODUCT(($A$43:$A$66=AM$41)*($F$40:$AG$40="")*$F$43:$AG$66)+IF(AM$41="P6",SUMPRODUCT(($F$40:$AG$40="P6")*$F$43:$AG$66),0))/(SUMPRODUCT(($A$43:$A$66=AM$41)*($F$40:$AG$40=""))+IF(AM$41="P6",COUNTIF($F$40:$AG$40,"P6")*ROWS($A$43:$A$66),0)),"")</f>
        <v/>
      </c>
      <c r="AN53" s="6" cm="1">
        <f t="array" ref="AN53">IFERROR((SUMPRODUCT(($A$43:$A$66=AN$41)*($F$40:$AG$40="")*$F$43:$AG$66)+IF(AN$41="P6",SUMPRODUCT(($F$40:$AG$40="P6")*$F$43:$AG$66),0))/(SUMPRODUCT(($A$43:$A$66=AN$41)*($F$40:$AG$40=""))+IF(AN$41="P6",COUNTIF($F$40:$AG$40,"P6")*ROWS($A$43:$A$66),0)),"")</f>
        <v>1.0509706666666658</v>
      </c>
      <c r="AO53" s="6" t="str" cm="1">
        <f t="array" ref="AO53">IFERROR((SUMPRODUCT(($A$43:$A$66=AO$41)*($F$40:$AG$40="")*$F$43:$AG$66)+IF(AO$41="P6",SUMPRODUCT(($F$40:$AG$40="P6")*$F$43:$AG$66),0))/(SUMPRODUCT(($A$43:$A$66=AO$41)*($F$40:$AG$40=""))+IF(AO$41="P6",COUNTIF($F$40:$AG$40,"P6")*ROWS($A$43:$A$66),0)),"")</f>
        <v/>
      </c>
      <c r="AP53" s="6" cm="1">
        <f t="array" ref="AP53">IFERROR((SUMPRODUCT(($A$43:$A$66=AP$41)*($F$40:$AG$40="")*$F$43:$AG$66)+IF(AP$41="P6",SUMPRODUCT(($F$40:$AG$40="P6")*$F$43:$AG$66),0))/(SUMPRODUCT(($A$43:$A$66=AP$41)*($F$40:$AG$40=""))+IF(AP$41="P6",COUNTIF($F$40:$AG$40,"P6")*ROWS($A$43:$A$66),0)),"")</f>
        <v>1.1044097142857143</v>
      </c>
      <c r="AQ53" s="6" t="str" cm="1">
        <f t="array" ref="AQ53">IFERROR((SUMPRODUCT(($A$43:$A$66=AQ$41)*($F$40:$AG$40="")*$F$43:$AG$66)+IF(AQ$41="P6",SUMPRODUCT(($F$40:$AG$40="P6")*$F$43:$AG$66),0))/(SUMPRODUCT(($A$43:$A$66=AQ$41)*($F$40:$AG$40=""))+IF(AQ$41="P6",COUNTIF($F$40:$AG$40,"P6")*ROWS($A$43:$A$66),0)),"")</f>
        <v/>
      </c>
      <c r="AR53" s="6" cm="1">
        <f t="array" ref="AR53">IFERROR((SUMPRODUCT(($A$43:$A$66=AR$41)*($F$40:$AG$40="")*$F$43:$AG$66)+IF(AR$41="P6",SUMPRODUCT(($F$40:$AG$40="P6")*$F$43:$AG$66),0))/(SUMPRODUCT(($A$43:$A$66=AR$41)*($F$40:$AG$40=""))+IF(AR$41="P6",COUNTIF($F$40:$AG$40,"P6")*ROWS($A$43:$A$66),0)),"")</f>
        <v>1.2186345454545444</v>
      </c>
    </row>
    <row r="54" spans="1:62" ht="14.25" customHeight="1" x14ac:dyDescent="0.35">
      <c r="A54" s="1" t="s">
        <v>14</v>
      </c>
      <c r="B54" s="1" t="s">
        <v>15</v>
      </c>
      <c r="C54" s="1" t="s">
        <v>13</v>
      </c>
      <c r="D54" s="1" t="s">
        <v>13</v>
      </c>
      <c r="E54" s="1" t="s">
        <v>30</v>
      </c>
      <c r="F54" s="1">
        <v>1.0182899999999999</v>
      </c>
      <c r="G54" s="1">
        <v>0.99282000000000004</v>
      </c>
      <c r="H54" s="1">
        <v>0.99460999999999999</v>
      </c>
      <c r="I54" s="1">
        <v>1.0007999999999999</v>
      </c>
      <c r="J54" s="1">
        <v>1.03806</v>
      </c>
      <c r="K54" s="1">
        <v>1.0081199999999999</v>
      </c>
      <c r="L54" s="1">
        <v>1.01999</v>
      </c>
      <c r="M54" s="1">
        <v>1.0182899999999999</v>
      </c>
      <c r="N54" s="1">
        <v>0.99282000000000004</v>
      </c>
      <c r="O54" s="1">
        <v>0.99460999999999999</v>
      </c>
      <c r="P54" s="1">
        <v>1.0007999999999999</v>
      </c>
      <c r="Q54" s="1">
        <v>1.03806</v>
      </c>
      <c r="R54" s="1">
        <v>1.0081199999999999</v>
      </c>
      <c r="S54" s="1">
        <v>1.01999</v>
      </c>
      <c r="T54" s="1">
        <v>1.0182899999999999</v>
      </c>
      <c r="U54" s="1">
        <v>0.99282000000000004</v>
      </c>
      <c r="V54" s="1">
        <v>0.99460999999999999</v>
      </c>
      <c r="W54" s="1">
        <v>1.0007999999999999</v>
      </c>
      <c r="X54" s="1">
        <v>1.03806</v>
      </c>
      <c r="Y54" s="1">
        <v>1.0081199999999999</v>
      </c>
      <c r="Z54" s="1">
        <v>1.01999</v>
      </c>
      <c r="AA54" s="1">
        <v>1.0182899999999999</v>
      </c>
      <c r="AB54" s="1">
        <v>0.99282000000000004</v>
      </c>
      <c r="AC54" s="1">
        <v>0.99460999999999999</v>
      </c>
      <c r="AD54" s="1">
        <v>1.0007999999999999</v>
      </c>
      <c r="AE54" s="1">
        <v>1.03806</v>
      </c>
      <c r="AF54" s="1">
        <v>1.0081199999999999</v>
      </c>
      <c r="AG54" s="1">
        <v>1.01999</v>
      </c>
      <c r="AL54" s="4" t="s">
        <v>23</v>
      </c>
      <c r="AM54" s="6" t="str" cm="1">
        <f t="array" ref="AM54">IFERROR((SUMPRODUCT(($A$43:$A$66=AM$41)*($F$40:$AG$40="")*$F$43:$AG$66)+IF(AM$41="P6",SUMPRODUCT(($F$40:$AG$40="P6")*$F$43:$AG$66),0))/(SUMPRODUCT(($A$43:$A$66=AM$41)*($F$40:$AG$40=""))+IF(AM$41="P6",COUNTIF($F$40:$AG$40,"P6")*ROWS($A$43:$A$66),0)),"")</f>
        <v/>
      </c>
      <c r="AN54" s="6" cm="1">
        <f t="array" ref="AN54">IFERROR((SUMPRODUCT(($A$43:$A$66=AN$41)*($F$40:$AG$40="")*$F$43:$AG$66)+IF(AN$41="P6",SUMPRODUCT(($F$40:$AG$40="P6")*$F$43:$AG$66),0))/(SUMPRODUCT(($A$43:$A$66=AN$41)*($F$40:$AG$40=""))+IF(AN$41="P6",COUNTIF($F$40:$AG$40,"P6")*ROWS($A$43:$A$66),0)),"")</f>
        <v>1.0509706666666658</v>
      </c>
      <c r="AO54" s="6" t="str" cm="1">
        <f t="array" ref="AO54">IFERROR((SUMPRODUCT(($A$43:$A$66=AO$41)*($F$40:$AG$40="")*$F$43:$AG$66)+IF(AO$41="P6",SUMPRODUCT(($F$40:$AG$40="P6")*$F$43:$AG$66),0))/(SUMPRODUCT(($A$43:$A$66=AO$41)*($F$40:$AG$40=""))+IF(AO$41="P6",COUNTIF($F$40:$AG$40,"P6")*ROWS($A$43:$A$66),0)),"")</f>
        <v/>
      </c>
      <c r="AP54" s="6" cm="1">
        <f t="array" ref="AP54">IFERROR((SUMPRODUCT(($A$43:$A$66=AP$41)*($F$40:$AG$40="")*$F$43:$AG$66)+IF(AP$41="P6",SUMPRODUCT(($F$40:$AG$40="P6")*$F$43:$AG$66),0))/(SUMPRODUCT(($A$43:$A$66=AP$41)*($F$40:$AG$40=""))+IF(AP$41="P6",COUNTIF($F$40:$AG$40,"P6")*ROWS($A$43:$A$66),0)),"")</f>
        <v>1.1044097142857143</v>
      </c>
      <c r="AQ54" s="6" t="str" cm="1">
        <f t="array" ref="AQ54">IFERROR((SUMPRODUCT(($A$43:$A$66=AQ$41)*($F$40:$AG$40="")*$F$43:$AG$66)+IF(AQ$41="P6",SUMPRODUCT(($F$40:$AG$40="P6")*$F$43:$AG$66),0))/(SUMPRODUCT(($A$43:$A$66=AQ$41)*($F$40:$AG$40=""))+IF(AQ$41="P6",COUNTIF($F$40:$AG$40,"P6")*ROWS($A$43:$A$66),0)),"")</f>
        <v/>
      </c>
      <c r="AR54" s="6" cm="1">
        <f t="array" ref="AR54">IFERROR((SUMPRODUCT(($A$43:$A$66=AR$41)*($F$40:$AG$40="")*$F$43:$AG$66)+IF(AR$41="P6",SUMPRODUCT(($F$40:$AG$40="P6")*$F$43:$AG$66),0))/(SUMPRODUCT(($A$43:$A$66=AR$41)*($F$40:$AG$40=""))+IF(AR$41="P6",COUNTIF($F$40:$AG$40,"P6")*ROWS($A$43:$A$66),0)),"")</f>
        <v>1.2186345454545444</v>
      </c>
    </row>
    <row r="55" spans="1:62" ht="14.25" customHeight="1" x14ac:dyDescent="0.35">
      <c r="A55" s="1" t="s">
        <v>14</v>
      </c>
      <c r="B55" s="1" t="s">
        <v>15</v>
      </c>
      <c r="C55" s="1" t="s">
        <v>13</v>
      </c>
      <c r="D55" s="1" t="s">
        <v>13</v>
      </c>
      <c r="E55" s="1" t="s">
        <v>31</v>
      </c>
      <c r="F55" s="1">
        <v>1.01387</v>
      </c>
      <c r="G55" s="1">
        <v>0.99333000000000005</v>
      </c>
      <c r="H55" s="1">
        <v>0.99024999999999996</v>
      </c>
      <c r="I55" s="1">
        <v>1.0163199999999999</v>
      </c>
      <c r="J55" s="1">
        <v>1.04993</v>
      </c>
      <c r="K55" s="1">
        <v>1.00909</v>
      </c>
      <c r="L55" s="1">
        <v>1.0225200000000001</v>
      </c>
      <c r="M55" s="1">
        <v>1.01387</v>
      </c>
      <c r="N55" s="1">
        <v>0.99333000000000005</v>
      </c>
      <c r="O55" s="1">
        <v>0.99024999999999996</v>
      </c>
      <c r="P55" s="1">
        <v>1.0163199999999999</v>
      </c>
      <c r="Q55" s="1">
        <v>1.04993</v>
      </c>
      <c r="R55" s="1">
        <v>1.00909</v>
      </c>
      <c r="S55" s="1">
        <v>1.0225200000000001</v>
      </c>
      <c r="T55" s="1">
        <v>1.01387</v>
      </c>
      <c r="U55" s="1">
        <v>0.99333000000000005</v>
      </c>
      <c r="V55" s="1">
        <v>0.99024999999999996</v>
      </c>
      <c r="W55" s="1">
        <v>1.0163199999999999</v>
      </c>
      <c r="X55" s="1">
        <v>1.04993</v>
      </c>
      <c r="Y55" s="1">
        <v>1.00909</v>
      </c>
      <c r="Z55" s="1">
        <v>1.0225200000000001</v>
      </c>
      <c r="AA55" s="1">
        <v>1.01387</v>
      </c>
      <c r="AB55" s="1">
        <v>0.99333000000000005</v>
      </c>
      <c r="AC55" s="1">
        <v>0.99024999999999996</v>
      </c>
      <c r="AD55" s="1">
        <v>1.0163199999999999</v>
      </c>
      <c r="AE55" s="1">
        <v>1.04993</v>
      </c>
      <c r="AF55" s="1">
        <v>1.00909</v>
      </c>
      <c r="AG55" s="1">
        <v>1.0225200000000001</v>
      </c>
      <c r="AL55" s="4" t="s">
        <v>25</v>
      </c>
      <c r="AM55" s="6" t="str" cm="1">
        <f t="array" ref="AM55">IFERROR((SUMPRODUCT(($A$43:$A$66=AM$41)*($F$40:$AG$40="")*$F$43:$AG$66)+IF(AM$41="P6",SUMPRODUCT(($F$40:$AG$40="P6")*$F$43:$AG$66),0))/(SUMPRODUCT(($A$43:$A$66=AM$41)*($F$40:$AG$40=""))+IF(AM$41="P6",COUNTIF($F$40:$AG$40,"P6")*ROWS($A$43:$A$66),0)),"")</f>
        <v/>
      </c>
      <c r="AN55" s="6" cm="1">
        <f t="array" ref="AN55">IFERROR((SUMPRODUCT(($A$43:$A$66=AN$41)*($F$40:$AG$40="")*$F$43:$AG$66)+IF(AN$41="P6",SUMPRODUCT(($F$40:$AG$40="P6")*$F$43:$AG$66),0))/(SUMPRODUCT(($A$43:$A$66=AN$41)*($F$40:$AG$40=""))+IF(AN$41="P6",COUNTIF($F$40:$AG$40,"P6")*ROWS($A$43:$A$66),0)),"")</f>
        <v>1.0509706666666658</v>
      </c>
      <c r="AO55" s="6" t="str" cm="1">
        <f t="array" ref="AO55">IFERROR((SUMPRODUCT(($A$43:$A$66=AO$41)*($F$40:$AG$40="")*$F$43:$AG$66)+IF(AO$41="P6",SUMPRODUCT(($F$40:$AG$40="P6")*$F$43:$AG$66),0))/(SUMPRODUCT(($A$43:$A$66=AO$41)*($F$40:$AG$40=""))+IF(AO$41="P6",COUNTIF($F$40:$AG$40,"P6")*ROWS($A$43:$A$66),0)),"")</f>
        <v/>
      </c>
      <c r="AP55" s="6" cm="1">
        <f t="array" ref="AP55">IFERROR((SUMPRODUCT(($A$43:$A$66=AP$41)*($F$40:$AG$40="")*$F$43:$AG$66)+IF(AP$41="P6",SUMPRODUCT(($F$40:$AG$40="P6")*$F$43:$AG$66),0))/(SUMPRODUCT(($A$43:$A$66=AP$41)*($F$40:$AG$40=""))+IF(AP$41="P6",COUNTIF($F$40:$AG$40,"P6")*ROWS($A$43:$A$66),0)),"")</f>
        <v>1.1044097142857143</v>
      </c>
      <c r="AQ55" s="6" t="str" cm="1">
        <f t="array" ref="AQ55">IFERROR((SUMPRODUCT(($A$43:$A$66=AQ$41)*($F$40:$AG$40="")*$F$43:$AG$66)+IF(AQ$41="P6",SUMPRODUCT(($F$40:$AG$40="P6")*$F$43:$AG$66),0))/(SUMPRODUCT(($A$43:$A$66=AQ$41)*($F$40:$AG$40=""))+IF(AQ$41="P6",COUNTIF($F$40:$AG$40,"P6")*ROWS($A$43:$A$66),0)),"")</f>
        <v/>
      </c>
      <c r="AR55" s="6" cm="1">
        <f t="array" ref="AR55">IFERROR((SUMPRODUCT(($A$43:$A$66=AR$41)*($F$40:$AG$40="")*$F$43:$AG$66)+IF(AR$41="P6",SUMPRODUCT(($F$40:$AG$40="P6")*$F$43:$AG$66),0))/(SUMPRODUCT(($A$43:$A$66=AR$41)*($F$40:$AG$40=""))+IF(AR$41="P6",COUNTIF($F$40:$AG$40,"P6")*ROWS($A$43:$A$66),0)),"")</f>
        <v>1.2186345454545444</v>
      </c>
    </row>
    <row r="56" spans="1:62" ht="14.25" customHeight="1" x14ac:dyDescent="0.35">
      <c r="A56" s="1" t="s">
        <v>14</v>
      </c>
      <c r="B56" s="1" t="s">
        <v>15</v>
      </c>
      <c r="C56" s="1" t="s">
        <v>13</v>
      </c>
      <c r="D56" s="1" t="s">
        <v>13</v>
      </c>
      <c r="E56" s="1" t="s">
        <v>32</v>
      </c>
      <c r="F56" s="1">
        <v>0.99550000000000005</v>
      </c>
      <c r="G56" s="1">
        <v>0.97126000000000001</v>
      </c>
      <c r="H56" s="1">
        <v>0.98185</v>
      </c>
      <c r="I56" s="1">
        <v>1.0258</v>
      </c>
      <c r="J56" s="1">
        <v>1.03904</v>
      </c>
      <c r="K56" s="1">
        <v>0.99811000000000005</v>
      </c>
      <c r="L56" s="1">
        <v>0.99909000000000003</v>
      </c>
      <c r="M56" s="1">
        <v>0.99550000000000005</v>
      </c>
      <c r="N56" s="1">
        <v>0.97126000000000001</v>
      </c>
      <c r="O56" s="1">
        <v>0.98185</v>
      </c>
      <c r="P56" s="1">
        <v>1.0258</v>
      </c>
      <c r="Q56" s="1">
        <v>1.03904</v>
      </c>
      <c r="R56" s="1">
        <v>0.99811000000000005</v>
      </c>
      <c r="S56" s="1">
        <v>0.99909000000000003</v>
      </c>
      <c r="T56" s="1">
        <v>0.99550000000000005</v>
      </c>
      <c r="U56" s="1">
        <v>0.97126000000000001</v>
      </c>
      <c r="V56" s="1">
        <v>0.98185</v>
      </c>
      <c r="W56" s="1">
        <v>1.0258</v>
      </c>
      <c r="X56" s="1">
        <v>1.03904</v>
      </c>
      <c r="Y56" s="1">
        <v>0.99811000000000005</v>
      </c>
      <c r="Z56" s="1">
        <v>0.99909000000000003</v>
      </c>
      <c r="AA56" s="1">
        <v>0.99550000000000005</v>
      </c>
      <c r="AB56" s="1">
        <v>0.97126000000000001</v>
      </c>
      <c r="AC56" s="1">
        <v>0.98185</v>
      </c>
      <c r="AD56" s="1">
        <v>1.0258</v>
      </c>
      <c r="AE56" s="1">
        <v>1.03904</v>
      </c>
      <c r="AF56" s="1">
        <v>0.99811000000000005</v>
      </c>
      <c r="AG56" s="1">
        <v>0.99909000000000003</v>
      </c>
      <c r="AL56" s="4" t="s">
        <v>27</v>
      </c>
      <c r="AM56" s="6" t="str" cm="1">
        <f t="array" ref="AM56">IFERROR((SUMPRODUCT(($A$43:$A$66=AM$41)*($F$40:$AG$40="")*$F$43:$AG$66)+IF(AM$41="P6",SUMPRODUCT(($F$40:$AG$40="P6")*$F$43:$AG$66),0))/(SUMPRODUCT(($A$43:$A$66=AM$41)*($F$40:$AG$40=""))+IF(AM$41="P6",COUNTIF($F$40:$AG$40,"P6")*ROWS($A$43:$A$66),0)),"")</f>
        <v/>
      </c>
      <c r="AN56" s="6" cm="1">
        <f t="array" ref="AN56">IFERROR((SUMPRODUCT(($A$43:$A$66=AN$41)*($F$40:$AG$40="")*$F$43:$AG$66)+IF(AN$41="P6",SUMPRODUCT(($F$40:$AG$40="P6")*$F$43:$AG$66),0))/(SUMPRODUCT(($A$43:$A$66=AN$41)*($F$40:$AG$40=""))+IF(AN$41="P6",COUNTIF($F$40:$AG$40,"P6")*ROWS($A$43:$A$66),0)),"")</f>
        <v>1.0509706666666658</v>
      </c>
      <c r="AO56" s="6" t="str" cm="1">
        <f t="array" ref="AO56">IFERROR((SUMPRODUCT(($A$43:$A$66=AO$41)*($F$40:$AG$40="")*$F$43:$AG$66)+IF(AO$41="P6",SUMPRODUCT(($F$40:$AG$40="P6")*$F$43:$AG$66),0))/(SUMPRODUCT(($A$43:$A$66=AO$41)*($F$40:$AG$40=""))+IF(AO$41="P6",COUNTIF($F$40:$AG$40,"P6")*ROWS($A$43:$A$66),0)),"")</f>
        <v/>
      </c>
      <c r="AP56" s="6" cm="1">
        <f t="array" ref="AP56">IFERROR((SUMPRODUCT(($A$43:$A$66=AP$41)*($F$40:$AG$40="")*$F$43:$AG$66)+IF(AP$41="P6",SUMPRODUCT(($F$40:$AG$40="P6")*$F$43:$AG$66),0))/(SUMPRODUCT(($A$43:$A$66=AP$41)*($F$40:$AG$40=""))+IF(AP$41="P6",COUNTIF($F$40:$AG$40,"P6")*ROWS($A$43:$A$66),0)),"")</f>
        <v>1.1044097142857143</v>
      </c>
      <c r="AQ56" s="6" t="str" cm="1">
        <f t="array" ref="AQ56">IFERROR((SUMPRODUCT(($A$43:$A$66=AQ$41)*($F$40:$AG$40="")*$F$43:$AG$66)+IF(AQ$41="P6",SUMPRODUCT(($F$40:$AG$40="P6")*$F$43:$AG$66),0))/(SUMPRODUCT(($A$43:$A$66=AQ$41)*($F$40:$AG$40=""))+IF(AQ$41="P6",COUNTIF($F$40:$AG$40,"P6")*ROWS($A$43:$A$66),0)),"")</f>
        <v/>
      </c>
      <c r="AR56" s="6" cm="1">
        <f t="array" ref="AR56">IFERROR((SUMPRODUCT(($A$43:$A$66=AR$41)*($F$40:$AG$40="")*$F$43:$AG$66)+IF(AR$41="P6",SUMPRODUCT(($F$40:$AG$40="P6")*$F$43:$AG$66),0))/(SUMPRODUCT(($A$43:$A$66=AR$41)*($F$40:$AG$40=""))+IF(AR$41="P6",COUNTIF($F$40:$AG$40,"P6")*ROWS($A$43:$A$66),0)),"")</f>
        <v>1.2186345454545444</v>
      </c>
    </row>
    <row r="57" spans="1:62" ht="14.25" customHeight="1" x14ac:dyDescent="0.35">
      <c r="A57" s="1" t="s">
        <v>14</v>
      </c>
      <c r="B57" s="1" t="s">
        <v>15</v>
      </c>
      <c r="C57" s="1" t="s">
        <v>14</v>
      </c>
      <c r="D57" s="1" t="s">
        <v>14</v>
      </c>
      <c r="E57" s="1" t="s">
        <v>33</v>
      </c>
      <c r="F57" s="1">
        <v>1.0076400000000001</v>
      </c>
      <c r="G57" s="1">
        <v>0.98309000000000002</v>
      </c>
      <c r="H57" s="1">
        <v>1.0072399999999999</v>
      </c>
      <c r="I57" s="1">
        <v>1.05135</v>
      </c>
      <c r="J57" s="1">
        <v>1.0378000000000001</v>
      </c>
      <c r="K57" s="1">
        <v>1.0107200000000001</v>
      </c>
      <c r="L57" s="1">
        <v>1.0107699999999999</v>
      </c>
      <c r="M57" s="1">
        <v>1.0076400000000001</v>
      </c>
      <c r="N57" s="1">
        <v>0.98309000000000002</v>
      </c>
      <c r="O57" s="1">
        <v>1.0072399999999999</v>
      </c>
      <c r="P57" s="1">
        <v>1.05135</v>
      </c>
      <c r="Q57" s="1">
        <v>1.0378000000000001</v>
      </c>
      <c r="R57" s="1">
        <v>1.0107200000000001</v>
      </c>
      <c r="S57" s="1">
        <v>1.0107699999999999</v>
      </c>
      <c r="T57" s="1">
        <v>1.0076400000000001</v>
      </c>
      <c r="U57" s="1">
        <v>0.98309000000000002</v>
      </c>
      <c r="V57" s="1">
        <v>1.0072399999999999</v>
      </c>
      <c r="W57" s="1">
        <v>1.05135</v>
      </c>
      <c r="X57" s="1">
        <v>1.0378000000000001</v>
      </c>
      <c r="Y57" s="1">
        <v>1.0107200000000001</v>
      </c>
      <c r="Z57" s="1">
        <v>1.0107699999999999</v>
      </c>
      <c r="AA57" s="1">
        <v>1.0076400000000001</v>
      </c>
      <c r="AB57" s="1">
        <v>0.98309000000000002</v>
      </c>
      <c r="AC57" s="1">
        <v>1.0072399999999999</v>
      </c>
      <c r="AD57" s="1">
        <v>1.05135</v>
      </c>
      <c r="AE57" s="1">
        <v>1.0378000000000001</v>
      </c>
      <c r="AF57" s="1">
        <v>1.0107200000000001</v>
      </c>
      <c r="AG57" s="1">
        <v>1.0107699999999999</v>
      </c>
      <c r="AL57" s="4" t="s">
        <v>29</v>
      </c>
      <c r="AM57" s="6" t="str" cm="1">
        <f t="array" ref="AM57">IFERROR((SUMPRODUCT(($A$43:$A$66=AM$41)*($F$40:$AG$40="")*$F$43:$AG$66)+IF(AM$41="P6",SUMPRODUCT(($F$40:$AG$40="P6")*$F$43:$AG$66),0))/(SUMPRODUCT(($A$43:$A$66=AM$41)*($F$40:$AG$40=""))+IF(AM$41="P6",COUNTIF($F$40:$AG$40,"P6")*ROWS($A$43:$A$66),0)),"")</f>
        <v/>
      </c>
      <c r="AN57" s="6" cm="1">
        <f t="array" ref="AN57">IFERROR((SUMPRODUCT(($A$43:$A$66=AN$41)*($F$40:$AG$40="")*$F$43:$AG$66)+IF(AN$41="P6",SUMPRODUCT(($F$40:$AG$40="P6")*$F$43:$AG$66),0))/(SUMPRODUCT(($A$43:$A$66=AN$41)*($F$40:$AG$40=""))+IF(AN$41="P6",COUNTIF($F$40:$AG$40,"P6")*ROWS($A$43:$A$66),0)),"")</f>
        <v>1.0509706666666658</v>
      </c>
      <c r="AO57" s="6" t="str" cm="1">
        <f t="array" ref="AO57">IFERROR((SUMPRODUCT(($A$43:$A$66=AO$41)*($F$40:$AG$40="")*$F$43:$AG$66)+IF(AO$41="P6",SUMPRODUCT(($F$40:$AG$40="P6")*$F$43:$AG$66),0))/(SUMPRODUCT(($A$43:$A$66=AO$41)*($F$40:$AG$40=""))+IF(AO$41="P6",COUNTIF($F$40:$AG$40,"P6")*ROWS($A$43:$A$66),0)),"")</f>
        <v/>
      </c>
      <c r="AP57" s="6" cm="1">
        <f t="array" ref="AP57">IFERROR((SUMPRODUCT(($A$43:$A$66=AP$41)*($F$40:$AG$40="")*$F$43:$AG$66)+IF(AP$41="P6",SUMPRODUCT(($F$40:$AG$40="P6")*$F$43:$AG$66),0))/(SUMPRODUCT(($A$43:$A$66=AP$41)*($F$40:$AG$40=""))+IF(AP$41="P6",COUNTIF($F$40:$AG$40,"P6")*ROWS($A$43:$A$66),0)),"")</f>
        <v>1.1044097142857143</v>
      </c>
      <c r="AQ57" s="6" t="str" cm="1">
        <f t="array" ref="AQ57">IFERROR((SUMPRODUCT(($A$43:$A$66=AQ$41)*($F$40:$AG$40="")*$F$43:$AG$66)+IF(AQ$41="P6",SUMPRODUCT(($F$40:$AG$40="P6")*$F$43:$AG$66),0))/(SUMPRODUCT(($A$43:$A$66=AQ$41)*($F$40:$AG$40=""))+IF(AQ$41="P6",COUNTIF($F$40:$AG$40,"P6")*ROWS($A$43:$A$66),0)),"")</f>
        <v/>
      </c>
      <c r="AR57" s="6" cm="1">
        <f t="array" ref="AR57">IFERROR((SUMPRODUCT(($A$43:$A$66=AR$41)*($F$40:$AG$40="")*$F$43:$AG$66)+IF(AR$41="P6",SUMPRODUCT(($F$40:$AG$40="P6")*$F$43:$AG$66),0))/(SUMPRODUCT(($A$43:$A$66=AR$41)*($F$40:$AG$40=""))+IF(AR$41="P6",COUNTIF($F$40:$AG$40,"P6")*ROWS($A$43:$A$66),0)),"")</f>
        <v>1.2186345454545444</v>
      </c>
    </row>
    <row r="58" spans="1:62" ht="14.25" customHeight="1" x14ac:dyDescent="0.35">
      <c r="A58" s="1" t="s">
        <v>16</v>
      </c>
      <c r="B58" s="1" t="s">
        <v>16</v>
      </c>
      <c r="C58" s="1" t="s">
        <v>14</v>
      </c>
      <c r="D58" s="1" t="s">
        <v>14</v>
      </c>
      <c r="E58" s="1" t="s">
        <v>34</v>
      </c>
      <c r="F58" s="1">
        <v>1.03064</v>
      </c>
      <c r="G58" s="1">
        <v>1.0252399999999999</v>
      </c>
      <c r="H58" s="1">
        <v>1.03626</v>
      </c>
      <c r="I58" s="1">
        <v>1.1063099999999999</v>
      </c>
      <c r="J58" s="1">
        <v>1.10114</v>
      </c>
      <c r="K58" s="1">
        <v>1.04776</v>
      </c>
      <c r="L58" s="1">
        <v>1.04192</v>
      </c>
      <c r="M58" s="1">
        <v>1.03064</v>
      </c>
      <c r="N58" s="1">
        <v>1.0252399999999999</v>
      </c>
      <c r="O58" s="1">
        <v>1.03626</v>
      </c>
      <c r="P58" s="1">
        <v>1.1063099999999999</v>
      </c>
      <c r="Q58" s="1">
        <v>1.10114</v>
      </c>
      <c r="R58" s="1">
        <v>1.04776</v>
      </c>
      <c r="S58" s="1">
        <v>1.04192</v>
      </c>
      <c r="T58" s="1">
        <v>1.03064</v>
      </c>
      <c r="U58" s="1">
        <v>1.0252399999999999</v>
      </c>
      <c r="V58" s="1">
        <v>1.03626</v>
      </c>
      <c r="W58" s="1">
        <v>1.1063099999999999</v>
      </c>
      <c r="X58" s="1">
        <v>1.10114</v>
      </c>
      <c r="Y58" s="1">
        <v>1.04776</v>
      </c>
      <c r="Z58" s="1">
        <v>1.04192</v>
      </c>
      <c r="AA58" s="1">
        <v>1.03064</v>
      </c>
      <c r="AB58" s="1">
        <v>1.0252399999999999</v>
      </c>
      <c r="AC58" s="1">
        <v>1.03626</v>
      </c>
      <c r="AD58" s="1">
        <v>1.1063099999999999</v>
      </c>
      <c r="AE58" s="1">
        <v>1.10114</v>
      </c>
      <c r="AF58" s="1">
        <v>1.04776</v>
      </c>
      <c r="AG58" s="1">
        <v>1.04192</v>
      </c>
      <c r="AL58" s="10"/>
      <c r="AM58" s="10"/>
      <c r="AN58" s="10"/>
      <c r="AO58" s="10"/>
      <c r="AP58" s="10"/>
      <c r="AQ58" s="10"/>
      <c r="AR58" s="10"/>
    </row>
    <row r="59" spans="1:62" ht="14.25" customHeight="1" x14ac:dyDescent="0.35">
      <c r="A59" s="1" t="s">
        <v>16</v>
      </c>
      <c r="B59" s="1" t="s">
        <v>16</v>
      </c>
      <c r="C59" s="1" t="s">
        <v>14</v>
      </c>
      <c r="D59" s="1" t="s">
        <v>14</v>
      </c>
      <c r="E59" s="1" t="s">
        <v>35</v>
      </c>
      <c r="F59" s="1">
        <v>1.0536799999999999</v>
      </c>
      <c r="G59" s="1">
        <v>1.0493699999999999</v>
      </c>
      <c r="H59" s="1">
        <v>1.0575000000000001</v>
      </c>
      <c r="I59" s="1">
        <v>1.1582300000000001</v>
      </c>
      <c r="J59" s="1">
        <v>1.1429100000000001</v>
      </c>
      <c r="K59" s="1">
        <v>1.0693600000000001</v>
      </c>
      <c r="L59" s="1">
        <v>1.06376</v>
      </c>
      <c r="M59" s="1">
        <v>1.0536799999999999</v>
      </c>
      <c r="N59" s="1">
        <v>1.0493699999999999</v>
      </c>
      <c r="O59" s="1">
        <v>1.0575000000000001</v>
      </c>
      <c r="P59" s="1">
        <v>1.1582300000000001</v>
      </c>
      <c r="Q59" s="1">
        <v>1.1429100000000001</v>
      </c>
      <c r="R59" s="1">
        <v>1.0693600000000001</v>
      </c>
      <c r="S59" s="1">
        <v>1.06376</v>
      </c>
      <c r="T59" s="1">
        <v>1.0536799999999999</v>
      </c>
      <c r="U59" s="1">
        <v>1.0493699999999999</v>
      </c>
      <c r="V59" s="1">
        <v>1.0575000000000001</v>
      </c>
      <c r="W59" s="1">
        <v>1.1582300000000001</v>
      </c>
      <c r="X59" s="1">
        <v>1.1429100000000001</v>
      </c>
      <c r="Y59" s="1">
        <v>1.0693600000000001</v>
      </c>
      <c r="Z59" s="1">
        <v>1.06376</v>
      </c>
      <c r="AA59" s="1">
        <v>1.0536799999999999</v>
      </c>
      <c r="AB59" s="1">
        <v>1.0493699999999999</v>
      </c>
      <c r="AC59" s="1">
        <v>1.0575000000000001</v>
      </c>
      <c r="AD59" s="1">
        <v>1.1582300000000001</v>
      </c>
      <c r="AE59" s="1">
        <v>1.1429100000000001</v>
      </c>
      <c r="AF59" s="1">
        <v>1.0693600000000001</v>
      </c>
      <c r="AG59" s="1">
        <v>1.06376</v>
      </c>
      <c r="AL59" s="10"/>
      <c r="AM59" s="10"/>
      <c r="AN59" s="10"/>
      <c r="AO59" s="10"/>
      <c r="AP59" s="10"/>
      <c r="AQ59" s="10"/>
      <c r="AR59" s="10"/>
    </row>
    <row r="60" spans="1:62" ht="14.25" customHeight="1" x14ac:dyDescent="0.35">
      <c r="A60" s="1" t="s">
        <v>16</v>
      </c>
      <c r="B60" s="1" t="s">
        <v>16</v>
      </c>
      <c r="C60" s="1" t="s">
        <v>14</v>
      </c>
      <c r="D60" s="1" t="s">
        <v>14</v>
      </c>
      <c r="E60" s="1" t="s">
        <v>36</v>
      </c>
      <c r="F60" s="1">
        <v>1.0597700000000001</v>
      </c>
      <c r="G60" s="1">
        <v>1.07168</v>
      </c>
      <c r="H60" s="1">
        <v>1.0723199999999999</v>
      </c>
      <c r="I60" s="1">
        <v>1.15476</v>
      </c>
      <c r="J60" s="1">
        <v>1.16124</v>
      </c>
      <c r="K60" s="1">
        <v>1.0660099999999999</v>
      </c>
      <c r="L60" s="1">
        <v>1.0595399999999999</v>
      </c>
      <c r="M60" s="1">
        <v>1.0597700000000001</v>
      </c>
      <c r="N60" s="1">
        <v>1.07168</v>
      </c>
      <c r="O60" s="1">
        <v>1.0723199999999999</v>
      </c>
      <c r="P60" s="1">
        <v>1.15476</v>
      </c>
      <c r="Q60" s="1">
        <v>1.16124</v>
      </c>
      <c r="R60" s="1">
        <v>1.0660099999999999</v>
      </c>
      <c r="S60" s="1">
        <v>1.0595399999999999</v>
      </c>
      <c r="T60" s="1">
        <v>1.0597700000000001</v>
      </c>
      <c r="U60" s="1">
        <v>1.07168</v>
      </c>
      <c r="V60" s="1">
        <v>1.0723199999999999</v>
      </c>
      <c r="W60" s="1">
        <v>1.15476</v>
      </c>
      <c r="X60" s="1">
        <v>1.16124</v>
      </c>
      <c r="Y60" s="1">
        <v>1.0660099999999999</v>
      </c>
      <c r="Z60" s="1">
        <v>1.0595399999999999</v>
      </c>
      <c r="AA60" s="1">
        <v>1.0597700000000001</v>
      </c>
      <c r="AB60" s="1">
        <v>1.07168</v>
      </c>
      <c r="AC60" s="1">
        <v>1.0723199999999999</v>
      </c>
      <c r="AD60" s="1">
        <v>1.15476</v>
      </c>
      <c r="AE60" s="1">
        <v>1.16124</v>
      </c>
      <c r="AF60" s="1">
        <v>1.0660099999999999</v>
      </c>
      <c r="AG60" s="1">
        <v>1.0595399999999999</v>
      </c>
      <c r="AL60" s="14" t="s">
        <v>211</v>
      </c>
      <c r="AM60" s="14"/>
      <c r="AN60" s="14"/>
      <c r="AO60" s="14"/>
      <c r="AP60" s="14"/>
      <c r="AQ60" s="14"/>
      <c r="AR60" s="14"/>
    </row>
    <row r="61" spans="1:62" ht="14.25" customHeight="1" x14ac:dyDescent="0.35">
      <c r="A61" s="1" t="s">
        <v>14</v>
      </c>
      <c r="B61" s="1" t="s">
        <v>15</v>
      </c>
      <c r="C61" s="1" t="s">
        <v>13</v>
      </c>
      <c r="D61" s="1" t="s">
        <v>13</v>
      </c>
      <c r="E61" s="1" t="s">
        <v>37</v>
      </c>
      <c r="F61" s="1">
        <v>1.06471</v>
      </c>
      <c r="G61" s="1">
        <v>1.0818300000000001</v>
      </c>
      <c r="H61" s="1">
        <v>1.1006499999999999</v>
      </c>
      <c r="I61" s="1">
        <v>1.1546099999999999</v>
      </c>
      <c r="J61" s="1">
        <v>1.1729000000000001</v>
      </c>
      <c r="K61" s="1">
        <v>1.0722799999999999</v>
      </c>
      <c r="L61" s="1">
        <v>1.07816</v>
      </c>
      <c r="M61" s="1">
        <v>1.06471</v>
      </c>
      <c r="N61" s="1">
        <v>1.0818300000000001</v>
      </c>
      <c r="O61" s="1">
        <v>1.1006499999999999</v>
      </c>
      <c r="P61" s="1">
        <v>1.1546099999999999</v>
      </c>
      <c r="Q61" s="1">
        <v>1.1729000000000001</v>
      </c>
      <c r="R61" s="1">
        <v>1.0722799999999999</v>
      </c>
      <c r="S61" s="1">
        <v>1.07816</v>
      </c>
      <c r="T61" s="1">
        <v>1.06471</v>
      </c>
      <c r="U61" s="1">
        <v>1.0818300000000001</v>
      </c>
      <c r="V61" s="1">
        <v>1.1006499999999999</v>
      </c>
      <c r="W61" s="1">
        <v>1.1546099999999999</v>
      </c>
      <c r="X61" s="1">
        <v>1.1729000000000001</v>
      </c>
      <c r="Y61" s="1">
        <v>1.0722799999999999</v>
      </c>
      <c r="Z61" s="1">
        <v>1.07816</v>
      </c>
      <c r="AA61" s="1">
        <v>1.06471</v>
      </c>
      <c r="AB61" s="1">
        <v>1.0818300000000001</v>
      </c>
      <c r="AC61" s="1">
        <v>1.1006499999999999</v>
      </c>
      <c r="AD61" s="1">
        <v>1.1546099999999999</v>
      </c>
      <c r="AE61" s="1">
        <v>1.1729000000000001</v>
      </c>
      <c r="AF61" s="1">
        <v>1.0722799999999999</v>
      </c>
      <c r="AG61" s="1">
        <v>1.07816</v>
      </c>
      <c r="AL61" s="4"/>
      <c r="AM61" s="4" t="s">
        <v>13</v>
      </c>
      <c r="AN61" s="4" t="s">
        <v>14</v>
      </c>
      <c r="AO61" s="4" t="s">
        <v>15</v>
      </c>
      <c r="AP61" s="4" t="s">
        <v>16</v>
      </c>
      <c r="AQ61" s="4" t="s">
        <v>17</v>
      </c>
      <c r="AR61" s="4" t="s">
        <v>7</v>
      </c>
    </row>
    <row r="62" spans="1:62" ht="14.25" customHeight="1" x14ac:dyDescent="0.35">
      <c r="A62" s="1" t="s">
        <v>14</v>
      </c>
      <c r="B62" s="1" t="s">
        <v>15</v>
      </c>
      <c r="C62" s="1" t="s">
        <v>13</v>
      </c>
      <c r="D62" s="1" t="s">
        <v>13</v>
      </c>
      <c r="E62" s="1" t="s">
        <v>38</v>
      </c>
      <c r="F62" s="1">
        <v>1.07284</v>
      </c>
      <c r="G62" s="1">
        <v>1.08135</v>
      </c>
      <c r="H62" s="1">
        <v>1.13148</v>
      </c>
      <c r="I62" s="1">
        <v>1.1849700000000001</v>
      </c>
      <c r="J62" s="1">
        <v>1.1630799999999999</v>
      </c>
      <c r="K62" s="1">
        <v>1.08667</v>
      </c>
      <c r="L62" s="1">
        <v>1.0991</v>
      </c>
      <c r="M62" s="1">
        <v>1.07284</v>
      </c>
      <c r="N62" s="1">
        <v>1.08135</v>
      </c>
      <c r="O62" s="1">
        <v>1.13148</v>
      </c>
      <c r="P62" s="1">
        <v>1.1849700000000001</v>
      </c>
      <c r="Q62" s="1">
        <v>1.1630799999999999</v>
      </c>
      <c r="R62" s="1">
        <v>1.08667</v>
      </c>
      <c r="S62" s="1">
        <v>1.0991</v>
      </c>
      <c r="T62" s="1">
        <v>1.07284</v>
      </c>
      <c r="U62" s="1">
        <v>1.08135</v>
      </c>
      <c r="V62" s="1">
        <v>1.13148</v>
      </c>
      <c r="W62" s="1">
        <v>1.1849700000000001</v>
      </c>
      <c r="X62" s="1">
        <v>1.1630799999999999</v>
      </c>
      <c r="Y62" s="1">
        <v>1.08667</v>
      </c>
      <c r="Z62" s="1">
        <v>1.0991</v>
      </c>
      <c r="AA62" s="1">
        <v>1.07284</v>
      </c>
      <c r="AB62" s="1">
        <v>1.08135</v>
      </c>
      <c r="AC62" s="1">
        <v>1.13148</v>
      </c>
      <c r="AD62" s="1">
        <v>1.1849700000000001</v>
      </c>
      <c r="AE62" s="1">
        <v>1.1630799999999999</v>
      </c>
      <c r="AF62" s="1">
        <v>1.08667</v>
      </c>
      <c r="AG62" s="1">
        <v>1.0991</v>
      </c>
      <c r="AL62" s="4" t="s">
        <v>19</v>
      </c>
      <c r="AM62" s="6" cm="1">
        <f t="array" ref="AM62">IFERROR((SUMPRODUCT(($C$43:$C$66=AM$41)*($F$39:$AG$39="")*$F$43:$AG$66)+IF(AM$41="P3",SUMPRODUCT(($F$39:$AG$39="P3")*$F$43:$AG$66),0))/(SUMPRODUCT(($C$43:$C$66=AM$41)*($F$39:$AG$39=""))+IF(AM$41="P3",COUNTIF($F$39:$AG$39,"P3")*ROWS($C$43:$C$66),0)),"")</f>
        <v>1.0568554999999993</v>
      </c>
      <c r="AN62" s="6" cm="1">
        <f t="array" ref="AN62">IFERROR((SUMPRODUCT(($C$43:$C$66=AN$41)*($F$39:$AG$39="")*$F$43:$AG$66)+IF(AN$41="P3",SUMPRODUCT(($F$39:$AG$39="P3")*$F$43:$AG$66),0))/(SUMPRODUCT(($C$43:$C$66=AN$41)*($F$39:$AG$39=""))+IF(AN$41="P3",COUNTIF($F$39:$AG$39,"P3")*ROWS($C$43:$C$66),0)),"")</f>
        <v>1.0918449999999991</v>
      </c>
      <c r="AO62" s="6" cm="1">
        <f t="array" ref="AO62">IFERROR((SUMPRODUCT(($C$43:$C$66=AO$41)*($F$39:$AG$39="")*$F$43:$AG$66)+IF(AO$41="P3",SUMPRODUCT(($F$39:$AG$39="P3")*$F$43:$AG$66),0))/(SUMPRODUCT(($C$43:$C$66=AO$41)*($F$39:$AG$39=""))+IF(AO$41="P3",COUNTIF($F$39:$AG$39,"P3")*ROWS($C$43:$C$66),0)),"")</f>
        <v>1.2186345454545444</v>
      </c>
      <c r="AP62" s="6" t="str" cm="1">
        <f t="array" ref="AP62">IFERROR((SUMPRODUCT(($C$43:$C$66=AP$41)*($F$39:$AG$39="")*$F$43:$AG$66)+IF(AP$41="P3",SUMPRODUCT(($F$39:$AG$39="P3")*$F$43:$AG$66),0))/(SUMPRODUCT(($C$43:$C$66=AP$41)*($F$39:$AG$39=""))+IF(AP$41="P3",COUNTIF($F$39:$AG$39,"P3")*ROWS($C$43:$C$66),0)),"")</f>
        <v/>
      </c>
      <c r="AQ62" s="6" t="str" cm="1">
        <f t="array" ref="AQ62">IFERROR((SUMPRODUCT(($C$43:$C$66=AQ$41)*($F$39:$AG$39="")*$F$43:$AG$66)+IF(AQ$41="P3",SUMPRODUCT(($F$39:$AG$39="P3")*$F$43:$AG$66),0))/(SUMPRODUCT(($C$43:$C$66=AQ$41)*($F$39:$AG$39=""))+IF(AQ$41="P3",COUNTIF($F$39:$AG$39,"P3")*ROWS($C$43:$C$66),0)),"")</f>
        <v/>
      </c>
      <c r="AR62" s="6" t="str" cm="1">
        <f t="array" ref="AR62">IFERROR((SUMPRODUCT(($C$43:$C$66=AR$41)*($F$39:$AG$39="")*$F$43:$AG$66)+IF(AR$41="P3",SUMPRODUCT(($F$39:$AG$39="P3")*$F$43:$AG$66),0))/(SUMPRODUCT(($C$43:$C$66=AR$41)*($F$39:$AG$39=""))+IF(AR$41="P3",COUNTIF($F$39:$AG$39,"P3")*ROWS($C$43:$C$66),0)),"")</f>
        <v/>
      </c>
    </row>
    <row r="63" spans="1:62" ht="14.25" customHeight="1" x14ac:dyDescent="0.35">
      <c r="A63" s="1" t="s">
        <v>14</v>
      </c>
      <c r="B63" s="1" t="s">
        <v>15</v>
      </c>
      <c r="C63" s="1" t="s">
        <v>13</v>
      </c>
      <c r="D63" s="1" t="s">
        <v>13</v>
      </c>
      <c r="E63" s="1" t="s">
        <v>39</v>
      </c>
      <c r="F63" s="1">
        <v>1.0988599999999999</v>
      </c>
      <c r="G63" s="1">
        <v>1.1171599999999999</v>
      </c>
      <c r="H63" s="1">
        <v>1.1623000000000001</v>
      </c>
      <c r="I63" s="1">
        <v>1.2120899999999999</v>
      </c>
      <c r="J63" s="1">
        <v>1.1733100000000001</v>
      </c>
      <c r="K63" s="1">
        <v>1.1203099999999999</v>
      </c>
      <c r="L63" s="1">
        <v>1.1187100000000001</v>
      </c>
      <c r="M63" s="1">
        <v>1.0988599999999999</v>
      </c>
      <c r="N63" s="1">
        <v>1.1171599999999999</v>
      </c>
      <c r="O63" s="1">
        <v>1.1623000000000001</v>
      </c>
      <c r="P63" s="1">
        <v>1.2120899999999999</v>
      </c>
      <c r="Q63" s="1">
        <v>1.1733100000000001</v>
      </c>
      <c r="R63" s="1">
        <v>1.1203099999999999</v>
      </c>
      <c r="S63" s="1">
        <v>1.1187100000000001</v>
      </c>
      <c r="T63" s="1">
        <v>1.0988599999999999</v>
      </c>
      <c r="U63" s="1">
        <v>1.1171599999999999</v>
      </c>
      <c r="V63" s="1">
        <v>1.1623000000000001</v>
      </c>
      <c r="W63" s="1">
        <v>1.2120899999999999</v>
      </c>
      <c r="X63" s="1">
        <v>1.1733100000000001</v>
      </c>
      <c r="Y63" s="1">
        <v>1.1203099999999999</v>
      </c>
      <c r="Z63" s="1">
        <v>1.1187100000000001</v>
      </c>
      <c r="AA63" s="1">
        <v>1.0988599999999999</v>
      </c>
      <c r="AB63" s="1">
        <v>1.1171599999999999</v>
      </c>
      <c r="AC63" s="1">
        <v>1.1623000000000001</v>
      </c>
      <c r="AD63" s="1">
        <v>1.2120899999999999</v>
      </c>
      <c r="AE63" s="1">
        <v>1.1733100000000001</v>
      </c>
      <c r="AF63" s="1">
        <v>1.1203099999999999</v>
      </c>
      <c r="AG63" s="1">
        <v>1.1187100000000001</v>
      </c>
      <c r="AL63" s="4" t="s">
        <v>21</v>
      </c>
      <c r="AM63" s="6" t="str" cm="1">
        <f t="array" ref="AM63">IFERROR((SUMPRODUCT(($B$43:$B$66=AM$41)*($F$40:$AG$40="")*$F$43:$AG$66)+IF(AM$41="P6",SUMPRODUCT(($F$40:$AG$40="P6")*$F$43:$AG$66),0))/(SUMPRODUCT(($B$43:$B$66=AM$41)*($F$40:$AG$40=""))+IF(AM$41="P6",COUNTIF($F$40:$AG$40,"P6")*ROWS($B$43:$B$66),0)),"")</f>
        <v/>
      </c>
      <c r="AN63" s="6" t="str" cm="1">
        <f t="array" ref="AN63">IFERROR((SUMPRODUCT(($B$43:$B$66=AN$41)*($F$40:$AG$40="")*$F$43:$AG$66)+IF(AN$41="P6",SUMPRODUCT(($F$40:$AG$40="P6")*$F$43:$AG$66),0))/(SUMPRODUCT(($B$43:$B$66=AN$41)*($F$40:$AG$40=""))+IF(AN$41="P6",COUNTIF($F$40:$AG$40,"P6")*ROWS($B$43:$B$66),0)),"")</f>
        <v/>
      </c>
      <c r="AO63" s="6" cm="1">
        <f t="array" ref="AO63">IFERROR((SUMPRODUCT(($B$43:$B$66=AO$41)*($F$40:$AG$40="")*$F$43:$AG$66)+IF(AO$41="P6",SUMPRODUCT(($F$40:$AG$40="P6")*$F$43:$AG$66),0))/(SUMPRODUCT(($B$43:$B$66=AO$41)*($F$40:$AG$40=""))+IF(AO$41="P6",COUNTIF($F$40:$AG$40,"P6")*ROWS($B$43:$B$66),0)),"")</f>
        <v>1.0509706666666658</v>
      </c>
      <c r="AP63" s="6" cm="1">
        <f t="array" ref="AP63">IFERROR((SUMPRODUCT(($B$43:$B$66=AP$41)*($F$40:$AG$40="")*$F$43:$AG$66)+IF(AP$41="P6",SUMPRODUCT(($F$40:$AG$40="P6")*$F$43:$AG$66),0))/(SUMPRODUCT(($B$43:$B$66=AP$41)*($F$40:$AG$40=""))+IF(AP$41="P6",COUNTIF($F$40:$AG$40,"P6")*ROWS($B$43:$B$66),0)),"")</f>
        <v>1.1044097142857143</v>
      </c>
      <c r="AQ63" s="6" t="str" cm="1">
        <f t="array" ref="AQ63">IFERROR((SUMPRODUCT(($B$43:$B$66=AQ$41)*($F$40:$AG$40="")*$F$43:$AG$66)+IF(AQ$41="P6",SUMPRODUCT(($F$40:$AG$40="P6")*$F$43:$AG$66),0))/(SUMPRODUCT(($B$43:$B$66=AQ$41)*($F$40:$AG$40=""))+IF(AQ$41="P6",COUNTIF($F$40:$AG$40,"P6")*ROWS($B$43:$B$66),0)),"")</f>
        <v/>
      </c>
      <c r="AR63" s="6" cm="1">
        <f t="array" ref="AR63">IFERROR((SUMPRODUCT(($B$43:$B$66=AR$41)*($F$40:$AG$40="")*$F$43:$AG$66)+IF(AR$41="P6",SUMPRODUCT(($F$40:$AG$40="P6")*$F$43:$AG$66),0))/(SUMPRODUCT(($B$43:$B$66=AR$41)*($F$40:$AG$40=""))+IF(AR$41="P6",COUNTIF($F$40:$AG$40,"P6")*ROWS($B$43:$B$66),0)),"")</f>
        <v>1.2186345454545444</v>
      </c>
    </row>
    <row r="64" spans="1:62" ht="14.25" customHeight="1" x14ac:dyDescent="0.35">
      <c r="A64" s="1" t="s">
        <v>14</v>
      </c>
      <c r="B64" s="1" t="s">
        <v>15</v>
      </c>
      <c r="C64" s="1" t="s">
        <v>13</v>
      </c>
      <c r="D64" s="1" t="s">
        <v>13</v>
      </c>
      <c r="E64" s="1" t="s">
        <v>40</v>
      </c>
      <c r="F64" s="1">
        <v>1.1202799999999999</v>
      </c>
      <c r="G64" s="1">
        <v>1.1491499999999999</v>
      </c>
      <c r="H64" s="1">
        <v>1.1837299999999999</v>
      </c>
      <c r="I64" s="1">
        <v>1.2034100000000001</v>
      </c>
      <c r="J64" s="1">
        <v>1.1776800000000001</v>
      </c>
      <c r="K64" s="1">
        <v>1.15676</v>
      </c>
      <c r="L64" s="1">
        <v>1.14253</v>
      </c>
      <c r="M64" s="1">
        <v>1.1202799999999999</v>
      </c>
      <c r="N64" s="1">
        <v>1.1491499999999999</v>
      </c>
      <c r="O64" s="1">
        <v>1.1837299999999999</v>
      </c>
      <c r="P64" s="1">
        <v>1.2034100000000001</v>
      </c>
      <c r="Q64" s="1">
        <v>1.1776800000000001</v>
      </c>
      <c r="R64" s="1">
        <v>1.15676</v>
      </c>
      <c r="S64" s="1">
        <v>1.14253</v>
      </c>
      <c r="T64" s="1">
        <v>1.1202799999999999</v>
      </c>
      <c r="U64" s="1">
        <v>1.1491499999999999</v>
      </c>
      <c r="V64" s="1">
        <v>1.1837299999999999</v>
      </c>
      <c r="W64" s="1">
        <v>1.2034100000000001</v>
      </c>
      <c r="X64" s="1">
        <v>1.1776800000000001</v>
      </c>
      <c r="Y64" s="1">
        <v>1.15676</v>
      </c>
      <c r="Z64" s="1">
        <v>1.14253</v>
      </c>
      <c r="AA64" s="1">
        <v>1.1202799999999999</v>
      </c>
      <c r="AB64" s="1">
        <v>1.1491499999999999</v>
      </c>
      <c r="AC64" s="1">
        <v>1.1837299999999999</v>
      </c>
      <c r="AD64" s="1">
        <v>1.2034100000000001</v>
      </c>
      <c r="AE64" s="1">
        <v>1.1776800000000001</v>
      </c>
      <c r="AF64" s="1">
        <v>1.15676</v>
      </c>
      <c r="AG64" s="1">
        <v>1.14253</v>
      </c>
      <c r="AL64" s="4" t="s">
        <v>23</v>
      </c>
      <c r="AM64" s="6" t="str" cm="1">
        <f t="array" ref="AM64">IFERROR((SUMPRODUCT(($B$43:$B$66=AM$41)*($F$40:$AG$40="")*$F$43:$AG$66)+IF(AM$41="P6",SUMPRODUCT(($F$40:$AG$40="P6")*$F$43:$AG$66),0))/(SUMPRODUCT(($B$43:$B$66=AM$41)*($F$40:$AG$40=""))+IF(AM$41="P6",COUNTIF($F$40:$AG$40,"P6")*ROWS($B$43:$B$66),0)),"")</f>
        <v/>
      </c>
      <c r="AN64" s="6" t="str" cm="1">
        <f t="array" ref="AN64">IFERROR((SUMPRODUCT(($B$43:$B$66=AN$41)*($F$40:$AG$40="")*$F$43:$AG$66)+IF(AN$41="P6",SUMPRODUCT(($F$40:$AG$40="P6")*$F$43:$AG$66),0))/(SUMPRODUCT(($B$43:$B$66=AN$41)*($F$40:$AG$40=""))+IF(AN$41="P6",COUNTIF($F$40:$AG$40,"P6")*ROWS($B$43:$B$66),0)),"")</f>
        <v/>
      </c>
      <c r="AO64" s="6" cm="1">
        <f t="array" ref="AO64">IFERROR((SUMPRODUCT(($B$43:$B$66=AO$41)*($F$40:$AG$40="")*$F$43:$AG$66)+IF(AO$41="P6",SUMPRODUCT(($F$40:$AG$40="P6")*$F$43:$AG$66),0))/(SUMPRODUCT(($B$43:$B$66=AO$41)*($F$40:$AG$40=""))+IF(AO$41="P6",COUNTIF($F$40:$AG$40,"P6")*ROWS($B$43:$B$66),0)),"")</f>
        <v>1.0509706666666658</v>
      </c>
      <c r="AP64" s="6" cm="1">
        <f t="array" ref="AP64">IFERROR((SUMPRODUCT(($B$43:$B$66=AP$41)*($F$40:$AG$40="")*$F$43:$AG$66)+IF(AP$41="P6",SUMPRODUCT(($F$40:$AG$40="P6")*$F$43:$AG$66),0))/(SUMPRODUCT(($B$43:$B$66=AP$41)*($F$40:$AG$40=""))+IF(AP$41="P6",COUNTIF($F$40:$AG$40,"P6")*ROWS($B$43:$B$66),0)),"")</f>
        <v>1.1044097142857143</v>
      </c>
      <c r="AQ64" s="6" t="str" cm="1">
        <f t="array" ref="AQ64">IFERROR((SUMPRODUCT(($B$43:$B$66=AQ$41)*($F$40:$AG$40="")*$F$43:$AG$66)+IF(AQ$41="P6",SUMPRODUCT(($F$40:$AG$40="P6")*$F$43:$AG$66),0))/(SUMPRODUCT(($B$43:$B$66=AQ$41)*($F$40:$AG$40=""))+IF(AQ$41="P6",COUNTIF($F$40:$AG$40,"P6")*ROWS($B$43:$B$66),0)),"")</f>
        <v/>
      </c>
      <c r="AR64" s="6" cm="1">
        <f t="array" ref="AR64">IFERROR((SUMPRODUCT(($B$43:$B$66=AR$41)*($F$40:$AG$40="")*$F$43:$AG$66)+IF(AR$41="P6",SUMPRODUCT(($F$40:$AG$40="P6")*$F$43:$AG$66),0))/(SUMPRODUCT(($B$43:$B$66=AR$41)*($F$40:$AG$40=""))+IF(AR$41="P6",COUNTIF($F$40:$AG$40,"P6")*ROWS($B$43:$B$66),0)),"")</f>
        <v>1.2186345454545444</v>
      </c>
    </row>
    <row r="65" spans="1:44" ht="14.25" customHeight="1" x14ac:dyDescent="0.35">
      <c r="A65" s="1" t="s">
        <v>16</v>
      </c>
      <c r="B65" s="1" t="s">
        <v>16</v>
      </c>
      <c r="C65" s="1" t="s">
        <v>14</v>
      </c>
      <c r="D65" s="1" t="s">
        <v>14</v>
      </c>
      <c r="E65" s="1" t="s">
        <v>41</v>
      </c>
      <c r="F65" s="1">
        <v>1.1847799999999999</v>
      </c>
      <c r="G65" s="1">
        <v>1.20261</v>
      </c>
      <c r="H65" s="1">
        <v>1.2200599999999999</v>
      </c>
      <c r="I65" s="1">
        <v>1.2287699999999999</v>
      </c>
      <c r="J65" s="1">
        <v>1.2055899999999999</v>
      </c>
      <c r="K65" s="1">
        <v>1.22804</v>
      </c>
      <c r="L65" s="1">
        <v>1.19682</v>
      </c>
      <c r="M65" s="1">
        <v>1.1847799999999999</v>
      </c>
      <c r="N65" s="1">
        <v>1.20261</v>
      </c>
      <c r="O65" s="1">
        <v>1.2200599999999999</v>
      </c>
      <c r="P65" s="1">
        <v>1.2287699999999999</v>
      </c>
      <c r="Q65" s="1">
        <v>1.2055899999999999</v>
      </c>
      <c r="R65" s="1">
        <v>1.22804</v>
      </c>
      <c r="S65" s="1">
        <v>1.19682</v>
      </c>
      <c r="T65" s="1">
        <v>1.1847799999999999</v>
      </c>
      <c r="U65" s="1">
        <v>1.20261</v>
      </c>
      <c r="V65" s="1">
        <v>1.2200599999999999</v>
      </c>
      <c r="W65" s="1">
        <v>1.2287699999999999</v>
      </c>
      <c r="X65" s="1">
        <v>1.2055899999999999</v>
      </c>
      <c r="Y65" s="1">
        <v>1.22804</v>
      </c>
      <c r="Z65" s="1">
        <v>1.19682</v>
      </c>
      <c r="AA65" s="1">
        <v>1.1847799999999999</v>
      </c>
      <c r="AB65" s="1">
        <v>1.20261</v>
      </c>
      <c r="AC65" s="1">
        <v>1.2200599999999999</v>
      </c>
      <c r="AD65" s="1">
        <v>1.2287699999999999</v>
      </c>
      <c r="AE65" s="1">
        <v>1.2055899999999999</v>
      </c>
      <c r="AF65" s="1">
        <v>1.22804</v>
      </c>
      <c r="AG65" s="1">
        <v>1.19682</v>
      </c>
      <c r="AL65" s="4" t="s">
        <v>25</v>
      </c>
      <c r="AM65" s="6" t="str" cm="1">
        <f t="array" ref="AM65">IFERROR((SUMPRODUCT(($B$43:$B$66=AM$41)*($F$40:$AG$40="")*$F$43:$AG$66)+IF(AM$41="P6",SUMPRODUCT(($F$40:$AG$40="P6")*$F$43:$AG$66),0))/(SUMPRODUCT(($B$43:$B$66=AM$41)*($F$40:$AG$40=""))+IF(AM$41="P6",COUNTIF($F$40:$AG$40,"P6")*ROWS($B$43:$B$66),0)),"")</f>
        <v/>
      </c>
      <c r="AN65" s="6" t="str" cm="1">
        <f t="array" ref="AN65">IFERROR((SUMPRODUCT(($B$43:$B$66=AN$41)*($F$40:$AG$40="")*$F$43:$AG$66)+IF(AN$41="P6",SUMPRODUCT(($F$40:$AG$40="P6")*$F$43:$AG$66),0))/(SUMPRODUCT(($B$43:$B$66=AN$41)*($F$40:$AG$40=""))+IF(AN$41="P6",COUNTIF($F$40:$AG$40,"P6")*ROWS($B$43:$B$66),0)),"")</f>
        <v/>
      </c>
      <c r="AO65" s="6" cm="1">
        <f t="array" ref="AO65">IFERROR((SUMPRODUCT(($B$43:$B$66=AO$41)*($F$40:$AG$40="")*$F$43:$AG$66)+IF(AO$41="P6",SUMPRODUCT(($F$40:$AG$40="P6")*$F$43:$AG$66),0))/(SUMPRODUCT(($B$43:$B$66=AO$41)*($F$40:$AG$40=""))+IF(AO$41="P6",COUNTIF($F$40:$AG$40,"P6")*ROWS($B$43:$B$66),0)),"")</f>
        <v>1.0509706666666658</v>
      </c>
      <c r="AP65" s="6" cm="1">
        <f t="array" ref="AP65">IFERROR((SUMPRODUCT(($B$43:$B$66=AP$41)*($F$40:$AG$40="")*$F$43:$AG$66)+IF(AP$41="P6",SUMPRODUCT(($F$40:$AG$40="P6")*$F$43:$AG$66),0))/(SUMPRODUCT(($B$43:$B$66=AP$41)*($F$40:$AG$40=""))+IF(AP$41="P6",COUNTIF($F$40:$AG$40,"P6")*ROWS($B$43:$B$66),0)),"")</f>
        <v>1.1044097142857143</v>
      </c>
      <c r="AQ65" s="6" t="str" cm="1">
        <f t="array" ref="AQ65">IFERROR((SUMPRODUCT(($B$43:$B$66=AQ$41)*($F$40:$AG$40="")*$F$43:$AG$66)+IF(AQ$41="P6",SUMPRODUCT(($F$40:$AG$40="P6")*$F$43:$AG$66),0))/(SUMPRODUCT(($B$43:$B$66=AQ$41)*($F$40:$AG$40=""))+IF(AQ$41="P6",COUNTIF($F$40:$AG$40,"P6")*ROWS($B$43:$B$66),0)),"")</f>
        <v/>
      </c>
      <c r="AR65" s="6" cm="1">
        <f t="array" ref="AR65">IFERROR((SUMPRODUCT(($B$43:$B$66=AR$41)*($F$40:$AG$40="")*$F$43:$AG$66)+IF(AR$41="P6",SUMPRODUCT(($F$40:$AG$40="P6")*$F$43:$AG$66),0))/(SUMPRODUCT(($B$43:$B$66=AR$41)*($F$40:$AG$40=""))+IF(AR$41="P6",COUNTIF($F$40:$AG$40,"P6")*ROWS($B$43:$B$66),0)),"")</f>
        <v>1.2186345454545444</v>
      </c>
    </row>
    <row r="66" spans="1:44" ht="14.25" customHeight="1" x14ac:dyDescent="0.35">
      <c r="A66" s="1" t="s">
        <v>16</v>
      </c>
      <c r="B66" s="1" t="s">
        <v>16</v>
      </c>
      <c r="C66" s="1" t="s">
        <v>14</v>
      </c>
      <c r="D66" s="1" t="s">
        <v>14</v>
      </c>
      <c r="E66" s="1" t="s">
        <v>42</v>
      </c>
      <c r="F66" s="1">
        <v>1.22862</v>
      </c>
      <c r="G66" s="1">
        <v>1.2441599999999999</v>
      </c>
      <c r="H66" s="1">
        <v>1.24173</v>
      </c>
      <c r="I66" s="1">
        <v>1.2703</v>
      </c>
      <c r="J66" s="1">
        <v>1.2588999999999999</v>
      </c>
      <c r="K66" s="1">
        <v>1.2697700000000001</v>
      </c>
      <c r="L66" s="1">
        <v>1.2349300000000001</v>
      </c>
      <c r="M66" s="1">
        <v>1.22862</v>
      </c>
      <c r="N66" s="1">
        <v>1.2441599999999999</v>
      </c>
      <c r="O66" s="1">
        <v>1.24173</v>
      </c>
      <c r="P66" s="1">
        <v>1.2703</v>
      </c>
      <c r="Q66" s="1">
        <v>1.2588999999999999</v>
      </c>
      <c r="R66" s="1">
        <v>1.2697700000000001</v>
      </c>
      <c r="S66" s="1">
        <v>1.2349300000000001</v>
      </c>
      <c r="T66" s="1">
        <v>1.22862</v>
      </c>
      <c r="U66" s="1">
        <v>1.2441599999999999</v>
      </c>
      <c r="V66" s="1">
        <v>1.24173</v>
      </c>
      <c r="W66" s="1">
        <v>1.2703</v>
      </c>
      <c r="X66" s="1">
        <v>1.2588999999999999</v>
      </c>
      <c r="Y66" s="1">
        <v>1.2697700000000001</v>
      </c>
      <c r="Z66" s="1">
        <v>1.2349300000000001</v>
      </c>
      <c r="AA66" s="1">
        <v>1.22862</v>
      </c>
      <c r="AB66" s="1">
        <v>1.2441599999999999</v>
      </c>
      <c r="AC66" s="1">
        <v>1.24173</v>
      </c>
      <c r="AD66" s="1">
        <v>1.2703</v>
      </c>
      <c r="AE66" s="1">
        <v>1.2588999999999999</v>
      </c>
      <c r="AF66" s="1">
        <v>1.2697700000000001</v>
      </c>
      <c r="AG66" s="1">
        <v>1.2349300000000001</v>
      </c>
      <c r="AL66" s="4" t="s">
        <v>27</v>
      </c>
      <c r="AM66" s="6" t="str" cm="1">
        <f t="array" ref="AM66">IFERROR((SUMPRODUCT(($B$43:$B$66=AM$41)*($F$40:$AG$40="")*$F$43:$AG$66)+IF(AM$41="P6",SUMPRODUCT(($F$40:$AG$40="P6")*$F$43:$AG$66),0))/(SUMPRODUCT(($B$43:$B$66=AM$41)*($F$40:$AG$40=""))+IF(AM$41="P6",COUNTIF($F$40:$AG$40,"P6")*ROWS($B$43:$B$66),0)),"")</f>
        <v/>
      </c>
      <c r="AN66" s="6" t="str" cm="1">
        <f t="array" ref="AN66">IFERROR((SUMPRODUCT(($B$43:$B$66=AN$41)*($F$40:$AG$40="")*$F$43:$AG$66)+IF(AN$41="P6",SUMPRODUCT(($F$40:$AG$40="P6")*$F$43:$AG$66),0))/(SUMPRODUCT(($B$43:$B$66=AN$41)*($F$40:$AG$40=""))+IF(AN$41="P6",COUNTIF($F$40:$AG$40,"P6")*ROWS($B$43:$B$66),0)),"")</f>
        <v/>
      </c>
      <c r="AO66" s="6" cm="1">
        <f t="array" ref="AO66">IFERROR((SUMPRODUCT(($B$43:$B$66=AO$41)*($F$40:$AG$40="")*$F$43:$AG$66)+IF(AO$41="P6",SUMPRODUCT(($F$40:$AG$40="P6")*$F$43:$AG$66),0))/(SUMPRODUCT(($B$43:$B$66=AO$41)*($F$40:$AG$40=""))+IF(AO$41="P6",COUNTIF($F$40:$AG$40,"P6")*ROWS($B$43:$B$66),0)),"")</f>
        <v>1.0509706666666658</v>
      </c>
      <c r="AP66" s="6" cm="1">
        <f t="array" ref="AP66">IFERROR((SUMPRODUCT(($B$43:$B$66=AP$41)*($F$40:$AG$40="")*$F$43:$AG$66)+IF(AP$41="P6",SUMPRODUCT(($F$40:$AG$40="P6")*$F$43:$AG$66),0))/(SUMPRODUCT(($B$43:$B$66=AP$41)*($F$40:$AG$40=""))+IF(AP$41="P6",COUNTIF($F$40:$AG$40,"P6")*ROWS($B$43:$B$66),0)),"")</f>
        <v>1.1044097142857143</v>
      </c>
      <c r="AQ66" s="6" t="str" cm="1">
        <f t="array" ref="AQ66">IFERROR((SUMPRODUCT(($B$43:$B$66=AQ$41)*($F$40:$AG$40="")*$F$43:$AG$66)+IF(AQ$41="P6",SUMPRODUCT(($F$40:$AG$40="P6")*$F$43:$AG$66),0))/(SUMPRODUCT(($B$43:$B$66=AQ$41)*($F$40:$AG$40=""))+IF(AQ$41="P6",COUNTIF($F$40:$AG$40,"P6")*ROWS($B$43:$B$66),0)),"")</f>
        <v/>
      </c>
      <c r="AR66" s="6" cm="1">
        <f t="array" ref="AR66">IFERROR((SUMPRODUCT(($B$43:$B$66=AR$41)*($F$40:$AG$40="")*$F$43:$AG$66)+IF(AR$41="P6",SUMPRODUCT(($F$40:$AG$40="P6")*$F$43:$AG$66),0))/(SUMPRODUCT(($B$43:$B$66=AR$41)*($F$40:$AG$40=""))+IF(AR$41="P6",COUNTIF($F$40:$AG$40,"P6")*ROWS($B$43:$B$66),0)),"")</f>
        <v>1.2186345454545444</v>
      </c>
    </row>
    <row r="67" spans="1:44" ht="14.25" customHeight="1" x14ac:dyDescent="0.35">
      <c r="AL67" s="4" t="s">
        <v>29</v>
      </c>
      <c r="AM67" s="6" t="str" cm="1">
        <f t="array" ref="AM67">IFERROR((SUMPRODUCT(($B$43:$B$66=AM$41)*($F$40:$AG$40="")*$F$43:$AG$66)+IF(AM$41="P6",SUMPRODUCT(($F$40:$AG$40="P6")*$F$43:$AG$66),0))/(SUMPRODUCT(($B$43:$B$66=AM$41)*($F$40:$AG$40=""))+IF(AM$41="P6",COUNTIF($F$40:$AG$40,"P6")*ROWS($B$43:$B$66),0)),"")</f>
        <v/>
      </c>
      <c r="AN67" s="6" t="str" cm="1">
        <f t="array" ref="AN67">IFERROR((SUMPRODUCT(($B$43:$B$66=AN$41)*($F$40:$AG$40="")*$F$43:$AG$66)+IF(AN$41="P6",SUMPRODUCT(($F$40:$AG$40="P6")*$F$43:$AG$66),0))/(SUMPRODUCT(($B$43:$B$66=AN$41)*($F$40:$AG$40=""))+IF(AN$41="P6",COUNTIF($F$40:$AG$40,"P6")*ROWS($B$43:$B$66),0)),"")</f>
        <v/>
      </c>
      <c r="AO67" s="6" cm="1">
        <f t="array" ref="AO67">IFERROR((SUMPRODUCT(($B$43:$B$66=AO$41)*($F$40:$AG$40="")*$F$43:$AG$66)+IF(AO$41="P6",SUMPRODUCT(($F$40:$AG$40="P6")*$F$43:$AG$66),0))/(SUMPRODUCT(($B$43:$B$66=AO$41)*($F$40:$AG$40=""))+IF(AO$41="P6",COUNTIF($F$40:$AG$40,"P6")*ROWS($B$43:$B$66),0)),"")</f>
        <v>1.0509706666666658</v>
      </c>
      <c r="AP67" s="6" cm="1">
        <f t="array" ref="AP67">IFERROR((SUMPRODUCT(($B$43:$B$66=AP$41)*($F$40:$AG$40="")*$F$43:$AG$66)+IF(AP$41="P6",SUMPRODUCT(($F$40:$AG$40="P6")*$F$43:$AG$66),0))/(SUMPRODUCT(($B$43:$B$66=AP$41)*($F$40:$AG$40=""))+IF(AP$41="P6",COUNTIF($F$40:$AG$40,"P6")*ROWS($B$43:$B$66),0)),"")</f>
        <v>1.1044097142857143</v>
      </c>
      <c r="AQ67" s="6" t="str" cm="1">
        <f t="array" ref="AQ67">IFERROR((SUMPRODUCT(($B$43:$B$66=AQ$41)*($F$40:$AG$40="")*$F$43:$AG$66)+IF(AQ$41="P6",SUMPRODUCT(($F$40:$AG$40="P6")*$F$43:$AG$66),0))/(SUMPRODUCT(($B$43:$B$66=AQ$41)*($F$40:$AG$40=""))+IF(AQ$41="P6",COUNTIF($F$40:$AG$40,"P6")*ROWS($B$43:$B$66),0)),"")</f>
        <v/>
      </c>
      <c r="AR67" s="6" cm="1">
        <f t="array" ref="AR67">IFERROR((SUMPRODUCT(($B$43:$B$66=AR$41)*($F$40:$AG$40="")*$F$43:$AG$66)+IF(AR$41="P6",SUMPRODUCT(($F$40:$AG$40="P6")*$F$43:$AG$66),0))/(SUMPRODUCT(($B$43:$B$66=AR$41)*($F$40:$AG$40=""))+IF(AR$41="P6",COUNTIF($F$40:$AG$40,"P6")*ROWS($B$43:$B$66),0)),"")</f>
        <v>1.2186345454545444</v>
      </c>
    </row>
    <row r="71" spans="1:44" ht="14.25" customHeight="1" x14ac:dyDescent="0.35">
      <c r="A71" s="15" t="s">
        <v>212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1:44" ht="14.25" customHeight="1" x14ac:dyDescent="0.3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1:44" ht="14.25" customHeight="1" x14ac:dyDescent="0.35">
      <c r="AL73" s="10"/>
      <c r="AM73" s="10"/>
      <c r="AN73" s="10"/>
      <c r="AO73" s="10"/>
      <c r="AP73" s="10"/>
      <c r="AQ73" s="10"/>
      <c r="AR73" s="10"/>
    </row>
    <row r="74" spans="1:44" ht="14.25" customHeight="1" x14ac:dyDescent="0.35">
      <c r="F74" s="1" t="str">
        <f>IF(OR(F76="S",F76="D"),"P3","")</f>
        <v/>
      </c>
      <c r="G74" s="1" t="str">
        <f t="shared" ref="G74:AJ74" si="11">IF(OR(G76="S",G76="D"),"P3","")</f>
        <v/>
      </c>
      <c r="H74" s="1" t="str">
        <f t="shared" si="11"/>
        <v/>
      </c>
      <c r="I74" s="1" t="str">
        <f t="shared" si="11"/>
        <v>P3</v>
      </c>
      <c r="J74" s="1" t="str">
        <f t="shared" si="11"/>
        <v>P3</v>
      </c>
      <c r="K74" s="1" t="str">
        <f t="shared" si="11"/>
        <v/>
      </c>
      <c r="L74" s="1" t="str">
        <f t="shared" si="11"/>
        <v/>
      </c>
      <c r="M74" s="1" t="str">
        <f t="shared" si="11"/>
        <v/>
      </c>
      <c r="N74" s="1" t="str">
        <f t="shared" si="11"/>
        <v/>
      </c>
      <c r="O74" s="1" t="str">
        <f t="shared" si="11"/>
        <v/>
      </c>
      <c r="P74" s="1" t="str">
        <f t="shared" si="11"/>
        <v>P3</v>
      </c>
      <c r="Q74" s="1" t="str">
        <f t="shared" si="11"/>
        <v>P3</v>
      </c>
      <c r="R74" s="1" t="str">
        <f t="shared" si="11"/>
        <v/>
      </c>
      <c r="S74" s="1" t="str">
        <f t="shared" si="11"/>
        <v/>
      </c>
      <c r="T74" s="1" t="str">
        <f t="shared" si="11"/>
        <v/>
      </c>
      <c r="U74" s="1" t="str">
        <f t="shared" si="11"/>
        <v/>
      </c>
      <c r="V74" s="1" t="str">
        <f t="shared" si="11"/>
        <v/>
      </c>
      <c r="W74" s="1" t="str">
        <f t="shared" si="11"/>
        <v>P3</v>
      </c>
      <c r="X74" s="1" t="str">
        <f t="shared" si="11"/>
        <v>P3</v>
      </c>
      <c r="Y74" s="1" t="str">
        <f t="shared" si="11"/>
        <v/>
      </c>
      <c r="Z74" s="1" t="str">
        <f t="shared" si="11"/>
        <v/>
      </c>
      <c r="AA74" s="1" t="str">
        <f t="shared" si="11"/>
        <v/>
      </c>
      <c r="AB74" s="1" t="str">
        <f t="shared" si="11"/>
        <v/>
      </c>
      <c r="AC74" s="1" t="str">
        <f t="shared" si="11"/>
        <v/>
      </c>
      <c r="AD74" s="1" t="str">
        <f t="shared" si="11"/>
        <v>P3</v>
      </c>
      <c r="AE74" s="1" t="str">
        <f t="shared" si="11"/>
        <v>P3</v>
      </c>
      <c r="AF74" s="1" t="str">
        <f t="shared" si="11"/>
        <v/>
      </c>
      <c r="AG74" s="1" t="str">
        <f t="shared" si="11"/>
        <v/>
      </c>
      <c r="AH74" s="1" t="str">
        <f t="shared" si="11"/>
        <v/>
      </c>
      <c r="AI74" s="1" t="str">
        <f t="shared" si="11"/>
        <v/>
      </c>
      <c r="AJ74" s="1" t="str">
        <f t="shared" si="11"/>
        <v/>
      </c>
      <c r="AL74" s="10"/>
      <c r="AM74" s="10"/>
      <c r="AN74" s="10"/>
      <c r="AO74" s="10"/>
      <c r="AP74" s="10"/>
      <c r="AQ74" s="10"/>
      <c r="AR74" s="10"/>
    </row>
    <row r="75" spans="1:44" ht="14.25" customHeight="1" x14ac:dyDescent="0.35">
      <c r="F75" s="1" t="str">
        <f>IF(OR(F76="S",F76="D"),"P6","")</f>
        <v/>
      </c>
      <c r="G75" s="1" t="str">
        <f t="shared" ref="G75:AJ75" si="12">IF(OR(G76="S",G76="D"),"P6","")</f>
        <v/>
      </c>
      <c r="H75" s="1" t="str">
        <f t="shared" si="12"/>
        <v/>
      </c>
      <c r="I75" s="1" t="str">
        <f t="shared" si="12"/>
        <v>P6</v>
      </c>
      <c r="J75" s="1" t="str">
        <f t="shared" si="12"/>
        <v>P6</v>
      </c>
      <c r="K75" s="1" t="str">
        <f t="shared" si="12"/>
        <v/>
      </c>
      <c r="L75" s="1" t="str">
        <f t="shared" si="12"/>
        <v/>
      </c>
      <c r="M75" s="1" t="str">
        <f t="shared" si="12"/>
        <v/>
      </c>
      <c r="N75" s="1" t="str">
        <f t="shared" si="12"/>
        <v/>
      </c>
      <c r="O75" s="1" t="str">
        <f t="shared" si="12"/>
        <v/>
      </c>
      <c r="P75" s="1" t="str">
        <f t="shared" si="12"/>
        <v>P6</v>
      </c>
      <c r="Q75" s="1" t="str">
        <f t="shared" si="12"/>
        <v>P6</v>
      </c>
      <c r="R75" s="1" t="str">
        <f t="shared" si="12"/>
        <v/>
      </c>
      <c r="S75" s="1" t="str">
        <f t="shared" si="12"/>
        <v/>
      </c>
      <c r="T75" s="1" t="str">
        <f t="shared" si="12"/>
        <v/>
      </c>
      <c r="U75" s="1" t="str">
        <f t="shared" si="12"/>
        <v/>
      </c>
      <c r="V75" s="1" t="str">
        <f t="shared" si="12"/>
        <v/>
      </c>
      <c r="W75" s="1" t="str">
        <f t="shared" si="12"/>
        <v>P6</v>
      </c>
      <c r="X75" s="1" t="str">
        <f t="shared" si="12"/>
        <v>P6</v>
      </c>
      <c r="Y75" s="1" t="str">
        <f t="shared" si="12"/>
        <v/>
      </c>
      <c r="Z75" s="1" t="str">
        <f t="shared" si="12"/>
        <v/>
      </c>
      <c r="AA75" s="1" t="str">
        <f t="shared" si="12"/>
        <v/>
      </c>
      <c r="AB75" s="1" t="str">
        <f t="shared" si="12"/>
        <v/>
      </c>
      <c r="AC75" s="1" t="str">
        <f t="shared" si="12"/>
        <v/>
      </c>
      <c r="AD75" s="1" t="str">
        <f t="shared" si="12"/>
        <v>P6</v>
      </c>
      <c r="AE75" s="1" t="str">
        <f t="shared" si="12"/>
        <v>P6</v>
      </c>
      <c r="AF75" s="1" t="str">
        <f t="shared" si="12"/>
        <v/>
      </c>
      <c r="AG75" s="1" t="str">
        <f t="shared" si="12"/>
        <v/>
      </c>
      <c r="AH75" s="1" t="str">
        <f t="shared" si="12"/>
        <v/>
      </c>
      <c r="AI75" s="1" t="str">
        <f t="shared" si="12"/>
        <v/>
      </c>
      <c r="AJ75" s="1" t="str">
        <f t="shared" si="12"/>
        <v/>
      </c>
      <c r="AL75" s="14" t="s">
        <v>213</v>
      </c>
      <c r="AM75" s="14"/>
      <c r="AN75" s="14"/>
      <c r="AO75" s="14"/>
      <c r="AP75" s="14"/>
      <c r="AQ75" s="14"/>
      <c r="AR75" s="14"/>
    </row>
    <row r="76" spans="1:44" ht="14.25" customHeight="1" x14ac:dyDescent="0.35">
      <c r="F76" s="1" t="str">
        <f>CHOOSE(WEEKDAY(F77,2),"L","M","X","J","V","S","D")</f>
        <v>X</v>
      </c>
      <c r="G76" s="1" t="str">
        <f t="shared" ref="G76:AJ76" si="13">CHOOSE(WEEKDAY(G77,2),"L","M","X","J","V","S","D")</f>
        <v>J</v>
      </c>
      <c r="H76" s="1" t="str">
        <f t="shared" si="13"/>
        <v>V</v>
      </c>
      <c r="I76" s="1" t="str">
        <f t="shared" si="13"/>
        <v>S</v>
      </c>
      <c r="J76" s="1" t="str">
        <f t="shared" si="13"/>
        <v>D</v>
      </c>
      <c r="K76" s="1" t="str">
        <f t="shared" si="13"/>
        <v>L</v>
      </c>
      <c r="L76" s="1" t="str">
        <f t="shared" si="13"/>
        <v>M</v>
      </c>
      <c r="M76" s="1" t="str">
        <f t="shared" si="13"/>
        <v>X</v>
      </c>
      <c r="N76" s="1" t="str">
        <f t="shared" si="13"/>
        <v>J</v>
      </c>
      <c r="O76" s="1" t="str">
        <f t="shared" si="13"/>
        <v>V</v>
      </c>
      <c r="P76" s="1" t="str">
        <f t="shared" si="13"/>
        <v>S</v>
      </c>
      <c r="Q76" s="1" t="str">
        <f t="shared" si="13"/>
        <v>D</v>
      </c>
      <c r="R76" s="1" t="str">
        <f t="shared" si="13"/>
        <v>L</v>
      </c>
      <c r="S76" s="1" t="str">
        <f t="shared" si="13"/>
        <v>M</v>
      </c>
      <c r="T76" s="1" t="str">
        <f t="shared" si="13"/>
        <v>X</v>
      </c>
      <c r="U76" s="1" t="str">
        <f t="shared" si="13"/>
        <v>J</v>
      </c>
      <c r="V76" s="1" t="str">
        <f t="shared" si="13"/>
        <v>V</v>
      </c>
      <c r="W76" s="1" t="str">
        <f t="shared" si="13"/>
        <v>S</v>
      </c>
      <c r="X76" s="1" t="str">
        <f t="shared" si="13"/>
        <v>D</v>
      </c>
      <c r="Y76" s="1" t="str">
        <f t="shared" si="13"/>
        <v>L</v>
      </c>
      <c r="Z76" s="1" t="str">
        <f t="shared" si="13"/>
        <v>M</v>
      </c>
      <c r="AA76" s="1" t="str">
        <f t="shared" si="13"/>
        <v>X</v>
      </c>
      <c r="AB76" s="1" t="str">
        <f t="shared" si="13"/>
        <v>J</v>
      </c>
      <c r="AC76" s="1" t="str">
        <f t="shared" si="13"/>
        <v>V</v>
      </c>
      <c r="AD76" s="1" t="str">
        <f t="shared" si="13"/>
        <v>S</v>
      </c>
      <c r="AE76" s="1" t="str">
        <f t="shared" si="13"/>
        <v>D</v>
      </c>
      <c r="AF76" s="1" t="str">
        <f t="shared" si="13"/>
        <v>L</v>
      </c>
      <c r="AG76" s="1" t="str">
        <f t="shared" si="13"/>
        <v>M</v>
      </c>
      <c r="AH76" s="1" t="str">
        <f t="shared" si="13"/>
        <v>X</v>
      </c>
      <c r="AI76" s="1" t="str">
        <f t="shared" si="13"/>
        <v>J</v>
      </c>
      <c r="AJ76" s="1" t="str">
        <f t="shared" si="13"/>
        <v>V</v>
      </c>
      <c r="AL76" s="4"/>
      <c r="AM76" s="4" t="s">
        <v>13</v>
      </c>
      <c r="AN76" s="4" t="s">
        <v>14</v>
      </c>
      <c r="AO76" s="4" t="s">
        <v>15</v>
      </c>
      <c r="AP76" s="4" t="s">
        <v>16</v>
      </c>
      <c r="AQ76" s="4" t="s">
        <v>17</v>
      </c>
      <c r="AR76" s="4" t="s">
        <v>7</v>
      </c>
    </row>
    <row r="77" spans="1:44" ht="14.25" customHeight="1" x14ac:dyDescent="0.35">
      <c r="A77" s="3" t="s">
        <v>76</v>
      </c>
      <c r="B77" s="3" t="s">
        <v>77</v>
      </c>
      <c r="C77" s="3" t="s">
        <v>75</v>
      </c>
      <c r="D77" s="3" t="s">
        <v>74</v>
      </c>
      <c r="F77" s="8">
        <v>44986</v>
      </c>
      <c r="G77" s="8">
        <v>44987</v>
      </c>
      <c r="H77" s="8">
        <v>44988</v>
      </c>
      <c r="I77" s="8">
        <v>44989</v>
      </c>
      <c r="J77" s="8">
        <v>44990</v>
      </c>
      <c r="K77" s="8">
        <v>44991</v>
      </c>
      <c r="L77" s="8">
        <v>44992</v>
      </c>
      <c r="M77" s="8">
        <v>44993</v>
      </c>
      <c r="N77" s="8">
        <v>44994</v>
      </c>
      <c r="O77" s="8">
        <v>44995</v>
      </c>
      <c r="P77" s="8">
        <v>44996</v>
      </c>
      <c r="Q77" s="8">
        <v>44997</v>
      </c>
      <c r="R77" s="8">
        <v>44998</v>
      </c>
      <c r="S77" s="8">
        <v>44999</v>
      </c>
      <c r="T77" s="8">
        <v>45000</v>
      </c>
      <c r="U77" s="8">
        <v>45001</v>
      </c>
      <c r="V77" s="8">
        <v>45002</v>
      </c>
      <c r="W77" s="8">
        <v>45003</v>
      </c>
      <c r="X77" s="8">
        <v>45004</v>
      </c>
      <c r="Y77" s="8">
        <v>45005</v>
      </c>
      <c r="Z77" s="8">
        <v>45006</v>
      </c>
      <c r="AA77" s="8">
        <v>45007</v>
      </c>
      <c r="AB77" s="8">
        <v>45008</v>
      </c>
      <c r="AC77" s="8">
        <v>45009</v>
      </c>
      <c r="AD77" s="8">
        <v>45010</v>
      </c>
      <c r="AE77" s="8">
        <v>45011</v>
      </c>
      <c r="AF77" s="8">
        <v>45012</v>
      </c>
      <c r="AG77" s="8">
        <v>45013</v>
      </c>
      <c r="AH77" s="8">
        <v>45014</v>
      </c>
      <c r="AI77" s="8">
        <v>45015</v>
      </c>
      <c r="AJ77" s="8">
        <v>45016</v>
      </c>
      <c r="AL77" s="4" t="s">
        <v>19</v>
      </c>
      <c r="AM77" s="6" cm="1">
        <f t="array" ref="AM77">IFERROR((SUMPRODUCT(($C$78:$C$101=AM$76)*($F$74:$AJ$74="")*$F$78:$AJ$101)+IF(AM$76="P3",SUMPRODUCT(($F$74:$AJ$74="P3")*$F$78:$AJ$101),0))/(SUMPRODUCT(($C$78:$C$101=AM$76)*($F$74:$AJ$74=""))+IF(AM$76="P3",COUNTIF($F$74:$AJ$74,"P3")*ROWS($C$78:$C$101),0)),"")</f>
        <v>1.0943790760869565</v>
      </c>
      <c r="AN77" s="6" cm="1">
        <f t="array" ref="AN77">IFERROR((SUMPRODUCT(($C$78:$C$101=AN$41)*($F$74:$AJ$74="")*$F$78:$AJ$101)+IF(AN$41="P3",SUMPRODUCT(($F$74:$AJ$74="P3")*$F$78:$AJ$101),0))/(SUMPRODUCT(($C$78:$C$101=AN$41)*($F$74:$AJ$74=""))+IF(AN$41="P3",COUNTIF($F$74:$AJ$74,"P3")*ROWS($C$78:$C$101),0)),"")</f>
        <v>1.1771798913043483</v>
      </c>
      <c r="AO77" s="6" cm="1">
        <f t="array" ref="AO77">IFERROR((SUMPRODUCT(($C$78:$C$101=AO$41)*($F$74:$AJ$74="")*$F$78:$AJ$101)+IF(AO$41="P3",SUMPRODUCT(($F$74:$AJ$74="P3")*$F$78:$AJ$101),0))/(SUMPRODUCT(($C$78:$C$101=AO$41)*($F$74:$AJ$74=""))+IF(AO$41="P3",COUNTIF($F$74:$AJ$74,"P3")*ROWS($C$78:$C$101),0)),"")</f>
        <v>1.2369373404255322</v>
      </c>
      <c r="AP77" s="6" t="str" cm="1">
        <f t="array" ref="AP77">IFERROR((SUMPRODUCT(($C$78:$C$101=AP$41)*($F$74:$AJ$74="")*$F$78:$AJ$101)+IF(AP$41="P3",SUMPRODUCT(($F$74:$AJ$74="P3")*$F$78:$AJ$101),0))/(SUMPRODUCT(($C$78:$C$101=AP$41)*($F$74:$AJ$74=""))+IF(AP$41="P3",COUNTIF($F$74:$AJ$74,"P3")*ROWS($C$78:$C$101),0)),"")</f>
        <v/>
      </c>
      <c r="AQ77" s="6" t="str" cm="1">
        <f t="array" ref="AQ77">IFERROR((SUMPRODUCT(($C$78:$C$101=AQ$41)*($F$74:$AJ$74="")*$F$78:$AJ$101)+IF(AQ$41="P3",SUMPRODUCT(($F$74:$AJ$74="P3")*$F$78:$AJ$101),0))/(SUMPRODUCT(($C$78:$C$101=AQ$41)*($F$74:$AJ$74=""))+IF(AQ$41="P3",COUNTIF($F$74:$AJ$74,"P3")*ROWS($C$78:$C$101),0)),"")</f>
        <v/>
      </c>
      <c r="AR77" s="6" t="str" cm="1">
        <f t="array" ref="AR77">IFERROR((SUMPRODUCT(($C$78:$C$101=AR$41)*($F$74:$AJ$74="")*$F$78:$AJ$101)+IF(AR$41="P3",SUMPRODUCT(($F$74:$AJ$74="P3")*$F$78:$AJ$101),0))/(SUMPRODUCT(($C$78:$C$101=AR$41)*($F$74:$AJ$74=""))+IF(AR$41="P3",COUNTIF($F$74:$AJ$74,"P3")*ROWS($C$78:$C$101),0)),"")</f>
        <v/>
      </c>
    </row>
    <row r="78" spans="1:44" ht="14.25" customHeight="1" x14ac:dyDescent="0.35">
      <c r="A78" s="1" t="s">
        <v>7</v>
      </c>
      <c r="B78" s="1" t="s">
        <v>7</v>
      </c>
      <c r="C78" s="1" t="s">
        <v>15</v>
      </c>
      <c r="D78" s="1" t="s">
        <v>7</v>
      </c>
      <c r="E78" s="1" t="s">
        <v>8</v>
      </c>
      <c r="F78" s="1">
        <v>1.2206900000000001</v>
      </c>
      <c r="G78" s="1">
        <v>1.25319</v>
      </c>
      <c r="H78" s="1">
        <v>1.2830999999999999</v>
      </c>
      <c r="I78" s="1">
        <v>1.2453700000000001</v>
      </c>
      <c r="J78" s="1">
        <v>1.2915300000000001</v>
      </c>
      <c r="K78" s="1">
        <v>1.2853000000000001</v>
      </c>
      <c r="L78" s="1">
        <v>1.24796</v>
      </c>
      <c r="M78" s="1">
        <v>1.2206900000000001</v>
      </c>
      <c r="N78" s="1">
        <v>1.25319</v>
      </c>
      <c r="O78" s="1">
        <v>1.2830999999999999</v>
      </c>
      <c r="P78" s="1">
        <v>1.2453700000000001</v>
      </c>
      <c r="Q78" s="1">
        <v>1.2915300000000001</v>
      </c>
      <c r="R78" s="1">
        <v>1.2853000000000001</v>
      </c>
      <c r="S78" s="1">
        <v>1.24796</v>
      </c>
      <c r="T78" s="1">
        <v>1.2206900000000001</v>
      </c>
      <c r="U78" s="1">
        <v>1.25319</v>
      </c>
      <c r="V78" s="1">
        <v>1.2830999999999999</v>
      </c>
      <c r="W78" s="1">
        <v>1.2453700000000001</v>
      </c>
      <c r="X78" s="1">
        <v>1.2915300000000001</v>
      </c>
      <c r="Y78" s="1">
        <v>1.2853000000000001</v>
      </c>
      <c r="Z78" s="1">
        <v>1.24796</v>
      </c>
      <c r="AA78" s="1">
        <v>1.2206900000000001</v>
      </c>
      <c r="AB78" s="1">
        <v>1.25319</v>
      </c>
      <c r="AC78" s="1">
        <v>1.2830999999999999</v>
      </c>
      <c r="AD78" s="1">
        <v>1.2453700000000001</v>
      </c>
      <c r="AE78" s="1">
        <v>1.2915300000000001</v>
      </c>
      <c r="AF78" s="1">
        <v>1.2853000000000001</v>
      </c>
      <c r="AG78" s="1">
        <v>1.24796</v>
      </c>
      <c r="AH78" s="1">
        <v>1.2206900000000001</v>
      </c>
      <c r="AI78" s="1">
        <v>1.25319</v>
      </c>
      <c r="AJ78" s="1">
        <v>1.2830999999999999</v>
      </c>
      <c r="AL78" s="4" t="s">
        <v>21</v>
      </c>
      <c r="AM78" s="6" t="str" cm="1">
        <f t="array" ref="AM78">IFERROR((SUMPRODUCT(($D$78:$D$101=AM$76)*($F$75:$AJ$75="")*$F$78:$AJ$101)+IF(AM$76="P6",SUMPRODUCT(($F$75:$AJ$75="P6")*$F$78:$AJ$101),0))/(SUMPRODUCT(($D$78:$D$101=AM$76)*($F$75:$AJ$75=""))+IF(AM$76="P6",COUNTIF($F$75:$AJ$75,"P6")*ROWS($D$78:$D$101),0)),"")</f>
        <v/>
      </c>
      <c r="AN78" s="6" cm="1">
        <f t="array" ref="AN78">IFERROR((SUMPRODUCT(($D$78:$D$101=AN$76)*($F$75:$AJ$75="")*$F$78:$AJ$101)+IF(AN$76="P6",SUMPRODUCT(($F$75:$AJ$75="P6")*$F$78:$AJ$101),0))/(SUMPRODUCT(($D$78:$D$101=AN$76)*($F$75:$AJ$75=""))+IF(AN$76="P6",COUNTIF($F$75:$AJ$75,"P6")*ROWS($D$78:$D$101),0)),"")</f>
        <v>1.090799275362319</v>
      </c>
      <c r="AO78" s="6" cm="1">
        <f t="array" ref="AO78">IFERROR((SUMPRODUCT(($D$78:$D$101=AO$76)*($F$75:$AJ$75="")*$F$78:$AJ$101)+IF(AO$76="P6",SUMPRODUCT(($F$75:$AJ$75="P6")*$F$78:$AJ$101),0))/(SUMPRODUCT(($D$78:$D$101=AO$76)*($F$75:$AJ$75=""))+IF(AO$76="P6",COUNTIF($F$75:$AJ$75,"P6")*ROWS($D$78:$D$101),0)),"")</f>
        <v>1.1936111801242228</v>
      </c>
      <c r="AP78" s="6" t="str" cm="1">
        <f t="array" ref="AP78">IFERROR((SUMPRODUCT(($D$78:$D$101=AP$76)*($F$75:$AJ$75="")*$F$78:$AJ$101)+IF(AP$76="P6",SUMPRODUCT(($F$75:$AJ$75="P6")*$F$78:$AJ$101),0))/(SUMPRODUCT(($D$78:$D$101=AP$76)*($F$75:$AJ$75=""))+IF(AP$76="P6",COUNTIF($F$75:$AJ$75,"P6")*ROWS($D$78:$D$101),0)),"")</f>
        <v/>
      </c>
      <c r="AQ78" s="6" t="str" cm="1">
        <f t="array" ref="AQ78">IFERROR((SUMPRODUCT(($D$78:$D$101=AQ$76)*($F$75:$AJ$75="")*$F$78:$AJ$101)+IF(AQ$76="P6",SUMPRODUCT(($F$75:$AJ$75="P6")*$F$78:$AJ$101),0))/(SUMPRODUCT(($D$78:$D$101=AQ$76)*($F$75:$AJ$75=""))+IF(AQ$76="P6",COUNTIF($F$75:$AJ$75,"P6")*ROWS($D$78:$D$101),0)),"")</f>
        <v/>
      </c>
      <c r="AR78" s="6" cm="1">
        <f t="array" ref="AR78">IFERROR((SUMPRODUCT(($D$78:$D$101=AR$76)*($F$75:$AJ$75="")*$F$78:$AJ$101)+IF(AR$76="P6",SUMPRODUCT(($F$75:$AJ$75="P6")*$F$78:$AJ$101),0))/(SUMPRODUCT(($D$78:$D$101=AR$76)*($F$75:$AJ$75=""))+IF(AR$76="P6",COUNTIF($F$75:$AJ$75,"P6")*ROWS($D$78:$D$101),0)),"")</f>
        <v>1.2369373404255322</v>
      </c>
    </row>
    <row r="79" spans="1:44" ht="14.25" customHeight="1" x14ac:dyDescent="0.35">
      <c r="A79" s="1" t="s">
        <v>7</v>
      </c>
      <c r="B79" s="1" t="s">
        <v>7</v>
      </c>
      <c r="C79" s="1" t="s">
        <v>15</v>
      </c>
      <c r="D79" s="1" t="s">
        <v>7</v>
      </c>
      <c r="E79" s="1" t="s">
        <v>9</v>
      </c>
      <c r="F79" s="1">
        <v>1.26789</v>
      </c>
      <c r="G79" s="1">
        <v>1.3102499999999999</v>
      </c>
      <c r="H79" s="1">
        <v>1.34077</v>
      </c>
      <c r="I79" s="1">
        <v>1.29457</v>
      </c>
      <c r="J79" s="1">
        <v>1.32619</v>
      </c>
      <c r="K79" s="1">
        <v>1.35128</v>
      </c>
      <c r="L79" s="1">
        <v>1.3018000000000001</v>
      </c>
      <c r="M79" s="1">
        <v>1.26789</v>
      </c>
      <c r="N79" s="1">
        <v>1.3102499999999999</v>
      </c>
      <c r="O79" s="1">
        <v>1.34077</v>
      </c>
      <c r="P79" s="1">
        <v>1.29457</v>
      </c>
      <c r="Q79" s="1">
        <v>1.32619</v>
      </c>
      <c r="R79" s="1">
        <v>1.35128</v>
      </c>
      <c r="S79" s="1">
        <v>1.3018000000000001</v>
      </c>
      <c r="T79" s="1">
        <v>1.26789</v>
      </c>
      <c r="U79" s="1">
        <v>1.3102499999999999</v>
      </c>
      <c r="V79" s="1">
        <v>1.34077</v>
      </c>
      <c r="W79" s="1">
        <v>1.29457</v>
      </c>
      <c r="X79" s="1">
        <v>1.32619</v>
      </c>
      <c r="Y79" s="1">
        <v>1.35128</v>
      </c>
      <c r="Z79" s="1">
        <v>1.3018000000000001</v>
      </c>
      <c r="AA79" s="1">
        <v>1.26789</v>
      </c>
      <c r="AB79" s="1">
        <v>1.3102499999999999</v>
      </c>
      <c r="AC79" s="1">
        <v>1.34077</v>
      </c>
      <c r="AD79" s="1">
        <v>1.29457</v>
      </c>
      <c r="AE79" s="1">
        <v>1.32619</v>
      </c>
      <c r="AF79" s="1">
        <v>1.35128</v>
      </c>
      <c r="AG79" s="1">
        <v>1.3018000000000001</v>
      </c>
      <c r="AH79" s="1">
        <v>1.26789</v>
      </c>
      <c r="AI79" s="1">
        <v>1.3102499999999999</v>
      </c>
      <c r="AJ79" s="1">
        <v>1.34077</v>
      </c>
      <c r="AL79" s="4" t="s">
        <v>23</v>
      </c>
      <c r="AM79" s="6" t="str" cm="1">
        <f t="array" ref="AM79">IFERROR((SUMPRODUCT(($D$78:$D$101=AM$76)*($F$75:$AJ$75="")*$F$78:$AJ$101)+IF(AM$76="P6",SUMPRODUCT(($F$75:$AJ$75="P6")*$F$78:$AJ$101),0))/(SUMPRODUCT(($D$78:$D$101=AM$76)*($F$75:$AJ$75=""))+IF(AM$76="P6",COUNTIF($F$75:$AJ$75,"P6")*ROWS($D$78:$D$101),0)),"")</f>
        <v/>
      </c>
      <c r="AN79" s="6" cm="1">
        <f t="array" ref="AN79">IFERROR((SUMPRODUCT(($D$78:$D$101=AN$76)*($F$75:$AJ$75="")*$F$78:$AJ$101)+IF(AN$76="P6",SUMPRODUCT(($F$75:$AJ$75="P6")*$F$78:$AJ$101),0))/(SUMPRODUCT(($D$78:$D$101=AN$76)*($F$75:$AJ$75=""))+IF(AN$76="P6",COUNTIF($F$75:$AJ$75,"P6")*ROWS($D$78:$D$101),0)),"")</f>
        <v>1.090799275362319</v>
      </c>
      <c r="AO79" s="5" cm="1">
        <f t="array" ref="AO79">IFERROR((SUMPRODUCT(($D$78:$D$101=AO$76)*($F$75:$AJ$75="")*$F$78:$AJ$101)+IF(AO$76="P6",SUMPRODUCT(($F$75:$AJ$75="P6")*$F$78:$AJ$101),0))/(SUMPRODUCT(($D$78:$D$101=AO$76)*($F$75:$AJ$75=""))+IF(AO$76="P6",COUNTIF($F$75:$AJ$75,"P6")*ROWS($D$78:$D$101),0)),"")</f>
        <v>1.1936111801242228</v>
      </c>
      <c r="AP79" s="5" t="str" cm="1">
        <f t="array" ref="AP79">IFERROR((SUMPRODUCT(($D$78:$D$101=AP$76)*($F$75:$AJ$75="")*$F$78:$AJ$101)+IF(AP$76="P6",SUMPRODUCT(($F$75:$AJ$75="P6")*$F$78:$AJ$101),0))/(SUMPRODUCT(($D$78:$D$101=AP$76)*($F$75:$AJ$75=""))+IF(AP$76="P6",COUNTIF($F$75:$AJ$75,"P6")*ROWS($D$78:$D$101),0)),"")</f>
        <v/>
      </c>
      <c r="AQ79" s="5" t="str" cm="1">
        <f t="array" ref="AQ79">IFERROR((SUMPRODUCT(($D$78:$D$101=AQ$76)*($F$75:$AJ$75="")*$F$78:$AJ$101)+IF(AQ$76="P6",SUMPRODUCT(($F$75:$AJ$75="P6")*$F$78:$AJ$101),0))/(SUMPRODUCT(($D$78:$D$101=AQ$76)*($F$75:$AJ$75=""))+IF(AQ$76="P6",COUNTIF($F$75:$AJ$75,"P6")*ROWS($D$78:$D$101),0)),"")</f>
        <v/>
      </c>
      <c r="AR79" s="6" cm="1">
        <f t="array" ref="AR79">IFERROR((SUMPRODUCT(($D$78:$D$101=AR$76)*($F$75:$AJ$75="")*$F$78:$AJ$101)+IF(AR$76="P6",SUMPRODUCT(($F$75:$AJ$75="P6")*$F$78:$AJ$101),0))/(SUMPRODUCT(($D$78:$D$101=AR$76)*($F$75:$AJ$75=""))+IF(AR$76="P6",COUNTIF($F$75:$AJ$75,"P6")*ROWS($D$78:$D$101),0)),"")</f>
        <v>1.2369373404255322</v>
      </c>
    </row>
    <row r="80" spans="1:44" ht="14.25" customHeight="1" x14ac:dyDescent="0.35">
      <c r="A80" s="1" t="s">
        <v>7</v>
      </c>
      <c r="B80" s="1" t="s">
        <v>7</v>
      </c>
      <c r="C80" s="1" t="s">
        <v>15</v>
      </c>
      <c r="D80" s="1" t="s">
        <v>7</v>
      </c>
      <c r="E80" s="1" t="s">
        <v>10</v>
      </c>
      <c r="F80" s="1">
        <v>1.3166100000000001</v>
      </c>
      <c r="G80" s="1">
        <v>1.3436699999999999</v>
      </c>
      <c r="H80" s="1">
        <v>1.3680699999999999</v>
      </c>
      <c r="I80" s="1">
        <v>1.3388</v>
      </c>
      <c r="J80" s="1">
        <v>1.37233</v>
      </c>
      <c r="K80" s="1">
        <v>1.3746799999999999</v>
      </c>
      <c r="L80" s="1">
        <v>1.33541</v>
      </c>
      <c r="M80" s="1">
        <v>1.3166100000000001</v>
      </c>
      <c r="N80" s="1">
        <v>1.3436699999999999</v>
      </c>
      <c r="O80" s="1">
        <v>1.3680699999999999</v>
      </c>
      <c r="P80" s="1">
        <v>1.3388</v>
      </c>
      <c r="Q80" s="1">
        <v>1.37233</v>
      </c>
      <c r="R80" s="1">
        <v>1.3746799999999999</v>
      </c>
      <c r="S80" s="1">
        <v>1.33541</v>
      </c>
      <c r="T80" s="1">
        <v>1.3166100000000001</v>
      </c>
      <c r="U80" s="1">
        <v>1.3436699999999999</v>
      </c>
      <c r="V80" s="1">
        <v>1.3680699999999999</v>
      </c>
      <c r="W80" s="1">
        <v>1.3388</v>
      </c>
      <c r="X80" s="1">
        <v>1.37233</v>
      </c>
      <c r="Y80" s="1">
        <v>1.3746799999999999</v>
      </c>
      <c r="Z80" s="1">
        <v>1.33541</v>
      </c>
      <c r="AA80" s="1">
        <v>1.3166100000000001</v>
      </c>
      <c r="AB80" s="1">
        <v>1.3436699999999999</v>
      </c>
      <c r="AC80" s="1">
        <v>1.3680699999999999</v>
      </c>
      <c r="AD80" s="1">
        <v>1.3388</v>
      </c>
      <c r="AE80" s="1">
        <v>0</v>
      </c>
      <c r="AF80" s="1">
        <v>1.3746799999999999</v>
      </c>
      <c r="AG80" s="1">
        <v>1.33541</v>
      </c>
      <c r="AH80" s="1">
        <v>1.3166100000000001</v>
      </c>
      <c r="AI80" s="1">
        <v>1.3436699999999999</v>
      </c>
      <c r="AJ80" s="1">
        <v>1.3680699999999999</v>
      </c>
      <c r="AL80" s="4" t="s">
        <v>25</v>
      </c>
      <c r="AM80" s="6" t="str" cm="1">
        <f t="array" ref="AM80">IFERROR((SUMPRODUCT(($D$78:$D$101=AM$76)*($F$75:$AJ$75="")*$F$78:$AJ$101)+IF(AM$76="P6",SUMPRODUCT(($F$75:$AJ$75="P6")*$F$78:$AJ$101),0))/(SUMPRODUCT(($D$78:$D$101=AM$76)*($F$75:$AJ$75=""))+IF(AM$76="P6",COUNTIF($F$75:$AJ$75,"P6")*ROWS($D$78:$D$101),0)),"")</f>
        <v/>
      </c>
      <c r="AN80" s="6" cm="1">
        <f t="array" ref="AN80">IFERROR((SUMPRODUCT(($D$78:$D$101=AN$76)*($F$75:$AJ$75="")*$F$78:$AJ$101)+IF(AN$76="P6",SUMPRODUCT(($F$75:$AJ$75="P6")*$F$78:$AJ$101),0))/(SUMPRODUCT(($D$78:$D$101=AN$76)*($F$75:$AJ$75=""))+IF(AN$76="P6",COUNTIF($F$75:$AJ$75,"P6")*ROWS($D$78:$D$101),0)),"")</f>
        <v>1.090799275362319</v>
      </c>
      <c r="AO80" s="5" cm="1">
        <f t="array" ref="AO80">IFERROR((SUMPRODUCT(($D$78:$D$101=AO$76)*($F$75:$AJ$75="")*$F$78:$AJ$101)+IF(AO$76="P6",SUMPRODUCT(($F$75:$AJ$75="P6")*$F$78:$AJ$101),0))/(SUMPRODUCT(($D$78:$D$101=AO$76)*($F$75:$AJ$75=""))+IF(AO$76="P6",COUNTIF($F$75:$AJ$75,"P6")*ROWS($D$78:$D$101),0)),"")</f>
        <v>1.1936111801242228</v>
      </c>
      <c r="AP80" s="5" t="str" cm="1">
        <f t="array" ref="AP80">IFERROR((SUMPRODUCT(($D$78:$D$101=AP$76)*($F$75:$AJ$75="")*$F$78:$AJ$101)+IF(AP$76="P6",SUMPRODUCT(($F$75:$AJ$75="P6")*$F$78:$AJ$101),0))/(SUMPRODUCT(($D$78:$D$101=AP$76)*($F$75:$AJ$75=""))+IF(AP$76="P6",COUNTIF($F$75:$AJ$75,"P6")*ROWS($D$78:$D$101),0)),"")</f>
        <v/>
      </c>
      <c r="AQ80" s="5" t="str" cm="1">
        <f t="array" ref="AQ80">IFERROR((SUMPRODUCT(($D$78:$D$101=AQ$76)*($F$75:$AJ$75="")*$F$78:$AJ$101)+IF(AQ$76="P6",SUMPRODUCT(($F$75:$AJ$75="P6")*$F$78:$AJ$101),0))/(SUMPRODUCT(($D$78:$D$101=AQ$76)*($F$75:$AJ$75=""))+IF(AQ$76="P6",COUNTIF($F$75:$AJ$75,"P6")*ROWS($D$78:$D$101),0)),"")</f>
        <v/>
      </c>
      <c r="AR80" s="6" cm="1">
        <f t="array" ref="AR80">IFERROR((SUMPRODUCT(($D$78:$D$101=AR$76)*($F$75:$AJ$75="")*$F$78:$AJ$101)+IF(AR$76="P6",SUMPRODUCT(($F$75:$AJ$75="P6")*$F$78:$AJ$101),0))/(SUMPRODUCT(($D$78:$D$101=AR$76)*($F$75:$AJ$75=""))+IF(AR$76="P6",COUNTIF($F$75:$AJ$75,"P6")*ROWS($D$78:$D$101),0)),"")</f>
        <v>1.2369373404255322</v>
      </c>
    </row>
    <row r="81" spans="1:44" ht="14.25" customHeight="1" x14ac:dyDescent="0.35">
      <c r="A81" s="1" t="s">
        <v>7</v>
      </c>
      <c r="B81" s="1" t="s">
        <v>7</v>
      </c>
      <c r="C81" s="1" t="s">
        <v>15</v>
      </c>
      <c r="D81" s="1" t="s">
        <v>7</v>
      </c>
      <c r="E81" s="1" t="s">
        <v>11</v>
      </c>
      <c r="F81" s="1">
        <v>1.3023100000000001</v>
      </c>
      <c r="G81" s="1">
        <v>1.3516900000000001</v>
      </c>
      <c r="H81" s="1">
        <v>1.37642</v>
      </c>
      <c r="I81" s="1">
        <v>1.3652200000000001</v>
      </c>
      <c r="J81" s="1">
        <v>1.4382299999999999</v>
      </c>
      <c r="K81" s="1">
        <v>1.3892199999999999</v>
      </c>
      <c r="L81" s="1">
        <v>1.3450599999999999</v>
      </c>
      <c r="M81" s="1">
        <v>1.3023100000000001</v>
      </c>
      <c r="N81" s="1">
        <v>1.3516900000000001</v>
      </c>
      <c r="O81" s="1">
        <v>1.37642</v>
      </c>
      <c r="P81" s="1">
        <v>1.3652200000000001</v>
      </c>
      <c r="Q81" s="1">
        <v>1.4382299999999999</v>
      </c>
      <c r="R81" s="1">
        <v>1.3892199999999999</v>
      </c>
      <c r="S81" s="1">
        <v>1.3450599999999999</v>
      </c>
      <c r="T81" s="1">
        <v>1.3023100000000001</v>
      </c>
      <c r="U81" s="1">
        <v>1.3516900000000001</v>
      </c>
      <c r="V81" s="1">
        <v>1.37642</v>
      </c>
      <c r="W81" s="1">
        <v>1.3652200000000001</v>
      </c>
      <c r="X81" s="1">
        <v>1.4382299999999999</v>
      </c>
      <c r="Y81" s="1">
        <v>1.3892199999999999</v>
      </c>
      <c r="Z81" s="1">
        <v>1.3450599999999999</v>
      </c>
      <c r="AA81" s="1">
        <v>1.3023100000000001</v>
      </c>
      <c r="AB81" s="1">
        <v>1.3516900000000001</v>
      </c>
      <c r="AC81" s="1">
        <v>1.37642</v>
      </c>
      <c r="AD81" s="1">
        <v>1.3652200000000001</v>
      </c>
      <c r="AE81" s="1">
        <v>1.37233</v>
      </c>
      <c r="AF81" s="1">
        <v>1.3892199999999999</v>
      </c>
      <c r="AG81" s="1">
        <v>1.3450599999999999</v>
      </c>
      <c r="AH81" s="1">
        <v>1.3023100000000001</v>
      </c>
      <c r="AI81" s="1">
        <v>1.3516900000000001</v>
      </c>
      <c r="AJ81" s="1">
        <v>1.37642</v>
      </c>
      <c r="AL81" s="4" t="s">
        <v>27</v>
      </c>
      <c r="AM81" s="6" t="str" cm="1">
        <f t="array" ref="AM81">IFERROR((SUMPRODUCT(($D$78:$D$101=AM$76)*($F$75:$AJ$75="")*$F$78:$AJ$101)+IF(AM$76="P6",SUMPRODUCT(($F$75:$AJ$75="P6")*$F$78:$AJ$101),0))/(SUMPRODUCT(($D$78:$D$101=AM$76)*($F$75:$AJ$75=""))+IF(AM$76="P6",COUNTIF($F$75:$AJ$75,"P6")*ROWS($D$78:$D$101),0)),"")</f>
        <v/>
      </c>
      <c r="AN81" s="6" cm="1">
        <f t="array" ref="AN81">IFERROR((SUMPRODUCT(($D$78:$D$101=AN$76)*($F$75:$AJ$75="")*$F$78:$AJ$101)+IF(AN$76="P6",SUMPRODUCT(($F$75:$AJ$75="P6")*$F$78:$AJ$101),0))/(SUMPRODUCT(($D$78:$D$101=AN$76)*($F$75:$AJ$75=""))+IF(AN$76="P6",COUNTIF($F$75:$AJ$75,"P6")*ROWS($D$78:$D$101),0)),"")</f>
        <v>1.090799275362319</v>
      </c>
      <c r="AO81" s="5" cm="1">
        <f t="array" ref="AO81">IFERROR((SUMPRODUCT(($D$78:$D$101=AO$76)*($F$75:$AJ$75="")*$F$78:$AJ$101)+IF(AO$76="P6",SUMPRODUCT(($F$75:$AJ$75="P6")*$F$78:$AJ$101),0))/(SUMPRODUCT(($D$78:$D$101=AO$76)*($F$75:$AJ$75=""))+IF(AO$76="P6",COUNTIF($F$75:$AJ$75,"P6")*ROWS($D$78:$D$101),0)),"")</f>
        <v>1.1936111801242228</v>
      </c>
      <c r="AP81" s="5" t="str" cm="1">
        <f t="array" ref="AP81">IFERROR((SUMPRODUCT(($D$78:$D$101=AP$76)*($F$75:$AJ$75="")*$F$78:$AJ$101)+IF(AP$76="P6",SUMPRODUCT(($F$75:$AJ$75="P6")*$F$78:$AJ$101),0))/(SUMPRODUCT(($D$78:$D$101=AP$76)*($F$75:$AJ$75=""))+IF(AP$76="P6",COUNTIF($F$75:$AJ$75,"P6")*ROWS($D$78:$D$101),0)),"")</f>
        <v/>
      </c>
      <c r="AQ81" s="5" t="str" cm="1">
        <f t="array" ref="AQ81">IFERROR((SUMPRODUCT(($D$78:$D$101=AQ$76)*($F$75:$AJ$75="")*$F$78:$AJ$101)+IF(AQ$76="P6",SUMPRODUCT(($F$75:$AJ$75="P6")*$F$78:$AJ$101),0))/(SUMPRODUCT(($D$78:$D$101=AQ$76)*($F$75:$AJ$75=""))+IF(AQ$76="P6",COUNTIF($F$75:$AJ$75,"P6")*ROWS($D$78:$D$101),0)),"")</f>
        <v/>
      </c>
      <c r="AR81" s="6" cm="1">
        <f t="array" ref="AR81">IFERROR((SUMPRODUCT(($D$78:$D$101=AR$76)*($F$75:$AJ$75="")*$F$78:$AJ$101)+IF(AR$76="P6",SUMPRODUCT(($F$75:$AJ$75="P6")*$F$78:$AJ$101),0))/(SUMPRODUCT(($D$78:$D$101=AR$76)*($F$75:$AJ$75=""))+IF(AR$76="P6",COUNTIF($F$75:$AJ$75,"P6")*ROWS($D$78:$D$101),0)),"")</f>
        <v>1.2369373404255322</v>
      </c>
    </row>
    <row r="82" spans="1:44" ht="14.25" customHeight="1" x14ac:dyDescent="0.35">
      <c r="A82" s="1" t="s">
        <v>7</v>
      </c>
      <c r="B82" s="1" t="s">
        <v>7</v>
      </c>
      <c r="C82" s="1" t="s">
        <v>15</v>
      </c>
      <c r="D82" s="1" t="s">
        <v>7</v>
      </c>
      <c r="E82" s="1" t="s">
        <v>12</v>
      </c>
      <c r="F82" s="1">
        <v>1.2973600000000001</v>
      </c>
      <c r="G82" s="1">
        <v>1.3466800000000001</v>
      </c>
      <c r="H82" s="1">
        <v>1.3723099999999999</v>
      </c>
      <c r="I82" s="1">
        <v>1.38222</v>
      </c>
      <c r="J82" s="1">
        <v>1.43177</v>
      </c>
      <c r="K82" s="1">
        <v>1.38504</v>
      </c>
      <c r="L82" s="1">
        <v>1.3396600000000001</v>
      </c>
      <c r="M82" s="1">
        <v>1.2973600000000001</v>
      </c>
      <c r="N82" s="1">
        <v>1.3466800000000001</v>
      </c>
      <c r="O82" s="1">
        <v>1.3723099999999999</v>
      </c>
      <c r="P82" s="1">
        <v>1.38222</v>
      </c>
      <c r="Q82" s="1">
        <v>1.43177</v>
      </c>
      <c r="R82" s="1">
        <v>1.38504</v>
      </c>
      <c r="S82" s="1">
        <v>1.3396600000000001</v>
      </c>
      <c r="T82" s="1">
        <v>1.2973600000000001</v>
      </c>
      <c r="U82" s="1">
        <v>1.3466800000000001</v>
      </c>
      <c r="V82" s="1">
        <v>1.3723099999999999</v>
      </c>
      <c r="W82" s="1">
        <v>1.38222</v>
      </c>
      <c r="X82" s="1">
        <v>1.43177</v>
      </c>
      <c r="Y82" s="1">
        <v>1.38504</v>
      </c>
      <c r="Z82" s="1">
        <v>1.3396600000000001</v>
      </c>
      <c r="AA82" s="1">
        <v>1.2973600000000001</v>
      </c>
      <c r="AB82" s="1">
        <v>1.3466800000000001</v>
      </c>
      <c r="AC82" s="1">
        <v>1.3723099999999999</v>
      </c>
      <c r="AD82" s="1">
        <v>1.38222</v>
      </c>
      <c r="AE82" s="1">
        <v>1.4382299999999999</v>
      </c>
      <c r="AF82" s="1">
        <v>1.38504</v>
      </c>
      <c r="AG82" s="1">
        <v>1.3396600000000001</v>
      </c>
      <c r="AH82" s="1">
        <v>1.2973600000000001</v>
      </c>
      <c r="AI82" s="1">
        <v>1.3466800000000001</v>
      </c>
      <c r="AJ82" s="1">
        <v>1.3723099999999999</v>
      </c>
      <c r="AL82" s="4" t="s">
        <v>29</v>
      </c>
      <c r="AM82" s="6" t="str" cm="1">
        <f t="array" ref="AM82">IFERROR((SUMPRODUCT(($D$78:$D$101=AM$76)*($F$75:$AJ$75="")*$F$78:$AJ$101)+IF(AM$76="P6",SUMPRODUCT(($F$75:$AJ$75="P6")*$F$78:$AJ$101),0))/(SUMPRODUCT(($D$78:$D$101=AM$76)*($F$75:$AJ$75=""))+IF(AM$76="P6",COUNTIF($F$75:$AJ$75,"P6")*ROWS($D$78:$D$101),0)),"")</f>
        <v/>
      </c>
      <c r="AN82" s="6" cm="1">
        <f t="array" ref="AN82">IFERROR((SUMPRODUCT(($D$78:$D$101=AN$76)*($F$75:$AJ$75="")*$F$78:$AJ$101)+IF(AN$76="P6",SUMPRODUCT(($F$75:$AJ$75="P6")*$F$78:$AJ$101),0))/(SUMPRODUCT(($D$78:$D$101=AN$76)*($F$75:$AJ$75=""))+IF(AN$76="P6",COUNTIF($F$75:$AJ$75,"P6")*ROWS($D$78:$D$101),0)),"")</f>
        <v>1.090799275362319</v>
      </c>
      <c r="AO82" s="5" cm="1">
        <f t="array" ref="AO82">IFERROR((SUMPRODUCT(($D$78:$D$101=AO$76)*($F$75:$AJ$75="")*$F$78:$AJ$101)+IF(AO$76="P6",SUMPRODUCT(($F$75:$AJ$75="P6")*$F$78:$AJ$101),0))/(SUMPRODUCT(($D$78:$D$101=AO$76)*($F$75:$AJ$75=""))+IF(AO$76="P6",COUNTIF($F$75:$AJ$75,"P6")*ROWS($D$78:$D$101),0)),"")</f>
        <v>1.1936111801242228</v>
      </c>
      <c r="AP82" s="5" t="str" cm="1">
        <f t="array" ref="AP82">IFERROR((SUMPRODUCT(($D$78:$D$101=AP$76)*($F$75:$AJ$75="")*$F$78:$AJ$101)+IF(AP$76="P6",SUMPRODUCT(($F$75:$AJ$75="P6")*$F$78:$AJ$101),0))/(SUMPRODUCT(($D$78:$D$101=AP$76)*($F$75:$AJ$75=""))+IF(AP$76="P6",COUNTIF($F$75:$AJ$75,"P6")*ROWS($D$78:$D$101),0)),"")</f>
        <v/>
      </c>
      <c r="AQ82" s="5" t="str" cm="1">
        <f t="array" ref="AQ82">IFERROR((SUMPRODUCT(($D$78:$D$101=AQ$76)*($F$75:$AJ$75="")*$F$78:$AJ$101)+IF(AQ$76="P6",SUMPRODUCT(($F$75:$AJ$75="P6")*$F$78:$AJ$101),0))/(SUMPRODUCT(($D$78:$D$101=AQ$76)*($F$75:$AJ$75=""))+IF(AQ$76="P6",COUNTIF($F$75:$AJ$75,"P6")*ROWS($D$78:$D$101),0)),"")</f>
        <v/>
      </c>
      <c r="AR82" s="6" cm="1">
        <f t="array" ref="AR82">IFERROR((SUMPRODUCT(($D$78:$D$101=AR$76)*($F$75:$AJ$75="")*$F$78:$AJ$101)+IF(AR$76="P6",SUMPRODUCT(($F$75:$AJ$75="P6")*$F$78:$AJ$101),0))/(SUMPRODUCT(($D$78:$D$101=AR$76)*($F$75:$AJ$75=""))+IF(AR$76="P6",COUNTIF($F$75:$AJ$75,"P6")*ROWS($D$78:$D$101),0)),"")</f>
        <v>1.2369373404255322</v>
      </c>
    </row>
    <row r="83" spans="1:44" ht="14.25" customHeight="1" x14ac:dyDescent="0.35">
      <c r="A83" s="1" t="s">
        <v>7</v>
      </c>
      <c r="B83" s="1" t="s">
        <v>7</v>
      </c>
      <c r="C83" s="1" t="s">
        <v>15</v>
      </c>
      <c r="D83" s="1" t="s">
        <v>7</v>
      </c>
      <c r="E83" s="1" t="s">
        <v>18</v>
      </c>
      <c r="F83" s="1">
        <v>1.27511</v>
      </c>
      <c r="G83" s="1">
        <v>1.3082199999999999</v>
      </c>
      <c r="H83" s="1">
        <v>1.34998</v>
      </c>
      <c r="I83" s="1">
        <v>1.36774</v>
      </c>
      <c r="J83" s="1">
        <v>1.4056999999999999</v>
      </c>
      <c r="K83" s="1">
        <v>1.3325800000000001</v>
      </c>
      <c r="L83" s="1">
        <v>1.30226</v>
      </c>
      <c r="M83" s="1">
        <v>1.27511</v>
      </c>
      <c r="N83" s="1">
        <v>1.3082199999999999</v>
      </c>
      <c r="O83" s="1">
        <v>1.34998</v>
      </c>
      <c r="P83" s="1">
        <v>1.36774</v>
      </c>
      <c r="Q83" s="1">
        <v>1.4056999999999999</v>
      </c>
      <c r="R83" s="1">
        <v>1.3325800000000001</v>
      </c>
      <c r="S83" s="1">
        <v>1.30226</v>
      </c>
      <c r="T83" s="1">
        <v>1.27511</v>
      </c>
      <c r="U83" s="1">
        <v>1.3082199999999999</v>
      </c>
      <c r="V83" s="1">
        <v>1.34998</v>
      </c>
      <c r="W83" s="1">
        <v>1.36774</v>
      </c>
      <c r="X83" s="1">
        <v>1.4056999999999999</v>
      </c>
      <c r="Y83" s="1">
        <v>1.3325800000000001</v>
      </c>
      <c r="Z83" s="1">
        <v>1.30226</v>
      </c>
      <c r="AA83" s="1">
        <v>1.27511</v>
      </c>
      <c r="AB83" s="1">
        <v>1.3082199999999999</v>
      </c>
      <c r="AC83" s="1">
        <v>1.34998</v>
      </c>
      <c r="AD83" s="1">
        <v>1.36774</v>
      </c>
      <c r="AE83" s="1">
        <v>1.43177</v>
      </c>
      <c r="AF83" s="1">
        <v>1.3325800000000001</v>
      </c>
      <c r="AG83" s="1">
        <v>1.30226</v>
      </c>
      <c r="AH83" s="1">
        <v>1.27511</v>
      </c>
      <c r="AI83" s="1">
        <v>1.3082199999999999</v>
      </c>
      <c r="AJ83" s="1">
        <v>1.34998</v>
      </c>
      <c r="AL83" s="10"/>
      <c r="AM83" s="10"/>
      <c r="AN83" s="10"/>
      <c r="AO83" s="10"/>
      <c r="AP83" s="10"/>
      <c r="AQ83" s="10"/>
      <c r="AR83" s="10"/>
    </row>
    <row r="84" spans="1:44" ht="14.25" customHeight="1" x14ac:dyDescent="0.35">
      <c r="A84" s="1" t="s">
        <v>7</v>
      </c>
      <c r="B84" s="1" t="s">
        <v>7</v>
      </c>
      <c r="C84" s="1" t="s">
        <v>15</v>
      </c>
      <c r="D84" s="1" t="s">
        <v>7</v>
      </c>
      <c r="E84" s="1" t="s">
        <v>20</v>
      </c>
      <c r="F84" s="1">
        <v>1.1957199999999999</v>
      </c>
      <c r="G84" s="1">
        <v>1.21774</v>
      </c>
      <c r="H84" s="1">
        <v>1.23874</v>
      </c>
      <c r="I84" s="1">
        <v>1.3290299999999999</v>
      </c>
      <c r="J84" s="1">
        <v>1.3726100000000001</v>
      </c>
      <c r="K84" s="1">
        <v>1.2278199999999999</v>
      </c>
      <c r="L84" s="1">
        <v>1.18784</v>
      </c>
      <c r="M84" s="1">
        <v>1.1957199999999999</v>
      </c>
      <c r="N84" s="1">
        <v>1.21774</v>
      </c>
      <c r="O84" s="1">
        <v>1.23874</v>
      </c>
      <c r="P84" s="1">
        <v>1.3290299999999999</v>
      </c>
      <c r="Q84" s="1">
        <v>1.3726100000000001</v>
      </c>
      <c r="R84" s="1">
        <v>1.2278199999999999</v>
      </c>
      <c r="S84" s="1">
        <v>1.18784</v>
      </c>
      <c r="T84" s="1">
        <v>1.1957199999999999</v>
      </c>
      <c r="U84" s="1">
        <v>1.21774</v>
      </c>
      <c r="V84" s="1">
        <v>1.23874</v>
      </c>
      <c r="W84" s="1">
        <v>1.3290299999999999</v>
      </c>
      <c r="X84" s="1">
        <v>1.3726100000000001</v>
      </c>
      <c r="Y84" s="1">
        <v>1.2278199999999999</v>
      </c>
      <c r="Z84" s="1">
        <v>1.18784</v>
      </c>
      <c r="AA84" s="1">
        <v>1.1957199999999999</v>
      </c>
      <c r="AB84" s="1">
        <v>1.21774</v>
      </c>
      <c r="AC84" s="1">
        <v>1.23874</v>
      </c>
      <c r="AD84" s="1">
        <v>1.3290299999999999</v>
      </c>
      <c r="AE84" s="1">
        <v>1.4056999999999999</v>
      </c>
      <c r="AF84" s="1">
        <v>1.2278199999999999</v>
      </c>
      <c r="AG84" s="1">
        <v>1.18784</v>
      </c>
      <c r="AH84" s="1">
        <v>1.1957199999999999</v>
      </c>
      <c r="AI84" s="1">
        <v>1.21774</v>
      </c>
      <c r="AJ84" s="1">
        <v>1.23874</v>
      </c>
      <c r="AL84" s="10"/>
      <c r="AM84" s="10"/>
      <c r="AN84" s="10"/>
      <c r="AO84" s="10"/>
      <c r="AP84" s="10"/>
      <c r="AQ84" s="10"/>
      <c r="AR84" s="10"/>
    </row>
    <row r="85" spans="1:44" ht="14.25" customHeight="1" x14ac:dyDescent="0.35">
      <c r="A85" s="1" t="s">
        <v>7</v>
      </c>
      <c r="B85" s="1" t="s">
        <v>7</v>
      </c>
      <c r="C85" s="1" t="s">
        <v>15</v>
      </c>
      <c r="D85" s="1" t="s">
        <v>7</v>
      </c>
      <c r="E85" s="1" t="s">
        <v>22</v>
      </c>
      <c r="F85" s="1">
        <v>1.10687</v>
      </c>
      <c r="G85" s="1">
        <v>1.12252</v>
      </c>
      <c r="H85" s="1">
        <v>1.12565</v>
      </c>
      <c r="I85" s="1">
        <v>1.26207</v>
      </c>
      <c r="J85" s="1">
        <v>1.3081700000000001</v>
      </c>
      <c r="K85" s="1">
        <v>1.1031599999999999</v>
      </c>
      <c r="L85" s="1">
        <v>1.0844400000000001</v>
      </c>
      <c r="M85" s="1">
        <v>1.10687</v>
      </c>
      <c r="N85" s="1">
        <v>1.12252</v>
      </c>
      <c r="O85" s="1">
        <v>1.12565</v>
      </c>
      <c r="P85" s="1">
        <v>1.26207</v>
      </c>
      <c r="Q85" s="1">
        <v>1.3081700000000001</v>
      </c>
      <c r="R85" s="1">
        <v>1.1031599999999999</v>
      </c>
      <c r="S85" s="1">
        <v>1.0844400000000001</v>
      </c>
      <c r="T85" s="1">
        <v>1.10687</v>
      </c>
      <c r="U85" s="1">
        <v>1.12252</v>
      </c>
      <c r="V85" s="1">
        <v>1.12565</v>
      </c>
      <c r="W85" s="1">
        <v>1.26207</v>
      </c>
      <c r="X85" s="1">
        <v>1.3081700000000001</v>
      </c>
      <c r="Y85" s="1">
        <v>1.1031599999999999</v>
      </c>
      <c r="Z85" s="1">
        <v>1.0844400000000001</v>
      </c>
      <c r="AA85" s="1">
        <v>1.10687</v>
      </c>
      <c r="AB85" s="1">
        <v>1.12252</v>
      </c>
      <c r="AC85" s="1">
        <v>1.12565</v>
      </c>
      <c r="AD85" s="1">
        <v>1.26207</v>
      </c>
      <c r="AE85" s="1">
        <v>1.3726100000000001</v>
      </c>
      <c r="AF85" s="1">
        <v>1.1031599999999999</v>
      </c>
      <c r="AG85" s="1">
        <v>1.0844400000000001</v>
      </c>
      <c r="AH85" s="1">
        <v>1.10687</v>
      </c>
      <c r="AI85" s="1">
        <v>1.12252</v>
      </c>
      <c r="AJ85" s="1">
        <v>1.12565</v>
      </c>
      <c r="AL85" s="14" t="s">
        <v>214</v>
      </c>
      <c r="AM85" s="14"/>
      <c r="AN85" s="14"/>
      <c r="AO85" s="14"/>
      <c r="AP85" s="14"/>
      <c r="AQ85" s="14"/>
      <c r="AR85" s="14"/>
    </row>
    <row r="86" spans="1:44" ht="14.25" customHeight="1" x14ac:dyDescent="0.35">
      <c r="A86" s="1" t="s">
        <v>16</v>
      </c>
      <c r="B86" s="1" t="s">
        <v>17</v>
      </c>
      <c r="C86" s="1" t="s">
        <v>14</v>
      </c>
      <c r="D86" s="1" t="s">
        <v>15</v>
      </c>
      <c r="E86" s="1" t="s">
        <v>24</v>
      </c>
      <c r="F86" s="1">
        <v>1.1628000000000001</v>
      </c>
      <c r="G86" s="1">
        <v>1.17682</v>
      </c>
      <c r="H86" s="1">
        <v>1.1836</v>
      </c>
      <c r="I86" s="1">
        <v>1.1556999999999999</v>
      </c>
      <c r="J86" s="1">
        <v>1.19085</v>
      </c>
      <c r="K86" s="1">
        <v>1.1359600000000001</v>
      </c>
      <c r="L86" s="1">
        <v>1.13754</v>
      </c>
      <c r="M86" s="1">
        <v>1.1628000000000001</v>
      </c>
      <c r="N86" s="1">
        <v>1.17682</v>
      </c>
      <c r="O86" s="1">
        <v>1.1836</v>
      </c>
      <c r="P86" s="1">
        <v>1.1556999999999999</v>
      </c>
      <c r="Q86" s="1">
        <v>1.19085</v>
      </c>
      <c r="R86" s="1">
        <v>1.1359600000000001</v>
      </c>
      <c r="S86" s="1">
        <v>1.13754</v>
      </c>
      <c r="T86" s="1">
        <v>1.1628000000000001</v>
      </c>
      <c r="U86" s="1">
        <v>1.17682</v>
      </c>
      <c r="V86" s="1">
        <v>1.1836</v>
      </c>
      <c r="W86" s="1">
        <v>1.1556999999999999</v>
      </c>
      <c r="X86" s="1">
        <v>1.19085</v>
      </c>
      <c r="Y86" s="1">
        <v>1.1359600000000001</v>
      </c>
      <c r="Z86" s="1">
        <v>1.13754</v>
      </c>
      <c r="AA86" s="1">
        <v>1.1628000000000001</v>
      </c>
      <c r="AB86" s="1">
        <v>1.17682</v>
      </c>
      <c r="AC86" s="1">
        <v>1.1836</v>
      </c>
      <c r="AD86" s="1">
        <v>1.1556999999999999</v>
      </c>
      <c r="AE86" s="1">
        <v>1.3081700000000001</v>
      </c>
      <c r="AF86" s="1">
        <v>1.1359600000000001</v>
      </c>
      <c r="AG86" s="1">
        <v>1.13754</v>
      </c>
      <c r="AH86" s="1">
        <v>1.1628000000000001</v>
      </c>
      <c r="AI86" s="1">
        <v>1.17682</v>
      </c>
      <c r="AJ86" s="1">
        <v>1.1836</v>
      </c>
      <c r="AL86" s="4"/>
      <c r="AM86" s="4" t="s">
        <v>13</v>
      </c>
      <c r="AN86" s="4" t="s">
        <v>14</v>
      </c>
      <c r="AO86" s="4" t="s">
        <v>15</v>
      </c>
      <c r="AP86" s="4" t="s">
        <v>16</v>
      </c>
      <c r="AQ86" s="4" t="s">
        <v>17</v>
      </c>
      <c r="AR86" s="4" t="s">
        <v>7</v>
      </c>
    </row>
    <row r="87" spans="1:44" ht="14.25" customHeight="1" x14ac:dyDescent="0.35">
      <c r="A87" s="1" t="s">
        <v>16</v>
      </c>
      <c r="B87" s="1" t="s">
        <v>17</v>
      </c>
      <c r="C87" s="1" t="s">
        <v>14</v>
      </c>
      <c r="D87" s="1" t="s">
        <v>14</v>
      </c>
      <c r="E87" s="1" t="s">
        <v>26</v>
      </c>
      <c r="F87" s="1">
        <v>1.0554399999999999</v>
      </c>
      <c r="G87" s="1">
        <v>1.0674600000000001</v>
      </c>
      <c r="H87" s="1">
        <v>1.08168</v>
      </c>
      <c r="I87" s="1">
        <v>1.07168</v>
      </c>
      <c r="J87" s="1">
        <v>1.07422</v>
      </c>
      <c r="K87" s="1">
        <v>1.0611200000000001</v>
      </c>
      <c r="L87" s="1">
        <v>1.0405800000000001</v>
      </c>
      <c r="M87" s="1">
        <v>1.0554399999999999</v>
      </c>
      <c r="N87" s="1">
        <v>1.0674600000000001</v>
      </c>
      <c r="O87" s="1">
        <v>1.08168</v>
      </c>
      <c r="P87" s="1">
        <v>1.07168</v>
      </c>
      <c r="Q87" s="1">
        <v>1.07422</v>
      </c>
      <c r="R87" s="1">
        <v>1.0611200000000001</v>
      </c>
      <c r="S87" s="1">
        <v>1.0405800000000001</v>
      </c>
      <c r="T87" s="1">
        <v>1.0554399999999999</v>
      </c>
      <c r="U87" s="1">
        <v>1.0674600000000001</v>
      </c>
      <c r="V87" s="1">
        <v>1.08168</v>
      </c>
      <c r="W87" s="1">
        <v>1.07168</v>
      </c>
      <c r="X87" s="1">
        <v>1.07422</v>
      </c>
      <c r="Y87" s="1">
        <v>1.0611200000000001</v>
      </c>
      <c r="Z87" s="1">
        <v>1.0405800000000001</v>
      </c>
      <c r="AA87" s="1">
        <v>1.0554399999999999</v>
      </c>
      <c r="AB87" s="1">
        <v>1.0674600000000001</v>
      </c>
      <c r="AC87" s="1">
        <v>1.08168</v>
      </c>
      <c r="AD87" s="1">
        <v>1.07168</v>
      </c>
      <c r="AE87" s="1">
        <v>1.19085</v>
      </c>
      <c r="AF87" s="1">
        <v>1.0611200000000001</v>
      </c>
      <c r="AG87" s="1">
        <v>1.0405800000000001</v>
      </c>
      <c r="AH87" s="1">
        <v>1.0554399999999999</v>
      </c>
      <c r="AI87" s="1">
        <v>1.0674600000000001</v>
      </c>
      <c r="AJ87" s="1">
        <v>1.08168</v>
      </c>
      <c r="AL87" s="4" t="s">
        <v>19</v>
      </c>
      <c r="AM87" s="6" cm="1">
        <f t="array" ref="AM87">IFERROR((SUMPRODUCT(($C$78:$C$101=AM$76)*($F$74:$AJ$74="")*$F$78:$AJ$101)+IF(AM$76="P3",SUMPRODUCT(($F$74:$AJ$74="P3")*$F$78:$AJ$101),0))/(SUMPRODUCT(($C$78:$C$101=AM$76)*($F$74:$AJ$74=""))+IF(AM$76="P3",COUNTIF($F$74:$AJ$74,"P3")*ROWS($C$78:$C$101),0)),"")</f>
        <v>1.0943790760869565</v>
      </c>
      <c r="AN87" s="6" cm="1">
        <f t="array" ref="AN87">IFERROR((SUMPRODUCT(($C$78:$C$101=AN$41)*($F$74:$AJ$74="")*$F$78:$AJ$101)+IF(AN$41="P3",SUMPRODUCT(($F$74:$AJ$74="P3")*$F$78:$AJ$101),0))/(SUMPRODUCT(($C$78:$C$101=AN$41)*($F$74:$AJ$74=""))+IF(AN$41="P3",COUNTIF($F$74:$AJ$74,"P3")*ROWS($C$78:$C$101),0)),"")</f>
        <v>1.1771798913043483</v>
      </c>
      <c r="AO87" s="6" cm="1">
        <f t="array" ref="AO87">IFERROR((SUMPRODUCT(($C$78:$C$101=AO$41)*($F$74:$AJ$74="")*$F$78:$AJ$101)+IF(AO$41="P3",SUMPRODUCT(($F$74:$AJ$74="P3")*$F$78:$AJ$101),0))/(SUMPRODUCT(($C$78:$C$101=AO$41)*($F$74:$AJ$74=""))+IF(AO$41="P3",COUNTIF($F$74:$AJ$74,"P3")*ROWS($C$78:$C$101),0)),"")</f>
        <v>1.2369373404255322</v>
      </c>
      <c r="AP87" s="6" t="str" cm="1">
        <f t="array" ref="AP87">IFERROR((SUMPRODUCT(($C$78:$C$101=AP$41)*($F$74:$AJ$74="")*$F$78:$AJ$101)+IF(AP$41="P3",SUMPRODUCT(($F$74:$AJ$74="P3")*$F$78:$AJ$101),0))/(SUMPRODUCT(($C$78:$C$101=AP$41)*($F$74:$AJ$74=""))+IF(AP$41="P3",COUNTIF($F$74:$AJ$74,"P3")*ROWS($C$78:$C$101),0)),"")</f>
        <v/>
      </c>
      <c r="AQ87" s="6" t="str" cm="1">
        <f t="array" ref="AQ87">IFERROR((SUMPRODUCT(($C$78:$C$101=AQ$41)*($F$74:$AJ$74="")*$F$78:$AJ$101)+IF(AQ$41="P3",SUMPRODUCT(($F$74:$AJ$74="P3")*$F$78:$AJ$101),0))/(SUMPRODUCT(($C$78:$C$101=AQ$41)*($F$74:$AJ$74=""))+IF(AQ$41="P3",COUNTIF($F$74:$AJ$74,"P3")*ROWS($C$78:$C$101),0)),"")</f>
        <v/>
      </c>
      <c r="AR87" s="6" t="str" cm="1">
        <f t="array" ref="AR87">IFERROR((SUMPRODUCT(($C$78:$C$101=AR$41)*($F$74:$AJ$74="")*$F$78:$AJ$101)+IF(AR$41="P3",SUMPRODUCT(($F$74:$AJ$74="P3")*$F$78:$AJ$101),0))/(SUMPRODUCT(($C$78:$C$101=AR$41)*($F$74:$AJ$74=""))+IF(AR$41="P3",COUNTIF($F$74:$AJ$74,"P3")*ROWS($C$78:$C$101),0)),"")</f>
        <v/>
      </c>
    </row>
    <row r="88" spans="1:44" ht="14.25" customHeight="1" x14ac:dyDescent="0.35">
      <c r="A88" s="1" t="s">
        <v>14</v>
      </c>
      <c r="B88" s="1" t="s">
        <v>16</v>
      </c>
      <c r="C88" s="1" t="s">
        <v>13</v>
      </c>
      <c r="D88" s="1" t="s">
        <v>14</v>
      </c>
      <c r="E88" s="1" t="s">
        <v>28</v>
      </c>
      <c r="F88" s="1">
        <v>1.02057</v>
      </c>
      <c r="G88" s="1">
        <v>1.02674</v>
      </c>
      <c r="H88" s="1">
        <v>1.02366</v>
      </c>
      <c r="I88" s="1">
        <v>1.02342</v>
      </c>
      <c r="J88" s="1">
        <v>1.03745</v>
      </c>
      <c r="K88" s="1">
        <v>1.0278400000000001</v>
      </c>
      <c r="L88" s="1">
        <v>1.0023599999999999</v>
      </c>
      <c r="M88" s="1">
        <v>1.02057</v>
      </c>
      <c r="N88" s="1">
        <v>1.02674</v>
      </c>
      <c r="O88" s="1">
        <v>1.02366</v>
      </c>
      <c r="P88" s="1">
        <v>1.02342</v>
      </c>
      <c r="Q88" s="1">
        <v>1.03745</v>
      </c>
      <c r="R88" s="1">
        <v>1.0278400000000001</v>
      </c>
      <c r="S88" s="1">
        <v>1.0023599999999999</v>
      </c>
      <c r="T88" s="1">
        <v>1.02057</v>
      </c>
      <c r="U88" s="1">
        <v>1.02674</v>
      </c>
      <c r="V88" s="1">
        <v>1.02366</v>
      </c>
      <c r="W88" s="1">
        <v>1.02342</v>
      </c>
      <c r="X88" s="1">
        <v>1.03745</v>
      </c>
      <c r="Y88" s="1">
        <v>1.0278400000000001</v>
      </c>
      <c r="Z88" s="1">
        <v>1.0023599999999999</v>
      </c>
      <c r="AA88" s="1">
        <v>1.02057</v>
      </c>
      <c r="AB88" s="1">
        <v>1.02674</v>
      </c>
      <c r="AC88" s="1">
        <v>1.02366</v>
      </c>
      <c r="AD88" s="1">
        <v>1.02342</v>
      </c>
      <c r="AE88" s="1">
        <v>1.07422</v>
      </c>
      <c r="AF88" s="1">
        <v>1.0278400000000001</v>
      </c>
      <c r="AG88" s="1">
        <v>1.0023599999999999</v>
      </c>
      <c r="AH88" s="1">
        <v>1.02057</v>
      </c>
      <c r="AI88" s="1">
        <v>1.02674</v>
      </c>
      <c r="AJ88" s="1">
        <v>1.02366</v>
      </c>
      <c r="AL88" s="4" t="s">
        <v>21</v>
      </c>
      <c r="AM88" s="6" t="str" cm="1">
        <f t="array" ref="AM88">IFERROR((SUMPRODUCT(($A$78:$A$101=AM$76)*($F$75:$AJ$75="")*$F$78:$AJ$101)+IF(AM$76="P6",SUMPRODUCT(($F$75:$AJ$75="P6")*$F$78:$AJ$101),0))/(SUMPRODUCT(($A$78:$A$101=AM$76)*($F$75:$AJ$75=""))+IF(AM$76="P6",COUNTIF($F$75:$AJ$75,"P6")*ROWS($A$78:$A$101),0)),"")</f>
        <v/>
      </c>
      <c r="AN88" s="6" cm="1">
        <f t="array" ref="AN88">IFERROR((SUMPRODUCT(($A$78:$A$101=AN$76)*($F$75:$AJ$75="")*$F$78:$AJ$101)+IF(AN$76="P6",SUMPRODUCT(($F$75:$AJ$75="P6")*$F$78:$AJ$101),0))/(SUMPRODUCT(($A$78:$A$101=AN$76)*($F$75:$AJ$75=""))+IF(AN$76="P6",COUNTIF($F$75:$AJ$75,"P6")*ROWS($A$78:$A$101),0)),"")</f>
        <v>1.0937046859903383</v>
      </c>
      <c r="AO88" s="6" t="str" cm="1">
        <f t="array" ref="AO88">IFERROR((SUMPRODUCT(($A$78:$A$101=AO$76)*($F$75:$AJ$75="")*$F$78:$AJ$101)+IF(AO$76="P6",SUMPRODUCT(($F$75:$AJ$75="P6")*$F$78:$AJ$101),0))/(SUMPRODUCT(($A$78:$A$101=AO$76)*($F$75:$AJ$75=""))+IF(AO$76="P6",COUNTIF($F$75:$AJ$75,"P6")*ROWS($A$78:$A$101),0)),"")</f>
        <v/>
      </c>
      <c r="AP88" s="6" cm="1">
        <f t="array" ref="AP88">IFERROR((SUMPRODUCT(($A$78:$A$101=AP$76)*($F$75:$AJ$75="")*$F$78:$AJ$101)+IF(AP$76="P6",SUMPRODUCT(($F$75:$AJ$75="P6")*$F$78:$AJ$101),0))/(SUMPRODUCT(($A$78:$A$101=AP$76)*($F$75:$AJ$75=""))+IF(AP$76="P6",COUNTIF($F$75:$AJ$75,"P6")*ROWS($A$78:$A$101),0)),"")</f>
        <v>1.189875652173912</v>
      </c>
      <c r="AQ88" s="6" t="str" cm="1">
        <f t="array" ref="AQ88">IFERROR((SUMPRODUCT(($A$78:$A$101=AQ$76)*($F$75:$AJ$75="")*$F$78:$AJ$101)+IF(AQ$76="P6",SUMPRODUCT(($F$75:$AJ$75="P6")*$F$78:$AJ$101),0))/(SUMPRODUCT(($A$78:$A$101=AQ$76)*($F$75:$AJ$75=""))+IF(AQ$76="P6",COUNTIF($F$75:$AJ$75,"P6")*ROWS($A$78:$A$101),0)),"")</f>
        <v/>
      </c>
      <c r="AR88" s="6" cm="1">
        <f t="array" ref="AR88">IFERROR((SUMPRODUCT(($A$78:$A$101=AR$76)*($F$75:$AJ$75="")*$F$78:$AJ$101)+IF(AR$76="P6",SUMPRODUCT(($F$75:$AJ$75="P6")*$F$78:$AJ$101),0))/(SUMPRODUCT(($A$78:$A$101=AR$76)*($F$75:$AJ$75=""))+IF(AR$76="P6",COUNTIF($F$75:$AJ$75,"P6")*ROWS($A$78:$A$101),0)),"")</f>
        <v>1.2369373404255322</v>
      </c>
    </row>
    <row r="89" spans="1:44" ht="14.25" customHeight="1" x14ac:dyDescent="0.35">
      <c r="A89" s="1" t="s">
        <v>14</v>
      </c>
      <c r="B89" s="1" t="s">
        <v>16</v>
      </c>
      <c r="C89" s="1" t="s">
        <v>13</v>
      </c>
      <c r="D89" s="1" t="s">
        <v>14</v>
      </c>
      <c r="E89" s="1" t="s">
        <v>30</v>
      </c>
      <c r="F89" s="1">
        <v>1.02864</v>
      </c>
      <c r="G89" s="1">
        <v>1.0254099999999999</v>
      </c>
      <c r="H89" s="1">
        <v>1.0125900000000001</v>
      </c>
      <c r="I89" s="1">
        <v>1.01885</v>
      </c>
      <c r="J89" s="1">
        <v>1.0370600000000001</v>
      </c>
      <c r="K89" s="1">
        <v>1.0423800000000001</v>
      </c>
      <c r="L89" s="1">
        <v>0.99661</v>
      </c>
      <c r="M89" s="1">
        <v>1.02864</v>
      </c>
      <c r="N89" s="1">
        <v>1.0254099999999999</v>
      </c>
      <c r="O89" s="1">
        <v>1.0125900000000001</v>
      </c>
      <c r="P89" s="1">
        <v>1.01885</v>
      </c>
      <c r="Q89" s="1">
        <v>1.0370600000000001</v>
      </c>
      <c r="R89" s="1">
        <v>1.0423800000000001</v>
      </c>
      <c r="S89" s="1">
        <v>0.99661</v>
      </c>
      <c r="T89" s="1">
        <v>1.02864</v>
      </c>
      <c r="U89" s="1">
        <v>1.0254099999999999</v>
      </c>
      <c r="V89" s="1">
        <v>1.0125900000000001</v>
      </c>
      <c r="W89" s="1">
        <v>1.01885</v>
      </c>
      <c r="X89" s="1">
        <v>1.0370600000000001</v>
      </c>
      <c r="Y89" s="1">
        <v>1.0423800000000001</v>
      </c>
      <c r="Z89" s="1">
        <v>0.99661</v>
      </c>
      <c r="AA89" s="1">
        <v>1.02864</v>
      </c>
      <c r="AB89" s="1">
        <v>1.0254099999999999</v>
      </c>
      <c r="AC89" s="1">
        <v>1.0125900000000001</v>
      </c>
      <c r="AD89" s="1">
        <v>1.01885</v>
      </c>
      <c r="AE89" s="1">
        <v>1.03745</v>
      </c>
      <c r="AF89" s="1">
        <v>1.0423800000000001</v>
      </c>
      <c r="AG89" s="1">
        <v>0.99661</v>
      </c>
      <c r="AH89" s="1">
        <v>1.02864</v>
      </c>
      <c r="AI89" s="1">
        <v>1.0254099999999999</v>
      </c>
      <c r="AJ89" s="1">
        <v>1.0125900000000001</v>
      </c>
      <c r="AL89" s="4" t="s">
        <v>23</v>
      </c>
      <c r="AM89" s="6" t="str" cm="1">
        <f t="array" ref="AM89">IFERROR((SUMPRODUCT(($A$78:$A$101=AM$76)*($F$75:$AJ$75="")*$F$78:$AJ$101)+IF(AM$76="P6",SUMPRODUCT(($F$75:$AJ$75="P6")*$F$78:$AJ$101),0))/(SUMPRODUCT(($A$78:$A$101=AM$76)*($F$75:$AJ$75=""))+IF(AM$76="P6",COUNTIF($F$75:$AJ$75,"P6")*ROWS($A$78:$A$101),0)),"")</f>
        <v/>
      </c>
      <c r="AN89" s="6" cm="1">
        <f t="array" ref="AN89">IFERROR((SUMPRODUCT(($A$78:$A$101=AN$76)*($F$75:$AJ$75="")*$F$78:$AJ$101)+IF(AN$76="P6",SUMPRODUCT(($F$75:$AJ$75="P6")*$F$78:$AJ$101),0))/(SUMPRODUCT(($A$78:$A$101=AN$76)*($F$75:$AJ$75=""))+IF(AN$76="P6",COUNTIF($F$75:$AJ$75,"P6")*ROWS($A$78:$A$101),0)),"")</f>
        <v>1.0937046859903383</v>
      </c>
      <c r="AO89" s="6" t="str" cm="1">
        <f t="array" ref="AO89">IFERROR((SUMPRODUCT(($A$78:$A$101=AO$76)*($F$75:$AJ$75="")*$F$78:$AJ$101)+IF(AO$76="P6",SUMPRODUCT(($F$75:$AJ$75="P6")*$F$78:$AJ$101),0))/(SUMPRODUCT(($A$78:$A$101=AO$76)*($F$75:$AJ$75=""))+IF(AO$76="P6",COUNTIF($F$75:$AJ$75,"P6")*ROWS($A$78:$A$101),0)),"")</f>
        <v/>
      </c>
      <c r="AP89" s="6" cm="1">
        <f t="array" ref="AP89">IFERROR((SUMPRODUCT(($A$78:$A$101=AP$76)*($F$75:$AJ$75="")*$F$78:$AJ$101)+IF(AP$76="P6",SUMPRODUCT(($F$75:$AJ$75="P6")*$F$78:$AJ$101),0))/(SUMPRODUCT(($A$78:$A$101=AP$76)*($F$75:$AJ$75=""))+IF(AP$76="P6",COUNTIF($F$75:$AJ$75,"P6")*ROWS($A$78:$A$101),0)),"")</f>
        <v>1.189875652173912</v>
      </c>
      <c r="AQ89" s="6" t="str" cm="1">
        <f t="array" ref="AQ89">IFERROR((SUMPRODUCT(($A$78:$A$101=AQ$76)*($F$75:$AJ$75="")*$F$78:$AJ$101)+IF(AQ$76="P6",SUMPRODUCT(($F$75:$AJ$75="P6")*$F$78:$AJ$101),0))/(SUMPRODUCT(($A$78:$A$101=AQ$76)*($F$75:$AJ$75=""))+IF(AQ$76="P6",COUNTIF($F$75:$AJ$75,"P6")*ROWS($A$78:$A$101),0)),"")</f>
        <v/>
      </c>
      <c r="AR89" s="6" cm="1">
        <f t="array" ref="AR89">IFERROR((SUMPRODUCT(($A$78:$A$101=AR$76)*($F$75:$AJ$75="")*$F$78:$AJ$101)+IF(AR$76="P6",SUMPRODUCT(($F$75:$AJ$75="P6")*$F$78:$AJ$101),0))/(SUMPRODUCT(($A$78:$A$101=AR$76)*($F$75:$AJ$75=""))+IF(AR$76="P6",COUNTIF($F$75:$AJ$75,"P6")*ROWS($A$78:$A$101),0)),"")</f>
        <v>1.2369373404255322</v>
      </c>
    </row>
    <row r="90" spans="1:44" ht="14.25" customHeight="1" x14ac:dyDescent="0.35">
      <c r="A90" s="1" t="s">
        <v>14</v>
      </c>
      <c r="B90" s="1" t="s">
        <v>16</v>
      </c>
      <c r="C90" s="1" t="s">
        <v>13</v>
      </c>
      <c r="D90" s="1" t="s">
        <v>14</v>
      </c>
      <c r="E90" s="1" t="s">
        <v>31</v>
      </c>
      <c r="F90" s="1">
        <v>1.04034</v>
      </c>
      <c r="G90" s="1">
        <v>1.0370600000000001</v>
      </c>
      <c r="H90" s="1">
        <v>1.0099199999999999</v>
      </c>
      <c r="I90" s="1">
        <v>1.02806</v>
      </c>
      <c r="J90" s="1">
        <v>1.06711</v>
      </c>
      <c r="K90" s="1">
        <v>1.04765</v>
      </c>
      <c r="L90" s="1">
        <v>0.99973000000000001</v>
      </c>
      <c r="M90" s="1">
        <v>1.04034</v>
      </c>
      <c r="N90" s="1">
        <v>1.0370600000000001</v>
      </c>
      <c r="O90" s="1">
        <v>1.0099199999999999</v>
      </c>
      <c r="P90" s="1">
        <v>1.02806</v>
      </c>
      <c r="Q90" s="1">
        <v>1.06711</v>
      </c>
      <c r="R90" s="1">
        <v>1.04765</v>
      </c>
      <c r="S90" s="1">
        <v>0.99973000000000001</v>
      </c>
      <c r="T90" s="1">
        <v>1.04034</v>
      </c>
      <c r="U90" s="1">
        <v>1.0370600000000001</v>
      </c>
      <c r="V90" s="1">
        <v>1.0099199999999999</v>
      </c>
      <c r="W90" s="1">
        <v>1.02806</v>
      </c>
      <c r="X90" s="1">
        <v>1.06711</v>
      </c>
      <c r="Y90" s="1">
        <v>1.04765</v>
      </c>
      <c r="Z90" s="1">
        <v>0.99973000000000001</v>
      </c>
      <c r="AA90" s="1">
        <v>1.04034</v>
      </c>
      <c r="AB90" s="1">
        <v>1.0370600000000001</v>
      </c>
      <c r="AC90" s="1">
        <v>1.0099199999999999</v>
      </c>
      <c r="AD90" s="1">
        <v>1.02806</v>
      </c>
      <c r="AE90" s="1">
        <v>1.0370600000000001</v>
      </c>
      <c r="AF90" s="1">
        <v>1.04765</v>
      </c>
      <c r="AG90" s="1">
        <v>0.99973000000000001</v>
      </c>
      <c r="AH90" s="1">
        <v>1.04034</v>
      </c>
      <c r="AI90" s="1">
        <v>1.0370600000000001</v>
      </c>
      <c r="AJ90" s="1">
        <v>1.0099199999999999</v>
      </c>
      <c r="AL90" s="4" t="s">
        <v>25</v>
      </c>
      <c r="AM90" s="6" t="str" cm="1">
        <f t="array" ref="AM90">IFERROR((SUMPRODUCT(($A$78:$A$101=AM$76)*($F$75:$AJ$75="")*$F$78:$AJ$101)+IF(AM$76="P6",SUMPRODUCT(($F$75:$AJ$75="P6")*$F$78:$AJ$101),0))/(SUMPRODUCT(($A$78:$A$101=AM$76)*($F$75:$AJ$75=""))+IF(AM$76="P6",COUNTIF($F$75:$AJ$75,"P6")*ROWS($A$78:$A$101),0)),"")</f>
        <v/>
      </c>
      <c r="AN90" s="6" cm="1">
        <f t="array" ref="AN90">IFERROR((SUMPRODUCT(($A$78:$A$101=AN$76)*($F$75:$AJ$75="")*$F$78:$AJ$101)+IF(AN$76="P6",SUMPRODUCT(($F$75:$AJ$75="P6")*$F$78:$AJ$101),0))/(SUMPRODUCT(($A$78:$A$101=AN$76)*($F$75:$AJ$75=""))+IF(AN$76="P6",COUNTIF($F$75:$AJ$75,"P6")*ROWS($A$78:$A$101),0)),"")</f>
        <v>1.0937046859903383</v>
      </c>
      <c r="AO90" s="6" t="str" cm="1">
        <f t="array" ref="AO90">IFERROR((SUMPRODUCT(($A$78:$A$101=AO$76)*($F$75:$AJ$75="")*$F$78:$AJ$101)+IF(AO$76="P6",SUMPRODUCT(($F$75:$AJ$75="P6")*$F$78:$AJ$101),0))/(SUMPRODUCT(($A$78:$A$101=AO$76)*($F$75:$AJ$75=""))+IF(AO$76="P6",COUNTIF($F$75:$AJ$75,"P6")*ROWS($A$78:$A$101),0)),"")</f>
        <v/>
      </c>
      <c r="AP90" s="6" cm="1">
        <f t="array" ref="AP90">IFERROR((SUMPRODUCT(($A$78:$A$101=AP$76)*($F$75:$AJ$75="")*$F$78:$AJ$101)+IF(AP$76="P6",SUMPRODUCT(($F$75:$AJ$75="P6")*$F$78:$AJ$101),0))/(SUMPRODUCT(($A$78:$A$101=AP$76)*($F$75:$AJ$75=""))+IF(AP$76="P6",COUNTIF($F$75:$AJ$75,"P6")*ROWS($A$78:$A$101),0)),"")</f>
        <v>1.189875652173912</v>
      </c>
      <c r="AQ90" s="6" t="str" cm="1">
        <f t="array" ref="AQ90">IFERROR((SUMPRODUCT(($A$78:$A$101=AQ$76)*($F$75:$AJ$75="")*$F$78:$AJ$101)+IF(AQ$76="P6",SUMPRODUCT(($F$75:$AJ$75="P6")*$F$78:$AJ$101),0))/(SUMPRODUCT(($A$78:$A$101=AQ$76)*($F$75:$AJ$75=""))+IF(AQ$76="P6",COUNTIF($F$75:$AJ$75,"P6")*ROWS($A$78:$A$101),0)),"")</f>
        <v/>
      </c>
      <c r="AR90" s="6" cm="1">
        <f t="array" ref="AR90">IFERROR((SUMPRODUCT(($A$78:$A$101=AR$76)*($F$75:$AJ$75="")*$F$78:$AJ$101)+IF(AR$76="P6",SUMPRODUCT(($F$75:$AJ$75="P6")*$F$78:$AJ$101),0))/(SUMPRODUCT(($A$78:$A$101=AR$76)*($F$75:$AJ$75=""))+IF(AR$76="P6",COUNTIF($F$75:$AJ$75,"P6")*ROWS($A$78:$A$101),0)),"")</f>
        <v>1.2369373404255322</v>
      </c>
    </row>
    <row r="91" spans="1:44" ht="14.25" customHeight="1" x14ac:dyDescent="0.35">
      <c r="A91" s="1" t="s">
        <v>14</v>
      </c>
      <c r="B91" s="1" t="s">
        <v>16</v>
      </c>
      <c r="C91" s="1" t="s">
        <v>13</v>
      </c>
      <c r="D91" s="1" t="s">
        <v>14</v>
      </c>
      <c r="E91" s="1" t="s">
        <v>32</v>
      </c>
      <c r="F91" s="1">
        <v>1.03488</v>
      </c>
      <c r="G91" s="1">
        <v>1.02457</v>
      </c>
      <c r="H91" s="1">
        <v>1.0130999999999999</v>
      </c>
      <c r="I91" s="1">
        <v>1.03349</v>
      </c>
      <c r="J91" s="1">
        <v>1.04755</v>
      </c>
      <c r="K91" s="1">
        <v>1.0357400000000001</v>
      </c>
      <c r="L91" s="1">
        <v>0.99289000000000005</v>
      </c>
      <c r="M91" s="1">
        <v>1.03488</v>
      </c>
      <c r="N91" s="1">
        <v>1.02457</v>
      </c>
      <c r="O91" s="1">
        <v>1.0130999999999999</v>
      </c>
      <c r="P91" s="1">
        <v>1.03349</v>
      </c>
      <c r="Q91" s="1">
        <v>1.04755</v>
      </c>
      <c r="R91" s="1">
        <v>1.0357400000000001</v>
      </c>
      <c r="S91" s="1">
        <v>0.99289000000000005</v>
      </c>
      <c r="T91" s="1">
        <v>1.03488</v>
      </c>
      <c r="U91" s="1">
        <v>1.02457</v>
      </c>
      <c r="V91" s="1">
        <v>1.0130999999999999</v>
      </c>
      <c r="W91" s="1">
        <v>1.03349</v>
      </c>
      <c r="X91" s="1">
        <v>1.04755</v>
      </c>
      <c r="Y91" s="1">
        <v>1.0357400000000001</v>
      </c>
      <c r="Z91" s="1">
        <v>0.99289000000000005</v>
      </c>
      <c r="AA91" s="1">
        <v>1.03488</v>
      </c>
      <c r="AB91" s="1">
        <v>1.02457</v>
      </c>
      <c r="AC91" s="1">
        <v>1.0130999999999999</v>
      </c>
      <c r="AD91" s="1">
        <v>1.03349</v>
      </c>
      <c r="AE91" s="1">
        <v>1.06711</v>
      </c>
      <c r="AF91" s="1">
        <v>1.0357400000000001</v>
      </c>
      <c r="AG91" s="1">
        <v>0.99289000000000005</v>
      </c>
      <c r="AH91" s="1">
        <v>1.03488</v>
      </c>
      <c r="AI91" s="1">
        <v>1.02457</v>
      </c>
      <c r="AJ91" s="1">
        <v>1.0130999999999999</v>
      </c>
      <c r="AL91" s="4" t="s">
        <v>27</v>
      </c>
      <c r="AM91" s="6" t="str" cm="1">
        <f t="array" ref="AM91">IFERROR((SUMPRODUCT(($A$78:$A$101=AM$76)*($F$75:$AJ$75="")*$F$78:$AJ$101)+IF(AM$76="P6",SUMPRODUCT(($F$75:$AJ$75="P6")*$F$78:$AJ$101),0))/(SUMPRODUCT(($A$78:$A$101=AM$76)*($F$75:$AJ$75=""))+IF(AM$76="P6",COUNTIF($F$75:$AJ$75,"P6")*ROWS($A$78:$A$101),0)),"")</f>
        <v/>
      </c>
      <c r="AN91" s="6" cm="1">
        <f t="array" ref="AN91">IFERROR((SUMPRODUCT(($A$78:$A$101=AN$76)*($F$75:$AJ$75="")*$F$78:$AJ$101)+IF(AN$76="P6",SUMPRODUCT(($F$75:$AJ$75="P6")*$F$78:$AJ$101),0))/(SUMPRODUCT(($A$78:$A$101=AN$76)*($F$75:$AJ$75=""))+IF(AN$76="P6",COUNTIF($F$75:$AJ$75,"P6")*ROWS($A$78:$A$101),0)),"")</f>
        <v>1.0937046859903383</v>
      </c>
      <c r="AO91" s="6" t="str" cm="1">
        <f t="array" ref="AO91">IFERROR((SUMPRODUCT(($A$78:$A$101=AO$76)*($F$75:$AJ$75="")*$F$78:$AJ$101)+IF(AO$76="P6",SUMPRODUCT(($F$75:$AJ$75="P6")*$F$78:$AJ$101),0))/(SUMPRODUCT(($A$78:$A$101=AO$76)*($F$75:$AJ$75=""))+IF(AO$76="P6",COUNTIF($F$75:$AJ$75,"P6")*ROWS($A$78:$A$101),0)),"")</f>
        <v/>
      </c>
      <c r="AP91" s="6" cm="1">
        <f t="array" ref="AP91">IFERROR((SUMPRODUCT(($A$78:$A$101=AP$76)*($F$75:$AJ$75="")*$F$78:$AJ$101)+IF(AP$76="P6",SUMPRODUCT(($F$75:$AJ$75="P6")*$F$78:$AJ$101),0))/(SUMPRODUCT(($A$78:$A$101=AP$76)*($F$75:$AJ$75=""))+IF(AP$76="P6",COUNTIF($F$75:$AJ$75,"P6")*ROWS($A$78:$A$101),0)),"")</f>
        <v>1.189875652173912</v>
      </c>
      <c r="AQ91" s="6" t="str" cm="1">
        <f t="array" ref="AQ91">IFERROR((SUMPRODUCT(($A$78:$A$101=AQ$76)*($F$75:$AJ$75="")*$F$78:$AJ$101)+IF(AQ$76="P6",SUMPRODUCT(($F$75:$AJ$75="P6")*$F$78:$AJ$101),0))/(SUMPRODUCT(($A$78:$A$101=AQ$76)*($F$75:$AJ$75=""))+IF(AQ$76="P6",COUNTIF($F$75:$AJ$75,"P6")*ROWS($A$78:$A$101),0)),"")</f>
        <v/>
      </c>
      <c r="AR91" s="6" cm="1">
        <f t="array" ref="AR91">IFERROR((SUMPRODUCT(($A$78:$A$101=AR$76)*($F$75:$AJ$75="")*$F$78:$AJ$101)+IF(AR$76="P6",SUMPRODUCT(($F$75:$AJ$75="P6")*$F$78:$AJ$101),0))/(SUMPRODUCT(($A$78:$A$101=AR$76)*($F$75:$AJ$75=""))+IF(AR$76="P6",COUNTIF($F$75:$AJ$75,"P6")*ROWS($A$78:$A$101),0)),"")</f>
        <v>1.2369373404255322</v>
      </c>
    </row>
    <row r="92" spans="1:44" ht="14.25" customHeight="1" x14ac:dyDescent="0.35">
      <c r="A92" s="1" t="s">
        <v>14</v>
      </c>
      <c r="B92" s="1" t="s">
        <v>16</v>
      </c>
      <c r="C92" s="1" t="s">
        <v>14</v>
      </c>
      <c r="D92" s="1" t="s">
        <v>15</v>
      </c>
      <c r="E92" s="1" t="s">
        <v>33</v>
      </c>
      <c r="F92" s="1">
        <v>1.0980799999999999</v>
      </c>
      <c r="G92" s="1">
        <v>1.0957300000000001</v>
      </c>
      <c r="H92" s="1">
        <v>1.0838300000000001</v>
      </c>
      <c r="I92" s="1">
        <v>1.0364</v>
      </c>
      <c r="J92" s="1">
        <v>1.06454</v>
      </c>
      <c r="K92" s="1">
        <v>1.0975299999999999</v>
      </c>
      <c r="L92" s="1">
        <v>1.0631999999999999</v>
      </c>
      <c r="M92" s="1">
        <v>1.0980799999999999</v>
      </c>
      <c r="N92" s="1">
        <v>1.0957300000000001</v>
      </c>
      <c r="O92" s="1">
        <v>1.0838300000000001</v>
      </c>
      <c r="P92" s="1">
        <v>1.0364</v>
      </c>
      <c r="Q92" s="1">
        <v>1.06454</v>
      </c>
      <c r="R92" s="1">
        <v>1.0975299999999999</v>
      </c>
      <c r="S92" s="1">
        <v>1.0631999999999999</v>
      </c>
      <c r="T92" s="1">
        <v>1.0980799999999999</v>
      </c>
      <c r="U92" s="1">
        <v>1.0957300000000001</v>
      </c>
      <c r="V92" s="1">
        <v>1.0838300000000001</v>
      </c>
      <c r="W92" s="1">
        <v>1.0364</v>
      </c>
      <c r="X92" s="1">
        <v>1.06454</v>
      </c>
      <c r="Y92" s="1">
        <v>1.0975299999999999</v>
      </c>
      <c r="Z92" s="1">
        <v>1.0631999999999999</v>
      </c>
      <c r="AA92" s="1">
        <v>1.0980799999999999</v>
      </c>
      <c r="AB92" s="1">
        <v>1.0957300000000001</v>
      </c>
      <c r="AC92" s="1">
        <v>1.0838300000000001</v>
      </c>
      <c r="AD92" s="1">
        <v>1.0364</v>
      </c>
      <c r="AE92" s="1">
        <v>1.04755</v>
      </c>
      <c r="AF92" s="1">
        <v>1.0975299999999999</v>
      </c>
      <c r="AG92" s="1">
        <v>1.0631999999999999</v>
      </c>
      <c r="AH92" s="1">
        <v>1.0980799999999999</v>
      </c>
      <c r="AI92" s="1">
        <v>1.0957300000000001</v>
      </c>
      <c r="AJ92" s="1">
        <v>1.0838300000000001</v>
      </c>
      <c r="AL92" s="4" t="s">
        <v>29</v>
      </c>
      <c r="AM92" s="6" t="str" cm="1">
        <f t="array" ref="AM92">IFERROR((SUMPRODUCT(($A$78:$A$101=AM$76)*($F$75:$AJ$75="")*$F$78:$AJ$101)+IF(AM$76="P6",SUMPRODUCT(($F$75:$AJ$75="P6")*$F$78:$AJ$101),0))/(SUMPRODUCT(($A$78:$A$101=AM$76)*($F$75:$AJ$75=""))+IF(AM$76="P6",COUNTIF($F$75:$AJ$75,"P6")*ROWS($A$78:$A$101),0)),"")</f>
        <v/>
      </c>
      <c r="AN92" s="6" cm="1">
        <f t="array" ref="AN92">IFERROR((SUMPRODUCT(($A$78:$A$101=AN$76)*($F$75:$AJ$75="")*$F$78:$AJ$101)+IF(AN$76="P6",SUMPRODUCT(($F$75:$AJ$75="P6")*$F$78:$AJ$101),0))/(SUMPRODUCT(($A$78:$A$101=AN$76)*($F$75:$AJ$75=""))+IF(AN$76="P6",COUNTIF($F$75:$AJ$75,"P6")*ROWS($A$78:$A$101),0)),"")</f>
        <v>1.0937046859903383</v>
      </c>
      <c r="AO92" s="6" t="str" cm="1">
        <f t="array" ref="AO92">IFERROR((SUMPRODUCT(($A$78:$A$101=AO$76)*($F$75:$AJ$75="")*$F$78:$AJ$101)+IF(AO$76="P6",SUMPRODUCT(($F$75:$AJ$75="P6")*$F$78:$AJ$101),0))/(SUMPRODUCT(($A$78:$A$101=AO$76)*($F$75:$AJ$75=""))+IF(AO$76="P6",COUNTIF($F$75:$AJ$75,"P6")*ROWS($A$78:$A$101),0)),"")</f>
        <v/>
      </c>
      <c r="AP92" s="6" cm="1">
        <f t="array" ref="AP92">IFERROR((SUMPRODUCT(($A$78:$A$101=AP$76)*($F$75:$AJ$75="")*$F$78:$AJ$101)+IF(AP$76="P6",SUMPRODUCT(($F$75:$AJ$75="P6")*$F$78:$AJ$101),0))/(SUMPRODUCT(($A$78:$A$101=AP$76)*($F$75:$AJ$75=""))+IF(AP$76="P6",COUNTIF($F$75:$AJ$75,"P6")*ROWS($A$78:$A$101),0)),"")</f>
        <v>1.189875652173912</v>
      </c>
      <c r="AQ92" s="6" t="str" cm="1">
        <f t="array" ref="AQ92">IFERROR((SUMPRODUCT(($A$78:$A$101=AQ$76)*($F$75:$AJ$75="")*$F$78:$AJ$101)+IF(AQ$76="P6",SUMPRODUCT(($F$75:$AJ$75="P6")*$F$78:$AJ$101),0))/(SUMPRODUCT(($A$78:$A$101=AQ$76)*($F$75:$AJ$75=""))+IF(AQ$76="P6",COUNTIF($F$75:$AJ$75,"P6")*ROWS($A$78:$A$101),0)),"")</f>
        <v/>
      </c>
      <c r="AR92" s="6" cm="1">
        <f t="array" ref="AR92">IFERROR((SUMPRODUCT(($A$78:$A$101=AR$76)*($F$75:$AJ$75="")*$F$78:$AJ$101)+IF(AR$76="P6",SUMPRODUCT(($F$75:$AJ$75="P6")*$F$78:$AJ$101),0))/(SUMPRODUCT(($A$78:$A$101=AR$76)*($F$75:$AJ$75=""))+IF(AR$76="P6",COUNTIF($F$75:$AJ$75,"P6")*ROWS($A$78:$A$101),0)),"")</f>
        <v>1.2369373404255322</v>
      </c>
    </row>
    <row r="93" spans="1:44" ht="14.25" customHeight="1" x14ac:dyDescent="0.35">
      <c r="A93" s="1" t="s">
        <v>16</v>
      </c>
      <c r="B93" s="1" t="s">
        <v>17</v>
      </c>
      <c r="C93" s="1" t="s">
        <v>14</v>
      </c>
      <c r="D93" s="1" t="s">
        <v>15</v>
      </c>
      <c r="E93" s="1" t="s">
        <v>34</v>
      </c>
      <c r="F93" s="1">
        <v>1.1393</v>
      </c>
      <c r="G93" s="1">
        <v>1.1424000000000001</v>
      </c>
      <c r="H93" s="1">
        <v>1.12463</v>
      </c>
      <c r="I93" s="1">
        <v>1.0852900000000001</v>
      </c>
      <c r="J93" s="1">
        <v>1.1133599999999999</v>
      </c>
      <c r="K93" s="1">
        <v>1.1391899999999999</v>
      </c>
      <c r="L93" s="1">
        <v>1.0989599999999999</v>
      </c>
      <c r="M93" s="1">
        <v>1.1393</v>
      </c>
      <c r="N93" s="1">
        <v>1.1424000000000001</v>
      </c>
      <c r="O93" s="1">
        <v>1.12463</v>
      </c>
      <c r="P93" s="1">
        <v>1.0852900000000001</v>
      </c>
      <c r="Q93" s="1">
        <v>1.1133599999999999</v>
      </c>
      <c r="R93" s="1">
        <v>1.1391899999999999</v>
      </c>
      <c r="S93" s="1">
        <v>1.0989599999999999</v>
      </c>
      <c r="T93" s="1">
        <v>1.1393</v>
      </c>
      <c r="U93" s="1">
        <v>1.1424000000000001</v>
      </c>
      <c r="V93" s="1">
        <v>1.12463</v>
      </c>
      <c r="W93" s="1">
        <v>1.0852900000000001</v>
      </c>
      <c r="X93" s="1">
        <v>1.1133599999999999</v>
      </c>
      <c r="Y93" s="1">
        <v>1.1391899999999999</v>
      </c>
      <c r="Z93" s="1">
        <v>1.0989599999999999</v>
      </c>
      <c r="AA93" s="1">
        <v>1.1393</v>
      </c>
      <c r="AB93" s="1">
        <v>1.1424000000000001</v>
      </c>
      <c r="AC93" s="1">
        <v>1.12463</v>
      </c>
      <c r="AD93" s="1">
        <v>1.0852900000000001</v>
      </c>
      <c r="AE93" s="1">
        <v>1.06454</v>
      </c>
      <c r="AF93" s="1">
        <v>1.1391899999999999</v>
      </c>
      <c r="AG93" s="1">
        <v>1.0989599999999999</v>
      </c>
      <c r="AH93" s="1">
        <v>1.1393</v>
      </c>
      <c r="AI93" s="1">
        <v>1.1424000000000001</v>
      </c>
      <c r="AJ93" s="1">
        <v>1.12463</v>
      </c>
      <c r="AL93" s="10"/>
      <c r="AM93" s="10"/>
      <c r="AN93" s="10"/>
      <c r="AO93" s="10"/>
      <c r="AP93" s="10"/>
      <c r="AQ93" s="10"/>
      <c r="AR93" s="10"/>
    </row>
    <row r="94" spans="1:44" ht="14.25" customHeight="1" x14ac:dyDescent="0.35">
      <c r="A94" s="1" t="s">
        <v>16</v>
      </c>
      <c r="B94" s="1" t="s">
        <v>17</v>
      </c>
      <c r="C94" s="1" t="s">
        <v>14</v>
      </c>
      <c r="D94" s="1" t="s">
        <v>15</v>
      </c>
      <c r="E94" s="1" t="s">
        <v>35</v>
      </c>
      <c r="F94" s="1">
        <v>1.16832</v>
      </c>
      <c r="G94" s="1">
        <v>1.1858599999999999</v>
      </c>
      <c r="H94" s="1">
        <v>1.1500999999999999</v>
      </c>
      <c r="I94" s="1">
        <v>1.1247400000000001</v>
      </c>
      <c r="J94" s="1">
        <v>1.1371199999999999</v>
      </c>
      <c r="K94" s="1">
        <v>1.1475299999999999</v>
      </c>
      <c r="L94" s="1">
        <v>1.1234200000000001</v>
      </c>
      <c r="M94" s="1">
        <v>1.16832</v>
      </c>
      <c r="N94" s="1">
        <v>1.1858599999999999</v>
      </c>
      <c r="O94" s="1">
        <v>1.1500999999999999</v>
      </c>
      <c r="P94" s="1">
        <v>1.1247400000000001</v>
      </c>
      <c r="Q94" s="1">
        <v>1.1371199999999999</v>
      </c>
      <c r="R94" s="1">
        <v>1.1475299999999999</v>
      </c>
      <c r="S94" s="1">
        <v>1.1234200000000001</v>
      </c>
      <c r="T94" s="1">
        <v>1.16832</v>
      </c>
      <c r="U94" s="1">
        <v>1.1858599999999999</v>
      </c>
      <c r="V94" s="1">
        <v>1.1500999999999999</v>
      </c>
      <c r="W94" s="1">
        <v>1.1247400000000001</v>
      </c>
      <c r="X94" s="1">
        <v>1.1371199999999999</v>
      </c>
      <c r="Y94" s="1">
        <v>1.1475299999999999</v>
      </c>
      <c r="Z94" s="1">
        <v>1.1234200000000001</v>
      </c>
      <c r="AA94" s="1">
        <v>1.16832</v>
      </c>
      <c r="AB94" s="1">
        <v>1.1858599999999999</v>
      </c>
      <c r="AC94" s="1">
        <v>1.1500999999999999</v>
      </c>
      <c r="AD94" s="1">
        <v>1.1247400000000001</v>
      </c>
      <c r="AE94" s="1">
        <v>1.1133599999999999</v>
      </c>
      <c r="AF94" s="1">
        <v>1.1475299999999999</v>
      </c>
      <c r="AG94" s="1">
        <v>1.1234200000000001</v>
      </c>
      <c r="AH94" s="1">
        <v>1.16832</v>
      </c>
      <c r="AI94" s="1">
        <v>1.1858599999999999</v>
      </c>
      <c r="AJ94" s="1">
        <v>1.1500999999999999</v>
      </c>
      <c r="AL94" s="10"/>
      <c r="AM94" s="10"/>
      <c r="AN94" s="10"/>
      <c r="AO94" s="10"/>
      <c r="AP94" s="10"/>
      <c r="AQ94" s="10"/>
      <c r="AR94" s="10"/>
    </row>
    <row r="95" spans="1:44" ht="14.25" customHeight="1" x14ac:dyDescent="0.35">
      <c r="A95" s="1" t="s">
        <v>16</v>
      </c>
      <c r="B95" s="1" t="s">
        <v>17</v>
      </c>
      <c r="C95" s="1" t="s">
        <v>14</v>
      </c>
      <c r="D95" s="1" t="s">
        <v>15</v>
      </c>
      <c r="E95" s="1" t="s">
        <v>36</v>
      </c>
      <c r="F95" s="1">
        <v>1.1778599999999999</v>
      </c>
      <c r="G95" s="1">
        <v>1.23085</v>
      </c>
      <c r="H95" s="1">
        <v>1.17035</v>
      </c>
      <c r="I95" s="1">
        <v>1.16381</v>
      </c>
      <c r="J95" s="1">
        <v>1.1512800000000001</v>
      </c>
      <c r="K95" s="1">
        <v>1.1676200000000001</v>
      </c>
      <c r="L95" s="1">
        <v>1.1380999999999999</v>
      </c>
      <c r="M95" s="1">
        <v>1.1778599999999999</v>
      </c>
      <c r="N95" s="1">
        <v>1.23085</v>
      </c>
      <c r="O95" s="1">
        <v>1.17035</v>
      </c>
      <c r="P95" s="1">
        <v>1.16381</v>
      </c>
      <c r="Q95" s="1">
        <v>1.1512800000000001</v>
      </c>
      <c r="R95" s="1">
        <v>1.1676200000000001</v>
      </c>
      <c r="S95" s="1">
        <v>1.1380999999999999</v>
      </c>
      <c r="T95" s="1">
        <v>1.1778599999999999</v>
      </c>
      <c r="U95" s="1">
        <v>1.23085</v>
      </c>
      <c r="V95" s="1">
        <v>1.17035</v>
      </c>
      <c r="W95" s="1">
        <v>1.16381</v>
      </c>
      <c r="X95" s="1">
        <v>1.1512800000000001</v>
      </c>
      <c r="Y95" s="1">
        <v>1.1676200000000001</v>
      </c>
      <c r="Z95" s="1">
        <v>1.1380999999999999</v>
      </c>
      <c r="AA95" s="1">
        <v>1.1778599999999999</v>
      </c>
      <c r="AB95" s="1">
        <v>1.23085</v>
      </c>
      <c r="AC95" s="1">
        <v>1.17035</v>
      </c>
      <c r="AD95" s="1">
        <v>1.16381</v>
      </c>
      <c r="AE95" s="1">
        <v>1.1371199999999999</v>
      </c>
      <c r="AF95" s="1">
        <v>1.1676200000000001</v>
      </c>
      <c r="AG95" s="1">
        <v>1.1380999999999999</v>
      </c>
      <c r="AH95" s="1">
        <v>1.1778599999999999</v>
      </c>
      <c r="AI95" s="1">
        <v>1.23085</v>
      </c>
      <c r="AJ95" s="1">
        <v>1.17035</v>
      </c>
      <c r="AL95" s="14" t="s">
        <v>215</v>
      </c>
      <c r="AM95" s="14"/>
      <c r="AN95" s="14"/>
      <c r="AO95" s="14"/>
      <c r="AP95" s="14"/>
      <c r="AQ95" s="14"/>
      <c r="AR95" s="14"/>
    </row>
    <row r="96" spans="1:44" ht="14.25" customHeight="1" x14ac:dyDescent="0.35">
      <c r="A96" s="1" t="s">
        <v>14</v>
      </c>
      <c r="B96" s="1" t="s">
        <v>16</v>
      </c>
      <c r="C96" s="1" t="s">
        <v>13</v>
      </c>
      <c r="D96" s="1" t="s">
        <v>14</v>
      </c>
      <c r="E96" s="1" t="s">
        <v>37</v>
      </c>
      <c r="F96" s="1">
        <v>1.13558</v>
      </c>
      <c r="G96" s="1">
        <v>1.18998</v>
      </c>
      <c r="H96" s="1">
        <v>1.13615</v>
      </c>
      <c r="I96" s="1">
        <v>1.1975199999999999</v>
      </c>
      <c r="J96" s="1">
        <v>1.1403099999999999</v>
      </c>
      <c r="K96" s="1">
        <v>1.13896</v>
      </c>
      <c r="L96" s="1">
        <v>1.0936999999999999</v>
      </c>
      <c r="M96" s="1">
        <v>1.13558</v>
      </c>
      <c r="N96" s="1">
        <v>1.18998</v>
      </c>
      <c r="O96" s="1">
        <v>1.13615</v>
      </c>
      <c r="P96" s="1">
        <v>1.1975199999999999</v>
      </c>
      <c r="Q96" s="1">
        <v>1.1403099999999999</v>
      </c>
      <c r="R96" s="1">
        <v>1.13896</v>
      </c>
      <c r="S96" s="1">
        <v>1.0936999999999999</v>
      </c>
      <c r="T96" s="1">
        <v>1.13558</v>
      </c>
      <c r="U96" s="1">
        <v>1.18998</v>
      </c>
      <c r="V96" s="1">
        <v>1.13615</v>
      </c>
      <c r="W96" s="1">
        <v>1.1975199999999999</v>
      </c>
      <c r="X96" s="1">
        <v>1.1403099999999999</v>
      </c>
      <c r="Y96" s="1">
        <v>1.13896</v>
      </c>
      <c r="Z96" s="1">
        <v>1.0936999999999999</v>
      </c>
      <c r="AA96" s="1">
        <v>1.13558</v>
      </c>
      <c r="AB96" s="1">
        <v>1.18998</v>
      </c>
      <c r="AC96" s="1">
        <v>1.13615</v>
      </c>
      <c r="AD96" s="1">
        <v>1.1975199999999999</v>
      </c>
      <c r="AE96" s="1">
        <v>1.1512800000000001</v>
      </c>
      <c r="AF96" s="1">
        <v>1.13896</v>
      </c>
      <c r="AG96" s="1">
        <v>1.0936999999999999</v>
      </c>
      <c r="AH96" s="1">
        <v>1.13558</v>
      </c>
      <c r="AI96" s="1">
        <v>1.18998</v>
      </c>
      <c r="AJ96" s="1">
        <v>1.13615</v>
      </c>
      <c r="AL96" s="4"/>
      <c r="AM96" s="4" t="s">
        <v>13</v>
      </c>
      <c r="AN96" s="4" t="s">
        <v>14</v>
      </c>
      <c r="AO96" s="4" t="s">
        <v>15</v>
      </c>
      <c r="AP96" s="4" t="s">
        <v>16</v>
      </c>
      <c r="AQ96" s="4" t="s">
        <v>17</v>
      </c>
      <c r="AR96" s="4" t="s">
        <v>7</v>
      </c>
    </row>
    <row r="97" spans="1:44" ht="14.25" customHeight="1" x14ac:dyDescent="0.35">
      <c r="A97" s="1" t="s">
        <v>14</v>
      </c>
      <c r="B97" s="1" t="s">
        <v>16</v>
      </c>
      <c r="C97" s="1" t="s">
        <v>13</v>
      </c>
      <c r="D97" s="1" t="s">
        <v>14</v>
      </c>
      <c r="E97" s="1" t="s">
        <v>38</v>
      </c>
      <c r="F97" s="1">
        <v>1.1499200000000001</v>
      </c>
      <c r="G97" s="1">
        <v>1.20255</v>
      </c>
      <c r="H97" s="1">
        <v>1.16815</v>
      </c>
      <c r="I97" s="1">
        <v>1.2095</v>
      </c>
      <c r="J97" s="1">
        <v>1.1509</v>
      </c>
      <c r="K97" s="1">
        <v>1.1522600000000001</v>
      </c>
      <c r="L97" s="1">
        <v>1.11527</v>
      </c>
      <c r="M97" s="1">
        <v>1.1499200000000001</v>
      </c>
      <c r="N97" s="1">
        <v>1.20255</v>
      </c>
      <c r="O97" s="1">
        <v>1.16815</v>
      </c>
      <c r="P97" s="1">
        <v>1.2095</v>
      </c>
      <c r="Q97" s="1">
        <v>1.1509</v>
      </c>
      <c r="R97" s="1">
        <v>1.1522600000000001</v>
      </c>
      <c r="S97" s="1">
        <v>1.11527</v>
      </c>
      <c r="T97" s="1">
        <v>1.1499200000000001</v>
      </c>
      <c r="U97" s="1">
        <v>1.20255</v>
      </c>
      <c r="V97" s="1">
        <v>1.16815</v>
      </c>
      <c r="W97" s="1">
        <v>1.2095</v>
      </c>
      <c r="X97" s="1">
        <v>1.1509</v>
      </c>
      <c r="Y97" s="1">
        <v>1.1522600000000001</v>
      </c>
      <c r="Z97" s="1">
        <v>1.11527</v>
      </c>
      <c r="AA97" s="1">
        <v>1.1499200000000001</v>
      </c>
      <c r="AB97" s="1">
        <v>1.20255</v>
      </c>
      <c r="AC97" s="1">
        <v>1.16815</v>
      </c>
      <c r="AD97" s="1">
        <v>1.2095</v>
      </c>
      <c r="AE97" s="1">
        <v>1.1403099999999999</v>
      </c>
      <c r="AF97" s="1">
        <v>1.1522600000000001</v>
      </c>
      <c r="AG97" s="1">
        <v>1.11527</v>
      </c>
      <c r="AH97" s="1">
        <v>1.1499200000000001</v>
      </c>
      <c r="AI97" s="1">
        <v>1.20255</v>
      </c>
      <c r="AJ97" s="1">
        <v>1.16815</v>
      </c>
      <c r="AL97" s="4" t="s">
        <v>19</v>
      </c>
      <c r="AM97" s="6" cm="1">
        <f t="array" ref="AM97">IFERROR((SUMPRODUCT(($C$78:$C$101=AM$76)*($F$74:$AJ$74="")*$F$78:$AJ$101)+IF(AM$76="P3",SUMPRODUCT(($F$74:$AJ$74="P3")*$F$78:$AJ$101),0))/(SUMPRODUCT(($C$78:$C$101=AM$76)*($F$74:$AJ$74=""))+IF(AM$76="P3",COUNTIF($F$74:$AJ$74,"P3")*ROWS($C$78:$C$101),0)),"")</f>
        <v>1.0943790760869565</v>
      </c>
      <c r="AN97" s="6" cm="1">
        <f t="array" ref="AN97">IFERROR((SUMPRODUCT(($C$78:$C$101=AN$41)*($F$74:$AJ$74="")*$F$78:$AJ$101)+IF(AN$41="P3",SUMPRODUCT(($F$74:$AJ$74="P3")*$F$78:$AJ$101),0))/(SUMPRODUCT(($C$78:$C$101=AN$41)*($F$74:$AJ$74=""))+IF(AN$41="P3",COUNTIF($F$74:$AJ$74,"P3")*ROWS($C$78:$C$101),0)),"")</f>
        <v>1.1771798913043483</v>
      </c>
      <c r="AO97" s="6" cm="1">
        <f t="array" ref="AO97">IFERROR((SUMPRODUCT(($C$78:$C$101=AO$41)*($F$74:$AJ$74="")*$F$78:$AJ$101)+IF(AO$41="P3",SUMPRODUCT(($F$74:$AJ$74="P3")*$F$78:$AJ$101),0))/(SUMPRODUCT(($C$78:$C$101=AO$41)*($F$74:$AJ$74=""))+IF(AO$41="P3",COUNTIF($F$74:$AJ$74,"P3")*ROWS($C$78:$C$101),0)),"")</f>
        <v>1.2369373404255322</v>
      </c>
      <c r="AP97" s="6" t="str" cm="1">
        <f t="array" ref="AP97">IFERROR((SUMPRODUCT(($C$78:$C$101=AP$41)*($F$74:$AJ$74="")*$F$78:$AJ$101)+IF(AP$41="P3",SUMPRODUCT(($F$74:$AJ$74="P3")*$F$78:$AJ$101),0))/(SUMPRODUCT(($C$78:$C$101=AP$41)*($F$74:$AJ$74=""))+IF(AP$41="P3",COUNTIF($F$74:$AJ$74,"P3")*ROWS($C$78:$C$101),0)),"")</f>
        <v/>
      </c>
      <c r="AQ97" s="6" t="str" cm="1">
        <f t="array" ref="AQ97">IFERROR((SUMPRODUCT(($C$78:$C$101=AQ$41)*($F$74:$AJ$74="")*$F$78:$AJ$101)+IF(AQ$41="P3",SUMPRODUCT(($F$74:$AJ$74="P3")*$F$78:$AJ$101),0))/(SUMPRODUCT(($C$78:$C$101=AQ$41)*($F$74:$AJ$74=""))+IF(AQ$41="P3",COUNTIF($F$74:$AJ$74,"P3")*ROWS($C$78:$C$101),0)),"")</f>
        <v/>
      </c>
      <c r="AR97" s="6" t="str" cm="1">
        <f t="array" ref="AR97">IFERROR((SUMPRODUCT(($C$78:$C$101=AR$41)*($F$74:$AJ$74="")*$F$78:$AJ$101)+IF(AR$41="P3",SUMPRODUCT(($F$74:$AJ$74="P3")*$F$78:$AJ$101),0))/(SUMPRODUCT(($C$78:$C$101=AR$41)*($F$74:$AJ$74=""))+IF(AR$41="P3",COUNTIF($F$74:$AJ$74,"P3")*ROWS($C$78:$C$101),0)),"")</f>
        <v/>
      </c>
    </row>
    <row r="98" spans="1:44" ht="14.25" customHeight="1" x14ac:dyDescent="0.35">
      <c r="A98" s="1" t="s">
        <v>14</v>
      </c>
      <c r="B98" s="1" t="s">
        <v>16</v>
      </c>
      <c r="C98" s="1" t="s">
        <v>13</v>
      </c>
      <c r="D98" s="1" t="s">
        <v>14</v>
      </c>
      <c r="E98" s="1" t="s">
        <v>39</v>
      </c>
      <c r="F98" s="1">
        <v>1.16293</v>
      </c>
      <c r="G98" s="1">
        <v>1.2103699999999999</v>
      </c>
      <c r="H98" s="1">
        <v>1.18726</v>
      </c>
      <c r="I98" s="1">
        <v>1.21289</v>
      </c>
      <c r="J98" s="1">
        <v>1.1355900000000001</v>
      </c>
      <c r="K98" s="1">
        <v>1.1496200000000001</v>
      </c>
      <c r="L98" s="1">
        <v>1.13622</v>
      </c>
      <c r="M98" s="1">
        <v>1.16293</v>
      </c>
      <c r="N98" s="1">
        <v>1.2103699999999999</v>
      </c>
      <c r="O98" s="1">
        <v>1.18726</v>
      </c>
      <c r="P98" s="1">
        <v>1.21289</v>
      </c>
      <c r="Q98" s="1">
        <v>1.1355900000000001</v>
      </c>
      <c r="R98" s="1">
        <v>1.1496200000000001</v>
      </c>
      <c r="S98" s="1">
        <v>1.13622</v>
      </c>
      <c r="T98" s="1">
        <v>1.16293</v>
      </c>
      <c r="U98" s="1">
        <v>1.2103699999999999</v>
      </c>
      <c r="V98" s="1">
        <v>1.18726</v>
      </c>
      <c r="W98" s="1">
        <v>1.21289</v>
      </c>
      <c r="X98" s="1">
        <v>1.1355900000000001</v>
      </c>
      <c r="Y98" s="1">
        <v>1.1496200000000001</v>
      </c>
      <c r="Z98" s="1">
        <v>1.13622</v>
      </c>
      <c r="AA98" s="1">
        <v>1.16293</v>
      </c>
      <c r="AB98" s="1">
        <v>1.2103699999999999</v>
      </c>
      <c r="AC98" s="1">
        <v>1.18726</v>
      </c>
      <c r="AD98" s="1">
        <v>1.21289</v>
      </c>
      <c r="AE98" s="1">
        <v>1.1509</v>
      </c>
      <c r="AF98" s="1">
        <v>1.1496200000000001</v>
      </c>
      <c r="AG98" s="1">
        <v>1.13622</v>
      </c>
      <c r="AH98" s="1">
        <v>1.16293</v>
      </c>
      <c r="AI98" s="1">
        <v>1.2103699999999999</v>
      </c>
      <c r="AJ98" s="1">
        <v>1.18726</v>
      </c>
      <c r="AL98" s="4" t="s">
        <v>21</v>
      </c>
      <c r="AM98" s="6" t="str" cm="1">
        <f t="array" ref="AM98">IFERROR((SUMPRODUCT(($B$78:$B$101=AM$76)*($F$75:$AJ$75="")*$F$78:$AJ$101)+IF(AM$76="P6",SUMPRODUCT(($F$75:$AJ$75="P6")*$F$78:$AJ$101),0))/(SUMPRODUCT(($B$78:$B$101=AM$76)*($F$75:$AJ$75=""))+IF(AM$76="P6",COUNTIF($F$75:$AJ$75,"P6")*ROWS($B$78:$B$101),0)),"")</f>
        <v/>
      </c>
      <c r="AN98" s="6" t="str" cm="1">
        <f t="array" ref="AN98">IFERROR((SUMPRODUCT(($B$78:$B$101=AN$76)*($F$75:$AJ$75="")*$F$78:$AJ$101)+IF(AN$76="P6",SUMPRODUCT(($F$75:$AJ$75="P6")*$F$78:$AJ$101),0))/(SUMPRODUCT(($B$78:$B$101=AN$76)*($F$75:$AJ$75=""))+IF(AN$76="P6",COUNTIF($F$75:$AJ$75,"P6")*ROWS($B$78:$B$101),0)),"")</f>
        <v/>
      </c>
      <c r="AO98" s="6" t="str" cm="1">
        <f t="array" ref="AO98">IFERROR((SUMPRODUCT(($B$78:$B$101=AO$76)*($F$75:$AJ$75="")*$F$78:$AJ$101)+IF(AO$76="P6",SUMPRODUCT(($F$75:$AJ$75="P6")*$F$78:$AJ$101),0))/(SUMPRODUCT(($B$78:$B$101=AO$76)*($F$75:$AJ$75=""))+IF(AO$76="P6",COUNTIF($F$75:$AJ$75,"P6")*ROWS($B$78:$B$101),0)),"")</f>
        <v/>
      </c>
      <c r="AP98" s="6" cm="1">
        <f t="array" ref="AP98">IFERROR((SUMPRODUCT(($B$78:$B$101=AP$76)*($F$75:$AJ$75="")*$F$78:$AJ$101)+IF(AP$76="P6",SUMPRODUCT(($F$75:$AJ$75="P6")*$F$78:$AJ$101),0))/(SUMPRODUCT(($B$78:$B$101=AP$76)*($F$75:$AJ$75=""))+IF(AP$76="P6",COUNTIF($F$75:$AJ$75,"P6")*ROWS($B$78:$B$101),0)),"")</f>
        <v>1.0937046859903383</v>
      </c>
      <c r="AQ98" s="6" cm="1">
        <f t="array" ref="AQ98">IFERROR((SUMPRODUCT(($B$78:$B$101=AQ$76)*($F$75:$AJ$75="")*$F$78:$AJ$101)+IF(AQ$76="P6",SUMPRODUCT(($F$75:$AJ$75="P6")*$F$78:$AJ$101),0))/(SUMPRODUCT(($B$78:$B$101=AQ$76)*($F$75:$AJ$75=""))+IF(AQ$76="P6",COUNTIF($F$75:$AJ$75,"P6")*ROWS($B$78:$B$101),0)),"")</f>
        <v>1.189875652173912</v>
      </c>
      <c r="AR98" s="6" cm="1">
        <f t="array" ref="AR98">IFERROR((SUMPRODUCT(($B$78:$B$101=AR$76)*($F$75:$AJ$75="")*$F$78:$AJ$101)+IF(AR$76="P6",SUMPRODUCT(($F$75:$AJ$75="P6")*$F$78:$AJ$101),0))/(SUMPRODUCT(($B$78:$B$101=AR$76)*($F$75:$AJ$75=""))+IF(AR$76="P6",COUNTIF($F$75:$AJ$75,"P6")*ROWS($B$78:$B$101),0)),"")</f>
        <v>1.2369373404255322</v>
      </c>
    </row>
    <row r="99" spans="1:44" ht="14.25" customHeight="1" x14ac:dyDescent="0.35">
      <c r="A99" s="1" t="s">
        <v>14</v>
      </c>
      <c r="B99" s="1" t="s">
        <v>16</v>
      </c>
      <c r="C99" s="1" t="s">
        <v>13</v>
      </c>
      <c r="D99" s="1" t="s">
        <v>14</v>
      </c>
      <c r="E99" s="1" t="s">
        <v>40</v>
      </c>
      <c r="F99" s="1">
        <v>1.18035</v>
      </c>
      <c r="G99" s="1">
        <v>1.22184</v>
      </c>
      <c r="H99" s="1">
        <v>1.2119899999999999</v>
      </c>
      <c r="I99" s="1">
        <v>1.22909</v>
      </c>
      <c r="J99" s="1">
        <v>1.1733800000000001</v>
      </c>
      <c r="K99" s="1">
        <v>1.1843300000000001</v>
      </c>
      <c r="L99" s="1">
        <v>1.1576900000000001</v>
      </c>
      <c r="M99" s="1">
        <v>1.18035</v>
      </c>
      <c r="N99" s="1">
        <v>1.22184</v>
      </c>
      <c r="O99" s="1">
        <v>1.2119899999999999</v>
      </c>
      <c r="P99" s="1">
        <v>1.22909</v>
      </c>
      <c r="Q99" s="1">
        <v>1.1733800000000001</v>
      </c>
      <c r="R99" s="1">
        <v>1.1843300000000001</v>
      </c>
      <c r="S99" s="1">
        <v>1.1576900000000001</v>
      </c>
      <c r="T99" s="1">
        <v>1.18035</v>
      </c>
      <c r="U99" s="1">
        <v>1.22184</v>
      </c>
      <c r="V99" s="1">
        <v>1.2119899999999999</v>
      </c>
      <c r="W99" s="1">
        <v>1.22909</v>
      </c>
      <c r="X99" s="1">
        <v>1.1733800000000001</v>
      </c>
      <c r="Y99" s="1">
        <v>1.1843300000000001</v>
      </c>
      <c r="Z99" s="1">
        <v>1.1576900000000001</v>
      </c>
      <c r="AA99" s="1">
        <v>1.18035</v>
      </c>
      <c r="AB99" s="1">
        <v>1.22184</v>
      </c>
      <c r="AC99" s="1">
        <v>1.2119899999999999</v>
      </c>
      <c r="AD99" s="1">
        <v>1.22909</v>
      </c>
      <c r="AE99" s="1">
        <v>1.1355900000000001</v>
      </c>
      <c r="AF99" s="1">
        <v>1.1843300000000001</v>
      </c>
      <c r="AG99" s="1">
        <v>1.1576900000000001</v>
      </c>
      <c r="AH99" s="1">
        <v>1.18035</v>
      </c>
      <c r="AI99" s="1">
        <v>1.22184</v>
      </c>
      <c r="AJ99" s="1">
        <v>1.2119899999999999</v>
      </c>
      <c r="AL99" s="4" t="s">
        <v>23</v>
      </c>
      <c r="AM99" s="6" t="str" cm="1">
        <f t="array" ref="AM99">IFERROR((SUMPRODUCT(($B$78:$B$101=AM$76)*($F$75:$AJ$75="")*$F$78:$AJ$101)+IF(AM$76="P6",SUMPRODUCT(($F$75:$AJ$75="P6")*$F$78:$AJ$101),0))/(SUMPRODUCT(($B$78:$B$101=AM$76)*($F$75:$AJ$75=""))+IF(AM$76="P6",COUNTIF($F$75:$AJ$75,"P6")*ROWS($B$78:$B$101),0)),"")</f>
        <v/>
      </c>
      <c r="AN99" s="6" t="str" cm="1">
        <f t="array" ref="AN99">IFERROR((SUMPRODUCT(($B$78:$B$101=AN$76)*($F$75:$AJ$75="")*$F$78:$AJ$101)+IF(AN$76="P6",SUMPRODUCT(($F$75:$AJ$75="P6")*$F$78:$AJ$101),0))/(SUMPRODUCT(($B$78:$B$101=AN$76)*($F$75:$AJ$75=""))+IF(AN$76="P6",COUNTIF($F$75:$AJ$75,"P6")*ROWS($B$78:$B$101),0)),"")</f>
        <v/>
      </c>
      <c r="AO99" s="6" t="str" cm="1">
        <f t="array" ref="AO99">IFERROR((SUMPRODUCT(($B$78:$B$101=AO$76)*($F$75:$AJ$75="")*$F$78:$AJ$101)+IF(AO$76="P6",SUMPRODUCT(($F$75:$AJ$75="P6")*$F$78:$AJ$101),0))/(SUMPRODUCT(($B$78:$B$101=AO$76)*($F$75:$AJ$75=""))+IF(AO$76="P6",COUNTIF($F$75:$AJ$75,"P6")*ROWS($B$78:$B$101),0)),"")</f>
        <v/>
      </c>
      <c r="AP99" s="6" cm="1">
        <f t="array" ref="AP99">IFERROR((SUMPRODUCT(($B$78:$B$101=AP$76)*($F$75:$AJ$75="")*$F$78:$AJ$101)+IF(AP$76="P6",SUMPRODUCT(($F$75:$AJ$75="P6")*$F$78:$AJ$101),0))/(SUMPRODUCT(($B$78:$B$101=AP$76)*($F$75:$AJ$75=""))+IF(AP$76="P6",COUNTIF($F$75:$AJ$75,"P6")*ROWS($B$78:$B$101),0)),"")</f>
        <v>1.0937046859903383</v>
      </c>
      <c r="AQ99" s="6" cm="1">
        <f t="array" ref="AQ99">IFERROR((SUMPRODUCT(($B$78:$B$101=AQ$76)*($F$75:$AJ$75="")*$F$78:$AJ$101)+IF(AQ$76="P6",SUMPRODUCT(($F$75:$AJ$75="P6")*$F$78:$AJ$101),0))/(SUMPRODUCT(($B$78:$B$101=AQ$76)*($F$75:$AJ$75=""))+IF(AQ$76="P6",COUNTIF($F$75:$AJ$75,"P6")*ROWS($B$78:$B$101),0)),"")</f>
        <v>1.189875652173912</v>
      </c>
      <c r="AR99" s="6" cm="1">
        <f t="array" ref="AR99">IFERROR((SUMPRODUCT(($B$78:$B$101=AR$76)*($F$75:$AJ$75="")*$F$78:$AJ$101)+IF(AR$76="P6",SUMPRODUCT(($F$75:$AJ$75="P6")*$F$78:$AJ$101),0))/(SUMPRODUCT(($B$78:$B$101=AR$76)*($F$75:$AJ$75=""))+IF(AR$76="P6",COUNTIF($F$75:$AJ$75,"P6")*ROWS($B$78:$B$101),0)),"")</f>
        <v>1.2369373404255322</v>
      </c>
    </row>
    <row r="100" spans="1:44" ht="14.25" customHeight="1" x14ac:dyDescent="0.35">
      <c r="A100" s="1" t="s">
        <v>16</v>
      </c>
      <c r="B100" s="1" t="s">
        <v>17</v>
      </c>
      <c r="C100" s="1" t="s">
        <v>14</v>
      </c>
      <c r="D100" s="1" t="s">
        <v>15</v>
      </c>
      <c r="E100" s="1" t="s">
        <v>41</v>
      </c>
      <c r="F100" s="1">
        <v>1.2897099999999999</v>
      </c>
      <c r="G100" s="1">
        <v>1.32375</v>
      </c>
      <c r="H100" s="1">
        <v>1.3093999999999999</v>
      </c>
      <c r="I100" s="1">
        <v>1.2525900000000001</v>
      </c>
      <c r="J100" s="1">
        <v>1.20245</v>
      </c>
      <c r="K100" s="1">
        <v>1.3060400000000001</v>
      </c>
      <c r="L100" s="1">
        <v>1.26373</v>
      </c>
      <c r="M100" s="1">
        <v>1.2897099999999999</v>
      </c>
      <c r="N100" s="1">
        <v>1.32375</v>
      </c>
      <c r="O100" s="1">
        <v>1.3093999999999999</v>
      </c>
      <c r="P100" s="1">
        <v>1.2525900000000001</v>
      </c>
      <c r="Q100" s="1">
        <v>1.20245</v>
      </c>
      <c r="R100" s="1">
        <v>1.3060400000000001</v>
      </c>
      <c r="S100" s="1">
        <v>1.26373</v>
      </c>
      <c r="T100" s="1">
        <v>1.2897099999999999</v>
      </c>
      <c r="U100" s="1">
        <v>1.32375</v>
      </c>
      <c r="V100" s="1">
        <v>1.3093999999999999</v>
      </c>
      <c r="W100" s="1">
        <v>1.2525900000000001</v>
      </c>
      <c r="X100" s="1">
        <v>1.20245</v>
      </c>
      <c r="Y100" s="1">
        <v>1.3060400000000001</v>
      </c>
      <c r="Z100" s="1">
        <v>1.26373</v>
      </c>
      <c r="AA100" s="1">
        <v>1.2897099999999999</v>
      </c>
      <c r="AB100" s="1">
        <v>1.32375</v>
      </c>
      <c r="AC100" s="1">
        <v>1.3093999999999999</v>
      </c>
      <c r="AD100" s="1">
        <v>1.2525900000000001</v>
      </c>
      <c r="AE100" s="1">
        <v>1.1733800000000001</v>
      </c>
      <c r="AF100" s="1">
        <v>1.3060400000000001</v>
      </c>
      <c r="AG100" s="1">
        <v>1.26373</v>
      </c>
      <c r="AH100" s="1">
        <v>1.2897099999999999</v>
      </c>
      <c r="AI100" s="1">
        <v>1.32375</v>
      </c>
      <c r="AJ100" s="1">
        <v>1.3093999999999999</v>
      </c>
      <c r="AL100" s="4" t="s">
        <v>25</v>
      </c>
      <c r="AM100" s="6" t="str" cm="1">
        <f t="array" ref="AM100">IFERROR((SUMPRODUCT(($B$78:$B$101=AM$76)*($F$75:$AJ$75="")*$F$78:$AJ$101)+IF(AM$76="P6",SUMPRODUCT(($F$75:$AJ$75="P6")*$F$78:$AJ$101),0))/(SUMPRODUCT(($B$78:$B$101=AM$76)*($F$75:$AJ$75=""))+IF(AM$76="P6",COUNTIF($F$75:$AJ$75,"P6")*ROWS($B$78:$B$101),0)),"")</f>
        <v/>
      </c>
      <c r="AN100" s="6" t="str" cm="1">
        <f t="array" ref="AN100">IFERROR((SUMPRODUCT(($B$78:$B$101=AN$76)*($F$75:$AJ$75="")*$F$78:$AJ$101)+IF(AN$76="P6",SUMPRODUCT(($F$75:$AJ$75="P6")*$F$78:$AJ$101),0))/(SUMPRODUCT(($B$78:$B$101=AN$76)*($F$75:$AJ$75=""))+IF(AN$76="P6",COUNTIF($F$75:$AJ$75,"P6")*ROWS($B$78:$B$101),0)),"")</f>
        <v/>
      </c>
      <c r="AO100" s="6" t="str" cm="1">
        <f t="array" ref="AO100">IFERROR((SUMPRODUCT(($B$78:$B$101=AO$76)*($F$75:$AJ$75="")*$F$78:$AJ$101)+IF(AO$76="P6",SUMPRODUCT(($F$75:$AJ$75="P6")*$F$78:$AJ$101),0))/(SUMPRODUCT(($B$78:$B$101=AO$76)*($F$75:$AJ$75=""))+IF(AO$76="P6",COUNTIF($F$75:$AJ$75,"P6")*ROWS($B$78:$B$101),0)),"")</f>
        <v/>
      </c>
      <c r="AP100" s="6" cm="1">
        <f t="array" ref="AP100">IFERROR((SUMPRODUCT(($B$78:$B$101=AP$76)*($F$75:$AJ$75="")*$F$78:$AJ$101)+IF(AP$76="P6",SUMPRODUCT(($F$75:$AJ$75="P6")*$F$78:$AJ$101),0))/(SUMPRODUCT(($B$78:$B$101=AP$76)*($F$75:$AJ$75=""))+IF(AP$76="P6",COUNTIF($F$75:$AJ$75,"P6")*ROWS($B$78:$B$101),0)),"")</f>
        <v>1.0937046859903383</v>
      </c>
      <c r="AQ100" s="6" cm="1">
        <f t="array" ref="AQ100">IFERROR((SUMPRODUCT(($B$78:$B$101=AQ$76)*($F$75:$AJ$75="")*$F$78:$AJ$101)+IF(AQ$76="P6",SUMPRODUCT(($F$75:$AJ$75="P6")*$F$78:$AJ$101),0))/(SUMPRODUCT(($B$78:$B$101=AQ$76)*($F$75:$AJ$75=""))+IF(AQ$76="P6",COUNTIF($F$75:$AJ$75,"P6")*ROWS($B$78:$B$101),0)),"")</f>
        <v>1.189875652173912</v>
      </c>
      <c r="AR100" s="6" cm="1">
        <f t="array" ref="AR100">IFERROR((SUMPRODUCT(($B$78:$B$101=AR$76)*($F$75:$AJ$75="")*$F$78:$AJ$101)+IF(AR$76="P6",SUMPRODUCT(($F$75:$AJ$75="P6")*$F$78:$AJ$101),0))/(SUMPRODUCT(($B$78:$B$101=AR$76)*($F$75:$AJ$75=""))+IF(AR$76="P6",COUNTIF($F$75:$AJ$75,"P6")*ROWS($B$78:$B$101),0)),"")</f>
        <v>1.2369373404255322</v>
      </c>
    </row>
    <row r="101" spans="1:44" ht="14.25" customHeight="1" x14ac:dyDescent="0.35">
      <c r="A101" s="1" t="s">
        <v>16</v>
      </c>
      <c r="B101" s="1" t="s">
        <v>17</v>
      </c>
      <c r="C101" s="1" t="s">
        <v>14</v>
      </c>
      <c r="D101" s="1" t="s">
        <v>15</v>
      </c>
      <c r="E101" s="1" t="s">
        <v>42</v>
      </c>
      <c r="F101" s="1">
        <v>1.3354699999999999</v>
      </c>
      <c r="G101" s="1">
        <v>1.3606100000000001</v>
      </c>
      <c r="H101" s="1">
        <v>1.3495299999999999</v>
      </c>
      <c r="I101" s="1">
        <v>1.2802800000000001</v>
      </c>
      <c r="J101" s="1">
        <v>1.2481599999999999</v>
      </c>
      <c r="K101" s="1">
        <v>1.3416600000000001</v>
      </c>
      <c r="L101" s="1">
        <v>1.3086199999999999</v>
      </c>
      <c r="M101" s="1">
        <v>1.3354699999999999</v>
      </c>
      <c r="N101" s="1">
        <v>1.3606100000000001</v>
      </c>
      <c r="O101" s="1">
        <v>1.3495299999999999</v>
      </c>
      <c r="P101" s="1">
        <v>1.2802800000000001</v>
      </c>
      <c r="Q101" s="1">
        <v>1.2481599999999999</v>
      </c>
      <c r="R101" s="1">
        <v>1.3416600000000001</v>
      </c>
      <c r="S101" s="1">
        <v>1.3086199999999999</v>
      </c>
      <c r="T101" s="1">
        <v>1.3354699999999999</v>
      </c>
      <c r="U101" s="1">
        <v>1.3606100000000001</v>
      </c>
      <c r="V101" s="1">
        <v>1.3495299999999999</v>
      </c>
      <c r="W101" s="1">
        <v>1.2802800000000001</v>
      </c>
      <c r="X101" s="1">
        <v>1.2481599999999999</v>
      </c>
      <c r="Y101" s="1">
        <v>1.3416600000000001</v>
      </c>
      <c r="Z101" s="1">
        <v>1.3086199999999999</v>
      </c>
      <c r="AA101" s="1">
        <v>1.3354699999999999</v>
      </c>
      <c r="AB101" s="1">
        <v>1.3606100000000001</v>
      </c>
      <c r="AC101" s="1">
        <v>1.3495299999999999</v>
      </c>
      <c r="AD101" s="1">
        <v>1.2802800000000001</v>
      </c>
      <c r="AE101" s="1">
        <v>1.20245</v>
      </c>
      <c r="AF101" s="1">
        <v>1.3416600000000001</v>
      </c>
      <c r="AG101" s="1">
        <v>1.3086199999999999</v>
      </c>
      <c r="AH101" s="1">
        <v>1.3354699999999999</v>
      </c>
      <c r="AI101" s="1">
        <v>1.3606100000000001</v>
      </c>
      <c r="AJ101" s="1">
        <v>1.3495299999999999</v>
      </c>
      <c r="AL101" s="4" t="s">
        <v>27</v>
      </c>
      <c r="AM101" s="6" t="str" cm="1">
        <f t="array" ref="AM101">IFERROR((SUMPRODUCT(($B$78:$B$101=AM$76)*($F$75:$AJ$75="")*$F$78:$AJ$101)+IF(AM$76="P6",SUMPRODUCT(($F$75:$AJ$75="P6")*$F$78:$AJ$101),0))/(SUMPRODUCT(($B$78:$B$101=AM$76)*($F$75:$AJ$75=""))+IF(AM$76="P6",COUNTIF($F$75:$AJ$75,"P6")*ROWS($B$78:$B$101),0)),"")</f>
        <v/>
      </c>
      <c r="AN101" s="6" t="str" cm="1">
        <f t="array" ref="AN101">IFERROR((SUMPRODUCT(($B$78:$B$101=AN$76)*($F$75:$AJ$75="")*$F$78:$AJ$101)+IF(AN$76="P6",SUMPRODUCT(($F$75:$AJ$75="P6")*$F$78:$AJ$101),0))/(SUMPRODUCT(($B$78:$B$101=AN$76)*($F$75:$AJ$75=""))+IF(AN$76="P6",COUNTIF($F$75:$AJ$75,"P6")*ROWS($B$78:$B$101),0)),"")</f>
        <v/>
      </c>
      <c r="AO101" s="6" t="str" cm="1">
        <f t="array" ref="AO101">IFERROR((SUMPRODUCT(($B$78:$B$101=AO$76)*($F$75:$AJ$75="")*$F$78:$AJ$101)+IF(AO$76="P6",SUMPRODUCT(($F$75:$AJ$75="P6")*$F$78:$AJ$101),0))/(SUMPRODUCT(($B$78:$B$101=AO$76)*($F$75:$AJ$75=""))+IF(AO$76="P6",COUNTIF($F$75:$AJ$75,"P6")*ROWS($B$78:$B$101),0)),"")</f>
        <v/>
      </c>
      <c r="AP101" s="6" cm="1">
        <f t="array" ref="AP101">IFERROR((SUMPRODUCT(($B$78:$B$101=AP$76)*($F$75:$AJ$75="")*$F$78:$AJ$101)+IF(AP$76="P6",SUMPRODUCT(($F$75:$AJ$75="P6")*$F$78:$AJ$101),0))/(SUMPRODUCT(($B$78:$B$101=AP$76)*($F$75:$AJ$75=""))+IF(AP$76="P6",COUNTIF($F$75:$AJ$75,"P6")*ROWS($B$78:$B$101),0)),"")</f>
        <v>1.0937046859903383</v>
      </c>
      <c r="AQ101" s="6" cm="1">
        <f t="array" ref="AQ101">IFERROR((SUMPRODUCT(($B$78:$B$101=AQ$76)*($F$75:$AJ$75="")*$F$78:$AJ$101)+IF(AQ$76="P6",SUMPRODUCT(($F$75:$AJ$75="P6")*$F$78:$AJ$101),0))/(SUMPRODUCT(($B$78:$B$101=AQ$76)*($F$75:$AJ$75=""))+IF(AQ$76="P6",COUNTIF($F$75:$AJ$75,"P6")*ROWS($B$78:$B$101),0)),"")</f>
        <v>1.189875652173912</v>
      </c>
      <c r="AR101" s="6" cm="1">
        <f t="array" ref="AR101">IFERROR((SUMPRODUCT(($B$78:$B$101=AR$76)*($F$75:$AJ$75="")*$F$78:$AJ$101)+IF(AR$76="P6",SUMPRODUCT(($F$75:$AJ$75="P6")*$F$78:$AJ$101),0))/(SUMPRODUCT(($B$78:$B$101=AR$76)*($F$75:$AJ$75=""))+IF(AR$76="P6",COUNTIF($F$75:$AJ$75,"P6")*ROWS($B$78:$B$101),0)),"")</f>
        <v>1.2369373404255322</v>
      </c>
    </row>
    <row r="102" spans="1:44" ht="14.25" customHeight="1" x14ac:dyDescent="0.35">
      <c r="AL102" s="4" t="s">
        <v>29</v>
      </c>
      <c r="AM102" s="6" t="str" cm="1">
        <f t="array" ref="AM102">IFERROR((SUMPRODUCT(($B$78:$B$101=AM$76)*($F$75:$AJ$75="")*$F$78:$AJ$101)+IF(AM$76="P6",SUMPRODUCT(($F$75:$AJ$75="P6")*$F$78:$AJ$101),0))/(SUMPRODUCT(($B$78:$B$101=AM$76)*($F$75:$AJ$75=""))+IF(AM$76="P6",COUNTIF($F$75:$AJ$75,"P6")*ROWS($B$78:$B$101),0)),"")</f>
        <v/>
      </c>
      <c r="AN102" s="6" t="str" cm="1">
        <f t="array" ref="AN102">IFERROR((SUMPRODUCT(($B$78:$B$101=AN$76)*($F$75:$AJ$75="")*$F$78:$AJ$101)+IF(AN$76="P6",SUMPRODUCT(($F$75:$AJ$75="P6")*$F$78:$AJ$101),0))/(SUMPRODUCT(($B$78:$B$101=AN$76)*($F$75:$AJ$75=""))+IF(AN$76="P6",COUNTIF($F$75:$AJ$75,"P6")*ROWS($B$78:$B$101),0)),"")</f>
        <v/>
      </c>
      <c r="AO102" s="6" t="str" cm="1">
        <f t="array" ref="AO102">IFERROR((SUMPRODUCT(($B$78:$B$101=AO$76)*($F$75:$AJ$75="")*$F$78:$AJ$101)+IF(AO$76="P6",SUMPRODUCT(($F$75:$AJ$75="P6")*$F$78:$AJ$101),0))/(SUMPRODUCT(($B$78:$B$101=AO$76)*($F$75:$AJ$75=""))+IF(AO$76="P6",COUNTIF($F$75:$AJ$75,"P6")*ROWS($B$78:$B$101),0)),"")</f>
        <v/>
      </c>
      <c r="AP102" s="6" cm="1">
        <f t="array" ref="AP102">IFERROR((SUMPRODUCT(($B$78:$B$101=AP$76)*($F$75:$AJ$75="")*$F$78:$AJ$101)+IF(AP$76="P6",SUMPRODUCT(($F$75:$AJ$75="P6")*$F$78:$AJ$101),0))/(SUMPRODUCT(($B$78:$B$101=AP$76)*($F$75:$AJ$75=""))+IF(AP$76="P6",COUNTIF($F$75:$AJ$75,"P6")*ROWS($B$78:$B$101),0)),"")</f>
        <v>1.0937046859903383</v>
      </c>
      <c r="AQ102" s="6" cm="1">
        <f t="array" ref="AQ102">IFERROR((SUMPRODUCT(($B$78:$B$101=AQ$76)*($F$75:$AJ$75="")*$F$78:$AJ$101)+IF(AQ$76="P6",SUMPRODUCT(($F$75:$AJ$75="P6")*$F$78:$AJ$101),0))/(SUMPRODUCT(($B$78:$B$101=AQ$76)*($F$75:$AJ$75=""))+IF(AQ$76="P6",COUNTIF($F$75:$AJ$75,"P6")*ROWS($B$78:$B$101),0)),"")</f>
        <v>1.189875652173912</v>
      </c>
      <c r="AR102" s="6" cm="1">
        <f t="array" ref="AR102">IFERROR((SUMPRODUCT(($B$78:$B$101=AR$76)*($F$75:$AJ$75="")*$F$78:$AJ$101)+IF(AR$76="P6",SUMPRODUCT(($F$75:$AJ$75="P6")*$F$78:$AJ$101),0))/(SUMPRODUCT(($B$78:$B$101=AR$76)*($F$75:$AJ$75=""))+IF(AR$76="P6",COUNTIF($F$75:$AJ$75,"P6")*ROWS($B$78:$B$101),0)),"")</f>
        <v>1.2369373404255322</v>
      </c>
    </row>
    <row r="106" spans="1:44" ht="14.25" customHeight="1" x14ac:dyDescent="0.35">
      <c r="A106" s="15" t="s">
        <v>216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</row>
    <row r="107" spans="1:44" ht="14.25" customHeight="1" x14ac:dyDescent="0.3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</row>
    <row r="108" spans="1:44" ht="14.25" customHeight="1" x14ac:dyDescent="0.35">
      <c r="AL108" s="10"/>
      <c r="AM108" s="10"/>
      <c r="AN108" s="10"/>
      <c r="AO108" s="10"/>
      <c r="AP108" s="10"/>
      <c r="AQ108" s="10"/>
      <c r="AR108" s="10"/>
    </row>
    <row r="109" spans="1:44" ht="14.25" customHeight="1" x14ac:dyDescent="0.35">
      <c r="F109" s="1" t="str">
        <f>IF(OR(F111="S",F111="D"),"P3","")</f>
        <v>P3</v>
      </c>
      <c r="G109" s="1" t="str">
        <f t="shared" ref="G109:AI109" si="14">IF(OR(G111="S",G111="D"),"P3","")</f>
        <v>P3</v>
      </c>
      <c r="H109" s="1" t="str">
        <f t="shared" si="14"/>
        <v/>
      </c>
      <c r="I109" s="1" t="str">
        <f t="shared" si="14"/>
        <v/>
      </c>
      <c r="J109" s="1" t="str">
        <f t="shared" si="14"/>
        <v/>
      </c>
      <c r="K109" s="1" t="str">
        <f t="shared" si="14"/>
        <v/>
      </c>
      <c r="L109" s="1" t="str">
        <f t="shared" si="14"/>
        <v/>
      </c>
      <c r="M109" s="1" t="str">
        <f t="shared" si="14"/>
        <v>P3</v>
      </c>
      <c r="N109" s="1" t="str">
        <f t="shared" si="14"/>
        <v>P3</v>
      </c>
      <c r="O109" s="1" t="str">
        <f t="shared" si="14"/>
        <v/>
      </c>
      <c r="P109" s="1" t="str">
        <f t="shared" si="14"/>
        <v/>
      </c>
      <c r="Q109" s="1" t="str">
        <f t="shared" si="14"/>
        <v/>
      </c>
      <c r="R109" s="1" t="str">
        <f t="shared" si="14"/>
        <v/>
      </c>
      <c r="S109" s="1" t="str">
        <f t="shared" si="14"/>
        <v/>
      </c>
      <c r="T109" s="1" t="str">
        <f t="shared" si="14"/>
        <v>P3</v>
      </c>
      <c r="U109" s="1" t="str">
        <f t="shared" si="14"/>
        <v>P3</v>
      </c>
      <c r="V109" s="1" t="str">
        <f t="shared" si="14"/>
        <v/>
      </c>
      <c r="W109" s="1" t="str">
        <f t="shared" si="14"/>
        <v/>
      </c>
      <c r="X109" s="1" t="str">
        <f t="shared" si="14"/>
        <v/>
      </c>
      <c r="Y109" s="1" t="str">
        <f t="shared" si="14"/>
        <v/>
      </c>
      <c r="Z109" s="1" t="str">
        <f t="shared" si="14"/>
        <v/>
      </c>
      <c r="AA109" s="1" t="str">
        <f t="shared" si="14"/>
        <v>P3</v>
      </c>
      <c r="AB109" s="1" t="str">
        <f t="shared" si="14"/>
        <v>P3</v>
      </c>
      <c r="AC109" s="1" t="str">
        <f t="shared" si="14"/>
        <v/>
      </c>
      <c r="AD109" s="1" t="str">
        <f t="shared" si="14"/>
        <v/>
      </c>
      <c r="AE109" s="1" t="str">
        <f t="shared" si="14"/>
        <v/>
      </c>
      <c r="AF109" s="1" t="str">
        <f t="shared" si="14"/>
        <v/>
      </c>
      <c r="AG109" s="1" t="str">
        <f t="shared" si="14"/>
        <v/>
      </c>
      <c r="AH109" s="1" t="str">
        <f t="shared" si="14"/>
        <v>P3</v>
      </c>
      <c r="AI109" s="1" t="str">
        <f t="shared" si="14"/>
        <v>P3</v>
      </c>
      <c r="AL109" s="10"/>
      <c r="AM109" s="10"/>
      <c r="AN109" s="10"/>
      <c r="AO109" s="10"/>
      <c r="AP109" s="10"/>
      <c r="AQ109" s="10"/>
      <c r="AR109" s="10"/>
    </row>
    <row r="110" spans="1:44" ht="14.25" customHeight="1" x14ac:dyDescent="0.35">
      <c r="F110" s="1" t="str">
        <f>IF(OR(F111="S",F111="D"),"P6","")</f>
        <v>P6</v>
      </c>
      <c r="G110" s="1" t="str">
        <f t="shared" ref="G110:AI110" si="15">IF(OR(G111="S",G111="D"),"P6","")</f>
        <v>P6</v>
      </c>
      <c r="H110" s="1" t="str">
        <f t="shared" si="15"/>
        <v/>
      </c>
      <c r="I110" s="1" t="str">
        <f t="shared" si="15"/>
        <v/>
      </c>
      <c r="J110" s="1" t="str">
        <f t="shared" si="15"/>
        <v/>
      </c>
      <c r="K110" s="1" t="str">
        <f t="shared" si="15"/>
        <v/>
      </c>
      <c r="L110" s="1" t="str">
        <f t="shared" si="15"/>
        <v/>
      </c>
      <c r="M110" s="1" t="str">
        <f t="shared" si="15"/>
        <v>P6</v>
      </c>
      <c r="N110" s="1" t="str">
        <f t="shared" si="15"/>
        <v>P6</v>
      </c>
      <c r="O110" s="1" t="str">
        <f t="shared" si="15"/>
        <v/>
      </c>
      <c r="P110" s="1" t="str">
        <f t="shared" si="15"/>
        <v/>
      </c>
      <c r="Q110" s="1" t="str">
        <f t="shared" si="15"/>
        <v/>
      </c>
      <c r="R110" s="1" t="str">
        <f t="shared" si="15"/>
        <v/>
      </c>
      <c r="S110" s="1" t="str">
        <f t="shared" si="15"/>
        <v/>
      </c>
      <c r="T110" s="1" t="str">
        <f t="shared" si="15"/>
        <v>P6</v>
      </c>
      <c r="U110" s="1" t="str">
        <f t="shared" si="15"/>
        <v>P6</v>
      </c>
      <c r="V110" s="1" t="str">
        <f t="shared" si="15"/>
        <v/>
      </c>
      <c r="W110" s="1" t="str">
        <f t="shared" si="15"/>
        <v/>
      </c>
      <c r="X110" s="1" t="str">
        <f t="shared" si="15"/>
        <v/>
      </c>
      <c r="Y110" s="1" t="str">
        <f t="shared" si="15"/>
        <v/>
      </c>
      <c r="Z110" s="1" t="str">
        <f t="shared" si="15"/>
        <v/>
      </c>
      <c r="AA110" s="1" t="str">
        <f t="shared" si="15"/>
        <v>P6</v>
      </c>
      <c r="AB110" s="1" t="str">
        <f t="shared" si="15"/>
        <v>P6</v>
      </c>
      <c r="AC110" s="1" t="str">
        <f t="shared" si="15"/>
        <v/>
      </c>
      <c r="AD110" s="1" t="str">
        <f t="shared" si="15"/>
        <v/>
      </c>
      <c r="AE110" s="1" t="str">
        <f t="shared" si="15"/>
        <v/>
      </c>
      <c r="AF110" s="1" t="str">
        <f t="shared" si="15"/>
        <v/>
      </c>
      <c r="AG110" s="1" t="str">
        <f t="shared" si="15"/>
        <v/>
      </c>
      <c r="AH110" s="1" t="str">
        <f t="shared" si="15"/>
        <v>P6</v>
      </c>
      <c r="AI110" s="1" t="str">
        <f t="shared" si="15"/>
        <v>P6</v>
      </c>
      <c r="AL110" s="14" t="s">
        <v>217</v>
      </c>
      <c r="AM110" s="14"/>
      <c r="AN110" s="14"/>
      <c r="AO110" s="14"/>
      <c r="AP110" s="14"/>
      <c r="AQ110" s="14"/>
      <c r="AR110" s="14"/>
    </row>
    <row r="111" spans="1:44" ht="14.25" customHeight="1" x14ac:dyDescent="0.35">
      <c r="F111" s="1" t="str">
        <f>CHOOSE(WEEKDAY(F112,2),"L","M","X","J","V","S","D")</f>
        <v>S</v>
      </c>
      <c r="G111" s="1" t="str">
        <f t="shared" ref="G111:AI111" si="16">CHOOSE(WEEKDAY(G112,2),"L","M","X","J","V","S","D")</f>
        <v>D</v>
      </c>
      <c r="H111" s="1" t="str">
        <f t="shared" si="16"/>
        <v>L</v>
      </c>
      <c r="I111" s="1" t="str">
        <f t="shared" si="16"/>
        <v>M</v>
      </c>
      <c r="J111" s="1" t="str">
        <f t="shared" si="16"/>
        <v>X</v>
      </c>
      <c r="K111" s="1" t="str">
        <f t="shared" si="16"/>
        <v>J</v>
      </c>
      <c r="L111" s="1" t="str">
        <f t="shared" si="16"/>
        <v>V</v>
      </c>
      <c r="M111" s="1" t="str">
        <f t="shared" si="16"/>
        <v>S</v>
      </c>
      <c r="N111" s="1" t="str">
        <f t="shared" si="16"/>
        <v>D</v>
      </c>
      <c r="O111" s="1" t="str">
        <f t="shared" si="16"/>
        <v>L</v>
      </c>
      <c r="P111" s="1" t="str">
        <f t="shared" si="16"/>
        <v>M</v>
      </c>
      <c r="Q111" s="1" t="str">
        <f t="shared" si="16"/>
        <v>X</v>
      </c>
      <c r="R111" s="1" t="str">
        <f t="shared" si="16"/>
        <v>J</v>
      </c>
      <c r="S111" s="1" t="str">
        <f t="shared" si="16"/>
        <v>V</v>
      </c>
      <c r="T111" s="1" t="str">
        <f t="shared" si="16"/>
        <v>S</v>
      </c>
      <c r="U111" s="1" t="str">
        <f t="shared" si="16"/>
        <v>D</v>
      </c>
      <c r="V111" s="1" t="str">
        <f t="shared" si="16"/>
        <v>L</v>
      </c>
      <c r="W111" s="1" t="str">
        <f t="shared" si="16"/>
        <v>M</v>
      </c>
      <c r="X111" s="1" t="str">
        <f t="shared" si="16"/>
        <v>X</v>
      </c>
      <c r="Y111" s="1" t="str">
        <f t="shared" si="16"/>
        <v>J</v>
      </c>
      <c r="Z111" s="1" t="str">
        <f t="shared" si="16"/>
        <v>V</v>
      </c>
      <c r="AA111" s="1" t="str">
        <f t="shared" si="16"/>
        <v>S</v>
      </c>
      <c r="AB111" s="1" t="str">
        <f t="shared" si="16"/>
        <v>D</v>
      </c>
      <c r="AC111" s="1" t="str">
        <f t="shared" si="16"/>
        <v>L</v>
      </c>
      <c r="AD111" s="1" t="str">
        <f t="shared" si="16"/>
        <v>M</v>
      </c>
      <c r="AE111" s="1" t="str">
        <f t="shared" si="16"/>
        <v>X</v>
      </c>
      <c r="AF111" s="1" t="str">
        <f t="shared" si="16"/>
        <v>J</v>
      </c>
      <c r="AG111" s="1" t="str">
        <f t="shared" si="16"/>
        <v>V</v>
      </c>
      <c r="AH111" s="1" t="str">
        <f t="shared" si="16"/>
        <v>S</v>
      </c>
      <c r="AI111" s="1" t="str">
        <f t="shared" si="16"/>
        <v>D</v>
      </c>
      <c r="AL111" s="4"/>
      <c r="AM111" s="4" t="s">
        <v>13</v>
      </c>
      <c r="AN111" s="4" t="s">
        <v>14</v>
      </c>
      <c r="AO111" s="4" t="s">
        <v>15</v>
      </c>
      <c r="AP111" s="4" t="s">
        <v>16</v>
      </c>
      <c r="AQ111" s="4" t="s">
        <v>17</v>
      </c>
      <c r="AR111" s="4" t="s">
        <v>7</v>
      </c>
    </row>
    <row r="112" spans="1:44" ht="14.25" customHeight="1" x14ac:dyDescent="0.35">
      <c r="A112" s="3" t="s">
        <v>76</v>
      </c>
      <c r="B112" s="3" t="s">
        <v>77</v>
      </c>
      <c r="C112" s="3" t="s">
        <v>75</v>
      </c>
      <c r="D112" s="3" t="s">
        <v>74</v>
      </c>
      <c r="F112" s="8">
        <v>45017</v>
      </c>
      <c r="G112" s="8">
        <v>45018</v>
      </c>
      <c r="H112" s="8">
        <v>45019</v>
      </c>
      <c r="I112" s="8">
        <v>45020</v>
      </c>
      <c r="J112" s="8">
        <v>45021</v>
      </c>
      <c r="K112" s="8">
        <v>45022</v>
      </c>
      <c r="L112" s="8">
        <v>45023</v>
      </c>
      <c r="M112" s="8">
        <v>45024</v>
      </c>
      <c r="N112" s="8">
        <v>45025</v>
      </c>
      <c r="O112" s="8">
        <v>45026</v>
      </c>
      <c r="P112" s="8">
        <v>45027</v>
      </c>
      <c r="Q112" s="8">
        <v>45028</v>
      </c>
      <c r="R112" s="8">
        <v>45029</v>
      </c>
      <c r="S112" s="8">
        <v>45030</v>
      </c>
      <c r="T112" s="8">
        <v>45031</v>
      </c>
      <c r="U112" s="8">
        <v>45032</v>
      </c>
      <c r="V112" s="8">
        <v>45033</v>
      </c>
      <c r="W112" s="8">
        <v>45034</v>
      </c>
      <c r="X112" s="8">
        <v>45035</v>
      </c>
      <c r="Y112" s="8">
        <v>45036</v>
      </c>
      <c r="Z112" s="8">
        <v>45037</v>
      </c>
      <c r="AA112" s="8">
        <v>45038</v>
      </c>
      <c r="AB112" s="8">
        <v>45039</v>
      </c>
      <c r="AC112" s="8">
        <v>45040</v>
      </c>
      <c r="AD112" s="8">
        <v>45041</v>
      </c>
      <c r="AE112" s="8">
        <v>45042</v>
      </c>
      <c r="AF112" s="8">
        <v>45043</v>
      </c>
      <c r="AG112" s="8">
        <v>45044</v>
      </c>
      <c r="AH112" s="8">
        <v>45045</v>
      </c>
      <c r="AI112" s="8">
        <v>45046</v>
      </c>
      <c r="AL112" s="4" t="s">
        <v>19</v>
      </c>
      <c r="AM112" s="6" cm="1">
        <f t="array" ref="AM112">IFERROR((SUMPRODUCT(($C$113:$C$136=AM$111)*($F$109:$AI$109="")*$F$113:$AI$136)+IF(AM$111="P3",SUMPRODUCT(($F$109:$AI$109="P3")*$F$113:$AI$136),0))/(SUMPRODUCT(($C$113:$C$136=AM$111)*($F$109:$AI$109=""))+IF(AM$111="P3",COUNTIF($F$109:$AI$109,"P3")*ROWS($C$113:$C$136),0)),"")</f>
        <v>1.0643967500000009</v>
      </c>
      <c r="AN112" s="6" cm="1">
        <f t="array" ref="AN112">IFERROR((SUMPRODUCT(($C$113:$C$136=AN$111)*($F$109:$AI$109="")*$F$113:$AI$136)+IF(AN$111="P3",SUMPRODUCT(($F$109:$AI$109="P3")*$F$113:$AI$136),0))/(SUMPRODUCT(($C$113:$C$136=AN$111)*($F$109:$AI$109=""))+IF(AN$111="P3",COUNTIF($F$109:$AI$109,"P3")*ROWS($C$113:$C$136),0)),"")</f>
        <v>1.2391657499999986</v>
      </c>
      <c r="AO112" s="6" cm="1">
        <f t="array" ref="AO112">IFERROR((SUMPRODUCT(($C$113:$C$136=AO$111)*($F$109:$AI$109="")*$F$113:$AI$136)+IF(AO$111="P3",SUMPRODUCT(($F$109:$AI$109="P3")*$F$113:$AI$136),0))/(SUMPRODUCT(($C$113:$C$136=AO$111)*($F$109:$AI$109=""))+IF(AO$111="P3",COUNTIF($F$109:$AI$109,"P3")*ROWS($C$113:$C$136),0)),"")</f>
        <v>1.1831793999999995</v>
      </c>
      <c r="AP112" s="6" t="str" cm="1">
        <f t="array" ref="AP112">IFERROR((SUMPRODUCT(($C$113:$C$136=AP$111)*($F$109:$AI$109="")*$F$113:$AI$136)+IF(AP$111="P3",SUMPRODUCT(($F$109:$AI$109="P3")*$F$113:$AI$136),0))/(SUMPRODUCT(($C$113:$C$136=AP$111)*($F$109:$AI$109=""))+IF(AP$111="P3",COUNTIF($F$109:$AI$109,"P3")*ROWS($C$113:$C$136),0)),"")</f>
        <v/>
      </c>
      <c r="AQ112" s="6" t="str" cm="1">
        <f t="array" ref="AQ112">IFERROR((SUMPRODUCT(($C$113:$C$136=AQ$111)*($F$109:$AI$109="")*$F$113:$AI$136)+IF(AQ$111="P3",SUMPRODUCT(($F$109:$AI$109="P3")*$F$113:$AI$136),0))/(SUMPRODUCT(($C$113:$C$136=AQ$111)*($F$109:$AI$109=""))+IF(AQ$111="P3",COUNTIF($F$109:$AI$109,"P3")*ROWS($C$113:$C$136),0)),"")</f>
        <v/>
      </c>
      <c r="AR112" s="6" t="str" cm="1">
        <f t="array" ref="AR112">IFERROR((SUMPRODUCT(($C$113:$C$136=AR$111)*($F$109:$AI$109="")*$F$113:$AI$136)+IF(AR$111="P3",SUMPRODUCT(($F$109:$AI$109="P3")*$F$113:$AI$136),0))/(SUMPRODUCT(($C$113:$C$136=AR$111)*($F$109:$AI$109=""))+IF(AR$111="P3",COUNTIF($F$109:$AI$109,"P3")*ROWS($C$113:$C$136),0)),"")</f>
        <v/>
      </c>
    </row>
    <row r="113" spans="1:44" ht="14.25" customHeight="1" x14ac:dyDescent="0.35">
      <c r="A113" s="1" t="s">
        <v>7</v>
      </c>
      <c r="B113" s="1" t="s">
        <v>7</v>
      </c>
      <c r="C113" s="1" t="s">
        <v>15</v>
      </c>
      <c r="D113" s="1" t="s">
        <v>7</v>
      </c>
      <c r="E113" s="1" t="s">
        <v>8</v>
      </c>
      <c r="F113" s="1">
        <v>1.2161200000000001</v>
      </c>
      <c r="G113" s="1">
        <v>1.2979499999999999</v>
      </c>
      <c r="H113" s="1">
        <v>1.2465999999999999</v>
      </c>
      <c r="I113" s="1">
        <v>1.18451</v>
      </c>
      <c r="J113" s="1">
        <v>1.1596900000000001</v>
      </c>
      <c r="K113" s="1">
        <v>1.1860599999999999</v>
      </c>
      <c r="L113" s="1">
        <v>1.1972</v>
      </c>
      <c r="M113" s="1">
        <v>1.2161200000000001</v>
      </c>
      <c r="N113" s="1">
        <v>1.2979499999999999</v>
      </c>
      <c r="O113" s="1">
        <v>1.2465999999999999</v>
      </c>
      <c r="P113" s="1">
        <v>1.18451</v>
      </c>
      <c r="Q113" s="1">
        <v>1.1596900000000001</v>
      </c>
      <c r="R113" s="1">
        <v>1.1860599999999999</v>
      </c>
      <c r="S113" s="1">
        <v>1.1972</v>
      </c>
      <c r="T113" s="1">
        <v>1.2161200000000001</v>
      </c>
      <c r="U113" s="1">
        <v>1.2979499999999999</v>
      </c>
      <c r="V113" s="1">
        <v>1.2465999999999999</v>
      </c>
      <c r="W113" s="1">
        <v>1.18451</v>
      </c>
      <c r="X113" s="1">
        <v>1.1596900000000001</v>
      </c>
      <c r="Y113" s="1">
        <v>1.1860599999999999</v>
      </c>
      <c r="Z113" s="1">
        <v>1.1972</v>
      </c>
      <c r="AA113" s="1">
        <v>1.2161200000000001</v>
      </c>
      <c r="AB113" s="1">
        <v>1.2979499999999999</v>
      </c>
      <c r="AC113" s="1">
        <v>1.2465999999999999</v>
      </c>
      <c r="AD113" s="1">
        <v>1.18451</v>
      </c>
      <c r="AE113" s="1">
        <v>1.1596900000000001</v>
      </c>
      <c r="AF113" s="1">
        <v>1.1860599999999999</v>
      </c>
      <c r="AG113" s="1">
        <v>1.1972</v>
      </c>
      <c r="AH113" s="1">
        <v>1.2161200000000001</v>
      </c>
      <c r="AI113" s="1">
        <v>1.2979499999999999</v>
      </c>
      <c r="AL113" s="4" t="s">
        <v>21</v>
      </c>
      <c r="AM113" s="6" t="str" cm="1">
        <f t="array" ref="AM113">IFERROR((SUMPRODUCT(($D$113:$D$136=AM$111)*($F$110:$AI$110="")*$F$113:$AI$136)+IF(AM$111="P6",SUMPRODUCT(($F$110:$AI$110="P6")*$F$113:$AI$136),0))/(SUMPRODUCT(($D$113:$D$136=AM$111)*($F$110:$AI$110=""))+IF(AM$111="P6",COUNTIF($F$110:$AI$110,"P6")*ROWS($D$113:$D$136),0)),"")</f>
        <v/>
      </c>
      <c r="AN113" s="6" t="str" cm="1">
        <f t="array" ref="AN113">IFERROR((SUMPRODUCT(($D$113:$D$136=AN$111)*($F$110:$AI$110="")*$F$113:$AI$136)+IF(AN$111="P6",SUMPRODUCT(($F$110:$AI$110="P6")*$F$113:$AI$136),0))/(SUMPRODUCT(($D$113:$D$136=AN$111)*($F$110:$AI$110=""))+IF(AN$111="P6",COUNTIF($F$110:$AI$110,"P6")*ROWS($D$113:$D$136),0)),"")</f>
        <v/>
      </c>
      <c r="AO113" s="6" t="str" cm="1">
        <f t="array" ref="AO113">IFERROR((SUMPRODUCT(($D$113:$D$136=AO$111)*($F$110:$AI$110="")*$F$113:$AI$136)+IF(AO$111="P6",SUMPRODUCT(($F$110:$AI$110="P6")*$F$113:$AI$136),0))/(SUMPRODUCT(($D$113:$D$136=AO$111)*($F$110:$AI$110=""))+IF(AO$111="P6",COUNTIF($F$110:$AI$110,"P6")*ROWS($D$113:$D$136),0)),"")</f>
        <v/>
      </c>
      <c r="AP113" s="6" cm="1">
        <f t="array" ref="AP113">IFERROR((SUMPRODUCT(($D$113:$D$136=AP$111)*($F$110:$AI$110="")*$F$113:$AI$136)+IF(AP$111="P6",SUMPRODUCT(($F$110:$AI$110="P6")*$F$113:$AI$136),0))/(SUMPRODUCT(($D$113:$D$136=AP$111)*($F$110:$AI$110=""))+IF(AP$111="P6",COUNTIF($F$110:$AI$110,"P6")*ROWS($D$113:$D$136),0)),"")</f>
        <v>1.0626944444444453</v>
      </c>
      <c r="AQ113" s="6" cm="1">
        <f t="array" ref="AQ113">IFERROR((SUMPRODUCT(($D$113:$D$136=AQ$111)*($F$110:$AI$110="")*$F$113:$AI$136)+IF(AQ$111="P6",SUMPRODUCT(($F$110:$AI$110="P6")*$F$113:$AI$136),0))/(SUMPRODUCT(($D$113:$D$136=AQ$111)*($F$110:$AI$110=""))+IF(AQ$111="P6",COUNTIF($F$110:$AI$110,"P6")*ROWS($D$113:$D$136),0)),"")</f>
        <v>1.2663214285714268</v>
      </c>
      <c r="AR113" s="6" cm="1">
        <f t="array" ref="AR113">IFERROR((SUMPRODUCT(($D$113:$D$136=AR$111)*($F$110:$AI$110="")*$F$113:$AI$136)+IF(AR$111="P6",SUMPRODUCT(($F$110:$AI$110="P6")*$F$113:$AI$136),0))/(SUMPRODUCT(($D$113:$D$136=AR$111)*($F$110:$AI$110=""))+IF(AR$111="P6",COUNTIF($F$110:$AI$110,"P6")*ROWS($D$113:$D$136),0)),"")</f>
        <v>1.1831793999999995</v>
      </c>
    </row>
    <row r="114" spans="1:44" ht="14.25" customHeight="1" x14ac:dyDescent="0.35">
      <c r="A114" s="1" t="s">
        <v>7</v>
      </c>
      <c r="B114" s="1" t="s">
        <v>7</v>
      </c>
      <c r="C114" s="1" t="s">
        <v>15</v>
      </c>
      <c r="D114" s="1" t="s">
        <v>7</v>
      </c>
      <c r="E114" s="1" t="s">
        <v>9</v>
      </c>
      <c r="F114" s="1">
        <v>1.2747200000000001</v>
      </c>
      <c r="G114" s="1">
        <v>1.3462400000000001</v>
      </c>
      <c r="H114" s="1">
        <v>1.3124400000000001</v>
      </c>
      <c r="I114" s="1">
        <v>1.2368300000000001</v>
      </c>
      <c r="J114" s="1">
        <v>1.21123</v>
      </c>
      <c r="K114" s="1">
        <v>1.2335</v>
      </c>
      <c r="L114" s="1">
        <v>1.24213</v>
      </c>
      <c r="M114" s="1">
        <v>1.2747200000000001</v>
      </c>
      <c r="N114" s="1">
        <v>1.3462400000000001</v>
      </c>
      <c r="O114" s="1">
        <v>1.3124400000000001</v>
      </c>
      <c r="P114" s="1">
        <v>1.2368300000000001</v>
      </c>
      <c r="Q114" s="1">
        <v>1.21123</v>
      </c>
      <c r="R114" s="1">
        <v>1.2335</v>
      </c>
      <c r="S114" s="1">
        <v>1.24213</v>
      </c>
      <c r="T114" s="1">
        <v>1.2747200000000001</v>
      </c>
      <c r="U114" s="1">
        <v>1.3462400000000001</v>
      </c>
      <c r="V114" s="1">
        <v>1.3124400000000001</v>
      </c>
      <c r="W114" s="1">
        <v>1.2368300000000001</v>
      </c>
      <c r="X114" s="1">
        <v>1.21123</v>
      </c>
      <c r="Y114" s="1">
        <v>1.2335</v>
      </c>
      <c r="Z114" s="1">
        <v>1.24213</v>
      </c>
      <c r="AA114" s="1">
        <v>1.2747200000000001</v>
      </c>
      <c r="AB114" s="1">
        <v>1.3462400000000001</v>
      </c>
      <c r="AC114" s="1">
        <v>1.3124400000000001</v>
      </c>
      <c r="AD114" s="1">
        <v>1.2368300000000001</v>
      </c>
      <c r="AE114" s="1">
        <v>1.21123</v>
      </c>
      <c r="AF114" s="1">
        <v>1.2335</v>
      </c>
      <c r="AG114" s="1">
        <v>1.24213</v>
      </c>
      <c r="AH114" s="1">
        <v>1.2747200000000001</v>
      </c>
      <c r="AI114" s="1">
        <v>1.3462400000000001</v>
      </c>
      <c r="AL114" s="4" t="s">
        <v>23</v>
      </c>
      <c r="AM114" s="6" t="str" cm="1">
        <f t="array" ref="AM114">IFERROR((SUMPRODUCT(($D$113:$D$136=AM$111)*($F$110:$AI$110="")*$F$113:$AI$136)+IF(AM$111="P6",SUMPRODUCT(($F$110:$AI$110="P6")*$F$113:$AI$136),0))/(SUMPRODUCT(($D$113:$D$136=AM$111)*($F$110:$AI$110=""))+IF(AM$111="P6",COUNTIF($F$110:$AI$110,"P6")*ROWS($D$113:$D$136),0)),"")</f>
        <v/>
      </c>
      <c r="AN114" s="6" t="str" cm="1">
        <f t="array" ref="AN114">IFERROR((SUMPRODUCT(($D$113:$D$136=AN$111)*($F$110:$AI$110="")*$F$113:$AI$136)+IF(AN$111="P6",SUMPRODUCT(($F$110:$AI$110="P6")*$F$113:$AI$136),0))/(SUMPRODUCT(($D$113:$D$136=AN$111)*($F$110:$AI$110=""))+IF(AN$111="P6",COUNTIF($F$110:$AI$110,"P6")*ROWS($D$113:$D$136),0)),"")</f>
        <v/>
      </c>
      <c r="AO114" s="5" t="str" cm="1">
        <f t="array" ref="AO114">IFERROR((SUMPRODUCT(($D$113:$D$136=AO$111)*($F$110:$AI$110="")*$F$113:$AI$136)+IF(AO$111="P6",SUMPRODUCT(($F$110:$AI$110="P6")*$F$113:$AI$136),0))/(SUMPRODUCT(($D$113:$D$136=AO$111)*($F$110:$AI$110=""))+IF(AO$111="P6",COUNTIF($F$110:$AI$110,"P6")*ROWS($D$113:$D$136),0)),"")</f>
        <v/>
      </c>
      <c r="AP114" s="5" cm="1">
        <f t="array" ref="AP114">IFERROR((SUMPRODUCT(($D$113:$D$136=AP$111)*($F$110:$AI$110="")*$F$113:$AI$136)+IF(AP$111="P6",SUMPRODUCT(($F$110:$AI$110="P6")*$F$113:$AI$136),0))/(SUMPRODUCT(($D$113:$D$136=AP$111)*($F$110:$AI$110=""))+IF(AP$111="P6",COUNTIF($F$110:$AI$110,"P6")*ROWS($D$113:$D$136),0)),"")</f>
        <v>1.0626944444444453</v>
      </c>
      <c r="AQ114" s="5" cm="1">
        <f t="array" ref="AQ114">IFERROR((SUMPRODUCT(($D$113:$D$136=AQ$111)*($F$110:$AI$110="")*$F$113:$AI$136)+IF(AQ$111="P6",SUMPRODUCT(($F$110:$AI$110="P6")*$F$113:$AI$136),0))/(SUMPRODUCT(($D$113:$D$136=AQ$111)*($F$110:$AI$110=""))+IF(AQ$111="P6",COUNTIF($F$110:$AI$110,"P6")*ROWS($D$113:$D$136),0)),"")</f>
        <v>1.2663214285714268</v>
      </c>
      <c r="AR114" s="6" cm="1">
        <f t="array" ref="AR114">IFERROR((SUMPRODUCT(($D$113:$D$136=AR$111)*($F$110:$AI$110="")*$F$113:$AI$136)+IF(AR$111="P6",SUMPRODUCT(($F$110:$AI$110="P6")*$F$113:$AI$136),0))/(SUMPRODUCT(($D$113:$D$136=AR$111)*($F$110:$AI$110=""))+IF(AR$111="P6",COUNTIF($F$110:$AI$110,"P6")*ROWS($D$113:$D$136),0)),"")</f>
        <v>1.1831793999999995</v>
      </c>
    </row>
    <row r="115" spans="1:44" ht="14.25" customHeight="1" x14ac:dyDescent="0.35">
      <c r="A115" s="1" t="s">
        <v>7</v>
      </c>
      <c r="B115" s="1" t="s">
        <v>7</v>
      </c>
      <c r="C115" s="1" t="s">
        <v>15</v>
      </c>
      <c r="D115" s="1" t="s">
        <v>7</v>
      </c>
      <c r="E115" s="1" t="s">
        <v>10</v>
      </c>
      <c r="F115" s="1">
        <v>1.30538</v>
      </c>
      <c r="G115" s="1">
        <v>1.39717</v>
      </c>
      <c r="H115" s="1">
        <v>1.33308</v>
      </c>
      <c r="I115" s="1">
        <v>1.26555</v>
      </c>
      <c r="J115" s="1">
        <v>1.24258</v>
      </c>
      <c r="K115" s="1">
        <v>1.2635400000000001</v>
      </c>
      <c r="L115" s="1">
        <v>1.26912</v>
      </c>
      <c r="M115" s="1">
        <v>1.30538</v>
      </c>
      <c r="N115" s="1">
        <v>1.39717</v>
      </c>
      <c r="O115" s="1">
        <v>1.33308</v>
      </c>
      <c r="P115" s="1">
        <v>1.26555</v>
      </c>
      <c r="Q115" s="1">
        <v>1.24258</v>
      </c>
      <c r="R115" s="1">
        <v>1.2635400000000001</v>
      </c>
      <c r="S115" s="1">
        <v>1.26912</v>
      </c>
      <c r="T115" s="1">
        <v>1.30538</v>
      </c>
      <c r="U115" s="1">
        <v>1.39717</v>
      </c>
      <c r="V115" s="1">
        <v>1.33308</v>
      </c>
      <c r="W115" s="1">
        <v>1.26555</v>
      </c>
      <c r="X115" s="1">
        <v>1.24258</v>
      </c>
      <c r="Y115" s="1">
        <v>1.2635400000000001</v>
      </c>
      <c r="Z115" s="1">
        <v>1.26912</v>
      </c>
      <c r="AA115" s="1">
        <v>1.30538</v>
      </c>
      <c r="AB115" s="1">
        <v>1.39717</v>
      </c>
      <c r="AC115" s="1">
        <v>1.33308</v>
      </c>
      <c r="AD115" s="1">
        <v>1.26555</v>
      </c>
      <c r="AE115" s="1">
        <v>1.24258</v>
      </c>
      <c r="AF115" s="1">
        <v>1.2635400000000001</v>
      </c>
      <c r="AG115" s="1">
        <v>1.26912</v>
      </c>
      <c r="AH115" s="1">
        <v>1.30538</v>
      </c>
      <c r="AI115" s="1">
        <v>1.39717</v>
      </c>
      <c r="AL115" s="4" t="s">
        <v>25</v>
      </c>
      <c r="AM115" s="6" t="str" cm="1">
        <f t="array" ref="AM115">IFERROR((SUMPRODUCT(($D$113:$D$136=AM$111)*($F$110:$AI$110="")*$F$113:$AI$136)+IF(AM$111="P6",SUMPRODUCT(($F$110:$AI$110="P6")*$F$113:$AI$136),0))/(SUMPRODUCT(($D$113:$D$136=AM$111)*($F$110:$AI$110=""))+IF(AM$111="P6",COUNTIF($F$110:$AI$110,"P6")*ROWS($D$113:$D$136),0)),"")</f>
        <v/>
      </c>
      <c r="AN115" s="6" t="str" cm="1">
        <f t="array" ref="AN115">IFERROR((SUMPRODUCT(($D$113:$D$136=AN$111)*($F$110:$AI$110="")*$F$113:$AI$136)+IF(AN$111="P6",SUMPRODUCT(($F$110:$AI$110="P6")*$F$113:$AI$136),0))/(SUMPRODUCT(($D$113:$D$136=AN$111)*($F$110:$AI$110=""))+IF(AN$111="P6",COUNTIF($F$110:$AI$110,"P6")*ROWS($D$113:$D$136),0)),"")</f>
        <v/>
      </c>
      <c r="AO115" s="5" t="str" cm="1">
        <f t="array" ref="AO115">IFERROR((SUMPRODUCT(($D$113:$D$136=AO$111)*($F$110:$AI$110="")*$F$113:$AI$136)+IF(AO$111="P6",SUMPRODUCT(($F$110:$AI$110="P6")*$F$113:$AI$136),0))/(SUMPRODUCT(($D$113:$D$136=AO$111)*($F$110:$AI$110=""))+IF(AO$111="P6",COUNTIF($F$110:$AI$110,"P6")*ROWS($D$113:$D$136),0)),"")</f>
        <v/>
      </c>
      <c r="AP115" s="5" cm="1">
        <f t="array" ref="AP115">IFERROR((SUMPRODUCT(($D$113:$D$136=AP$111)*($F$110:$AI$110="")*$F$113:$AI$136)+IF(AP$111="P6",SUMPRODUCT(($F$110:$AI$110="P6")*$F$113:$AI$136),0))/(SUMPRODUCT(($D$113:$D$136=AP$111)*($F$110:$AI$110=""))+IF(AP$111="P6",COUNTIF($F$110:$AI$110,"P6")*ROWS($D$113:$D$136),0)),"")</f>
        <v>1.0626944444444453</v>
      </c>
      <c r="AQ115" s="5" cm="1">
        <f t="array" ref="AQ115">IFERROR((SUMPRODUCT(($D$113:$D$136=AQ$111)*($F$110:$AI$110="")*$F$113:$AI$136)+IF(AQ$111="P6",SUMPRODUCT(($F$110:$AI$110="P6")*$F$113:$AI$136),0))/(SUMPRODUCT(($D$113:$D$136=AQ$111)*($F$110:$AI$110=""))+IF(AQ$111="P6",COUNTIF($F$110:$AI$110,"P6")*ROWS($D$113:$D$136),0)),"")</f>
        <v>1.2663214285714268</v>
      </c>
      <c r="AR115" s="6" cm="1">
        <f t="array" ref="AR115">IFERROR((SUMPRODUCT(($D$113:$D$136=AR$111)*($F$110:$AI$110="")*$F$113:$AI$136)+IF(AR$111="P6",SUMPRODUCT(($F$110:$AI$110="P6")*$F$113:$AI$136),0))/(SUMPRODUCT(($D$113:$D$136=AR$111)*($F$110:$AI$110=""))+IF(AR$111="P6",COUNTIF($F$110:$AI$110,"P6")*ROWS($D$113:$D$136),0)),"")</f>
        <v>1.1831793999999995</v>
      </c>
    </row>
    <row r="116" spans="1:44" ht="14.25" customHeight="1" x14ac:dyDescent="0.35">
      <c r="A116" s="1" t="s">
        <v>7</v>
      </c>
      <c r="B116" s="1" t="s">
        <v>7</v>
      </c>
      <c r="C116" s="1" t="s">
        <v>15</v>
      </c>
      <c r="D116" s="1" t="s">
        <v>7</v>
      </c>
      <c r="E116" s="1" t="s">
        <v>11</v>
      </c>
      <c r="F116" s="1">
        <v>1.3182100000000001</v>
      </c>
      <c r="G116" s="1">
        <v>1.4057200000000001</v>
      </c>
      <c r="H116" s="1">
        <v>1.3395300000000001</v>
      </c>
      <c r="I116" s="1">
        <v>1.2800199999999999</v>
      </c>
      <c r="J116" s="1">
        <v>1.2530399999999999</v>
      </c>
      <c r="K116" s="1">
        <v>1.2749999999999999</v>
      </c>
      <c r="L116" s="1">
        <v>1.27721</v>
      </c>
      <c r="M116" s="1">
        <v>1.3182100000000001</v>
      </c>
      <c r="N116" s="1">
        <v>1.4057200000000001</v>
      </c>
      <c r="O116" s="1">
        <v>1.3395300000000001</v>
      </c>
      <c r="P116" s="1">
        <v>1.2800199999999999</v>
      </c>
      <c r="Q116" s="1">
        <v>1.2530399999999999</v>
      </c>
      <c r="R116" s="1">
        <v>1.2749999999999999</v>
      </c>
      <c r="S116" s="1">
        <v>1.27721</v>
      </c>
      <c r="T116" s="1">
        <v>1.3182100000000001</v>
      </c>
      <c r="U116" s="1">
        <v>1.4057200000000001</v>
      </c>
      <c r="V116" s="1">
        <v>1.3395300000000001</v>
      </c>
      <c r="W116" s="1">
        <v>1.2800199999999999</v>
      </c>
      <c r="X116" s="1">
        <v>1.2530399999999999</v>
      </c>
      <c r="Y116" s="1">
        <v>1.2749999999999999</v>
      </c>
      <c r="Z116" s="1">
        <v>1.27721</v>
      </c>
      <c r="AA116" s="1">
        <v>1.3182100000000001</v>
      </c>
      <c r="AB116" s="1">
        <v>1.4057200000000001</v>
      </c>
      <c r="AC116" s="1">
        <v>1.3395300000000001</v>
      </c>
      <c r="AD116" s="1">
        <v>1.2800199999999999</v>
      </c>
      <c r="AE116" s="1">
        <v>1.2530399999999999</v>
      </c>
      <c r="AF116" s="1">
        <v>1.2749999999999999</v>
      </c>
      <c r="AG116" s="1">
        <v>1.27721</v>
      </c>
      <c r="AH116" s="1">
        <v>1.3182100000000001</v>
      </c>
      <c r="AI116" s="1">
        <v>1.4057200000000001</v>
      </c>
      <c r="AL116" s="4" t="s">
        <v>27</v>
      </c>
      <c r="AM116" s="6" t="str" cm="1">
        <f t="array" ref="AM116">IFERROR((SUMPRODUCT(($D$113:$D$136=AM$111)*($F$110:$AI$110="")*$F$113:$AI$136)+IF(AM$111="P6",SUMPRODUCT(($F$110:$AI$110="P6")*$F$113:$AI$136),0))/(SUMPRODUCT(($D$113:$D$136=AM$111)*($F$110:$AI$110=""))+IF(AM$111="P6",COUNTIF($F$110:$AI$110,"P6")*ROWS($D$113:$D$136),0)),"")</f>
        <v/>
      </c>
      <c r="AN116" s="6" t="str" cm="1">
        <f t="array" ref="AN116">IFERROR((SUMPRODUCT(($D$113:$D$136=AN$111)*($F$110:$AI$110="")*$F$113:$AI$136)+IF(AN$111="P6",SUMPRODUCT(($F$110:$AI$110="P6")*$F$113:$AI$136),0))/(SUMPRODUCT(($D$113:$D$136=AN$111)*($F$110:$AI$110=""))+IF(AN$111="P6",COUNTIF($F$110:$AI$110,"P6")*ROWS($D$113:$D$136),0)),"")</f>
        <v/>
      </c>
      <c r="AO116" s="5" t="str" cm="1">
        <f t="array" ref="AO116">IFERROR((SUMPRODUCT(($D$113:$D$136=AO$111)*($F$110:$AI$110="")*$F$113:$AI$136)+IF(AO$111="P6",SUMPRODUCT(($F$110:$AI$110="P6")*$F$113:$AI$136),0))/(SUMPRODUCT(($D$113:$D$136=AO$111)*($F$110:$AI$110=""))+IF(AO$111="P6",COUNTIF($F$110:$AI$110,"P6")*ROWS($D$113:$D$136),0)),"")</f>
        <v/>
      </c>
      <c r="AP116" s="5" cm="1">
        <f t="array" ref="AP116">IFERROR((SUMPRODUCT(($D$113:$D$136=AP$111)*($F$110:$AI$110="")*$F$113:$AI$136)+IF(AP$111="P6",SUMPRODUCT(($F$110:$AI$110="P6")*$F$113:$AI$136),0))/(SUMPRODUCT(($D$113:$D$136=AP$111)*($F$110:$AI$110=""))+IF(AP$111="P6",COUNTIF($F$110:$AI$110,"P6")*ROWS($D$113:$D$136),0)),"")</f>
        <v>1.0626944444444453</v>
      </c>
      <c r="AQ116" s="5" cm="1">
        <f t="array" ref="AQ116">IFERROR((SUMPRODUCT(($D$113:$D$136=AQ$111)*($F$110:$AI$110="")*$F$113:$AI$136)+IF(AQ$111="P6",SUMPRODUCT(($F$110:$AI$110="P6")*$F$113:$AI$136),0))/(SUMPRODUCT(($D$113:$D$136=AQ$111)*($F$110:$AI$110=""))+IF(AQ$111="P6",COUNTIF($F$110:$AI$110,"P6")*ROWS($D$113:$D$136),0)),"")</f>
        <v>1.2663214285714268</v>
      </c>
      <c r="AR116" s="6" cm="1">
        <f t="array" ref="AR116">IFERROR((SUMPRODUCT(($D$113:$D$136=AR$111)*($F$110:$AI$110="")*$F$113:$AI$136)+IF(AR$111="P6",SUMPRODUCT(($F$110:$AI$110="P6")*$F$113:$AI$136),0))/(SUMPRODUCT(($D$113:$D$136=AR$111)*($F$110:$AI$110=""))+IF(AR$111="P6",COUNTIF($F$110:$AI$110,"P6")*ROWS($D$113:$D$136),0)),"")</f>
        <v>1.1831793999999995</v>
      </c>
    </row>
    <row r="117" spans="1:44" ht="14.25" customHeight="1" x14ac:dyDescent="0.35">
      <c r="A117" s="1" t="s">
        <v>7</v>
      </c>
      <c r="B117" s="1" t="s">
        <v>7</v>
      </c>
      <c r="C117" s="1" t="s">
        <v>15</v>
      </c>
      <c r="D117" s="1" t="s">
        <v>7</v>
      </c>
      <c r="E117" s="1" t="s">
        <v>12</v>
      </c>
      <c r="F117" s="1">
        <v>1.33003</v>
      </c>
      <c r="G117" s="1">
        <v>1.3976999999999999</v>
      </c>
      <c r="H117" s="1">
        <v>1.3356399999999999</v>
      </c>
      <c r="I117" s="1">
        <v>1.2768699999999999</v>
      </c>
      <c r="J117" s="1">
        <v>1.2573700000000001</v>
      </c>
      <c r="K117" s="1">
        <v>1.2870600000000001</v>
      </c>
      <c r="L117" s="1">
        <v>1.27912</v>
      </c>
      <c r="M117" s="1">
        <v>1.33003</v>
      </c>
      <c r="N117" s="1">
        <v>1.3976999999999999</v>
      </c>
      <c r="O117" s="1">
        <v>1.3356399999999999</v>
      </c>
      <c r="P117" s="1">
        <v>1.2768699999999999</v>
      </c>
      <c r="Q117" s="1">
        <v>1.2573700000000001</v>
      </c>
      <c r="R117" s="1">
        <v>1.2870600000000001</v>
      </c>
      <c r="S117" s="1">
        <v>1.27912</v>
      </c>
      <c r="T117" s="1">
        <v>1.33003</v>
      </c>
      <c r="U117" s="1">
        <v>1.3976999999999999</v>
      </c>
      <c r="V117" s="1">
        <v>1.3356399999999999</v>
      </c>
      <c r="W117" s="1">
        <v>1.2768699999999999</v>
      </c>
      <c r="X117" s="1">
        <v>1.2573700000000001</v>
      </c>
      <c r="Y117" s="1">
        <v>1.2870600000000001</v>
      </c>
      <c r="Z117" s="1">
        <v>1.27912</v>
      </c>
      <c r="AA117" s="1">
        <v>1.33003</v>
      </c>
      <c r="AB117" s="1">
        <v>1.3976999999999999</v>
      </c>
      <c r="AC117" s="1">
        <v>1.3356399999999999</v>
      </c>
      <c r="AD117" s="1">
        <v>1.2768699999999999</v>
      </c>
      <c r="AE117" s="1">
        <v>1.2573700000000001</v>
      </c>
      <c r="AF117" s="1">
        <v>1.2870600000000001</v>
      </c>
      <c r="AG117" s="1">
        <v>1.27912</v>
      </c>
      <c r="AH117" s="1">
        <v>1.33003</v>
      </c>
      <c r="AI117" s="1">
        <v>1.3976999999999999</v>
      </c>
      <c r="AL117" s="4" t="s">
        <v>29</v>
      </c>
      <c r="AM117" s="6" t="str" cm="1">
        <f t="array" ref="AM117">IFERROR((SUMPRODUCT(($D$113:$D$136=AM$111)*($F$110:$AI$110="")*$F$113:$AI$136)+IF(AM$111="P6",SUMPRODUCT(($F$110:$AI$110="P6")*$F$113:$AI$136),0))/(SUMPRODUCT(($D$113:$D$136=AM$111)*($F$110:$AI$110=""))+IF(AM$111="P6",COUNTIF($F$110:$AI$110,"P6")*ROWS($D$113:$D$136),0)),"")</f>
        <v/>
      </c>
      <c r="AN117" s="6" t="str" cm="1">
        <f t="array" ref="AN117">IFERROR((SUMPRODUCT(($D$113:$D$136=AN$111)*($F$110:$AI$110="")*$F$113:$AI$136)+IF(AN$111="P6",SUMPRODUCT(($F$110:$AI$110="P6")*$F$113:$AI$136),0))/(SUMPRODUCT(($D$113:$D$136=AN$111)*($F$110:$AI$110=""))+IF(AN$111="P6",COUNTIF($F$110:$AI$110,"P6")*ROWS($D$113:$D$136),0)),"")</f>
        <v/>
      </c>
      <c r="AO117" s="5" t="str" cm="1">
        <f t="array" ref="AO117">IFERROR((SUMPRODUCT(($D$113:$D$136=AO$111)*($F$110:$AI$110="")*$F$113:$AI$136)+IF(AO$111="P6",SUMPRODUCT(($F$110:$AI$110="P6")*$F$113:$AI$136),0))/(SUMPRODUCT(($D$113:$D$136=AO$111)*($F$110:$AI$110=""))+IF(AO$111="P6",COUNTIF($F$110:$AI$110,"P6")*ROWS($D$113:$D$136),0)),"")</f>
        <v/>
      </c>
      <c r="AP117" s="5" cm="1">
        <f t="array" ref="AP117">IFERROR((SUMPRODUCT(($D$113:$D$136=AP$111)*($F$110:$AI$110="")*$F$113:$AI$136)+IF(AP$111="P6",SUMPRODUCT(($F$110:$AI$110="P6")*$F$113:$AI$136),0))/(SUMPRODUCT(($D$113:$D$136=AP$111)*($F$110:$AI$110=""))+IF(AP$111="P6",COUNTIF($F$110:$AI$110,"P6")*ROWS($D$113:$D$136),0)),"")</f>
        <v>1.0626944444444453</v>
      </c>
      <c r="AQ117" s="5" cm="1">
        <f t="array" ref="AQ117">IFERROR((SUMPRODUCT(($D$113:$D$136=AQ$111)*($F$110:$AI$110="")*$F$113:$AI$136)+IF(AQ$111="P6",SUMPRODUCT(($F$110:$AI$110="P6")*$F$113:$AI$136),0))/(SUMPRODUCT(($D$113:$D$136=AQ$111)*($F$110:$AI$110=""))+IF(AQ$111="P6",COUNTIF($F$110:$AI$110,"P6")*ROWS($D$113:$D$136),0)),"")</f>
        <v>1.2663214285714268</v>
      </c>
      <c r="AR117" s="6" cm="1">
        <f t="array" ref="AR117">IFERROR((SUMPRODUCT(($D$113:$D$136=AR$111)*($F$110:$AI$110="")*$F$113:$AI$136)+IF(AR$111="P6",SUMPRODUCT(($F$110:$AI$110="P6")*$F$113:$AI$136),0))/(SUMPRODUCT(($D$113:$D$136=AR$111)*($F$110:$AI$110=""))+IF(AR$111="P6",COUNTIF($F$110:$AI$110,"P6")*ROWS($D$113:$D$136),0)),"")</f>
        <v>1.1831793999999995</v>
      </c>
    </row>
    <row r="118" spans="1:44" ht="14.25" customHeight="1" x14ac:dyDescent="0.35">
      <c r="A118" s="1" t="s">
        <v>7</v>
      </c>
      <c r="B118" s="1" t="s">
        <v>7</v>
      </c>
      <c r="C118" s="1" t="s">
        <v>15</v>
      </c>
      <c r="D118" s="1" t="s">
        <v>7</v>
      </c>
      <c r="E118" s="1" t="s">
        <v>18</v>
      </c>
      <c r="F118" s="1">
        <v>1.3314299999999999</v>
      </c>
      <c r="G118" s="1">
        <v>1.3907400000000001</v>
      </c>
      <c r="H118" s="1">
        <v>1.2877700000000001</v>
      </c>
      <c r="I118" s="1">
        <v>1.24217</v>
      </c>
      <c r="J118" s="1">
        <v>1.22672</v>
      </c>
      <c r="K118" s="1">
        <v>1.2701199999999999</v>
      </c>
      <c r="L118" s="1">
        <v>1.2628699999999999</v>
      </c>
      <c r="M118" s="1">
        <v>1.3314299999999999</v>
      </c>
      <c r="N118" s="1">
        <v>1.3907400000000001</v>
      </c>
      <c r="O118" s="1">
        <v>1.2877700000000001</v>
      </c>
      <c r="P118" s="1">
        <v>1.24217</v>
      </c>
      <c r="Q118" s="1">
        <v>1.22672</v>
      </c>
      <c r="R118" s="1">
        <v>1.2701199999999999</v>
      </c>
      <c r="S118" s="1">
        <v>1.2628699999999999</v>
      </c>
      <c r="T118" s="1">
        <v>1.3314299999999999</v>
      </c>
      <c r="U118" s="1">
        <v>1.3907400000000001</v>
      </c>
      <c r="V118" s="1">
        <v>1.2877700000000001</v>
      </c>
      <c r="W118" s="1">
        <v>1.24217</v>
      </c>
      <c r="X118" s="1">
        <v>1.22672</v>
      </c>
      <c r="Y118" s="1">
        <v>1.2701199999999999</v>
      </c>
      <c r="Z118" s="1">
        <v>1.2628699999999999</v>
      </c>
      <c r="AA118" s="1">
        <v>1.3314299999999999</v>
      </c>
      <c r="AB118" s="1">
        <v>1.3907400000000001</v>
      </c>
      <c r="AC118" s="1">
        <v>1.2877700000000001</v>
      </c>
      <c r="AD118" s="1">
        <v>1.24217</v>
      </c>
      <c r="AE118" s="1">
        <v>1.22672</v>
      </c>
      <c r="AF118" s="1">
        <v>1.2701199999999999</v>
      </c>
      <c r="AG118" s="1">
        <v>1.2628699999999999</v>
      </c>
      <c r="AH118" s="1">
        <v>1.3314299999999999</v>
      </c>
      <c r="AI118" s="1">
        <v>1.3907400000000001</v>
      </c>
      <c r="AL118" s="10"/>
      <c r="AM118" s="10"/>
      <c r="AN118" s="10"/>
      <c r="AO118" s="10"/>
      <c r="AP118" s="10"/>
      <c r="AQ118" s="10"/>
      <c r="AR118" s="10"/>
    </row>
    <row r="119" spans="1:44" ht="14.25" customHeight="1" x14ac:dyDescent="0.35">
      <c r="A119" s="1" t="s">
        <v>7</v>
      </c>
      <c r="B119" s="1" t="s">
        <v>7</v>
      </c>
      <c r="C119" s="1" t="s">
        <v>15</v>
      </c>
      <c r="D119" s="1" t="s">
        <v>7</v>
      </c>
      <c r="E119" s="1" t="s">
        <v>20</v>
      </c>
      <c r="F119" s="1">
        <v>1.2914600000000001</v>
      </c>
      <c r="G119" s="1">
        <v>1.3507800000000001</v>
      </c>
      <c r="H119" s="1">
        <v>1.17598</v>
      </c>
      <c r="I119" s="1">
        <v>1.1383799999999999</v>
      </c>
      <c r="J119" s="1">
        <v>1.14395</v>
      </c>
      <c r="K119" s="1">
        <v>1.20563</v>
      </c>
      <c r="L119" s="1">
        <v>1.17519</v>
      </c>
      <c r="M119" s="1">
        <v>1.2914600000000001</v>
      </c>
      <c r="N119" s="1">
        <v>1.3507800000000001</v>
      </c>
      <c r="O119" s="1">
        <v>1.17598</v>
      </c>
      <c r="P119" s="1">
        <v>1.1383799999999999</v>
      </c>
      <c r="Q119" s="1">
        <v>1.14395</v>
      </c>
      <c r="R119" s="1">
        <v>1.20563</v>
      </c>
      <c r="S119" s="1">
        <v>1.17519</v>
      </c>
      <c r="T119" s="1">
        <v>1.2914600000000001</v>
      </c>
      <c r="U119" s="1">
        <v>1.3507800000000001</v>
      </c>
      <c r="V119" s="1">
        <v>1.17598</v>
      </c>
      <c r="W119" s="1">
        <v>1.1383799999999999</v>
      </c>
      <c r="X119" s="1">
        <v>1.14395</v>
      </c>
      <c r="Y119" s="1">
        <v>1.20563</v>
      </c>
      <c r="Z119" s="1">
        <v>1.17519</v>
      </c>
      <c r="AA119" s="1">
        <v>1.2914600000000001</v>
      </c>
      <c r="AB119" s="1">
        <v>1.3507800000000001</v>
      </c>
      <c r="AC119" s="1">
        <v>1.17598</v>
      </c>
      <c r="AD119" s="1">
        <v>1.1383799999999999</v>
      </c>
      <c r="AE119" s="1">
        <v>1.14395</v>
      </c>
      <c r="AF119" s="1">
        <v>1.20563</v>
      </c>
      <c r="AG119" s="1">
        <v>1.17519</v>
      </c>
      <c r="AH119" s="1">
        <v>1.2914600000000001</v>
      </c>
      <c r="AI119" s="1">
        <v>1.3507800000000001</v>
      </c>
      <c r="AL119" s="10"/>
      <c r="AM119" s="10"/>
      <c r="AN119" s="10"/>
      <c r="AO119" s="10"/>
      <c r="AP119" s="10"/>
      <c r="AQ119" s="10"/>
      <c r="AR119" s="10"/>
    </row>
    <row r="120" spans="1:44" ht="14.25" customHeight="1" x14ac:dyDescent="0.35">
      <c r="A120" s="1" t="s">
        <v>7</v>
      </c>
      <c r="B120" s="1" t="s">
        <v>7</v>
      </c>
      <c r="C120" s="1" t="s">
        <v>15</v>
      </c>
      <c r="D120" s="1" t="s">
        <v>7</v>
      </c>
      <c r="E120" s="1" t="s">
        <v>22</v>
      </c>
      <c r="F120" s="1">
        <v>1.22916</v>
      </c>
      <c r="G120" s="1">
        <v>1.28589</v>
      </c>
      <c r="H120" s="1">
        <v>1.0758700000000001</v>
      </c>
      <c r="I120" s="1">
        <v>1.04054</v>
      </c>
      <c r="J120" s="1">
        <v>1.0496000000000001</v>
      </c>
      <c r="K120" s="1">
        <v>1.0918000000000001</v>
      </c>
      <c r="L120" s="1">
        <v>1.09738</v>
      </c>
      <c r="M120" s="1">
        <v>1.22916</v>
      </c>
      <c r="N120" s="1">
        <v>1.28589</v>
      </c>
      <c r="O120" s="1">
        <v>1.0758700000000001</v>
      </c>
      <c r="P120" s="1">
        <v>1.04054</v>
      </c>
      <c r="Q120" s="1">
        <v>1.0496000000000001</v>
      </c>
      <c r="R120" s="1">
        <v>1.0918000000000001</v>
      </c>
      <c r="S120" s="1">
        <v>1.09738</v>
      </c>
      <c r="T120" s="1">
        <v>1.22916</v>
      </c>
      <c r="U120" s="1">
        <v>1.28589</v>
      </c>
      <c r="V120" s="1">
        <v>1.0758700000000001</v>
      </c>
      <c r="W120" s="1">
        <v>1.04054</v>
      </c>
      <c r="X120" s="1">
        <v>1.0496000000000001</v>
      </c>
      <c r="Y120" s="1">
        <v>1.0918000000000001</v>
      </c>
      <c r="Z120" s="1">
        <v>1.09738</v>
      </c>
      <c r="AA120" s="1">
        <v>1.22916</v>
      </c>
      <c r="AB120" s="1">
        <v>1.28589</v>
      </c>
      <c r="AC120" s="1">
        <v>1.0758700000000001</v>
      </c>
      <c r="AD120" s="1">
        <v>1.04054</v>
      </c>
      <c r="AE120" s="1">
        <v>1.0496000000000001</v>
      </c>
      <c r="AF120" s="1">
        <v>1.0918000000000001</v>
      </c>
      <c r="AG120" s="1">
        <v>1.09738</v>
      </c>
      <c r="AH120" s="1">
        <v>1.22916</v>
      </c>
      <c r="AI120" s="1">
        <v>1.28589</v>
      </c>
      <c r="AL120" s="14" t="s">
        <v>218</v>
      </c>
      <c r="AM120" s="14"/>
      <c r="AN120" s="14"/>
      <c r="AO120" s="14"/>
      <c r="AP120" s="14"/>
      <c r="AQ120" s="14"/>
      <c r="AR120" s="14"/>
    </row>
    <row r="121" spans="1:44" ht="14.25" customHeight="1" x14ac:dyDescent="0.35">
      <c r="A121" s="1" t="s">
        <v>17</v>
      </c>
      <c r="B121" s="1" t="s">
        <v>17</v>
      </c>
      <c r="C121" s="1" t="s">
        <v>14</v>
      </c>
      <c r="D121" s="1" t="s">
        <v>17</v>
      </c>
      <c r="E121" s="1" t="s">
        <v>24</v>
      </c>
      <c r="F121" s="1">
        <v>1.1253500000000001</v>
      </c>
      <c r="G121" s="1">
        <v>1.1912499999999999</v>
      </c>
      <c r="H121" s="1">
        <v>1.28271</v>
      </c>
      <c r="I121" s="1">
        <v>1.2629999999999999</v>
      </c>
      <c r="J121" s="1">
        <v>1.27437</v>
      </c>
      <c r="K121" s="1">
        <v>1.3105899999999999</v>
      </c>
      <c r="L121" s="1">
        <v>1.3098700000000001</v>
      </c>
      <c r="M121" s="1">
        <v>1.1253500000000001</v>
      </c>
      <c r="N121" s="1">
        <v>1.1912499999999999</v>
      </c>
      <c r="O121" s="1">
        <v>1.28271</v>
      </c>
      <c r="P121" s="1">
        <v>1.2629999999999999</v>
      </c>
      <c r="Q121" s="1">
        <v>1.27437</v>
      </c>
      <c r="R121" s="1">
        <v>1.3105899999999999</v>
      </c>
      <c r="S121" s="1">
        <v>1.3098700000000001</v>
      </c>
      <c r="T121" s="1">
        <v>1.1253500000000001</v>
      </c>
      <c r="U121" s="1">
        <v>1.1912499999999999</v>
      </c>
      <c r="V121" s="1">
        <v>1.28271</v>
      </c>
      <c r="W121" s="1">
        <v>1.2629999999999999</v>
      </c>
      <c r="X121" s="1">
        <v>1.27437</v>
      </c>
      <c r="Y121" s="1">
        <v>1.3105899999999999</v>
      </c>
      <c r="Z121" s="1">
        <v>1.3098700000000001</v>
      </c>
      <c r="AA121" s="1">
        <v>1.1253500000000001</v>
      </c>
      <c r="AB121" s="1">
        <v>1.1912499999999999</v>
      </c>
      <c r="AC121" s="1">
        <v>1.28271</v>
      </c>
      <c r="AD121" s="1">
        <v>1.2629999999999999</v>
      </c>
      <c r="AE121" s="1">
        <v>1.27437</v>
      </c>
      <c r="AF121" s="1">
        <v>1.3105899999999999</v>
      </c>
      <c r="AG121" s="1">
        <v>1.3098700000000001</v>
      </c>
      <c r="AH121" s="1">
        <v>1.1253500000000001</v>
      </c>
      <c r="AI121" s="1">
        <v>1.1912499999999999</v>
      </c>
      <c r="AL121" s="4"/>
      <c r="AM121" s="4" t="s">
        <v>13</v>
      </c>
      <c r="AN121" s="4" t="s">
        <v>14</v>
      </c>
      <c r="AO121" s="4" t="s">
        <v>15</v>
      </c>
      <c r="AP121" s="4" t="s">
        <v>16</v>
      </c>
      <c r="AQ121" s="4" t="s">
        <v>17</v>
      </c>
      <c r="AR121" s="4" t="s">
        <v>7</v>
      </c>
    </row>
    <row r="122" spans="1:44" ht="14.25" customHeight="1" x14ac:dyDescent="0.35">
      <c r="A122" s="1" t="s">
        <v>17</v>
      </c>
      <c r="B122" s="1" t="s">
        <v>17</v>
      </c>
      <c r="C122" s="1" t="s">
        <v>14</v>
      </c>
      <c r="D122" s="1" t="s">
        <v>16</v>
      </c>
      <c r="E122" s="1" t="s">
        <v>26</v>
      </c>
      <c r="F122" s="1">
        <v>1.01573</v>
      </c>
      <c r="G122" s="1">
        <v>1.0697700000000001</v>
      </c>
      <c r="H122" s="1">
        <v>1.0279799999999999</v>
      </c>
      <c r="I122" s="1">
        <v>1.0321</v>
      </c>
      <c r="J122" s="1">
        <v>1.0528200000000001</v>
      </c>
      <c r="K122" s="1">
        <v>1.07789</v>
      </c>
      <c r="L122" s="1">
        <v>1.0545899999999999</v>
      </c>
      <c r="M122" s="1">
        <v>1.01573</v>
      </c>
      <c r="N122" s="1">
        <v>1.0697700000000001</v>
      </c>
      <c r="O122" s="1">
        <v>1.0279799999999999</v>
      </c>
      <c r="P122" s="1">
        <v>1.0321</v>
      </c>
      <c r="Q122" s="1">
        <v>1.0528200000000001</v>
      </c>
      <c r="R122" s="1">
        <v>1.07789</v>
      </c>
      <c r="S122" s="1">
        <v>1.0545899999999999</v>
      </c>
      <c r="T122" s="1">
        <v>1.01573</v>
      </c>
      <c r="U122" s="1">
        <v>1.0697700000000001</v>
      </c>
      <c r="V122" s="1">
        <v>1.0279799999999999</v>
      </c>
      <c r="W122" s="1">
        <v>1.0321</v>
      </c>
      <c r="X122" s="1">
        <v>1.0528200000000001</v>
      </c>
      <c r="Y122" s="1">
        <v>1.07789</v>
      </c>
      <c r="Z122" s="1">
        <v>1.0545899999999999</v>
      </c>
      <c r="AA122" s="1">
        <v>1.01573</v>
      </c>
      <c r="AB122" s="1">
        <v>1.0697700000000001</v>
      </c>
      <c r="AC122" s="1">
        <v>1.0279799999999999</v>
      </c>
      <c r="AD122" s="1">
        <v>1.0321</v>
      </c>
      <c r="AE122" s="1">
        <v>1.0528200000000001</v>
      </c>
      <c r="AF122" s="1">
        <v>1.07789</v>
      </c>
      <c r="AG122" s="1">
        <v>1.0545899999999999</v>
      </c>
      <c r="AH122" s="1">
        <v>1.01573</v>
      </c>
      <c r="AI122" s="1">
        <v>1.0697700000000001</v>
      </c>
      <c r="AL122" s="4" t="s">
        <v>19</v>
      </c>
      <c r="AM122" s="6" cm="1">
        <f t="array" ref="AM122">IFERROR((SUMPRODUCT(($C$113:$C$136=AM$111)*($F$109:$AI$109="")*$F$113:$AI$136)+IF(AM$111="P3",SUMPRODUCT(($F$109:$AI$109="P3")*$F$113:$AI$136),0))/(SUMPRODUCT(($C$113:$C$136=AM$111)*($F$109:$AI$109=""))+IF(AM$111="P3",COUNTIF($F$109:$AI$109,"P3")*ROWS($C$113:$C$136),0)),"")</f>
        <v>1.0643967500000009</v>
      </c>
      <c r="AN122" s="6" cm="1">
        <f t="array" ref="AN122">IFERROR((SUMPRODUCT(($C$113:$C$136=AN$111)*($F$109:$AI$109="")*$F$113:$AI$136)+IF(AN$111="P3",SUMPRODUCT(($F$109:$AI$109="P3")*$F$113:$AI$136),0))/(SUMPRODUCT(($C$113:$C$136=AN$111)*($F$109:$AI$109=""))+IF(AN$111="P3",COUNTIF($F$109:$AI$109,"P3")*ROWS($C$113:$C$136),0)),"")</f>
        <v>1.2391657499999986</v>
      </c>
      <c r="AO122" s="6" cm="1">
        <f t="array" ref="AO122">IFERROR((SUMPRODUCT(($C$113:$C$136=AO$111)*($F$109:$AI$109="")*$F$113:$AI$136)+IF(AO$111="P3",SUMPRODUCT(($F$109:$AI$109="P3")*$F$113:$AI$136),0))/(SUMPRODUCT(($C$113:$C$136=AO$111)*($F$109:$AI$109=""))+IF(AO$111="P3",COUNTIF($F$109:$AI$109,"P3")*ROWS($C$113:$C$136),0)),"")</f>
        <v>1.1831793999999995</v>
      </c>
      <c r="AP122" s="6" t="str" cm="1">
        <f t="array" ref="AP122">IFERROR((SUMPRODUCT(($C$113:$C$136=AP$111)*($F$109:$AI$109="")*$F$113:$AI$136)+IF(AP$111="P3",SUMPRODUCT(($F$109:$AI$109="P3")*$F$113:$AI$136),0))/(SUMPRODUCT(($C$113:$C$136=AP$111)*($F$109:$AI$109=""))+IF(AP$111="P3",COUNTIF($F$109:$AI$109,"P3")*ROWS($C$113:$C$136),0)),"")</f>
        <v/>
      </c>
      <c r="AQ122" s="6" t="str" cm="1">
        <f t="array" ref="AQ122">IFERROR((SUMPRODUCT(($C$113:$C$136=AQ$111)*($F$109:$AI$109="")*$F$113:$AI$136)+IF(AQ$111="P3",SUMPRODUCT(($F$109:$AI$109="P3")*$F$113:$AI$136),0))/(SUMPRODUCT(($C$113:$C$136=AQ$111)*($F$109:$AI$109=""))+IF(AQ$111="P3",COUNTIF($F$109:$AI$109,"P3")*ROWS($C$113:$C$136),0)),"")</f>
        <v/>
      </c>
      <c r="AR122" s="6" t="str" cm="1">
        <f t="array" ref="AR122">IFERROR((SUMPRODUCT(($C$113:$C$136=AR$111)*($F$109:$AI$109="")*$F$113:$AI$136)+IF(AR$111="P3",SUMPRODUCT(($F$109:$AI$109="P3")*$F$113:$AI$136),0))/(SUMPRODUCT(($C$113:$C$136=AR$111)*($F$109:$AI$109=""))+IF(AR$111="P3",COUNTIF($F$109:$AI$109,"P3")*ROWS($C$113:$C$136),0)),"")</f>
        <v/>
      </c>
    </row>
    <row r="123" spans="1:44" ht="14.25" customHeight="1" x14ac:dyDescent="0.35">
      <c r="A123" s="1" t="s">
        <v>16</v>
      </c>
      <c r="B123" s="1" t="s">
        <v>16</v>
      </c>
      <c r="C123" s="1" t="s">
        <v>13</v>
      </c>
      <c r="D123" s="1" t="s">
        <v>16</v>
      </c>
      <c r="E123" s="1" t="s">
        <v>28</v>
      </c>
      <c r="F123" s="1">
        <v>0.98782999999999999</v>
      </c>
      <c r="G123" s="1">
        <v>1.0148999999999999</v>
      </c>
      <c r="H123" s="1">
        <v>0.98165000000000002</v>
      </c>
      <c r="I123" s="1">
        <v>1.0005500000000001</v>
      </c>
      <c r="J123" s="1">
        <v>1.0187600000000001</v>
      </c>
      <c r="K123" s="1">
        <v>1.0506899999999999</v>
      </c>
      <c r="L123" s="1">
        <v>1.02806</v>
      </c>
      <c r="M123" s="1">
        <v>0.98782999999999999</v>
      </c>
      <c r="N123" s="1">
        <v>1.0148999999999999</v>
      </c>
      <c r="O123" s="1">
        <v>0.98165000000000002</v>
      </c>
      <c r="P123" s="1">
        <v>1.0005500000000001</v>
      </c>
      <c r="Q123" s="1">
        <v>1.0187600000000001</v>
      </c>
      <c r="R123" s="1">
        <v>1.0506899999999999</v>
      </c>
      <c r="S123" s="1">
        <v>1.02806</v>
      </c>
      <c r="T123" s="1">
        <v>0.98782999999999999</v>
      </c>
      <c r="U123" s="1">
        <v>1.0148999999999999</v>
      </c>
      <c r="V123" s="1">
        <v>0.98165000000000002</v>
      </c>
      <c r="W123" s="1">
        <v>1.0005500000000001</v>
      </c>
      <c r="X123" s="1">
        <v>1.0187600000000001</v>
      </c>
      <c r="Y123" s="1">
        <v>1.0506899999999999</v>
      </c>
      <c r="Z123" s="1">
        <v>1.02806</v>
      </c>
      <c r="AA123" s="1">
        <v>0.98782999999999999</v>
      </c>
      <c r="AB123" s="1">
        <v>1.0148999999999999</v>
      </c>
      <c r="AC123" s="1">
        <v>0.98165000000000002</v>
      </c>
      <c r="AD123" s="1">
        <v>1.0005500000000001</v>
      </c>
      <c r="AE123" s="1">
        <v>1.0187600000000001</v>
      </c>
      <c r="AF123" s="1">
        <v>1.0506899999999999</v>
      </c>
      <c r="AG123" s="1">
        <v>1.02806</v>
      </c>
      <c r="AH123" s="1">
        <v>0.98782999999999999</v>
      </c>
      <c r="AI123" s="1">
        <v>1.0148999999999999</v>
      </c>
      <c r="AL123" s="4" t="s">
        <v>21</v>
      </c>
      <c r="AM123" s="6" t="str" cm="1">
        <f t="array" ref="AM123">IFERROR((SUMPRODUCT(($A$113:$A$136=AM$111)*($F$110:$AI$110="")*$F$113:$AI$136)+IF(AM$111="P6",SUMPRODUCT(($F$110:$AI$110="P6")*$F$113:$AI$136),0))/(SUMPRODUCT(($A$113:$A$136=AM$111)*($F$110:$AI$110=""))+IF(AM$111="P6",COUNTIF($F$110:$AI$110,"P6")*ROWS($A$113:$A$136),0)),"")</f>
        <v/>
      </c>
      <c r="AN123" s="6" t="str" cm="1">
        <f t="array" ref="AN123">IFERROR((SUMPRODUCT(($A$113:$A$136=AN$111)*($F$110:$AI$110="")*$F$113:$AI$136)+IF(AN$111="P6",SUMPRODUCT(($F$110:$AI$110="P6")*$F$113:$AI$136),0))/(SUMPRODUCT(($A$113:$A$136=AN$111)*($F$110:$AI$110=""))+IF(AN$111="P6",COUNTIF($F$110:$AI$110,"P6")*ROWS($A$113:$A$136),0)),"")</f>
        <v/>
      </c>
      <c r="AO123" s="6" t="str" cm="1">
        <f t="array" ref="AO123">IFERROR((SUMPRODUCT(($A$113:$A$136=AO$111)*($F$110:$AI$110="")*$F$113:$AI$136)+IF(AO$111="P6",SUMPRODUCT(($F$110:$AI$110="P6")*$F$113:$AI$136),0))/(SUMPRODUCT(($A$113:$A$136=AO$111)*($F$110:$AI$110=""))+IF(AO$111="P6",COUNTIF($F$110:$AI$110,"P6")*ROWS($A$113:$A$136),0)),"")</f>
        <v/>
      </c>
      <c r="AP123" s="6" cm="1">
        <f t="array" ref="AP123">IFERROR((SUMPRODUCT(($A$113:$A$136=AP$111)*($F$110:$AI$110="")*$F$113:$AI$136)+IF(AP$111="P6",SUMPRODUCT(($F$110:$AI$110="P6")*$F$113:$AI$136),0))/(SUMPRODUCT(($A$113:$A$136=AP$111)*($F$110:$AI$110=""))+IF(AP$111="P6",COUNTIF($F$110:$AI$110,"P6")*ROWS($A$113:$A$136),0)),"")</f>
        <v>1.0733600000000005</v>
      </c>
      <c r="AQ123" s="6" cm="1">
        <f t="array" ref="AQ123">IFERROR((SUMPRODUCT(($A$113:$A$136=AQ$111)*($F$110:$AI$110="")*$F$113:$AI$136)+IF(AQ$111="P6",SUMPRODUCT(($F$110:$AI$110="P6")*$F$113:$AI$136),0))/(SUMPRODUCT(($A$113:$A$136=AQ$111)*($F$110:$AI$110=""))+IF(AQ$111="P6",COUNTIF($F$110:$AI$110,"P6")*ROWS($A$113:$A$136),0)),"")</f>
        <v>1.2526085714285695</v>
      </c>
      <c r="AR123" s="6" cm="1">
        <f t="array" ref="AR123">IFERROR((SUMPRODUCT(($A$113:$A$136=AR$111)*($F$110:$AI$110="")*$F$113:$AI$136)+IF(AR$111="P6",SUMPRODUCT(($F$110:$AI$110="P6")*$F$113:$AI$136),0))/(SUMPRODUCT(($A$113:$A$136=AR$111)*($F$110:$AI$110=""))+IF(AR$111="P6",COUNTIF($F$110:$AI$110,"P6")*ROWS($A$113:$A$136),0)),"")</f>
        <v>1.1831793999999995</v>
      </c>
    </row>
    <row r="124" spans="1:44" ht="14.25" customHeight="1" x14ac:dyDescent="0.35">
      <c r="A124" s="1" t="s">
        <v>16</v>
      </c>
      <c r="B124" s="1" t="s">
        <v>16</v>
      </c>
      <c r="C124" s="1" t="s">
        <v>13</v>
      </c>
      <c r="D124" s="1" t="s">
        <v>16</v>
      </c>
      <c r="E124" s="1" t="s">
        <v>30</v>
      </c>
      <c r="F124" s="1">
        <v>0.97948999999999997</v>
      </c>
      <c r="G124" s="1">
        <v>1.0022200000000001</v>
      </c>
      <c r="H124" s="1">
        <v>0.99797999999999998</v>
      </c>
      <c r="I124" s="1">
        <v>0.98865000000000003</v>
      </c>
      <c r="J124" s="1">
        <v>1.03379</v>
      </c>
      <c r="K124" s="1">
        <v>1.04253</v>
      </c>
      <c r="L124" s="1">
        <v>1.02264</v>
      </c>
      <c r="M124" s="1">
        <v>0.97948999999999997</v>
      </c>
      <c r="N124" s="1">
        <v>1.0022200000000001</v>
      </c>
      <c r="O124" s="1">
        <v>0.99797999999999998</v>
      </c>
      <c r="P124" s="1">
        <v>0.98865000000000003</v>
      </c>
      <c r="Q124" s="1">
        <v>1.03379</v>
      </c>
      <c r="R124" s="1">
        <v>1.04253</v>
      </c>
      <c r="S124" s="1">
        <v>1.02264</v>
      </c>
      <c r="T124" s="1">
        <v>0.97948999999999997</v>
      </c>
      <c r="U124" s="1">
        <v>1.0022200000000001</v>
      </c>
      <c r="V124" s="1">
        <v>0.99797999999999998</v>
      </c>
      <c r="W124" s="1">
        <v>0.98865000000000003</v>
      </c>
      <c r="X124" s="1">
        <v>1.03379</v>
      </c>
      <c r="Y124" s="1">
        <v>1.04253</v>
      </c>
      <c r="Z124" s="1">
        <v>1.02264</v>
      </c>
      <c r="AA124" s="1">
        <v>0.97948999999999997</v>
      </c>
      <c r="AB124" s="1">
        <v>1.0022200000000001</v>
      </c>
      <c r="AC124" s="1">
        <v>0.99797999999999998</v>
      </c>
      <c r="AD124" s="1">
        <v>0.98865000000000003</v>
      </c>
      <c r="AE124" s="1">
        <v>1.03379</v>
      </c>
      <c r="AF124" s="1">
        <v>1.04253</v>
      </c>
      <c r="AG124" s="1">
        <v>1.02264</v>
      </c>
      <c r="AH124" s="1">
        <v>0.97948999999999997</v>
      </c>
      <c r="AI124" s="1">
        <v>1.0022200000000001</v>
      </c>
      <c r="AL124" s="4" t="s">
        <v>23</v>
      </c>
      <c r="AM124" s="6" t="str" cm="1">
        <f t="array" ref="AM124">IFERROR((SUMPRODUCT(($A$113:$A$136=AM$111)*($F$110:$AI$110="")*$F$113:$AI$136)+IF(AM$111="P6",SUMPRODUCT(($F$110:$AI$110="P6")*$F$113:$AI$136),0))/(SUMPRODUCT(($A$113:$A$136=AM$111)*($F$110:$AI$110=""))+IF(AM$111="P6",COUNTIF($F$110:$AI$110,"P6")*ROWS($A$113:$A$136),0)),"")</f>
        <v/>
      </c>
      <c r="AN124" s="6" t="str" cm="1">
        <f t="array" ref="AN124">IFERROR((SUMPRODUCT(($A$113:$A$136=AN$111)*($F$110:$AI$110="")*$F$113:$AI$136)+IF(AN$111="P6",SUMPRODUCT(($F$110:$AI$110="P6")*$F$113:$AI$136),0))/(SUMPRODUCT(($A$113:$A$136=AN$111)*($F$110:$AI$110=""))+IF(AN$111="P6",COUNTIF($F$110:$AI$110,"P6")*ROWS($A$113:$A$136),0)),"")</f>
        <v/>
      </c>
      <c r="AO124" s="6" t="str" cm="1">
        <f t="array" ref="AO124">IFERROR((SUMPRODUCT(($A$113:$A$136=AO$111)*($F$110:$AI$110="")*$F$113:$AI$136)+IF(AO$111="P6",SUMPRODUCT(($F$110:$AI$110="P6")*$F$113:$AI$136),0))/(SUMPRODUCT(($A$113:$A$136=AO$111)*($F$110:$AI$110=""))+IF(AO$111="P6",COUNTIF($F$110:$AI$110,"P6")*ROWS($A$113:$A$136),0)),"")</f>
        <v/>
      </c>
      <c r="AP124" s="6" cm="1">
        <f t="array" ref="AP124">IFERROR((SUMPRODUCT(($A$113:$A$136=AP$111)*($F$110:$AI$110="")*$F$113:$AI$136)+IF(AP$111="P6",SUMPRODUCT(($F$110:$AI$110="P6")*$F$113:$AI$136),0))/(SUMPRODUCT(($A$113:$A$136=AP$111)*($F$110:$AI$110=""))+IF(AP$111="P6",COUNTIF($F$110:$AI$110,"P6")*ROWS($A$113:$A$136),0)),"")</f>
        <v>1.0733600000000005</v>
      </c>
      <c r="AQ124" s="6" cm="1">
        <f t="array" ref="AQ124">IFERROR((SUMPRODUCT(($A$113:$A$136=AQ$111)*($F$110:$AI$110="")*$F$113:$AI$136)+IF(AQ$111="P6",SUMPRODUCT(($F$110:$AI$110="P6")*$F$113:$AI$136),0))/(SUMPRODUCT(($A$113:$A$136=AQ$111)*($F$110:$AI$110=""))+IF(AQ$111="P6",COUNTIF($F$110:$AI$110,"P6")*ROWS($A$113:$A$136),0)),"")</f>
        <v>1.2526085714285695</v>
      </c>
      <c r="AR124" s="6" cm="1">
        <f t="array" ref="AR124">IFERROR((SUMPRODUCT(($A$113:$A$136=AR$111)*($F$110:$AI$110="")*$F$113:$AI$136)+IF(AR$111="P6",SUMPRODUCT(($F$110:$AI$110="P6")*$F$113:$AI$136),0))/(SUMPRODUCT(($A$113:$A$136=AR$111)*($F$110:$AI$110=""))+IF(AR$111="P6",COUNTIF($F$110:$AI$110,"P6")*ROWS($A$113:$A$136),0)),"")</f>
        <v>1.1831793999999995</v>
      </c>
    </row>
    <row r="125" spans="1:44" ht="14.25" customHeight="1" x14ac:dyDescent="0.35">
      <c r="A125" s="1" t="s">
        <v>16</v>
      </c>
      <c r="B125" s="1" t="s">
        <v>16</v>
      </c>
      <c r="C125" s="1" t="s">
        <v>13</v>
      </c>
      <c r="D125" s="1" t="s">
        <v>16</v>
      </c>
      <c r="E125" s="1" t="s">
        <v>31</v>
      </c>
      <c r="F125" s="1">
        <v>0.97206999999999999</v>
      </c>
      <c r="G125" s="1">
        <v>1.0017100000000001</v>
      </c>
      <c r="H125" s="1">
        <v>0.99309000000000003</v>
      </c>
      <c r="I125" s="1">
        <v>0.97762000000000004</v>
      </c>
      <c r="J125" s="1">
        <v>1.0269900000000001</v>
      </c>
      <c r="K125" s="1">
        <v>1.02858</v>
      </c>
      <c r="L125" s="1">
        <v>1.03193</v>
      </c>
      <c r="M125" s="1">
        <v>0.97206999999999999</v>
      </c>
      <c r="N125" s="1">
        <v>1.0017100000000001</v>
      </c>
      <c r="O125" s="1">
        <v>0.99309000000000003</v>
      </c>
      <c r="P125" s="1">
        <v>0.97762000000000004</v>
      </c>
      <c r="Q125" s="1">
        <v>1.0269900000000001</v>
      </c>
      <c r="R125" s="1">
        <v>1.02858</v>
      </c>
      <c r="S125" s="1">
        <v>1.03193</v>
      </c>
      <c r="T125" s="1">
        <v>0.97206999999999999</v>
      </c>
      <c r="U125" s="1">
        <v>1.0017100000000001</v>
      </c>
      <c r="V125" s="1">
        <v>0.99309000000000003</v>
      </c>
      <c r="W125" s="1">
        <v>0.97762000000000004</v>
      </c>
      <c r="X125" s="1">
        <v>1.0269900000000001</v>
      </c>
      <c r="Y125" s="1">
        <v>1.02858</v>
      </c>
      <c r="Z125" s="1">
        <v>1.03193</v>
      </c>
      <c r="AA125" s="1">
        <v>0.97206999999999999</v>
      </c>
      <c r="AB125" s="1">
        <v>1.0017100000000001</v>
      </c>
      <c r="AC125" s="1">
        <v>0.99309000000000003</v>
      </c>
      <c r="AD125" s="1">
        <v>0.97762000000000004</v>
      </c>
      <c r="AE125" s="1">
        <v>1.0269900000000001</v>
      </c>
      <c r="AF125" s="1">
        <v>1.02858</v>
      </c>
      <c r="AG125" s="1">
        <v>1.03193</v>
      </c>
      <c r="AH125" s="1">
        <v>0.97206999999999999</v>
      </c>
      <c r="AI125" s="1">
        <v>1.0017100000000001</v>
      </c>
      <c r="AL125" s="4" t="s">
        <v>25</v>
      </c>
      <c r="AM125" s="6" t="str" cm="1">
        <f t="array" ref="AM125">IFERROR((SUMPRODUCT(($A$113:$A$136=AM$111)*($F$110:$AI$110="")*$F$113:$AI$136)+IF(AM$111="P6",SUMPRODUCT(($F$110:$AI$110="P6")*$F$113:$AI$136),0))/(SUMPRODUCT(($A$113:$A$136=AM$111)*($F$110:$AI$110=""))+IF(AM$111="P6",COUNTIF($F$110:$AI$110,"P6")*ROWS($A$113:$A$136),0)),"")</f>
        <v/>
      </c>
      <c r="AN125" s="6" t="str" cm="1">
        <f t="array" ref="AN125">IFERROR((SUMPRODUCT(($A$113:$A$136=AN$111)*($F$110:$AI$110="")*$F$113:$AI$136)+IF(AN$111="P6",SUMPRODUCT(($F$110:$AI$110="P6")*$F$113:$AI$136),0))/(SUMPRODUCT(($A$113:$A$136=AN$111)*($F$110:$AI$110=""))+IF(AN$111="P6",COUNTIF($F$110:$AI$110,"P6")*ROWS($A$113:$A$136),0)),"")</f>
        <v/>
      </c>
      <c r="AO125" s="6" t="str" cm="1">
        <f t="array" ref="AO125">IFERROR((SUMPRODUCT(($A$113:$A$136=AO$111)*($F$110:$AI$110="")*$F$113:$AI$136)+IF(AO$111="P6",SUMPRODUCT(($F$110:$AI$110="P6")*$F$113:$AI$136),0))/(SUMPRODUCT(($A$113:$A$136=AO$111)*($F$110:$AI$110=""))+IF(AO$111="P6",COUNTIF($F$110:$AI$110,"P6")*ROWS($A$113:$A$136),0)),"")</f>
        <v/>
      </c>
      <c r="AP125" s="6" cm="1">
        <f t="array" ref="AP125">IFERROR((SUMPRODUCT(($A$113:$A$136=AP$111)*($F$110:$AI$110="")*$F$113:$AI$136)+IF(AP$111="P6",SUMPRODUCT(($F$110:$AI$110="P6")*$F$113:$AI$136),0))/(SUMPRODUCT(($A$113:$A$136=AP$111)*($F$110:$AI$110=""))+IF(AP$111="P6",COUNTIF($F$110:$AI$110,"P6")*ROWS($A$113:$A$136),0)),"")</f>
        <v>1.0733600000000005</v>
      </c>
      <c r="AQ125" s="6" cm="1">
        <f t="array" ref="AQ125">IFERROR((SUMPRODUCT(($A$113:$A$136=AQ$111)*($F$110:$AI$110="")*$F$113:$AI$136)+IF(AQ$111="P6",SUMPRODUCT(($F$110:$AI$110="P6")*$F$113:$AI$136),0))/(SUMPRODUCT(($A$113:$A$136=AQ$111)*($F$110:$AI$110=""))+IF(AQ$111="P6",COUNTIF($F$110:$AI$110,"P6")*ROWS($A$113:$A$136),0)),"")</f>
        <v>1.2526085714285695</v>
      </c>
      <c r="AR125" s="6" cm="1">
        <f t="array" ref="AR125">IFERROR((SUMPRODUCT(($A$113:$A$136=AR$111)*($F$110:$AI$110="")*$F$113:$AI$136)+IF(AR$111="P6",SUMPRODUCT(($F$110:$AI$110="P6")*$F$113:$AI$136),0))/(SUMPRODUCT(($A$113:$A$136=AR$111)*($F$110:$AI$110=""))+IF(AR$111="P6",COUNTIF($F$110:$AI$110,"P6")*ROWS($A$113:$A$136),0)),"")</f>
        <v>1.1831793999999995</v>
      </c>
    </row>
    <row r="126" spans="1:44" ht="14.25" customHeight="1" x14ac:dyDescent="0.35">
      <c r="A126" s="1" t="s">
        <v>16</v>
      </c>
      <c r="B126" s="1" t="s">
        <v>16</v>
      </c>
      <c r="C126" s="1" t="s">
        <v>13</v>
      </c>
      <c r="D126" s="1" t="s">
        <v>16</v>
      </c>
      <c r="E126" s="1" t="s">
        <v>32</v>
      </c>
      <c r="F126" s="1">
        <v>0.95648999999999995</v>
      </c>
      <c r="G126" s="1">
        <v>0.97550999999999999</v>
      </c>
      <c r="H126" s="1">
        <v>0.97160999999999997</v>
      </c>
      <c r="I126" s="1">
        <v>0.96347000000000005</v>
      </c>
      <c r="J126" s="1">
        <v>1.0042899999999999</v>
      </c>
      <c r="K126" s="1">
        <v>1.0007699999999999</v>
      </c>
      <c r="L126" s="1">
        <v>1.0128200000000001</v>
      </c>
      <c r="M126" s="1">
        <v>0.95648999999999995</v>
      </c>
      <c r="N126" s="1">
        <v>0.97550999999999999</v>
      </c>
      <c r="O126" s="1">
        <v>0.97160999999999997</v>
      </c>
      <c r="P126" s="1">
        <v>0.96347000000000005</v>
      </c>
      <c r="Q126" s="1">
        <v>1.0042899999999999</v>
      </c>
      <c r="R126" s="1">
        <v>1.0007699999999999</v>
      </c>
      <c r="S126" s="1">
        <v>1.0128200000000001</v>
      </c>
      <c r="T126" s="1">
        <v>0.95648999999999995</v>
      </c>
      <c r="U126" s="1">
        <v>0.97550999999999999</v>
      </c>
      <c r="V126" s="1">
        <v>0.97160999999999997</v>
      </c>
      <c r="W126" s="1">
        <v>0.96347000000000005</v>
      </c>
      <c r="X126" s="1">
        <v>1.0042899999999999</v>
      </c>
      <c r="Y126" s="1">
        <v>1.0007699999999999</v>
      </c>
      <c r="Z126" s="1">
        <v>1.0128200000000001</v>
      </c>
      <c r="AA126" s="1">
        <v>0.95648999999999995</v>
      </c>
      <c r="AB126" s="1">
        <v>0.97550999999999999</v>
      </c>
      <c r="AC126" s="1">
        <v>0.97160999999999997</v>
      </c>
      <c r="AD126" s="1">
        <v>0.96347000000000005</v>
      </c>
      <c r="AE126" s="1">
        <v>1.0042899999999999</v>
      </c>
      <c r="AF126" s="1">
        <v>1.0007699999999999</v>
      </c>
      <c r="AG126" s="1">
        <v>1.0128200000000001</v>
      </c>
      <c r="AH126" s="1">
        <v>0.95648999999999995</v>
      </c>
      <c r="AI126" s="1">
        <v>0.97550999999999999</v>
      </c>
      <c r="AL126" s="4" t="s">
        <v>27</v>
      </c>
      <c r="AM126" s="6" t="str" cm="1">
        <f t="array" ref="AM126">IFERROR((SUMPRODUCT(($A$113:$A$136=AM$111)*($F$110:$AI$110="")*$F$113:$AI$136)+IF(AM$111="P6",SUMPRODUCT(($F$110:$AI$110="P6")*$F$113:$AI$136),0))/(SUMPRODUCT(($A$113:$A$136=AM$111)*($F$110:$AI$110=""))+IF(AM$111="P6",COUNTIF($F$110:$AI$110,"P6")*ROWS($A$113:$A$136),0)),"")</f>
        <v/>
      </c>
      <c r="AN126" s="6" t="str" cm="1">
        <f t="array" ref="AN126">IFERROR((SUMPRODUCT(($A$113:$A$136=AN$111)*($F$110:$AI$110="")*$F$113:$AI$136)+IF(AN$111="P6",SUMPRODUCT(($F$110:$AI$110="P6")*$F$113:$AI$136),0))/(SUMPRODUCT(($A$113:$A$136=AN$111)*($F$110:$AI$110=""))+IF(AN$111="P6",COUNTIF($F$110:$AI$110,"P6")*ROWS($A$113:$A$136),0)),"")</f>
        <v/>
      </c>
      <c r="AO126" s="6" t="str" cm="1">
        <f t="array" ref="AO126">IFERROR((SUMPRODUCT(($A$113:$A$136=AO$111)*($F$110:$AI$110="")*$F$113:$AI$136)+IF(AO$111="P6",SUMPRODUCT(($F$110:$AI$110="P6")*$F$113:$AI$136),0))/(SUMPRODUCT(($A$113:$A$136=AO$111)*($F$110:$AI$110=""))+IF(AO$111="P6",COUNTIF($F$110:$AI$110,"P6")*ROWS($A$113:$A$136),0)),"")</f>
        <v/>
      </c>
      <c r="AP126" s="6" cm="1">
        <f t="array" ref="AP126">IFERROR((SUMPRODUCT(($A$113:$A$136=AP$111)*($F$110:$AI$110="")*$F$113:$AI$136)+IF(AP$111="P6",SUMPRODUCT(($F$110:$AI$110="P6")*$F$113:$AI$136),0))/(SUMPRODUCT(($A$113:$A$136=AP$111)*($F$110:$AI$110=""))+IF(AP$111="P6",COUNTIF($F$110:$AI$110,"P6")*ROWS($A$113:$A$136),0)),"")</f>
        <v>1.0733600000000005</v>
      </c>
      <c r="AQ126" s="6" cm="1">
        <f t="array" ref="AQ126">IFERROR((SUMPRODUCT(($A$113:$A$136=AQ$111)*($F$110:$AI$110="")*$F$113:$AI$136)+IF(AQ$111="P6",SUMPRODUCT(($F$110:$AI$110="P6")*$F$113:$AI$136),0))/(SUMPRODUCT(($A$113:$A$136=AQ$111)*($F$110:$AI$110=""))+IF(AQ$111="P6",COUNTIF($F$110:$AI$110,"P6")*ROWS($A$113:$A$136),0)),"")</f>
        <v>1.2526085714285695</v>
      </c>
      <c r="AR126" s="6" cm="1">
        <f t="array" ref="AR126">IFERROR((SUMPRODUCT(($A$113:$A$136=AR$111)*($F$110:$AI$110="")*$F$113:$AI$136)+IF(AR$111="P6",SUMPRODUCT(($F$110:$AI$110="P6")*$F$113:$AI$136),0))/(SUMPRODUCT(($A$113:$A$136=AR$111)*($F$110:$AI$110=""))+IF(AR$111="P6",COUNTIF($F$110:$AI$110,"P6")*ROWS($A$113:$A$136),0)),"")</f>
        <v>1.1831793999999995</v>
      </c>
    </row>
    <row r="127" spans="1:44" ht="14.25" customHeight="1" x14ac:dyDescent="0.35">
      <c r="A127" s="1" t="s">
        <v>16</v>
      </c>
      <c r="B127" s="1" t="s">
        <v>16</v>
      </c>
      <c r="C127" s="1" t="s">
        <v>14</v>
      </c>
      <c r="D127" s="1" t="s">
        <v>17</v>
      </c>
      <c r="E127" s="1" t="s">
        <v>33</v>
      </c>
      <c r="F127" s="1">
        <v>0.96260999999999997</v>
      </c>
      <c r="G127" s="1">
        <v>0.97738999999999998</v>
      </c>
      <c r="H127" s="1">
        <v>1.1346799999999999</v>
      </c>
      <c r="I127" s="1">
        <v>1.1074299999999999</v>
      </c>
      <c r="J127" s="1">
        <v>1.17194</v>
      </c>
      <c r="K127" s="1">
        <v>1.1449499999999999</v>
      </c>
      <c r="L127" s="1">
        <v>1.1663300000000001</v>
      </c>
      <c r="M127" s="1">
        <v>0.96260999999999997</v>
      </c>
      <c r="N127" s="1">
        <v>0.97738999999999998</v>
      </c>
      <c r="O127" s="1">
        <v>1.1346799999999999</v>
      </c>
      <c r="P127" s="1">
        <v>1.1074299999999999</v>
      </c>
      <c r="Q127" s="1">
        <v>1.17194</v>
      </c>
      <c r="R127" s="1">
        <v>1.1449499999999999</v>
      </c>
      <c r="S127" s="1">
        <v>1.1663300000000001</v>
      </c>
      <c r="T127" s="1">
        <v>0.96260999999999997</v>
      </c>
      <c r="U127" s="1">
        <v>0.97738999999999998</v>
      </c>
      <c r="V127" s="1">
        <v>1.1346799999999999</v>
      </c>
      <c r="W127" s="1">
        <v>1.1074299999999999</v>
      </c>
      <c r="X127" s="1">
        <v>1.17194</v>
      </c>
      <c r="Y127" s="1">
        <v>1.1449499999999999</v>
      </c>
      <c r="Z127" s="1">
        <v>1.1663300000000001</v>
      </c>
      <c r="AA127" s="1">
        <v>0.96260999999999997</v>
      </c>
      <c r="AB127" s="1">
        <v>0.97738999999999998</v>
      </c>
      <c r="AC127" s="1">
        <v>1.1346799999999999</v>
      </c>
      <c r="AD127" s="1">
        <v>1.1074299999999999</v>
      </c>
      <c r="AE127" s="1">
        <v>1.17194</v>
      </c>
      <c r="AF127" s="1">
        <v>1.1449499999999999</v>
      </c>
      <c r="AG127" s="1">
        <v>1.1663300000000001</v>
      </c>
      <c r="AH127" s="1">
        <v>0.96260999999999997</v>
      </c>
      <c r="AI127" s="1">
        <v>0.97738999999999998</v>
      </c>
      <c r="AL127" s="4" t="s">
        <v>29</v>
      </c>
      <c r="AM127" s="6" t="str" cm="1">
        <f t="array" ref="AM127">IFERROR((SUMPRODUCT(($A$113:$A$136=AM$111)*($F$110:$AI$110="")*$F$113:$AI$136)+IF(AM$111="P6",SUMPRODUCT(($F$110:$AI$110="P6")*$F$113:$AI$136),0))/(SUMPRODUCT(($A$113:$A$136=AM$111)*($F$110:$AI$110=""))+IF(AM$111="P6",COUNTIF($F$110:$AI$110,"P6")*ROWS($A$113:$A$136),0)),"")</f>
        <v/>
      </c>
      <c r="AN127" s="6" t="str" cm="1">
        <f t="array" ref="AN127">IFERROR((SUMPRODUCT(($A$113:$A$136=AN$111)*($F$110:$AI$110="")*$F$113:$AI$136)+IF(AN$111="P6",SUMPRODUCT(($F$110:$AI$110="P6")*$F$113:$AI$136),0))/(SUMPRODUCT(($A$113:$A$136=AN$111)*($F$110:$AI$110=""))+IF(AN$111="P6",COUNTIF($F$110:$AI$110,"P6")*ROWS($A$113:$A$136),0)),"")</f>
        <v/>
      </c>
      <c r="AO127" s="6" t="str" cm="1">
        <f t="array" ref="AO127">IFERROR((SUMPRODUCT(($A$113:$A$136=AO$111)*($F$110:$AI$110="")*$F$113:$AI$136)+IF(AO$111="P6",SUMPRODUCT(($F$110:$AI$110="P6")*$F$113:$AI$136),0))/(SUMPRODUCT(($A$113:$A$136=AO$111)*($F$110:$AI$110=""))+IF(AO$111="P6",COUNTIF($F$110:$AI$110,"P6")*ROWS($A$113:$A$136),0)),"")</f>
        <v/>
      </c>
      <c r="AP127" s="6" cm="1">
        <f t="array" ref="AP127">IFERROR((SUMPRODUCT(($A$113:$A$136=AP$111)*($F$110:$AI$110="")*$F$113:$AI$136)+IF(AP$111="P6",SUMPRODUCT(($F$110:$AI$110="P6")*$F$113:$AI$136),0))/(SUMPRODUCT(($A$113:$A$136=AP$111)*($F$110:$AI$110=""))+IF(AP$111="P6",COUNTIF($F$110:$AI$110,"P6")*ROWS($A$113:$A$136),0)),"")</f>
        <v>1.0733600000000005</v>
      </c>
      <c r="AQ127" s="6" cm="1">
        <f t="array" ref="AQ127">IFERROR((SUMPRODUCT(($A$113:$A$136=AQ$111)*($F$110:$AI$110="")*$F$113:$AI$136)+IF(AQ$111="P6",SUMPRODUCT(($F$110:$AI$110="P6")*$F$113:$AI$136),0))/(SUMPRODUCT(($A$113:$A$136=AQ$111)*($F$110:$AI$110=""))+IF(AQ$111="P6",COUNTIF($F$110:$AI$110,"P6")*ROWS($A$113:$A$136),0)),"")</f>
        <v>1.2526085714285695</v>
      </c>
      <c r="AR127" s="6" cm="1">
        <f t="array" ref="AR127">IFERROR((SUMPRODUCT(($A$113:$A$136=AR$111)*($F$110:$AI$110="")*$F$113:$AI$136)+IF(AR$111="P6",SUMPRODUCT(($F$110:$AI$110="P6")*$F$113:$AI$136),0))/(SUMPRODUCT(($A$113:$A$136=AR$111)*($F$110:$AI$110=""))+IF(AR$111="P6",COUNTIF($F$110:$AI$110,"P6")*ROWS($A$113:$A$136),0)),"")</f>
        <v>1.1831793999999995</v>
      </c>
    </row>
    <row r="128" spans="1:44" ht="14.25" customHeight="1" x14ac:dyDescent="0.35">
      <c r="A128" s="1" t="s">
        <v>17</v>
      </c>
      <c r="B128" s="1" t="s">
        <v>17</v>
      </c>
      <c r="C128" s="1" t="s">
        <v>14</v>
      </c>
      <c r="D128" s="1" t="s">
        <v>17</v>
      </c>
      <c r="E128" s="1" t="s">
        <v>34</v>
      </c>
      <c r="F128" s="1">
        <v>1.02495</v>
      </c>
      <c r="G128" s="1">
        <v>1.0308600000000001</v>
      </c>
      <c r="H128" s="1">
        <v>1.17408</v>
      </c>
      <c r="I128" s="1">
        <v>1.15751</v>
      </c>
      <c r="J128" s="1">
        <v>1.22804</v>
      </c>
      <c r="K128" s="1">
        <v>1.2034100000000001</v>
      </c>
      <c r="L128" s="1">
        <v>1.2117500000000001</v>
      </c>
      <c r="M128" s="1">
        <v>1.02495</v>
      </c>
      <c r="N128" s="1">
        <v>1.0308600000000001</v>
      </c>
      <c r="O128" s="1">
        <v>1.17408</v>
      </c>
      <c r="P128" s="1">
        <v>1.15751</v>
      </c>
      <c r="Q128" s="1">
        <v>1.22804</v>
      </c>
      <c r="R128" s="1">
        <v>1.2034100000000001</v>
      </c>
      <c r="S128" s="1">
        <v>1.2117500000000001</v>
      </c>
      <c r="T128" s="1">
        <v>1.02495</v>
      </c>
      <c r="U128" s="1">
        <v>1.0308600000000001</v>
      </c>
      <c r="V128" s="1">
        <v>1.17408</v>
      </c>
      <c r="W128" s="1">
        <v>1.15751</v>
      </c>
      <c r="X128" s="1">
        <v>1.22804</v>
      </c>
      <c r="Y128" s="1">
        <v>1.2034100000000001</v>
      </c>
      <c r="Z128" s="1">
        <v>1.2117500000000001</v>
      </c>
      <c r="AA128" s="1">
        <v>1.02495</v>
      </c>
      <c r="AB128" s="1">
        <v>1.0308600000000001</v>
      </c>
      <c r="AC128" s="1">
        <v>1.17408</v>
      </c>
      <c r="AD128" s="1">
        <v>1.15751</v>
      </c>
      <c r="AE128" s="1">
        <v>1.22804</v>
      </c>
      <c r="AF128" s="1">
        <v>1.2034100000000001</v>
      </c>
      <c r="AG128" s="1">
        <v>1.2117500000000001</v>
      </c>
      <c r="AH128" s="1">
        <v>1.02495</v>
      </c>
      <c r="AI128" s="1">
        <v>1.0308600000000001</v>
      </c>
      <c r="AL128" s="10"/>
      <c r="AM128" s="10"/>
      <c r="AN128" s="10"/>
      <c r="AO128" s="10"/>
      <c r="AP128" s="10"/>
      <c r="AQ128" s="10"/>
      <c r="AR128" s="10"/>
    </row>
    <row r="129" spans="1:44" ht="14.25" customHeight="1" x14ac:dyDescent="0.35">
      <c r="A129" s="1" t="s">
        <v>17</v>
      </c>
      <c r="B129" s="1" t="s">
        <v>17</v>
      </c>
      <c r="C129" s="1" t="s">
        <v>14</v>
      </c>
      <c r="D129" s="1" t="s">
        <v>17</v>
      </c>
      <c r="E129" s="1" t="s">
        <v>35</v>
      </c>
      <c r="F129" s="1">
        <v>1.0707599999999999</v>
      </c>
      <c r="G129" s="1">
        <v>1.0654600000000001</v>
      </c>
      <c r="H129" s="1">
        <v>1.2308600000000001</v>
      </c>
      <c r="I129" s="1">
        <v>1.19496</v>
      </c>
      <c r="J129" s="1">
        <v>1.2746500000000001</v>
      </c>
      <c r="K129" s="1">
        <v>1.24309</v>
      </c>
      <c r="L129" s="1">
        <v>1.2518899999999999</v>
      </c>
      <c r="M129" s="1">
        <v>1.0707599999999999</v>
      </c>
      <c r="N129" s="1">
        <v>1.0654600000000001</v>
      </c>
      <c r="O129" s="1">
        <v>1.2308600000000001</v>
      </c>
      <c r="P129" s="1">
        <v>1.19496</v>
      </c>
      <c r="Q129" s="1">
        <v>1.2746500000000001</v>
      </c>
      <c r="R129" s="1">
        <v>1.24309</v>
      </c>
      <c r="S129" s="1">
        <v>1.2518899999999999</v>
      </c>
      <c r="T129" s="1">
        <v>1.0707599999999999</v>
      </c>
      <c r="U129" s="1">
        <v>1.0654600000000001</v>
      </c>
      <c r="V129" s="1">
        <v>1.2308600000000001</v>
      </c>
      <c r="W129" s="1">
        <v>1.19496</v>
      </c>
      <c r="X129" s="1">
        <v>1.2746500000000001</v>
      </c>
      <c r="Y129" s="1">
        <v>1.24309</v>
      </c>
      <c r="Z129" s="1">
        <v>1.2518899999999999</v>
      </c>
      <c r="AA129" s="1">
        <v>1.0707599999999999</v>
      </c>
      <c r="AB129" s="1">
        <v>1.0654600000000001</v>
      </c>
      <c r="AC129" s="1">
        <v>1.2308600000000001</v>
      </c>
      <c r="AD129" s="1">
        <v>1.19496</v>
      </c>
      <c r="AE129" s="1">
        <v>1.2746500000000001</v>
      </c>
      <c r="AF129" s="1">
        <v>1.24309</v>
      </c>
      <c r="AG129" s="1">
        <v>1.2518899999999999</v>
      </c>
      <c r="AH129" s="1">
        <v>1.0707599999999999</v>
      </c>
      <c r="AI129" s="1">
        <v>1.0654600000000001</v>
      </c>
      <c r="AL129" s="10"/>
      <c r="AM129" s="10"/>
      <c r="AN129" s="10"/>
      <c r="AO129" s="10"/>
      <c r="AP129" s="10"/>
      <c r="AQ129" s="10"/>
      <c r="AR129" s="10"/>
    </row>
    <row r="130" spans="1:44" ht="14.25" customHeight="1" x14ac:dyDescent="0.35">
      <c r="A130" s="1" t="s">
        <v>17</v>
      </c>
      <c r="B130" s="1" t="s">
        <v>17</v>
      </c>
      <c r="C130" s="1" t="s">
        <v>14</v>
      </c>
      <c r="D130" s="1" t="s">
        <v>17</v>
      </c>
      <c r="E130" s="1" t="s">
        <v>36</v>
      </c>
      <c r="F130" s="1">
        <v>1.0849599999999999</v>
      </c>
      <c r="G130" s="1">
        <v>1.08744</v>
      </c>
      <c r="H130" s="1">
        <v>1.25499</v>
      </c>
      <c r="I130" s="1">
        <v>1.2129700000000001</v>
      </c>
      <c r="J130" s="1">
        <v>1.29419</v>
      </c>
      <c r="K130" s="1">
        <v>1.26607</v>
      </c>
      <c r="L130" s="1">
        <v>1.2801199999999999</v>
      </c>
      <c r="M130" s="1">
        <v>1.0849599999999999</v>
      </c>
      <c r="N130" s="1">
        <v>1.08744</v>
      </c>
      <c r="O130" s="1">
        <v>1.25499</v>
      </c>
      <c r="P130" s="1">
        <v>1.2129700000000001</v>
      </c>
      <c r="Q130" s="1">
        <v>1.29419</v>
      </c>
      <c r="R130" s="1">
        <v>1.26607</v>
      </c>
      <c r="S130" s="1">
        <v>1.2801199999999999</v>
      </c>
      <c r="T130" s="1">
        <v>1.0849599999999999</v>
      </c>
      <c r="U130" s="1">
        <v>1.08744</v>
      </c>
      <c r="V130" s="1">
        <v>1.25499</v>
      </c>
      <c r="W130" s="1">
        <v>1.2129700000000001</v>
      </c>
      <c r="X130" s="1">
        <v>1.29419</v>
      </c>
      <c r="Y130" s="1">
        <v>1.26607</v>
      </c>
      <c r="Z130" s="1">
        <v>1.2801199999999999</v>
      </c>
      <c r="AA130" s="1">
        <v>1.0849599999999999</v>
      </c>
      <c r="AB130" s="1">
        <v>1.08744</v>
      </c>
      <c r="AC130" s="1">
        <v>1.25499</v>
      </c>
      <c r="AD130" s="1">
        <v>1.2129700000000001</v>
      </c>
      <c r="AE130" s="1">
        <v>1.29419</v>
      </c>
      <c r="AF130" s="1">
        <v>1.26607</v>
      </c>
      <c r="AG130" s="1">
        <v>1.2801199999999999</v>
      </c>
      <c r="AH130" s="1">
        <v>1.0849599999999999</v>
      </c>
      <c r="AI130" s="1">
        <v>1.08744</v>
      </c>
      <c r="AL130" s="14" t="s">
        <v>219</v>
      </c>
      <c r="AM130" s="14"/>
      <c r="AN130" s="14"/>
      <c r="AO130" s="14"/>
      <c r="AP130" s="14"/>
      <c r="AQ130" s="14"/>
      <c r="AR130" s="14"/>
    </row>
    <row r="131" spans="1:44" ht="14.25" customHeight="1" x14ac:dyDescent="0.35">
      <c r="A131" s="1" t="s">
        <v>16</v>
      </c>
      <c r="B131" s="1" t="s">
        <v>16</v>
      </c>
      <c r="C131" s="1" t="s">
        <v>13</v>
      </c>
      <c r="D131" s="1" t="s">
        <v>16</v>
      </c>
      <c r="E131" s="1" t="s">
        <v>37</v>
      </c>
      <c r="F131" s="1">
        <v>1.0980000000000001</v>
      </c>
      <c r="G131" s="1">
        <v>1.1115299999999999</v>
      </c>
      <c r="H131" s="1">
        <v>1.10209</v>
      </c>
      <c r="I131" s="1">
        <v>1.0685800000000001</v>
      </c>
      <c r="J131" s="1">
        <v>1.11761</v>
      </c>
      <c r="K131" s="1">
        <v>1.09829</v>
      </c>
      <c r="L131" s="1">
        <v>1.1100300000000001</v>
      </c>
      <c r="M131" s="1">
        <v>1.0980000000000001</v>
      </c>
      <c r="N131" s="1">
        <v>1.1115299999999999</v>
      </c>
      <c r="O131" s="1">
        <v>1.10209</v>
      </c>
      <c r="P131" s="1">
        <v>1.0685800000000001</v>
      </c>
      <c r="Q131" s="1">
        <v>1.11761</v>
      </c>
      <c r="R131" s="1">
        <v>1.09829</v>
      </c>
      <c r="S131" s="1">
        <v>1.1100300000000001</v>
      </c>
      <c r="T131" s="1">
        <v>1.0980000000000001</v>
      </c>
      <c r="U131" s="1">
        <v>1.1115299999999999</v>
      </c>
      <c r="V131" s="1">
        <v>1.10209</v>
      </c>
      <c r="W131" s="1">
        <v>1.0685800000000001</v>
      </c>
      <c r="X131" s="1">
        <v>1.11761</v>
      </c>
      <c r="Y131" s="1">
        <v>1.09829</v>
      </c>
      <c r="Z131" s="1">
        <v>1.1100300000000001</v>
      </c>
      <c r="AA131" s="1">
        <v>1.0980000000000001</v>
      </c>
      <c r="AB131" s="1">
        <v>1.1115299999999999</v>
      </c>
      <c r="AC131" s="1">
        <v>1.10209</v>
      </c>
      <c r="AD131" s="1">
        <v>1.0685800000000001</v>
      </c>
      <c r="AE131" s="1">
        <v>1.11761</v>
      </c>
      <c r="AF131" s="1">
        <v>1.09829</v>
      </c>
      <c r="AG131" s="1">
        <v>1.1100300000000001</v>
      </c>
      <c r="AH131" s="1">
        <v>1.0980000000000001</v>
      </c>
      <c r="AI131" s="1">
        <v>1.1115299999999999</v>
      </c>
      <c r="AL131" s="4"/>
      <c r="AM131" s="4" t="s">
        <v>13</v>
      </c>
      <c r="AN131" s="4" t="s">
        <v>14</v>
      </c>
      <c r="AO131" s="4" t="s">
        <v>15</v>
      </c>
      <c r="AP131" s="4" t="s">
        <v>16</v>
      </c>
      <c r="AQ131" s="4" t="s">
        <v>17</v>
      </c>
      <c r="AR131" s="4" t="s">
        <v>7</v>
      </c>
    </row>
    <row r="132" spans="1:44" ht="14.25" customHeight="1" x14ac:dyDescent="0.35">
      <c r="A132" s="1" t="s">
        <v>16</v>
      </c>
      <c r="B132" s="1" t="s">
        <v>16</v>
      </c>
      <c r="C132" s="1" t="s">
        <v>13</v>
      </c>
      <c r="D132" s="1" t="s">
        <v>16</v>
      </c>
      <c r="E132" s="1" t="s">
        <v>38</v>
      </c>
      <c r="F132" s="1">
        <v>1.1305700000000001</v>
      </c>
      <c r="G132" s="1">
        <v>1.1262099999999999</v>
      </c>
      <c r="H132" s="1">
        <v>1.1261099999999999</v>
      </c>
      <c r="I132" s="1">
        <v>1.1018600000000001</v>
      </c>
      <c r="J132" s="1">
        <v>1.1281000000000001</v>
      </c>
      <c r="K132" s="1">
        <v>1.12025</v>
      </c>
      <c r="L132" s="1">
        <v>1.1311899999999999</v>
      </c>
      <c r="M132" s="1">
        <v>1.1305700000000001</v>
      </c>
      <c r="N132" s="1">
        <v>1.1262099999999999</v>
      </c>
      <c r="O132" s="1">
        <v>1.1261099999999999</v>
      </c>
      <c r="P132" s="1">
        <v>1.1018600000000001</v>
      </c>
      <c r="Q132" s="1">
        <v>1.1281000000000001</v>
      </c>
      <c r="R132" s="1">
        <v>1.12025</v>
      </c>
      <c r="S132" s="1">
        <v>1.1311899999999999</v>
      </c>
      <c r="T132" s="1">
        <v>1.1305700000000001</v>
      </c>
      <c r="U132" s="1">
        <v>1.1262099999999999</v>
      </c>
      <c r="V132" s="1">
        <v>1.1261099999999999</v>
      </c>
      <c r="W132" s="1">
        <v>1.1018600000000001</v>
      </c>
      <c r="X132" s="1">
        <v>1.1281000000000001</v>
      </c>
      <c r="Y132" s="1">
        <v>1.12025</v>
      </c>
      <c r="Z132" s="1">
        <v>1.1311899999999999</v>
      </c>
      <c r="AA132" s="1">
        <v>1.1305700000000001</v>
      </c>
      <c r="AB132" s="1">
        <v>1.1262099999999999</v>
      </c>
      <c r="AC132" s="1">
        <v>1.1261099999999999</v>
      </c>
      <c r="AD132" s="1">
        <v>1.1018600000000001</v>
      </c>
      <c r="AE132" s="1">
        <v>1.1281000000000001</v>
      </c>
      <c r="AF132" s="1">
        <v>1.12025</v>
      </c>
      <c r="AG132" s="1">
        <v>1.1311899999999999</v>
      </c>
      <c r="AH132" s="1">
        <v>1.1305700000000001</v>
      </c>
      <c r="AI132" s="1">
        <v>1.1262099999999999</v>
      </c>
      <c r="AL132" s="4" t="s">
        <v>19</v>
      </c>
      <c r="AM132" s="6" cm="1">
        <f t="array" ref="AM132">IFERROR((SUMPRODUCT(($C$113:$C$136=AM$111)*($F$109:$AI$109="")*$F$113:$AI$136)+IF(AM$111="P3",SUMPRODUCT(($F$109:$AI$109="P3")*$F$113:$AI$136),0))/(SUMPRODUCT(($C$113:$C$136=AM$111)*($F$109:$AI$109=""))+IF(AM$111="P3",COUNTIF($F$109:$AI$109,"P3")*ROWS($C$113:$C$136),0)),"")</f>
        <v>1.0643967500000009</v>
      </c>
      <c r="AN132" s="6" cm="1">
        <f t="array" ref="AN132">IFERROR((SUMPRODUCT(($C$113:$C$136=AN$111)*($F$109:$AI$109="")*$F$113:$AI$136)+IF(AN$111="P3",SUMPRODUCT(($F$109:$AI$109="P3")*$F$113:$AI$136),0))/(SUMPRODUCT(($C$113:$C$136=AN$111)*($F$109:$AI$109=""))+IF(AN$111="P3",COUNTIF($F$109:$AI$109,"P3")*ROWS($C$113:$C$136),0)),"")</f>
        <v>1.2391657499999986</v>
      </c>
      <c r="AO132" s="6" cm="1">
        <f t="array" ref="AO132">IFERROR((SUMPRODUCT(($C$113:$C$136=AO$111)*($F$109:$AI$109="")*$F$113:$AI$136)+IF(AO$111="P3",SUMPRODUCT(($F$109:$AI$109="P3")*$F$113:$AI$136),0))/(SUMPRODUCT(($C$113:$C$136=AO$111)*($F$109:$AI$109=""))+IF(AO$111="P3",COUNTIF($F$109:$AI$109,"P3")*ROWS($C$113:$C$136),0)),"")</f>
        <v>1.1831793999999995</v>
      </c>
      <c r="AP132" s="6" t="str" cm="1">
        <f t="array" ref="AP132">IFERROR((SUMPRODUCT(($C$113:$C$136=AP$111)*($F$109:$AI$109="")*$F$113:$AI$136)+IF(AP$111="P3",SUMPRODUCT(($F$109:$AI$109="P3")*$F$113:$AI$136),0))/(SUMPRODUCT(($C$113:$C$136=AP$111)*($F$109:$AI$109=""))+IF(AP$111="P3",COUNTIF($F$109:$AI$109,"P3")*ROWS($C$113:$C$136),0)),"")</f>
        <v/>
      </c>
      <c r="AQ132" s="6" t="str" cm="1">
        <f t="array" ref="AQ132">IFERROR((SUMPRODUCT(($C$113:$C$136=AQ$111)*($F$109:$AI$109="")*$F$113:$AI$136)+IF(AQ$111="P3",SUMPRODUCT(($F$109:$AI$109="P3")*$F$113:$AI$136),0))/(SUMPRODUCT(($C$113:$C$136=AQ$111)*($F$109:$AI$109=""))+IF(AQ$111="P3",COUNTIF($F$109:$AI$109,"P3")*ROWS($C$113:$C$136),0)),"")</f>
        <v/>
      </c>
      <c r="AR132" s="6" t="str" cm="1">
        <f t="array" ref="AR132">IFERROR((SUMPRODUCT(($C$113:$C$136=AR$111)*($F$109:$AI$109="")*$F$113:$AI$136)+IF(AR$111="P3",SUMPRODUCT(($F$109:$AI$109="P3")*$F$113:$AI$136),0))/(SUMPRODUCT(($C$113:$C$136=AR$111)*($F$109:$AI$109=""))+IF(AR$111="P3",COUNTIF($F$109:$AI$109,"P3")*ROWS($C$113:$C$136),0)),"")</f>
        <v/>
      </c>
    </row>
    <row r="133" spans="1:44" ht="14.25" customHeight="1" x14ac:dyDescent="0.35">
      <c r="A133" s="1" t="s">
        <v>16</v>
      </c>
      <c r="B133" s="1" t="s">
        <v>16</v>
      </c>
      <c r="C133" s="1" t="s">
        <v>13</v>
      </c>
      <c r="D133" s="1" t="s">
        <v>16</v>
      </c>
      <c r="E133" s="1" t="s">
        <v>39</v>
      </c>
      <c r="F133" s="1">
        <v>1.16584</v>
      </c>
      <c r="G133" s="1">
        <v>1.1317200000000001</v>
      </c>
      <c r="H133" s="1">
        <v>1.15229</v>
      </c>
      <c r="I133" s="1">
        <v>1.10297</v>
      </c>
      <c r="J133" s="1">
        <v>1.1248899999999999</v>
      </c>
      <c r="K133" s="1">
        <v>1.14052</v>
      </c>
      <c r="L133" s="1">
        <v>1.16307</v>
      </c>
      <c r="M133" s="1">
        <v>1.16584</v>
      </c>
      <c r="N133" s="1">
        <v>1.1317200000000001</v>
      </c>
      <c r="O133" s="1">
        <v>1.15229</v>
      </c>
      <c r="P133" s="1">
        <v>1.10297</v>
      </c>
      <c r="Q133" s="1">
        <v>1.1248899999999999</v>
      </c>
      <c r="R133" s="1">
        <v>1.14052</v>
      </c>
      <c r="S133" s="1">
        <v>1.16307</v>
      </c>
      <c r="T133" s="1">
        <v>1.16584</v>
      </c>
      <c r="U133" s="1">
        <v>1.1317200000000001</v>
      </c>
      <c r="V133" s="1">
        <v>1.15229</v>
      </c>
      <c r="W133" s="1">
        <v>1.10297</v>
      </c>
      <c r="X133" s="1">
        <v>1.1248899999999999</v>
      </c>
      <c r="Y133" s="1">
        <v>1.14052</v>
      </c>
      <c r="Z133" s="1">
        <v>1.16307</v>
      </c>
      <c r="AA133" s="1">
        <v>1.16584</v>
      </c>
      <c r="AB133" s="1">
        <v>1.1317200000000001</v>
      </c>
      <c r="AC133" s="1">
        <v>1.15229</v>
      </c>
      <c r="AD133" s="1">
        <v>1.10297</v>
      </c>
      <c r="AE133" s="1">
        <v>1.1248899999999999</v>
      </c>
      <c r="AF133" s="1">
        <v>1.14052</v>
      </c>
      <c r="AG133" s="1">
        <v>1.16307</v>
      </c>
      <c r="AH133" s="1">
        <v>1.16584</v>
      </c>
      <c r="AI133" s="1">
        <v>1.1317200000000001</v>
      </c>
      <c r="AL133" s="4" t="s">
        <v>21</v>
      </c>
      <c r="AM133" s="6" t="str" cm="1">
        <f t="array" ref="AM133">IFERROR((SUMPRODUCT(($B$113:$B$136=AM$111)*($F$110:$AI$110="")*$F$113:$AI$136)+IF(AM$111="P6",SUMPRODUCT(($F$110:$AI$110="P6")*$F$113:$AI$136),0))/(SUMPRODUCT(($B$113:$B$136=AM$111)*($F$110:$AI$110=""))+IF(AM$111="P6",COUNTIF($F$110:$AI$110,"P6")*ROWS($B$113:$B$136),0)),"")</f>
        <v/>
      </c>
      <c r="AN133" s="6" t="str" cm="1">
        <f t="array" ref="AN133">IFERROR((SUMPRODUCT(($B$113:$B$136=AN$111)*($F$110:$AI$110="")*$F$113:$AI$136)+IF(AN$111="P6",SUMPRODUCT(($F$110:$AI$110="P6")*$F$113:$AI$136),0))/(SUMPRODUCT(($B$113:$B$136=AN$111)*($F$110:$AI$110=""))+IF(AN$111="P6",COUNTIF($F$110:$AI$110,"P6")*ROWS($B$113:$B$136),0)),"")</f>
        <v/>
      </c>
      <c r="AO133" s="6" t="str" cm="1">
        <f t="array" ref="AO133">IFERROR((SUMPRODUCT(($B$113:$B$136=AO$111)*($F$110:$AI$110="")*$F$113:$AI$136)+IF(AO$111="P6",SUMPRODUCT(($F$110:$AI$110="P6")*$F$113:$AI$136),0))/(SUMPRODUCT(($B$113:$B$136=AO$111)*($F$110:$AI$110=""))+IF(AO$111="P6",COUNTIF($F$110:$AI$110,"P6")*ROWS($B$113:$B$136),0)),"")</f>
        <v/>
      </c>
      <c r="AP133" s="6" cm="1">
        <f t="array" ref="AP133">IFERROR((SUMPRODUCT(($B$113:$B$136=AP$111)*($F$110:$AI$110="")*$F$113:$AI$136)+IF(AP$111="P6",SUMPRODUCT(($F$110:$AI$110="P6")*$F$113:$AI$136),0))/(SUMPRODUCT(($B$113:$B$136=AP$111)*($F$110:$AI$110=""))+IF(AP$111="P6",COUNTIF($F$110:$AI$110,"P6")*ROWS($B$113:$B$136),0)),"")</f>
        <v>1.0733600000000005</v>
      </c>
      <c r="AQ133" s="6" cm="1">
        <f t="array" ref="AQ133">IFERROR((SUMPRODUCT(($B$113:$B$136=AQ$111)*($F$110:$AI$110="")*$F$113:$AI$136)+IF(AQ$111="P6",SUMPRODUCT(($F$110:$AI$110="P6")*$F$113:$AI$136),0))/(SUMPRODUCT(($B$113:$B$136=AQ$111)*($F$110:$AI$110=""))+IF(AQ$111="P6",COUNTIF($F$110:$AI$110,"P6")*ROWS($B$113:$B$136),0)),"")</f>
        <v>1.2526085714285695</v>
      </c>
      <c r="AR133" s="6" cm="1">
        <f t="array" ref="AR133">IFERROR((SUMPRODUCT(($B$113:$B$136=AR$111)*($F$110:$AI$110="")*$F$113:$AI$136)+IF(AR$111="P6",SUMPRODUCT(($F$110:$AI$110="P6")*$F$113:$AI$136),0))/(SUMPRODUCT(($B$113:$B$136=AR$111)*($F$110:$AI$110=""))+IF(AR$111="P6",COUNTIF($F$110:$AI$110,"P6")*ROWS($B$113:$B$136),0)),"")</f>
        <v>1.1831793999999995</v>
      </c>
    </row>
    <row r="134" spans="1:44" ht="14.25" customHeight="1" x14ac:dyDescent="0.35">
      <c r="A134" s="1" t="s">
        <v>16</v>
      </c>
      <c r="B134" s="1" t="s">
        <v>16</v>
      </c>
      <c r="C134" s="1" t="s">
        <v>13</v>
      </c>
      <c r="D134" s="1" t="s">
        <v>16</v>
      </c>
      <c r="E134" s="1" t="s">
        <v>40</v>
      </c>
      <c r="F134" s="1">
        <v>1.14412</v>
      </c>
      <c r="G134" s="1">
        <v>1.0975200000000001</v>
      </c>
      <c r="H134" s="1">
        <v>1.12992</v>
      </c>
      <c r="I134" s="1">
        <v>1.0872299999999999</v>
      </c>
      <c r="J134" s="1">
        <v>1.1170199999999999</v>
      </c>
      <c r="K134" s="1">
        <v>1.1173299999999999</v>
      </c>
      <c r="L134" s="1">
        <v>1.16005</v>
      </c>
      <c r="M134" s="1">
        <v>1.14412</v>
      </c>
      <c r="N134" s="1">
        <v>1.0975200000000001</v>
      </c>
      <c r="O134" s="1">
        <v>1.12992</v>
      </c>
      <c r="P134" s="1">
        <v>1.0872299999999999</v>
      </c>
      <c r="Q134" s="1">
        <v>1.1170199999999999</v>
      </c>
      <c r="R134" s="1">
        <v>1.1173299999999999</v>
      </c>
      <c r="S134" s="1">
        <v>1.16005</v>
      </c>
      <c r="T134" s="1">
        <v>1.14412</v>
      </c>
      <c r="U134" s="1">
        <v>1.0975200000000001</v>
      </c>
      <c r="V134" s="1">
        <v>1.12992</v>
      </c>
      <c r="W134" s="1">
        <v>1.0872299999999999</v>
      </c>
      <c r="X134" s="1">
        <v>1.1170199999999999</v>
      </c>
      <c r="Y134" s="1">
        <v>1.1173299999999999</v>
      </c>
      <c r="Z134" s="1">
        <v>1.16005</v>
      </c>
      <c r="AA134" s="1">
        <v>1.14412</v>
      </c>
      <c r="AB134" s="1">
        <v>1.0975200000000001</v>
      </c>
      <c r="AC134" s="1">
        <v>1.12992</v>
      </c>
      <c r="AD134" s="1">
        <v>1.0872299999999999</v>
      </c>
      <c r="AE134" s="1">
        <v>1.1170199999999999</v>
      </c>
      <c r="AF134" s="1">
        <v>1.1173299999999999</v>
      </c>
      <c r="AG134" s="1">
        <v>1.16005</v>
      </c>
      <c r="AH134" s="1">
        <v>1.14412</v>
      </c>
      <c r="AI134" s="1">
        <v>1.0975200000000001</v>
      </c>
      <c r="AL134" s="4" t="s">
        <v>23</v>
      </c>
      <c r="AM134" s="6" t="str" cm="1">
        <f t="array" ref="AM134">IFERROR((SUMPRODUCT(($B$113:$B$136=AM$111)*($F$110:$AI$110="")*$F$113:$AI$136)+IF(AM$111="P6",SUMPRODUCT(($F$110:$AI$110="P6")*$F$113:$AI$136),0))/(SUMPRODUCT(($B$113:$B$136=AM$111)*($F$110:$AI$110=""))+IF(AM$111="P6",COUNTIF($F$110:$AI$110,"P6")*ROWS($B$113:$B$136),0)),"")</f>
        <v/>
      </c>
      <c r="AN134" s="6" t="str" cm="1">
        <f t="array" ref="AN134">IFERROR((SUMPRODUCT(($B$113:$B$136=AN$111)*($F$110:$AI$110="")*$F$113:$AI$136)+IF(AN$111="P6",SUMPRODUCT(($F$110:$AI$110="P6")*$F$113:$AI$136),0))/(SUMPRODUCT(($B$113:$B$136=AN$111)*($F$110:$AI$110=""))+IF(AN$111="P6",COUNTIF($F$110:$AI$110,"P6")*ROWS($B$113:$B$136),0)),"")</f>
        <v/>
      </c>
      <c r="AO134" s="6" t="str" cm="1">
        <f t="array" ref="AO134">IFERROR((SUMPRODUCT(($B$113:$B$136=AO$111)*($F$110:$AI$110="")*$F$113:$AI$136)+IF(AO$111="P6",SUMPRODUCT(($F$110:$AI$110="P6")*$F$113:$AI$136),0))/(SUMPRODUCT(($B$113:$B$136=AO$111)*($F$110:$AI$110=""))+IF(AO$111="P6",COUNTIF($F$110:$AI$110,"P6")*ROWS($B$113:$B$136),0)),"")</f>
        <v/>
      </c>
      <c r="AP134" s="6" cm="1">
        <f t="array" ref="AP134">IFERROR((SUMPRODUCT(($B$113:$B$136=AP$111)*($F$110:$AI$110="")*$F$113:$AI$136)+IF(AP$111="P6",SUMPRODUCT(($F$110:$AI$110="P6")*$F$113:$AI$136),0))/(SUMPRODUCT(($B$113:$B$136=AP$111)*($F$110:$AI$110=""))+IF(AP$111="P6",COUNTIF($F$110:$AI$110,"P6")*ROWS($B$113:$B$136),0)),"")</f>
        <v>1.0733600000000005</v>
      </c>
      <c r="AQ134" s="6" cm="1">
        <f t="array" ref="AQ134">IFERROR((SUMPRODUCT(($B$113:$B$136=AQ$111)*($F$110:$AI$110="")*$F$113:$AI$136)+IF(AQ$111="P6",SUMPRODUCT(($F$110:$AI$110="P6")*$F$113:$AI$136),0))/(SUMPRODUCT(($B$113:$B$136=AQ$111)*($F$110:$AI$110=""))+IF(AQ$111="P6",COUNTIF($F$110:$AI$110,"P6")*ROWS($B$113:$B$136),0)),"")</f>
        <v>1.2526085714285695</v>
      </c>
      <c r="AR134" s="6" cm="1">
        <f t="array" ref="AR134">IFERROR((SUMPRODUCT(($B$113:$B$136=AR$111)*($F$110:$AI$110="")*$F$113:$AI$136)+IF(AR$111="P6",SUMPRODUCT(($F$110:$AI$110="P6")*$F$113:$AI$136),0))/(SUMPRODUCT(($B$113:$B$136=AR$111)*($F$110:$AI$110=""))+IF(AR$111="P6",COUNTIF($F$110:$AI$110,"P6")*ROWS($B$113:$B$136),0)),"")</f>
        <v>1.1831793999999995</v>
      </c>
    </row>
    <row r="135" spans="1:44" ht="14.25" customHeight="1" x14ac:dyDescent="0.35">
      <c r="A135" s="1" t="s">
        <v>17</v>
      </c>
      <c r="B135" s="1" t="s">
        <v>17</v>
      </c>
      <c r="C135" s="1" t="s">
        <v>14</v>
      </c>
      <c r="D135" s="1" t="s">
        <v>17</v>
      </c>
      <c r="E135" s="1" t="s">
        <v>41</v>
      </c>
      <c r="F135" s="1">
        <v>1.18306</v>
      </c>
      <c r="G135" s="1">
        <v>1.1389</v>
      </c>
      <c r="H135" s="1">
        <v>1.3395999999999999</v>
      </c>
      <c r="I135" s="1">
        <v>1.3036700000000001</v>
      </c>
      <c r="J135" s="1">
        <v>1.3334999999999999</v>
      </c>
      <c r="K135" s="1">
        <v>1.3322499999999999</v>
      </c>
      <c r="L135" s="1">
        <v>1.3777600000000001</v>
      </c>
      <c r="M135" s="1">
        <v>1.18306</v>
      </c>
      <c r="N135" s="1">
        <v>1.1389</v>
      </c>
      <c r="O135" s="1">
        <v>1.3395999999999999</v>
      </c>
      <c r="P135" s="1">
        <v>1.3036700000000001</v>
      </c>
      <c r="Q135" s="1">
        <v>1.3334999999999999</v>
      </c>
      <c r="R135" s="1">
        <v>1.3322499999999999</v>
      </c>
      <c r="S135" s="1">
        <v>1.3777600000000001</v>
      </c>
      <c r="T135" s="1">
        <v>1.18306</v>
      </c>
      <c r="U135" s="1">
        <v>1.1389</v>
      </c>
      <c r="V135" s="1">
        <v>1.3395999999999999</v>
      </c>
      <c r="W135" s="1">
        <v>1.3036700000000001</v>
      </c>
      <c r="X135" s="1">
        <v>1.3334999999999999</v>
      </c>
      <c r="Y135" s="1">
        <v>1.3322499999999999</v>
      </c>
      <c r="Z135" s="1">
        <v>1.3777600000000001</v>
      </c>
      <c r="AA135" s="1">
        <v>1.18306</v>
      </c>
      <c r="AB135" s="1">
        <v>1.1389</v>
      </c>
      <c r="AC135" s="1">
        <v>1.3395999999999999</v>
      </c>
      <c r="AD135" s="1">
        <v>1.3036700000000001</v>
      </c>
      <c r="AE135" s="1">
        <v>1.3334999999999999</v>
      </c>
      <c r="AF135" s="1">
        <v>1.3322499999999999</v>
      </c>
      <c r="AG135" s="1">
        <v>1.3777600000000001</v>
      </c>
      <c r="AH135" s="1">
        <v>1.18306</v>
      </c>
      <c r="AI135" s="1">
        <v>1.1389</v>
      </c>
      <c r="AL135" s="4" t="s">
        <v>25</v>
      </c>
      <c r="AM135" s="6" t="str" cm="1">
        <f t="array" ref="AM135">IFERROR((SUMPRODUCT(($B$113:$B$136=AM$111)*($F$110:$AI$110="")*$F$113:$AI$136)+IF(AM$111="P6",SUMPRODUCT(($F$110:$AI$110="P6")*$F$113:$AI$136),0))/(SUMPRODUCT(($B$113:$B$136=AM$111)*($F$110:$AI$110=""))+IF(AM$111="P6",COUNTIF($F$110:$AI$110,"P6")*ROWS($B$113:$B$136),0)),"")</f>
        <v/>
      </c>
      <c r="AN135" s="6" t="str" cm="1">
        <f t="array" ref="AN135">IFERROR((SUMPRODUCT(($B$113:$B$136=AN$111)*($F$110:$AI$110="")*$F$113:$AI$136)+IF(AN$111="P6",SUMPRODUCT(($F$110:$AI$110="P6")*$F$113:$AI$136),0))/(SUMPRODUCT(($B$113:$B$136=AN$111)*($F$110:$AI$110=""))+IF(AN$111="P6",COUNTIF($F$110:$AI$110,"P6")*ROWS($B$113:$B$136),0)),"")</f>
        <v/>
      </c>
      <c r="AO135" s="6" t="str" cm="1">
        <f t="array" ref="AO135">IFERROR((SUMPRODUCT(($B$113:$B$136=AO$111)*($F$110:$AI$110="")*$F$113:$AI$136)+IF(AO$111="P6",SUMPRODUCT(($F$110:$AI$110="P6")*$F$113:$AI$136),0))/(SUMPRODUCT(($B$113:$B$136=AO$111)*($F$110:$AI$110=""))+IF(AO$111="P6",COUNTIF($F$110:$AI$110,"P6")*ROWS($B$113:$B$136),0)),"")</f>
        <v/>
      </c>
      <c r="AP135" s="6" cm="1">
        <f t="array" ref="AP135">IFERROR((SUMPRODUCT(($B$113:$B$136=AP$111)*($F$110:$AI$110="")*$F$113:$AI$136)+IF(AP$111="P6",SUMPRODUCT(($F$110:$AI$110="P6")*$F$113:$AI$136),0))/(SUMPRODUCT(($B$113:$B$136=AP$111)*($F$110:$AI$110=""))+IF(AP$111="P6",COUNTIF($F$110:$AI$110,"P6")*ROWS($B$113:$B$136),0)),"")</f>
        <v>1.0733600000000005</v>
      </c>
      <c r="AQ135" s="6" cm="1">
        <f t="array" ref="AQ135">IFERROR((SUMPRODUCT(($B$113:$B$136=AQ$111)*($F$110:$AI$110="")*$F$113:$AI$136)+IF(AQ$111="P6",SUMPRODUCT(($F$110:$AI$110="P6")*$F$113:$AI$136),0))/(SUMPRODUCT(($B$113:$B$136=AQ$111)*($F$110:$AI$110=""))+IF(AQ$111="P6",COUNTIF($F$110:$AI$110,"P6")*ROWS($B$113:$B$136),0)),"")</f>
        <v>1.2526085714285695</v>
      </c>
      <c r="AR135" s="6" cm="1">
        <f t="array" ref="AR135">IFERROR((SUMPRODUCT(($B$113:$B$136=AR$111)*($F$110:$AI$110="")*$F$113:$AI$136)+IF(AR$111="P6",SUMPRODUCT(($F$110:$AI$110="P6")*$F$113:$AI$136),0))/(SUMPRODUCT(($B$113:$B$136=AR$111)*($F$110:$AI$110=""))+IF(AR$111="P6",COUNTIF($F$110:$AI$110,"P6")*ROWS($B$113:$B$136),0)),"")</f>
        <v>1.1831793999999995</v>
      </c>
    </row>
    <row r="136" spans="1:44" ht="14.25" customHeight="1" x14ac:dyDescent="0.35">
      <c r="A136" s="1" t="s">
        <v>17</v>
      </c>
      <c r="B136" s="1" t="s">
        <v>17</v>
      </c>
      <c r="C136" s="1" t="s">
        <v>14</v>
      </c>
      <c r="D136" s="1" t="s">
        <v>17</v>
      </c>
      <c r="E136" s="1" t="s">
        <v>42</v>
      </c>
      <c r="F136" s="1">
        <v>1.2311700000000001</v>
      </c>
      <c r="G136" s="1">
        <v>1.1871499999999999</v>
      </c>
      <c r="H136" s="1">
        <v>1.40598</v>
      </c>
      <c r="I136" s="1">
        <v>1.3631599999999999</v>
      </c>
      <c r="J136" s="1">
        <v>1.39188</v>
      </c>
      <c r="K136" s="1">
        <v>1.3864300000000001</v>
      </c>
      <c r="L136" s="1">
        <v>1.4425699999999999</v>
      </c>
      <c r="M136" s="1">
        <v>1.2311700000000001</v>
      </c>
      <c r="N136" s="1">
        <v>1.1871499999999999</v>
      </c>
      <c r="O136" s="1">
        <v>1.40598</v>
      </c>
      <c r="P136" s="1">
        <v>1.3631599999999999</v>
      </c>
      <c r="Q136" s="1">
        <v>1.39188</v>
      </c>
      <c r="R136" s="1">
        <v>1.3864300000000001</v>
      </c>
      <c r="S136" s="1">
        <v>1.4425699999999999</v>
      </c>
      <c r="T136" s="1">
        <v>1.2311700000000001</v>
      </c>
      <c r="U136" s="1">
        <v>1.1871499999999999</v>
      </c>
      <c r="V136" s="1">
        <v>1.40598</v>
      </c>
      <c r="W136" s="1">
        <v>1.3631599999999999</v>
      </c>
      <c r="X136" s="1">
        <v>1.39188</v>
      </c>
      <c r="Y136" s="1">
        <v>1.3864300000000001</v>
      </c>
      <c r="Z136" s="1">
        <v>1.4425699999999999</v>
      </c>
      <c r="AA136" s="1">
        <v>1.2311700000000001</v>
      </c>
      <c r="AB136" s="1">
        <v>1.1871499999999999</v>
      </c>
      <c r="AC136" s="1">
        <v>1.40598</v>
      </c>
      <c r="AD136" s="1">
        <v>1.3631599999999999</v>
      </c>
      <c r="AE136" s="1">
        <v>1.39188</v>
      </c>
      <c r="AF136" s="1">
        <v>1.3864300000000001</v>
      </c>
      <c r="AG136" s="1">
        <v>1.4425699999999999</v>
      </c>
      <c r="AH136" s="1">
        <v>1.2311700000000001</v>
      </c>
      <c r="AI136" s="1">
        <v>1.1871499999999999</v>
      </c>
      <c r="AL136" s="4" t="s">
        <v>27</v>
      </c>
      <c r="AM136" s="6" t="str" cm="1">
        <f t="array" ref="AM136">IFERROR((SUMPRODUCT(($B$113:$B$136=AM$111)*($F$110:$AI$110="")*$F$113:$AI$136)+IF(AM$111="P6",SUMPRODUCT(($F$110:$AI$110="P6")*$F$113:$AI$136),0))/(SUMPRODUCT(($B$113:$B$136=AM$111)*($F$110:$AI$110=""))+IF(AM$111="P6",COUNTIF($F$110:$AI$110,"P6")*ROWS($B$113:$B$136),0)),"")</f>
        <v/>
      </c>
      <c r="AN136" s="6" t="str" cm="1">
        <f t="array" ref="AN136">IFERROR((SUMPRODUCT(($B$113:$B$136=AN$111)*($F$110:$AI$110="")*$F$113:$AI$136)+IF(AN$111="P6",SUMPRODUCT(($F$110:$AI$110="P6")*$F$113:$AI$136),0))/(SUMPRODUCT(($B$113:$B$136=AN$111)*($F$110:$AI$110=""))+IF(AN$111="P6",COUNTIF($F$110:$AI$110,"P6")*ROWS($B$113:$B$136),0)),"")</f>
        <v/>
      </c>
      <c r="AO136" s="6" t="str" cm="1">
        <f t="array" ref="AO136">IFERROR((SUMPRODUCT(($B$113:$B$136=AO$111)*($F$110:$AI$110="")*$F$113:$AI$136)+IF(AO$111="P6",SUMPRODUCT(($F$110:$AI$110="P6")*$F$113:$AI$136),0))/(SUMPRODUCT(($B$113:$B$136=AO$111)*($F$110:$AI$110=""))+IF(AO$111="P6",COUNTIF($F$110:$AI$110,"P6")*ROWS($B$113:$B$136),0)),"")</f>
        <v/>
      </c>
      <c r="AP136" s="6" cm="1">
        <f t="array" ref="AP136">IFERROR((SUMPRODUCT(($B$113:$B$136=AP$111)*($F$110:$AI$110="")*$F$113:$AI$136)+IF(AP$111="P6",SUMPRODUCT(($F$110:$AI$110="P6")*$F$113:$AI$136),0))/(SUMPRODUCT(($B$113:$B$136=AP$111)*($F$110:$AI$110=""))+IF(AP$111="P6",COUNTIF($F$110:$AI$110,"P6")*ROWS($B$113:$B$136),0)),"")</f>
        <v>1.0733600000000005</v>
      </c>
      <c r="AQ136" s="6" cm="1">
        <f t="array" ref="AQ136">IFERROR((SUMPRODUCT(($B$113:$B$136=AQ$111)*($F$110:$AI$110="")*$F$113:$AI$136)+IF(AQ$111="P6",SUMPRODUCT(($F$110:$AI$110="P6")*$F$113:$AI$136),0))/(SUMPRODUCT(($B$113:$B$136=AQ$111)*($F$110:$AI$110=""))+IF(AQ$111="P6",COUNTIF($F$110:$AI$110,"P6")*ROWS($B$113:$B$136),0)),"")</f>
        <v>1.2526085714285695</v>
      </c>
      <c r="AR136" s="6" cm="1">
        <f t="array" ref="AR136">IFERROR((SUMPRODUCT(($B$113:$B$136=AR$111)*($F$110:$AI$110="")*$F$113:$AI$136)+IF(AR$111="P6",SUMPRODUCT(($F$110:$AI$110="P6")*$F$113:$AI$136),0))/(SUMPRODUCT(($B$113:$B$136=AR$111)*($F$110:$AI$110=""))+IF(AR$111="P6",COUNTIF($F$110:$AI$110,"P6")*ROWS($B$113:$B$136),0)),"")</f>
        <v>1.1831793999999995</v>
      </c>
    </row>
    <row r="137" spans="1:44" ht="14.25" customHeight="1" x14ac:dyDescent="0.35">
      <c r="AL137" s="4" t="s">
        <v>29</v>
      </c>
      <c r="AM137" s="6" t="str" cm="1">
        <f t="array" ref="AM137">IFERROR((SUMPRODUCT(($B$113:$B$136=AM$111)*($F$110:$AI$110="")*$F$113:$AI$136)+IF(AM$111="P6",SUMPRODUCT(($F$110:$AI$110="P6")*$F$113:$AI$136),0))/(SUMPRODUCT(($B$113:$B$136=AM$111)*($F$110:$AI$110=""))+IF(AM$111="P6",COUNTIF($F$110:$AI$110,"P6")*ROWS($B$113:$B$136),0)),"")</f>
        <v/>
      </c>
      <c r="AN137" s="6" t="str" cm="1">
        <f t="array" ref="AN137">IFERROR((SUMPRODUCT(($B$113:$B$136=AN$111)*($F$110:$AI$110="")*$F$113:$AI$136)+IF(AN$111="P6",SUMPRODUCT(($F$110:$AI$110="P6")*$F$113:$AI$136),0))/(SUMPRODUCT(($B$113:$B$136=AN$111)*($F$110:$AI$110=""))+IF(AN$111="P6",COUNTIF($F$110:$AI$110,"P6")*ROWS($B$113:$B$136),0)),"")</f>
        <v/>
      </c>
      <c r="AO137" s="6" t="str" cm="1">
        <f t="array" ref="AO137">IFERROR((SUMPRODUCT(($B$113:$B$136=AO$111)*($F$110:$AI$110="")*$F$113:$AI$136)+IF(AO$111="P6",SUMPRODUCT(($F$110:$AI$110="P6")*$F$113:$AI$136),0))/(SUMPRODUCT(($B$113:$B$136=AO$111)*($F$110:$AI$110=""))+IF(AO$111="P6",COUNTIF($F$110:$AI$110,"P6")*ROWS($B$113:$B$136),0)),"")</f>
        <v/>
      </c>
      <c r="AP137" s="6" cm="1">
        <f t="array" ref="AP137">IFERROR((SUMPRODUCT(($B$113:$B$136=AP$111)*($F$110:$AI$110="")*$F$113:$AI$136)+IF(AP$111="P6",SUMPRODUCT(($F$110:$AI$110="P6")*$F$113:$AI$136),0))/(SUMPRODUCT(($B$113:$B$136=AP$111)*($F$110:$AI$110=""))+IF(AP$111="P6",COUNTIF($F$110:$AI$110,"P6")*ROWS($B$113:$B$136),0)),"")</f>
        <v>1.0733600000000005</v>
      </c>
      <c r="AQ137" s="6" cm="1">
        <f t="array" ref="AQ137">IFERROR((SUMPRODUCT(($B$113:$B$136=AQ$111)*($F$110:$AI$110="")*$F$113:$AI$136)+IF(AQ$111="P6",SUMPRODUCT(($F$110:$AI$110="P6")*$F$113:$AI$136),0))/(SUMPRODUCT(($B$113:$B$136=AQ$111)*($F$110:$AI$110=""))+IF(AQ$111="P6",COUNTIF($F$110:$AI$110,"P6")*ROWS($B$113:$B$136),0)),"")</f>
        <v>1.2526085714285695</v>
      </c>
      <c r="AR137" s="6" cm="1">
        <f t="array" ref="AR137">IFERROR((SUMPRODUCT(($B$113:$B$136=AR$111)*($F$110:$AI$110="")*$F$113:$AI$136)+IF(AR$111="P6",SUMPRODUCT(($F$110:$AI$110="P6")*$F$113:$AI$136),0))/(SUMPRODUCT(($B$113:$B$136=AR$111)*($F$110:$AI$110=""))+IF(AR$111="P6",COUNTIF($F$110:$AI$110,"P6")*ROWS($B$113:$B$136),0)),"")</f>
        <v>1.1831793999999995</v>
      </c>
    </row>
    <row r="141" spans="1:44" ht="14.25" customHeight="1" x14ac:dyDescent="0.35">
      <c r="A141" s="15" t="s">
        <v>220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</row>
    <row r="142" spans="1:44" ht="14.25" customHeight="1" x14ac:dyDescent="0.3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</row>
    <row r="143" spans="1:44" ht="14.25" customHeight="1" x14ac:dyDescent="0.35">
      <c r="AL143" s="10"/>
      <c r="AM143" s="10"/>
      <c r="AN143" s="10"/>
      <c r="AO143" s="10"/>
      <c r="AP143" s="10"/>
      <c r="AQ143" s="10"/>
      <c r="AR143" s="10"/>
    </row>
    <row r="144" spans="1:44" ht="14.25" customHeight="1" x14ac:dyDescent="0.35">
      <c r="F144" s="1" t="str">
        <f>IF(OR(F146="S",F146="D",F147=DATE(2023,5,1)),"P3","")</f>
        <v>P3</v>
      </c>
      <c r="G144" s="1" t="str">
        <f t="shared" ref="G144:AJ144" si="17">IF(OR(G146="S",G146="D",G147=DATE(2023,5,1)),"P3","")</f>
        <v/>
      </c>
      <c r="H144" s="1" t="str">
        <f t="shared" si="17"/>
        <v/>
      </c>
      <c r="I144" s="1" t="str">
        <f t="shared" si="17"/>
        <v/>
      </c>
      <c r="J144" s="1" t="str">
        <f t="shared" si="17"/>
        <v/>
      </c>
      <c r="K144" s="1" t="str">
        <f t="shared" si="17"/>
        <v>P3</v>
      </c>
      <c r="L144" s="1" t="str">
        <f t="shared" si="17"/>
        <v>P3</v>
      </c>
      <c r="M144" s="1" t="str">
        <f t="shared" si="17"/>
        <v/>
      </c>
      <c r="N144" s="1" t="str">
        <f t="shared" si="17"/>
        <v/>
      </c>
      <c r="O144" s="1" t="str">
        <f t="shared" si="17"/>
        <v/>
      </c>
      <c r="P144" s="1" t="str">
        <f t="shared" si="17"/>
        <v/>
      </c>
      <c r="Q144" s="1" t="str">
        <f t="shared" si="17"/>
        <v/>
      </c>
      <c r="R144" s="1" t="str">
        <f t="shared" si="17"/>
        <v>P3</v>
      </c>
      <c r="S144" s="1" t="str">
        <f t="shared" si="17"/>
        <v>P3</v>
      </c>
      <c r="T144" s="1" t="str">
        <f t="shared" si="17"/>
        <v/>
      </c>
      <c r="U144" s="1" t="str">
        <f t="shared" si="17"/>
        <v/>
      </c>
      <c r="V144" s="1" t="str">
        <f t="shared" si="17"/>
        <v/>
      </c>
      <c r="W144" s="1" t="str">
        <f t="shared" si="17"/>
        <v/>
      </c>
      <c r="X144" s="1" t="str">
        <f t="shared" si="17"/>
        <v/>
      </c>
      <c r="Y144" s="1" t="str">
        <f t="shared" si="17"/>
        <v>P3</v>
      </c>
      <c r="Z144" s="1" t="str">
        <f t="shared" si="17"/>
        <v>P3</v>
      </c>
      <c r="AA144" s="1" t="str">
        <f t="shared" si="17"/>
        <v/>
      </c>
      <c r="AB144" s="1" t="str">
        <f t="shared" si="17"/>
        <v/>
      </c>
      <c r="AC144" s="1" t="str">
        <f t="shared" si="17"/>
        <v/>
      </c>
      <c r="AD144" s="1" t="str">
        <f t="shared" si="17"/>
        <v/>
      </c>
      <c r="AE144" s="1" t="str">
        <f t="shared" si="17"/>
        <v/>
      </c>
      <c r="AF144" s="1" t="str">
        <f t="shared" si="17"/>
        <v>P3</v>
      </c>
      <c r="AG144" s="1" t="str">
        <f t="shared" si="17"/>
        <v>P3</v>
      </c>
      <c r="AH144" s="1" t="str">
        <f t="shared" si="17"/>
        <v/>
      </c>
      <c r="AI144" s="1" t="str">
        <f t="shared" si="17"/>
        <v/>
      </c>
      <c r="AJ144" s="1" t="str">
        <f t="shared" si="17"/>
        <v/>
      </c>
      <c r="AL144" s="10"/>
      <c r="AM144" s="10"/>
      <c r="AN144" s="10"/>
      <c r="AO144" s="10"/>
      <c r="AP144" s="10"/>
      <c r="AQ144" s="10"/>
      <c r="AR144" s="10"/>
    </row>
    <row r="145" spans="1:44" ht="14.25" customHeight="1" x14ac:dyDescent="0.35">
      <c r="F145" s="1" t="str">
        <f>IF(OR(F146="S",F146="D",F147=DATE(2023,5,1)),"P6","")</f>
        <v>P6</v>
      </c>
      <c r="G145" s="1" t="str">
        <f t="shared" ref="G145:AJ145" si="18">IF(OR(G146="S",G146="D",G147=DATE(2023,5,1)),"P6","")</f>
        <v/>
      </c>
      <c r="H145" s="1" t="str">
        <f t="shared" si="18"/>
        <v/>
      </c>
      <c r="I145" s="1" t="str">
        <f t="shared" si="18"/>
        <v/>
      </c>
      <c r="J145" s="1" t="str">
        <f t="shared" si="18"/>
        <v/>
      </c>
      <c r="K145" s="1" t="str">
        <f t="shared" si="18"/>
        <v>P6</v>
      </c>
      <c r="L145" s="1" t="str">
        <f t="shared" si="18"/>
        <v>P6</v>
      </c>
      <c r="M145" s="1" t="str">
        <f t="shared" si="18"/>
        <v/>
      </c>
      <c r="N145" s="1" t="str">
        <f t="shared" si="18"/>
        <v/>
      </c>
      <c r="O145" s="1" t="str">
        <f t="shared" si="18"/>
        <v/>
      </c>
      <c r="P145" s="1" t="str">
        <f t="shared" si="18"/>
        <v/>
      </c>
      <c r="Q145" s="1" t="str">
        <f t="shared" si="18"/>
        <v/>
      </c>
      <c r="R145" s="1" t="str">
        <f t="shared" si="18"/>
        <v>P6</v>
      </c>
      <c r="S145" s="1" t="str">
        <f t="shared" si="18"/>
        <v>P6</v>
      </c>
      <c r="T145" s="1" t="str">
        <f t="shared" si="18"/>
        <v/>
      </c>
      <c r="U145" s="1" t="str">
        <f t="shared" si="18"/>
        <v/>
      </c>
      <c r="V145" s="1" t="str">
        <f t="shared" si="18"/>
        <v/>
      </c>
      <c r="W145" s="1" t="str">
        <f t="shared" si="18"/>
        <v/>
      </c>
      <c r="X145" s="1" t="str">
        <f t="shared" si="18"/>
        <v/>
      </c>
      <c r="Y145" s="1" t="str">
        <f t="shared" si="18"/>
        <v>P6</v>
      </c>
      <c r="Z145" s="1" t="str">
        <f t="shared" si="18"/>
        <v>P6</v>
      </c>
      <c r="AA145" s="1" t="str">
        <f t="shared" si="18"/>
        <v/>
      </c>
      <c r="AB145" s="1" t="str">
        <f t="shared" si="18"/>
        <v/>
      </c>
      <c r="AC145" s="1" t="str">
        <f t="shared" si="18"/>
        <v/>
      </c>
      <c r="AD145" s="1" t="str">
        <f t="shared" si="18"/>
        <v/>
      </c>
      <c r="AE145" s="1" t="str">
        <f t="shared" si="18"/>
        <v/>
      </c>
      <c r="AF145" s="1" t="str">
        <f t="shared" si="18"/>
        <v>P6</v>
      </c>
      <c r="AG145" s="1" t="str">
        <f t="shared" si="18"/>
        <v>P6</v>
      </c>
      <c r="AH145" s="1" t="str">
        <f t="shared" si="18"/>
        <v/>
      </c>
      <c r="AI145" s="1" t="str">
        <f t="shared" si="18"/>
        <v/>
      </c>
      <c r="AJ145" s="1" t="str">
        <f t="shared" si="18"/>
        <v/>
      </c>
      <c r="AL145" s="14" t="s">
        <v>221</v>
      </c>
      <c r="AM145" s="14"/>
      <c r="AN145" s="14"/>
      <c r="AO145" s="14"/>
      <c r="AP145" s="14"/>
      <c r="AQ145" s="14"/>
      <c r="AR145" s="14"/>
    </row>
    <row r="146" spans="1:44" ht="14.25" customHeight="1" x14ac:dyDescent="0.35">
      <c r="F146" s="1" t="str">
        <f>CHOOSE(WEEKDAY(F147,2),"L","M","X","J","V","S","D")</f>
        <v>L</v>
      </c>
      <c r="G146" s="1" t="str">
        <f t="shared" ref="G146:AJ146" si="19">CHOOSE(WEEKDAY(G147,2),"L","M","X","J","V","S","D")</f>
        <v>M</v>
      </c>
      <c r="H146" s="1" t="str">
        <f t="shared" si="19"/>
        <v>X</v>
      </c>
      <c r="I146" s="1" t="str">
        <f t="shared" si="19"/>
        <v>J</v>
      </c>
      <c r="J146" s="1" t="str">
        <f t="shared" si="19"/>
        <v>V</v>
      </c>
      <c r="K146" s="1" t="str">
        <f t="shared" si="19"/>
        <v>S</v>
      </c>
      <c r="L146" s="1" t="str">
        <f t="shared" si="19"/>
        <v>D</v>
      </c>
      <c r="M146" s="1" t="str">
        <f t="shared" si="19"/>
        <v>L</v>
      </c>
      <c r="N146" s="1" t="str">
        <f t="shared" si="19"/>
        <v>M</v>
      </c>
      <c r="O146" s="1" t="str">
        <f t="shared" si="19"/>
        <v>X</v>
      </c>
      <c r="P146" s="1" t="str">
        <f t="shared" si="19"/>
        <v>J</v>
      </c>
      <c r="Q146" s="1" t="str">
        <f t="shared" si="19"/>
        <v>V</v>
      </c>
      <c r="R146" s="1" t="str">
        <f t="shared" si="19"/>
        <v>S</v>
      </c>
      <c r="S146" s="1" t="str">
        <f t="shared" si="19"/>
        <v>D</v>
      </c>
      <c r="T146" s="1" t="str">
        <f t="shared" si="19"/>
        <v>L</v>
      </c>
      <c r="U146" s="1" t="str">
        <f t="shared" si="19"/>
        <v>M</v>
      </c>
      <c r="V146" s="1" t="str">
        <f t="shared" si="19"/>
        <v>X</v>
      </c>
      <c r="W146" s="1" t="str">
        <f t="shared" si="19"/>
        <v>J</v>
      </c>
      <c r="X146" s="1" t="str">
        <f t="shared" si="19"/>
        <v>V</v>
      </c>
      <c r="Y146" s="1" t="str">
        <f t="shared" si="19"/>
        <v>S</v>
      </c>
      <c r="Z146" s="1" t="str">
        <f t="shared" si="19"/>
        <v>D</v>
      </c>
      <c r="AA146" s="1" t="str">
        <f t="shared" si="19"/>
        <v>L</v>
      </c>
      <c r="AB146" s="1" t="str">
        <f t="shared" si="19"/>
        <v>M</v>
      </c>
      <c r="AC146" s="1" t="str">
        <f t="shared" si="19"/>
        <v>X</v>
      </c>
      <c r="AD146" s="1" t="str">
        <f t="shared" si="19"/>
        <v>J</v>
      </c>
      <c r="AE146" s="1" t="str">
        <f t="shared" si="19"/>
        <v>V</v>
      </c>
      <c r="AF146" s="1" t="str">
        <f t="shared" si="19"/>
        <v>S</v>
      </c>
      <c r="AG146" s="1" t="str">
        <f t="shared" si="19"/>
        <v>D</v>
      </c>
      <c r="AH146" s="1" t="str">
        <f t="shared" si="19"/>
        <v>L</v>
      </c>
      <c r="AI146" s="1" t="str">
        <f t="shared" si="19"/>
        <v>M</v>
      </c>
      <c r="AJ146" s="1" t="str">
        <f t="shared" si="19"/>
        <v>X</v>
      </c>
      <c r="AL146" s="4"/>
      <c r="AM146" s="4" t="s">
        <v>13</v>
      </c>
      <c r="AN146" s="4" t="s">
        <v>14</v>
      </c>
      <c r="AO146" s="4" t="s">
        <v>15</v>
      </c>
      <c r="AP146" s="4" t="s">
        <v>16</v>
      </c>
      <c r="AQ146" s="4" t="s">
        <v>17</v>
      </c>
      <c r="AR146" s="4" t="s">
        <v>7</v>
      </c>
    </row>
    <row r="147" spans="1:44" s="8" customFormat="1" ht="14.25" customHeight="1" x14ac:dyDescent="0.35">
      <c r="A147" s="3" t="s">
        <v>76</v>
      </c>
      <c r="B147" s="3" t="s">
        <v>77</v>
      </c>
      <c r="C147" s="3" t="s">
        <v>75</v>
      </c>
      <c r="D147" s="3" t="s">
        <v>74</v>
      </c>
      <c r="F147" s="8">
        <v>45047</v>
      </c>
      <c r="G147" s="8">
        <v>45048</v>
      </c>
      <c r="H147" s="8">
        <v>45049</v>
      </c>
      <c r="I147" s="8">
        <v>45050</v>
      </c>
      <c r="J147" s="8">
        <v>45051</v>
      </c>
      <c r="K147" s="8">
        <v>45052</v>
      </c>
      <c r="L147" s="8">
        <v>45053</v>
      </c>
      <c r="M147" s="8">
        <v>45054</v>
      </c>
      <c r="N147" s="8">
        <v>45055</v>
      </c>
      <c r="O147" s="8">
        <v>45056</v>
      </c>
      <c r="P147" s="8">
        <v>45057</v>
      </c>
      <c r="Q147" s="8">
        <v>45058</v>
      </c>
      <c r="R147" s="8">
        <v>45059</v>
      </c>
      <c r="S147" s="8">
        <v>45060</v>
      </c>
      <c r="T147" s="8">
        <v>45061</v>
      </c>
      <c r="U147" s="8">
        <v>45062</v>
      </c>
      <c r="V147" s="8">
        <v>45063</v>
      </c>
      <c r="W147" s="8">
        <v>45064</v>
      </c>
      <c r="X147" s="8">
        <v>45065</v>
      </c>
      <c r="Y147" s="8">
        <v>45066</v>
      </c>
      <c r="Z147" s="8">
        <v>45067</v>
      </c>
      <c r="AA147" s="8">
        <v>45068</v>
      </c>
      <c r="AB147" s="8">
        <v>45069</v>
      </c>
      <c r="AC147" s="8">
        <v>45070</v>
      </c>
      <c r="AD147" s="8">
        <v>45071</v>
      </c>
      <c r="AE147" s="8">
        <v>45072</v>
      </c>
      <c r="AF147" s="8">
        <v>45073</v>
      </c>
      <c r="AG147" s="8">
        <v>45074</v>
      </c>
      <c r="AH147" s="8">
        <v>45075</v>
      </c>
      <c r="AI147" s="8">
        <v>45076</v>
      </c>
      <c r="AJ147" s="8">
        <v>45077</v>
      </c>
      <c r="AL147" s="4" t="s">
        <v>19</v>
      </c>
      <c r="AM147" s="6" cm="1">
        <f t="array" ref="AM147">IFERROR((SUMPRODUCT(($C$148:$C$171=AM$146)*($F$144:$AJ$144="")*$F$148:$AJ$171)+IF(AM$146="P3",SUMPRODUCT(($F$144:$AJ$144="P3")*$F$148:$AJ$171),0))/(SUMPRODUCT(($C$148:$C$171=AM$146)*($F$144:$AJ$144=""))+IF(AM$146="P3",COUNTIF($F$144:$AJ$144,"P3")*ROWS($C$148:$C$171),0)),"")</f>
        <v>0.93350380681818312</v>
      </c>
      <c r="AN147" s="6" cm="1">
        <f t="array" ref="AN147">IFERROR((SUMPRODUCT(($C$148:$C$171=AN$146)*($F$144:$AJ$144="")*$F$148:$AJ$171)+IF(AN$146="P3",SUMPRODUCT(($F$144:$AJ$144="P3")*$F$148:$AJ$171),0))/(SUMPRODUCT(($C$148:$C$171=AN$146)*($F$144:$AJ$144=""))+IF(AN$146="P3",COUNTIF($F$144:$AJ$144,"P3")*ROWS($C$148:$C$171),0)),"")</f>
        <v>1.0829336931818181</v>
      </c>
      <c r="AO147" s="6" cm="1">
        <f t="array" ref="AO147">IFERROR((SUMPRODUCT(($C$148:$C$171=AO$146)*($F$144:$AJ$144="")*$F$148:$AJ$171)+IF(AO$146="P3",SUMPRODUCT(($F$144:$AJ$144="P3")*$F$148:$AJ$171),0))/(SUMPRODUCT(($C$148:$C$171=AO$146)*($F$144:$AJ$144=""))+IF(AO$146="P3",COUNTIF($F$144:$AJ$144,"P3")*ROWS($C$148:$C$171),0)),"")</f>
        <v>0.98216081632653018</v>
      </c>
      <c r="AP147" s="6" t="str" cm="1">
        <f t="array" ref="AP147">IFERROR((SUMPRODUCT(($C$148:$C$171=AP$146)*($F$144:$AJ$144="")*$F$148:$AJ$171)+IF(AP$146="P3",SUMPRODUCT(($F$144:$AJ$144="P3")*$F$148:$AJ$171),0))/(SUMPRODUCT(($C$148:$C$171=AP$146)*($F$144:$AJ$144=""))+IF(AP$146="P3",COUNTIF($F$144:$AJ$144,"P3")*ROWS($C$148:$C$171),0)),"")</f>
        <v/>
      </c>
      <c r="AQ147" s="6" t="str" cm="1">
        <f t="array" ref="AQ147">IFERROR((SUMPRODUCT(($C$148:$C$171=AQ$146)*($F$144:$AJ$144="")*$F$148:$AJ$171)+IF(AQ$146="P3",SUMPRODUCT(($F$144:$AJ$144="P3")*$F$148:$AJ$171),0))/(SUMPRODUCT(($C$148:$C$171=AQ$146)*($F$144:$AJ$144=""))+IF(AQ$146="P3",COUNTIF($F$144:$AJ$144,"P3")*ROWS($C$148:$C$171),0)),"")</f>
        <v/>
      </c>
      <c r="AR147" s="6" t="str" cm="1">
        <f t="array" ref="AR147">IFERROR((SUMPRODUCT(($C$148:$C$171=AR$146)*($F$144:$AJ$144="")*$F$148:$AJ$171)+IF(AR$146="P3",SUMPRODUCT(($F$144:$AJ$144="P3")*$F$148:$AJ$171),0))/(SUMPRODUCT(($C$148:$C$171=AR$146)*($F$144:$AJ$144=""))+IF(AR$146="P3",COUNTIF($F$144:$AJ$144,"P3")*ROWS($C$148:$C$171),0)),"")</f>
        <v/>
      </c>
    </row>
    <row r="148" spans="1:44" ht="14.25" customHeight="1" x14ac:dyDescent="0.35">
      <c r="A148" s="1" t="s">
        <v>7</v>
      </c>
      <c r="B148" s="1" t="s">
        <v>7</v>
      </c>
      <c r="C148" s="1" t="s">
        <v>15</v>
      </c>
      <c r="D148" s="1" t="s">
        <v>7</v>
      </c>
      <c r="E148" s="1" t="s">
        <v>8</v>
      </c>
      <c r="F148" s="1">
        <v>1.0702</v>
      </c>
      <c r="G148" s="1">
        <v>0.98445000000000005</v>
      </c>
      <c r="H148" s="1">
        <v>0.99219999999999997</v>
      </c>
      <c r="I148" s="1">
        <v>1.0076400000000001</v>
      </c>
      <c r="J148" s="1">
        <v>0.98982999999999999</v>
      </c>
      <c r="K148" s="1">
        <v>1.0166200000000001</v>
      </c>
      <c r="L148" s="1">
        <v>1.0641700000000001</v>
      </c>
      <c r="M148" s="1">
        <v>1.01912</v>
      </c>
      <c r="N148" s="1">
        <v>0.98445000000000005</v>
      </c>
      <c r="O148" s="1">
        <v>0.99219999999999997</v>
      </c>
      <c r="P148" s="1">
        <v>1.0076400000000001</v>
      </c>
      <c r="Q148" s="1">
        <v>0.98982999999999999</v>
      </c>
      <c r="R148" s="1">
        <v>1.0166200000000001</v>
      </c>
      <c r="S148" s="1">
        <v>1.0641700000000001</v>
      </c>
      <c r="T148" s="1">
        <v>1.01912</v>
      </c>
      <c r="U148" s="1">
        <v>0.98445000000000005</v>
      </c>
      <c r="V148" s="1">
        <v>0.99219999999999997</v>
      </c>
      <c r="W148" s="1">
        <v>1.0076400000000001</v>
      </c>
      <c r="X148" s="1">
        <v>0.98982999999999999</v>
      </c>
      <c r="Y148" s="1">
        <v>1.0166200000000001</v>
      </c>
      <c r="Z148" s="1">
        <v>1.0641700000000001</v>
      </c>
      <c r="AA148" s="1">
        <v>1.01912</v>
      </c>
      <c r="AB148" s="1">
        <v>0.98445000000000005</v>
      </c>
      <c r="AC148" s="1">
        <v>0.99219999999999997</v>
      </c>
      <c r="AD148" s="1">
        <v>1.0076400000000001</v>
      </c>
      <c r="AE148" s="1">
        <v>0.98982999999999999</v>
      </c>
      <c r="AF148" s="1">
        <v>1.0166200000000001</v>
      </c>
      <c r="AG148" s="1">
        <v>1.0641700000000001</v>
      </c>
      <c r="AH148" s="1">
        <v>1.01912</v>
      </c>
      <c r="AI148" s="1">
        <v>0.98445000000000005</v>
      </c>
      <c r="AJ148" s="1">
        <v>0.99219999999999997</v>
      </c>
      <c r="AL148" s="4" t="s">
        <v>21</v>
      </c>
      <c r="AM148" s="6" t="str" cm="1">
        <f t="array" ref="AM148">IFERROR((SUMPRODUCT(($D$148:$D$171=AM$146)*($F$145:$AJ$145="")*$F$148:$AJ$171)+IF(AM$146="P6",SUMPRODUCT(($F$145:$AJ$145="P6")*$F$148:$AJ$171),0))/(SUMPRODUCT(($D$148:$D$171=AM$146)*($F$145:$AJ$145=""))+IF(AM$146="P6",COUNTIF($F$145:$AJ$145,"P6")*ROWS($D$148:$D$171),0)),"")</f>
        <v/>
      </c>
      <c r="AN148" s="6" t="str" cm="1">
        <f t="array" ref="AN148">IFERROR((SUMPRODUCT(($D$148:$D$171=AN$146)*($F$145:$AJ$145="")*$F$148:$AJ$171)+IF(AN$146="P6",SUMPRODUCT(($F$145:$AJ$145="P6")*$F$148:$AJ$171),0))/(SUMPRODUCT(($D$148:$D$171=AN$146)*($F$145:$AJ$145=""))+IF(AN$146="P6",COUNTIF($F$145:$AJ$145,"P6")*ROWS($D$148:$D$171),0)),"")</f>
        <v/>
      </c>
      <c r="AO148" s="6" t="str" cm="1">
        <f t="array" ref="AO148">IFERROR((SUMPRODUCT(($D$148:$D$171=AO$146)*($F$145:$AJ$145="")*$F$148:$AJ$171)+IF(AO$146="P6",SUMPRODUCT(($F$145:$AJ$145="P6")*$F$148:$AJ$171),0))/(SUMPRODUCT(($D$148:$D$171=AO$146)*($F$145:$AJ$145=""))+IF(AO$146="P6",COUNTIF($F$145:$AJ$145,"P6")*ROWS($D$148:$D$171),0)),"")</f>
        <v/>
      </c>
      <c r="AP148" s="6" cm="1">
        <f t="array" ref="AP148">IFERROR((SUMPRODUCT(($D$148:$D$171=AP$146)*($F$145:$AJ$145="")*$F$148:$AJ$171)+IF(AP$146="P6",SUMPRODUCT(($F$145:$AJ$145="P6")*$F$148:$AJ$171),0))/(SUMPRODUCT(($D$148:$D$171=AP$146)*($F$145:$AJ$145=""))+IF(AP$146="P6",COUNTIF($F$145:$AJ$145,"P6")*ROWS($D$148:$D$171),0)),"")</f>
        <v>0.92938772727272867</v>
      </c>
      <c r="AQ148" s="6" cm="1">
        <f t="array" ref="AQ148">IFERROR((SUMPRODUCT(($D$148:$D$171=AQ$146)*($F$145:$AJ$145="")*$F$148:$AJ$171)+IF(AQ$146="P6",SUMPRODUCT(($F$145:$AJ$145="P6")*$F$148:$AJ$171),0))/(SUMPRODUCT(($D$148:$D$171=AQ$146)*($F$145:$AJ$145=""))+IF(AQ$146="P6",COUNTIF($F$145:$AJ$145,"P6")*ROWS($D$148:$D$171),0)),"")</f>
        <v>1.109572922077922</v>
      </c>
      <c r="AR148" s="6" cm="1">
        <f t="array" ref="AR148">IFERROR((SUMPRODUCT(($D$148:$D$171=AR$146)*($F$145:$AJ$145="")*$F$148:$AJ$171)+IF(AR$146="P6",SUMPRODUCT(($F$145:$AJ$145="P6")*$F$148:$AJ$171),0))/(SUMPRODUCT(($D$148:$D$171=AR$146)*($F$145:$AJ$145=""))+IF(AR$146="P6",COUNTIF($F$145:$AJ$145,"P6")*ROWS($D$148:$D$171),0)),"")</f>
        <v>0.98216081632653018</v>
      </c>
    </row>
    <row r="149" spans="1:44" ht="14.25" customHeight="1" x14ac:dyDescent="0.35">
      <c r="A149" s="1" t="s">
        <v>7</v>
      </c>
      <c r="B149" s="1" t="s">
        <v>7</v>
      </c>
      <c r="C149" s="1" t="s">
        <v>15</v>
      </c>
      <c r="D149" s="1" t="s">
        <v>7</v>
      </c>
      <c r="E149" s="1" t="s">
        <v>9</v>
      </c>
      <c r="F149" s="1">
        <v>1.1285499999999999</v>
      </c>
      <c r="G149" s="1">
        <v>1.01606</v>
      </c>
      <c r="H149" s="1">
        <v>1.0215700000000001</v>
      </c>
      <c r="I149" s="1">
        <v>1.03007</v>
      </c>
      <c r="J149" s="1">
        <v>1.0187299999999999</v>
      </c>
      <c r="K149" s="1">
        <v>1.03962</v>
      </c>
      <c r="L149" s="1">
        <v>1.09056</v>
      </c>
      <c r="M149" s="1">
        <v>1.0533399999999999</v>
      </c>
      <c r="N149" s="1">
        <v>1.01606</v>
      </c>
      <c r="O149" s="1">
        <v>1.0215700000000001</v>
      </c>
      <c r="P149" s="1">
        <v>1.03007</v>
      </c>
      <c r="Q149" s="1">
        <v>1.0187299999999999</v>
      </c>
      <c r="R149" s="1">
        <v>1.03962</v>
      </c>
      <c r="S149" s="1">
        <v>1.09056</v>
      </c>
      <c r="T149" s="1">
        <v>1.0533399999999999</v>
      </c>
      <c r="U149" s="1">
        <v>1.01606</v>
      </c>
      <c r="V149" s="1">
        <v>1.0215700000000001</v>
      </c>
      <c r="W149" s="1">
        <v>1.03007</v>
      </c>
      <c r="X149" s="1">
        <v>1.0187299999999999</v>
      </c>
      <c r="Y149" s="1">
        <v>1.03962</v>
      </c>
      <c r="Z149" s="1">
        <v>1.09056</v>
      </c>
      <c r="AA149" s="1">
        <v>1.0533399999999999</v>
      </c>
      <c r="AB149" s="1">
        <v>1.01606</v>
      </c>
      <c r="AC149" s="1">
        <v>1.0215700000000001</v>
      </c>
      <c r="AD149" s="1">
        <v>1.03007</v>
      </c>
      <c r="AE149" s="1">
        <v>1.0187299999999999</v>
      </c>
      <c r="AF149" s="1">
        <v>1.03962</v>
      </c>
      <c r="AG149" s="1">
        <v>1.09056</v>
      </c>
      <c r="AH149" s="1">
        <v>1.0533399999999999</v>
      </c>
      <c r="AI149" s="1">
        <v>1.01606</v>
      </c>
      <c r="AJ149" s="1">
        <v>1.0215700000000001</v>
      </c>
      <c r="AL149" s="4" t="s">
        <v>23</v>
      </c>
      <c r="AM149" s="6" t="str" cm="1">
        <f t="array" ref="AM149">IFERROR((SUMPRODUCT(($D$148:$D$171=AM$146)*($F$145:$AJ$145="")*$F$148:$AJ$171)+IF(AM$146="P6",SUMPRODUCT(($F$145:$AJ$145="P6")*$F$148:$AJ$171),0))/(SUMPRODUCT(($D$148:$D$171=AM$146)*($F$145:$AJ$145=""))+IF(AM$146="P6",COUNTIF($F$145:$AJ$145,"P6")*ROWS($D$148:$D$171),0)),"")</f>
        <v/>
      </c>
      <c r="AN149" s="6" t="str" cm="1">
        <f t="array" ref="AN149">IFERROR((SUMPRODUCT(($D$148:$D$171=AN$146)*($F$145:$AJ$145="")*$F$148:$AJ$171)+IF(AN$146="P6",SUMPRODUCT(($F$145:$AJ$145="P6")*$F$148:$AJ$171),0))/(SUMPRODUCT(($D$148:$D$171=AN$146)*($F$145:$AJ$145=""))+IF(AN$146="P6",COUNTIF($F$145:$AJ$145,"P6")*ROWS($D$148:$D$171),0)),"")</f>
        <v/>
      </c>
      <c r="AO149" s="5" t="str" cm="1">
        <f t="array" ref="AO149">IFERROR((SUMPRODUCT(($D$148:$D$171=AO$146)*($F$145:$AJ$145="")*$F$148:$AJ$171)+IF(AO$146="P6",SUMPRODUCT(($F$145:$AJ$145="P6")*$F$148:$AJ$171),0))/(SUMPRODUCT(($D$148:$D$171=AO$146)*($F$145:$AJ$145=""))+IF(AO$146="P6",COUNTIF($F$145:$AJ$145,"P6")*ROWS($D$148:$D$171),0)),"")</f>
        <v/>
      </c>
      <c r="AP149" s="5" cm="1">
        <f t="array" ref="AP149">IFERROR((SUMPRODUCT(($D$148:$D$171=AP$146)*($F$145:$AJ$145="")*$F$148:$AJ$171)+IF(AP$146="P6",SUMPRODUCT(($F$145:$AJ$145="P6")*$F$148:$AJ$171),0))/(SUMPRODUCT(($D$148:$D$171=AP$146)*($F$145:$AJ$145=""))+IF(AP$146="P6",COUNTIF($F$145:$AJ$145,"P6")*ROWS($D$148:$D$171),0)),"")</f>
        <v>0.92938772727272867</v>
      </c>
      <c r="AQ149" s="5" cm="1">
        <f t="array" ref="AQ149">IFERROR((SUMPRODUCT(($D$148:$D$171=AQ$146)*($F$145:$AJ$145="")*$F$148:$AJ$171)+IF(AQ$146="P6",SUMPRODUCT(($F$145:$AJ$145="P6")*$F$148:$AJ$171),0))/(SUMPRODUCT(($D$148:$D$171=AQ$146)*($F$145:$AJ$145=""))+IF(AQ$146="P6",COUNTIF($F$145:$AJ$145,"P6")*ROWS($D$148:$D$171),0)),"")</f>
        <v>1.109572922077922</v>
      </c>
      <c r="AR149" s="6" cm="1">
        <f t="array" ref="AR149">IFERROR((SUMPRODUCT(($D$148:$D$171=AR$146)*($F$145:$AJ$145="")*$F$148:$AJ$171)+IF(AR$146="P6",SUMPRODUCT(($F$145:$AJ$145="P6")*$F$148:$AJ$171),0))/(SUMPRODUCT(($D$148:$D$171=AR$146)*($F$145:$AJ$145=""))+IF(AR$146="P6",COUNTIF($F$145:$AJ$145,"P6")*ROWS($D$148:$D$171),0)),"")</f>
        <v>0.98216081632653018</v>
      </c>
    </row>
    <row r="150" spans="1:44" ht="14.25" customHeight="1" x14ac:dyDescent="0.35">
      <c r="A150" s="1" t="s">
        <v>7</v>
      </c>
      <c r="B150" s="1" t="s">
        <v>7</v>
      </c>
      <c r="C150" s="1" t="s">
        <v>15</v>
      </c>
      <c r="D150" s="1" t="s">
        <v>7</v>
      </c>
      <c r="E150" s="1" t="s">
        <v>10</v>
      </c>
      <c r="F150" s="1">
        <v>1.17798</v>
      </c>
      <c r="G150" s="1">
        <v>1.0353699999999999</v>
      </c>
      <c r="H150" s="1">
        <v>1.04067</v>
      </c>
      <c r="I150" s="1">
        <v>1.0530299999999999</v>
      </c>
      <c r="J150" s="1">
        <v>1.0390200000000001</v>
      </c>
      <c r="K150" s="1">
        <v>1.0456399999999999</v>
      </c>
      <c r="L150" s="1">
        <v>1.10911</v>
      </c>
      <c r="M150" s="1">
        <v>1.0810900000000001</v>
      </c>
      <c r="N150" s="1">
        <v>1.0353699999999999</v>
      </c>
      <c r="O150" s="1">
        <v>1.04067</v>
      </c>
      <c r="P150" s="1">
        <v>1.0530299999999999</v>
      </c>
      <c r="Q150" s="1">
        <v>1.0390200000000001</v>
      </c>
      <c r="R150" s="1">
        <v>1.0456399999999999</v>
      </c>
      <c r="S150" s="1">
        <v>1.10911</v>
      </c>
      <c r="T150" s="1">
        <v>1.0810900000000001</v>
      </c>
      <c r="U150" s="1">
        <v>1.0353699999999999</v>
      </c>
      <c r="V150" s="1">
        <v>1.04067</v>
      </c>
      <c r="W150" s="1">
        <v>1.0530299999999999</v>
      </c>
      <c r="X150" s="1">
        <v>1.0390200000000001</v>
      </c>
      <c r="Y150" s="1">
        <v>1.0456399999999999</v>
      </c>
      <c r="Z150" s="1">
        <v>1.10911</v>
      </c>
      <c r="AA150" s="1">
        <v>1.0810900000000001</v>
      </c>
      <c r="AB150" s="1">
        <v>1.0353699999999999</v>
      </c>
      <c r="AC150" s="1">
        <v>1.04067</v>
      </c>
      <c r="AD150" s="1">
        <v>1.0530299999999999</v>
      </c>
      <c r="AE150" s="1">
        <v>1.0390200000000001</v>
      </c>
      <c r="AF150" s="1">
        <v>1.0456399999999999</v>
      </c>
      <c r="AG150" s="1">
        <v>1.10911</v>
      </c>
      <c r="AH150" s="1">
        <v>1.0810900000000001</v>
      </c>
      <c r="AI150" s="1">
        <v>1.0353699999999999</v>
      </c>
      <c r="AJ150" s="1">
        <v>1.04067</v>
      </c>
      <c r="AL150" s="4" t="s">
        <v>25</v>
      </c>
      <c r="AM150" s="6" t="str" cm="1">
        <f t="array" ref="AM150">IFERROR((SUMPRODUCT(($D$148:$D$171=AM$146)*($F$145:$AJ$145="")*$F$148:$AJ$171)+IF(AM$146="P6",SUMPRODUCT(($F$145:$AJ$145="P6")*$F$148:$AJ$171),0))/(SUMPRODUCT(($D$148:$D$171=AM$146)*($F$145:$AJ$145=""))+IF(AM$146="P6",COUNTIF($F$145:$AJ$145,"P6")*ROWS($D$148:$D$171),0)),"")</f>
        <v/>
      </c>
      <c r="AN150" s="6" t="str" cm="1">
        <f t="array" ref="AN150">IFERROR((SUMPRODUCT(($D$148:$D$171=AN$146)*($F$145:$AJ$145="")*$F$148:$AJ$171)+IF(AN$146="P6",SUMPRODUCT(($F$145:$AJ$145="P6")*$F$148:$AJ$171),0))/(SUMPRODUCT(($D$148:$D$171=AN$146)*($F$145:$AJ$145=""))+IF(AN$146="P6",COUNTIF($F$145:$AJ$145,"P6")*ROWS($D$148:$D$171),0)),"")</f>
        <v/>
      </c>
      <c r="AO150" s="5" t="str" cm="1">
        <f t="array" ref="AO150">IFERROR((SUMPRODUCT(($D$148:$D$171=AO$146)*($F$145:$AJ$145="")*$F$148:$AJ$171)+IF(AO$146="P6",SUMPRODUCT(($F$145:$AJ$145="P6")*$F$148:$AJ$171),0))/(SUMPRODUCT(($D$148:$D$171=AO$146)*($F$145:$AJ$145=""))+IF(AO$146="P6",COUNTIF($F$145:$AJ$145,"P6")*ROWS($D$148:$D$171),0)),"")</f>
        <v/>
      </c>
      <c r="AP150" s="5" cm="1">
        <f t="array" ref="AP150">IFERROR((SUMPRODUCT(($D$148:$D$171=AP$146)*($F$145:$AJ$145="")*$F$148:$AJ$171)+IF(AP$146="P6",SUMPRODUCT(($F$145:$AJ$145="P6")*$F$148:$AJ$171),0))/(SUMPRODUCT(($D$148:$D$171=AP$146)*($F$145:$AJ$145=""))+IF(AP$146="P6",COUNTIF($F$145:$AJ$145,"P6")*ROWS($D$148:$D$171),0)),"")</f>
        <v>0.92938772727272867</v>
      </c>
      <c r="AQ150" s="5" cm="1">
        <f t="array" ref="AQ150">IFERROR((SUMPRODUCT(($D$148:$D$171=AQ$146)*($F$145:$AJ$145="")*$F$148:$AJ$171)+IF(AQ$146="P6",SUMPRODUCT(($F$145:$AJ$145="P6")*$F$148:$AJ$171),0))/(SUMPRODUCT(($D$148:$D$171=AQ$146)*($F$145:$AJ$145=""))+IF(AQ$146="P6",COUNTIF($F$145:$AJ$145,"P6")*ROWS($D$148:$D$171),0)),"")</f>
        <v>1.109572922077922</v>
      </c>
      <c r="AR150" s="6" cm="1">
        <f t="array" ref="AR150">IFERROR((SUMPRODUCT(($D$148:$D$171=AR$146)*($F$145:$AJ$145="")*$F$148:$AJ$171)+IF(AR$146="P6",SUMPRODUCT(($F$145:$AJ$145="P6")*$F$148:$AJ$171),0))/(SUMPRODUCT(($D$148:$D$171=AR$146)*($F$145:$AJ$145=""))+IF(AR$146="P6",COUNTIF($F$145:$AJ$145,"P6")*ROWS($D$148:$D$171),0)),"")</f>
        <v>0.98216081632653018</v>
      </c>
    </row>
    <row r="151" spans="1:44" ht="14.25" customHeight="1" x14ac:dyDescent="0.35">
      <c r="A151" s="1" t="s">
        <v>7</v>
      </c>
      <c r="B151" s="1" t="s">
        <v>7</v>
      </c>
      <c r="C151" s="1" t="s">
        <v>15</v>
      </c>
      <c r="D151" s="1" t="s">
        <v>7</v>
      </c>
      <c r="E151" s="1" t="s">
        <v>11</v>
      </c>
      <c r="F151" s="1">
        <v>1.2063600000000001</v>
      </c>
      <c r="G151" s="1">
        <v>1.0355399999999999</v>
      </c>
      <c r="H151" s="1">
        <v>1.0429999999999999</v>
      </c>
      <c r="I151" s="1">
        <v>1.05772</v>
      </c>
      <c r="J151" s="1">
        <v>1.04148</v>
      </c>
      <c r="K151" s="1">
        <v>1.05888</v>
      </c>
      <c r="L151" s="1">
        <v>1.1127100000000001</v>
      </c>
      <c r="M151" s="1">
        <v>1.08067</v>
      </c>
      <c r="N151" s="1">
        <v>1.0355399999999999</v>
      </c>
      <c r="O151" s="1">
        <v>1.0429999999999999</v>
      </c>
      <c r="P151" s="1">
        <v>1.05772</v>
      </c>
      <c r="Q151" s="1">
        <v>1.04148</v>
      </c>
      <c r="R151" s="1">
        <v>1.05888</v>
      </c>
      <c r="S151" s="1">
        <v>1.1127100000000001</v>
      </c>
      <c r="T151" s="1">
        <v>1.08067</v>
      </c>
      <c r="U151" s="1">
        <v>1.0355399999999999</v>
      </c>
      <c r="V151" s="1">
        <v>1.0429999999999999</v>
      </c>
      <c r="W151" s="1">
        <v>1.05772</v>
      </c>
      <c r="X151" s="1">
        <v>1.04148</v>
      </c>
      <c r="Y151" s="1">
        <v>1.05888</v>
      </c>
      <c r="Z151" s="1">
        <v>1.1127100000000001</v>
      </c>
      <c r="AA151" s="1">
        <v>1.08067</v>
      </c>
      <c r="AB151" s="1">
        <v>1.0355399999999999</v>
      </c>
      <c r="AC151" s="1">
        <v>1.0429999999999999</v>
      </c>
      <c r="AD151" s="1">
        <v>1.05772</v>
      </c>
      <c r="AE151" s="1">
        <v>1.04148</v>
      </c>
      <c r="AF151" s="1">
        <v>1.05888</v>
      </c>
      <c r="AG151" s="1">
        <v>1.1127100000000001</v>
      </c>
      <c r="AH151" s="1">
        <v>1.08067</v>
      </c>
      <c r="AI151" s="1">
        <v>1.0355399999999999</v>
      </c>
      <c r="AJ151" s="1">
        <v>1.0429999999999999</v>
      </c>
      <c r="AL151" s="4" t="s">
        <v>27</v>
      </c>
      <c r="AM151" s="6" t="str" cm="1">
        <f t="array" ref="AM151">IFERROR((SUMPRODUCT(($D$148:$D$171=AM$146)*($F$145:$AJ$145="")*$F$148:$AJ$171)+IF(AM$146="P6",SUMPRODUCT(($F$145:$AJ$145="P6")*$F$148:$AJ$171),0))/(SUMPRODUCT(($D$148:$D$171=AM$146)*($F$145:$AJ$145=""))+IF(AM$146="P6",COUNTIF($F$145:$AJ$145,"P6")*ROWS($D$148:$D$171),0)),"")</f>
        <v/>
      </c>
      <c r="AN151" s="6" t="str" cm="1">
        <f t="array" ref="AN151">IFERROR((SUMPRODUCT(($D$148:$D$171=AN$146)*($F$145:$AJ$145="")*$F$148:$AJ$171)+IF(AN$146="P6",SUMPRODUCT(($F$145:$AJ$145="P6")*$F$148:$AJ$171),0))/(SUMPRODUCT(($D$148:$D$171=AN$146)*($F$145:$AJ$145=""))+IF(AN$146="P6",COUNTIF($F$145:$AJ$145,"P6")*ROWS($D$148:$D$171),0)),"")</f>
        <v/>
      </c>
      <c r="AO151" s="5" t="str" cm="1">
        <f t="array" ref="AO151">IFERROR((SUMPRODUCT(($D$148:$D$171=AO$146)*($F$145:$AJ$145="")*$F$148:$AJ$171)+IF(AO$146="P6",SUMPRODUCT(($F$145:$AJ$145="P6")*$F$148:$AJ$171),0))/(SUMPRODUCT(($D$148:$D$171=AO$146)*($F$145:$AJ$145=""))+IF(AO$146="P6",COUNTIF($F$145:$AJ$145,"P6")*ROWS($D$148:$D$171),0)),"")</f>
        <v/>
      </c>
      <c r="AP151" s="5" cm="1">
        <f t="array" ref="AP151">IFERROR((SUMPRODUCT(($D$148:$D$171=AP$146)*($F$145:$AJ$145="")*$F$148:$AJ$171)+IF(AP$146="P6",SUMPRODUCT(($F$145:$AJ$145="P6")*$F$148:$AJ$171),0))/(SUMPRODUCT(($D$148:$D$171=AP$146)*($F$145:$AJ$145=""))+IF(AP$146="P6",COUNTIF($F$145:$AJ$145,"P6")*ROWS($D$148:$D$171),0)),"")</f>
        <v>0.92938772727272867</v>
      </c>
      <c r="AQ151" s="5" cm="1">
        <f t="array" ref="AQ151">IFERROR((SUMPRODUCT(($D$148:$D$171=AQ$146)*($F$145:$AJ$145="")*$F$148:$AJ$171)+IF(AQ$146="P6",SUMPRODUCT(($F$145:$AJ$145="P6")*$F$148:$AJ$171),0))/(SUMPRODUCT(($D$148:$D$171=AQ$146)*($F$145:$AJ$145=""))+IF(AQ$146="P6",COUNTIF($F$145:$AJ$145,"P6")*ROWS($D$148:$D$171),0)),"")</f>
        <v>1.109572922077922</v>
      </c>
      <c r="AR151" s="6" cm="1">
        <f t="array" ref="AR151">IFERROR((SUMPRODUCT(($D$148:$D$171=AR$146)*($F$145:$AJ$145="")*$F$148:$AJ$171)+IF(AR$146="P6",SUMPRODUCT(($F$145:$AJ$145="P6")*$F$148:$AJ$171),0))/(SUMPRODUCT(($D$148:$D$171=AR$146)*($F$145:$AJ$145=""))+IF(AR$146="P6",COUNTIF($F$145:$AJ$145,"P6")*ROWS($D$148:$D$171),0)),"")</f>
        <v>0.98216081632653018</v>
      </c>
    </row>
    <row r="152" spans="1:44" ht="14.25" customHeight="1" x14ac:dyDescent="0.35">
      <c r="A152" s="1" t="s">
        <v>7</v>
      </c>
      <c r="B152" s="1" t="s">
        <v>7</v>
      </c>
      <c r="C152" s="1" t="s">
        <v>15</v>
      </c>
      <c r="D152" s="1" t="s">
        <v>7</v>
      </c>
      <c r="E152" s="1" t="s">
        <v>12</v>
      </c>
      <c r="F152" s="1">
        <v>1.22777</v>
      </c>
      <c r="G152" s="1">
        <v>1.03609</v>
      </c>
      <c r="H152" s="1">
        <v>1.03949</v>
      </c>
      <c r="I152" s="1">
        <v>1.0520700000000001</v>
      </c>
      <c r="J152" s="1">
        <v>1.0348200000000001</v>
      </c>
      <c r="K152" s="1">
        <v>1.0594600000000001</v>
      </c>
      <c r="L152" s="1">
        <v>1.10707</v>
      </c>
      <c r="M152" s="1">
        <v>1.06836</v>
      </c>
      <c r="N152" s="1">
        <v>1.03609</v>
      </c>
      <c r="O152" s="1">
        <v>1.03949</v>
      </c>
      <c r="P152" s="1">
        <v>1.0520700000000001</v>
      </c>
      <c r="Q152" s="1">
        <v>1.0348200000000001</v>
      </c>
      <c r="R152" s="1">
        <v>1.0594600000000001</v>
      </c>
      <c r="S152" s="1">
        <v>1.10707</v>
      </c>
      <c r="T152" s="1">
        <v>1.06836</v>
      </c>
      <c r="U152" s="1">
        <v>1.03609</v>
      </c>
      <c r="V152" s="1">
        <v>1.03949</v>
      </c>
      <c r="W152" s="1">
        <v>1.0520700000000001</v>
      </c>
      <c r="X152" s="1">
        <v>1.0348200000000001</v>
      </c>
      <c r="Y152" s="1">
        <v>1.0594600000000001</v>
      </c>
      <c r="Z152" s="1">
        <v>1.10707</v>
      </c>
      <c r="AA152" s="1">
        <v>1.06836</v>
      </c>
      <c r="AB152" s="1">
        <v>1.03609</v>
      </c>
      <c r="AC152" s="1">
        <v>1.03949</v>
      </c>
      <c r="AD152" s="1">
        <v>1.0520700000000001</v>
      </c>
      <c r="AE152" s="1">
        <v>1.0348200000000001</v>
      </c>
      <c r="AF152" s="1">
        <v>1.0594600000000001</v>
      </c>
      <c r="AG152" s="1">
        <v>1.10707</v>
      </c>
      <c r="AH152" s="1">
        <v>1.06836</v>
      </c>
      <c r="AI152" s="1">
        <v>1.03609</v>
      </c>
      <c r="AJ152" s="1">
        <v>1.03949</v>
      </c>
      <c r="AL152" s="4" t="s">
        <v>29</v>
      </c>
      <c r="AM152" s="6" t="str" cm="1">
        <f t="array" ref="AM152">IFERROR((SUMPRODUCT(($D$148:$D$171=AM$146)*($F$145:$AJ$145="")*$F$148:$AJ$171)+IF(AM$146="P6",SUMPRODUCT(($F$145:$AJ$145="P6")*$F$148:$AJ$171),0))/(SUMPRODUCT(($D$148:$D$171=AM$146)*($F$145:$AJ$145=""))+IF(AM$146="P6",COUNTIF($F$145:$AJ$145,"P6")*ROWS($D$148:$D$171),0)),"")</f>
        <v/>
      </c>
      <c r="AN152" s="6" t="str" cm="1">
        <f t="array" ref="AN152">IFERROR((SUMPRODUCT(($D$148:$D$171=AN$146)*($F$145:$AJ$145="")*$F$148:$AJ$171)+IF(AN$146="P6",SUMPRODUCT(($F$145:$AJ$145="P6")*$F$148:$AJ$171),0))/(SUMPRODUCT(($D$148:$D$171=AN$146)*($F$145:$AJ$145=""))+IF(AN$146="P6",COUNTIF($F$145:$AJ$145,"P6")*ROWS($D$148:$D$171),0)),"")</f>
        <v/>
      </c>
      <c r="AO152" s="5" t="str" cm="1">
        <f t="array" ref="AO152">IFERROR((SUMPRODUCT(($D$148:$D$171=AO$146)*($F$145:$AJ$145="")*$F$148:$AJ$171)+IF(AO$146="P6",SUMPRODUCT(($F$145:$AJ$145="P6")*$F$148:$AJ$171),0))/(SUMPRODUCT(($D$148:$D$171=AO$146)*($F$145:$AJ$145=""))+IF(AO$146="P6",COUNTIF($F$145:$AJ$145,"P6")*ROWS($D$148:$D$171),0)),"")</f>
        <v/>
      </c>
      <c r="AP152" s="5" cm="1">
        <f t="array" ref="AP152">IFERROR((SUMPRODUCT(($D$148:$D$171=AP$146)*($F$145:$AJ$145="")*$F$148:$AJ$171)+IF(AP$146="P6",SUMPRODUCT(($F$145:$AJ$145="P6")*$F$148:$AJ$171),0))/(SUMPRODUCT(($D$148:$D$171=AP$146)*($F$145:$AJ$145=""))+IF(AP$146="P6",COUNTIF($F$145:$AJ$145,"P6")*ROWS($D$148:$D$171),0)),"")</f>
        <v>0.92938772727272867</v>
      </c>
      <c r="AQ152" s="5" cm="1">
        <f t="array" ref="AQ152">IFERROR((SUMPRODUCT(($D$148:$D$171=AQ$146)*($F$145:$AJ$145="")*$F$148:$AJ$171)+IF(AQ$146="P6",SUMPRODUCT(($F$145:$AJ$145="P6")*$F$148:$AJ$171),0))/(SUMPRODUCT(($D$148:$D$171=AQ$146)*($F$145:$AJ$145=""))+IF(AQ$146="P6",COUNTIF($F$145:$AJ$145,"P6")*ROWS($D$148:$D$171),0)),"")</f>
        <v>1.109572922077922</v>
      </c>
      <c r="AR152" s="6" cm="1">
        <f t="array" ref="AR152">IFERROR((SUMPRODUCT(($D$148:$D$171=AR$146)*($F$145:$AJ$145="")*$F$148:$AJ$171)+IF(AR$146="P6",SUMPRODUCT(($F$145:$AJ$145="P6")*$F$148:$AJ$171),0))/(SUMPRODUCT(($D$148:$D$171=AR$146)*($F$145:$AJ$145=""))+IF(AR$146="P6",COUNTIF($F$145:$AJ$145,"P6")*ROWS($D$148:$D$171),0)),"")</f>
        <v>0.98216081632653018</v>
      </c>
    </row>
    <row r="153" spans="1:44" ht="14.25" customHeight="1" x14ac:dyDescent="0.35">
      <c r="A153" s="1" t="s">
        <v>7</v>
      </c>
      <c r="B153" s="1" t="s">
        <v>7</v>
      </c>
      <c r="C153" s="1" t="s">
        <v>15</v>
      </c>
      <c r="D153" s="1" t="s">
        <v>7</v>
      </c>
      <c r="E153" s="1" t="s">
        <v>18</v>
      </c>
      <c r="F153" s="1">
        <v>1.2466299999999999</v>
      </c>
      <c r="G153" s="1">
        <v>1.0168600000000001</v>
      </c>
      <c r="H153" s="1">
        <v>1.02071</v>
      </c>
      <c r="I153" s="1">
        <v>1.01783</v>
      </c>
      <c r="J153" s="1">
        <v>1.0197799999999999</v>
      </c>
      <c r="K153" s="1">
        <v>1.0549500000000001</v>
      </c>
      <c r="L153" s="1">
        <v>1.10785</v>
      </c>
      <c r="M153" s="1">
        <v>1.03853</v>
      </c>
      <c r="N153" s="1">
        <v>1.0168600000000001</v>
      </c>
      <c r="O153" s="1">
        <v>1.02071</v>
      </c>
      <c r="P153" s="1">
        <v>1.01783</v>
      </c>
      <c r="Q153" s="1">
        <v>1.0197799999999999</v>
      </c>
      <c r="R153" s="1">
        <v>1.0549500000000001</v>
      </c>
      <c r="S153" s="1">
        <v>1.10785</v>
      </c>
      <c r="T153" s="1">
        <v>1.03853</v>
      </c>
      <c r="U153" s="1">
        <v>1.0168600000000001</v>
      </c>
      <c r="V153" s="1">
        <v>1.02071</v>
      </c>
      <c r="W153" s="1">
        <v>1.01783</v>
      </c>
      <c r="X153" s="1">
        <v>1.0197799999999999</v>
      </c>
      <c r="Y153" s="1">
        <v>1.0549500000000001</v>
      </c>
      <c r="Z153" s="1">
        <v>1.10785</v>
      </c>
      <c r="AA153" s="1">
        <v>1.03853</v>
      </c>
      <c r="AB153" s="1">
        <v>1.0168600000000001</v>
      </c>
      <c r="AC153" s="1">
        <v>1.02071</v>
      </c>
      <c r="AD153" s="1">
        <v>1.01783</v>
      </c>
      <c r="AE153" s="1">
        <v>1.0197799999999999</v>
      </c>
      <c r="AF153" s="1">
        <v>1.0549500000000001</v>
      </c>
      <c r="AG153" s="1">
        <v>1.10785</v>
      </c>
      <c r="AH153" s="1">
        <v>1.03853</v>
      </c>
      <c r="AI153" s="1">
        <v>1.0168600000000001</v>
      </c>
      <c r="AJ153" s="1">
        <v>1.02071</v>
      </c>
      <c r="AL153" s="10"/>
      <c r="AM153" s="10"/>
      <c r="AN153" s="10"/>
      <c r="AO153" s="10"/>
      <c r="AP153" s="10"/>
      <c r="AQ153" s="10"/>
      <c r="AR153" s="10"/>
    </row>
    <row r="154" spans="1:44" ht="14.25" customHeight="1" x14ac:dyDescent="0.35">
      <c r="A154" s="1" t="s">
        <v>7</v>
      </c>
      <c r="B154" s="1" t="s">
        <v>7</v>
      </c>
      <c r="C154" s="1" t="s">
        <v>15</v>
      </c>
      <c r="D154" s="1" t="s">
        <v>7</v>
      </c>
      <c r="E154" s="1" t="s">
        <v>20</v>
      </c>
      <c r="F154" s="1">
        <v>1.2405600000000001</v>
      </c>
      <c r="G154" s="1">
        <v>0.97402</v>
      </c>
      <c r="H154" s="1">
        <v>0.95943999999999996</v>
      </c>
      <c r="I154" s="1">
        <v>0.95152999999999999</v>
      </c>
      <c r="J154" s="1">
        <v>0.95523000000000002</v>
      </c>
      <c r="K154" s="1">
        <v>1.03</v>
      </c>
      <c r="L154" s="1">
        <v>1.0904700000000001</v>
      </c>
      <c r="M154" s="1">
        <v>0.97458</v>
      </c>
      <c r="N154" s="1">
        <v>0.97402</v>
      </c>
      <c r="O154" s="1">
        <v>0.95943999999999996</v>
      </c>
      <c r="P154" s="1">
        <v>0.95152999999999999</v>
      </c>
      <c r="Q154" s="1">
        <v>0.95523000000000002</v>
      </c>
      <c r="R154" s="1">
        <v>1.03</v>
      </c>
      <c r="S154" s="1">
        <v>1.0904700000000001</v>
      </c>
      <c r="T154" s="1">
        <v>0.97458</v>
      </c>
      <c r="U154" s="1">
        <v>0.97402</v>
      </c>
      <c r="V154" s="1">
        <v>0.95943999999999996</v>
      </c>
      <c r="W154" s="1">
        <v>0.95152999999999999</v>
      </c>
      <c r="X154" s="1">
        <v>0.95523000000000002</v>
      </c>
      <c r="Y154" s="1">
        <v>1.03</v>
      </c>
      <c r="Z154" s="1">
        <v>1.0904700000000001</v>
      </c>
      <c r="AA154" s="1">
        <v>0.97458</v>
      </c>
      <c r="AB154" s="1">
        <v>0.97402</v>
      </c>
      <c r="AC154" s="1">
        <v>0.95943999999999996</v>
      </c>
      <c r="AD154" s="1">
        <v>0.95152999999999999</v>
      </c>
      <c r="AE154" s="1">
        <v>0.95523000000000002</v>
      </c>
      <c r="AF154" s="1">
        <v>1.03</v>
      </c>
      <c r="AG154" s="1">
        <v>1.0904700000000001</v>
      </c>
      <c r="AH154" s="1">
        <v>0.97458</v>
      </c>
      <c r="AI154" s="1">
        <v>0.97402</v>
      </c>
      <c r="AJ154" s="1">
        <v>0.95943999999999996</v>
      </c>
      <c r="AL154" s="10"/>
      <c r="AM154" s="10"/>
      <c r="AN154" s="10"/>
      <c r="AO154" s="10"/>
      <c r="AP154" s="10"/>
      <c r="AQ154" s="10"/>
      <c r="AR154" s="10"/>
    </row>
    <row r="155" spans="1:44" ht="14.25" customHeight="1" x14ac:dyDescent="0.35">
      <c r="A155" s="1" t="s">
        <v>7</v>
      </c>
      <c r="B155" s="1" t="s">
        <v>7</v>
      </c>
      <c r="C155" s="1" t="s">
        <v>15</v>
      </c>
      <c r="D155" s="1" t="s">
        <v>7</v>
      </c>
      <c r="E155" s="1" t="s">
        <v>22</v>
      </c>
      <c r="F155" s="1">
        <v>1.23885</v>
      </c>
      <c r="G155" s="1">
        <v>0.90556999999999999</v>
      </c>
      <c r="H155" s="1">
        <v>0.90178000000000003</v>
      </c>
      <c r="I155" s="1">
        <v>0.89971999999999996</v>
      </c>
      <c r="J155" s="1">
        <v>0.89498999999999995</v>
      </c>
      <c r="K155" s="1">
        <v>0.9839</v>
      </c>
      <c r="L155" s="1">
        <v>1.06352</v>
      </c>
      <c r="M155" s="1">
        <v>0.91122000000000003</v>
      </c>
      <c r="N155" s="1">
        <v>0.90556999999999999</v>
      </c>
      <c r="O155" s="1">
        <v>0.90178000000000003</v>
      </c>
      <c r="P155" s="1">
        <v>0.89971999999999996</v>
      </c>
      <c r="Q155" s="1">
        <v>0.89498999999999995</v>
      </c>
      <c r="R155" s="1">
        <v>0.9839</v>
      </c>
      <c r="S155" s="1">
        <v>1.06352</v>
      </c>
      <c r="T155" s="1">
        <v>0.91122000000000003</v>
      </c>
      <c r="U155" s="1">
        <v>0.90556999999999999</v>
      </c>
      <c r="V155" s="1">
        <v>0.90178000000000003</v>
      </c>
      <c r="W155" s="1">
        <v>0.89971999999999996</v>
      </c>
      <c r="X155" s="1">
        <v>0.89498999999999995</v>
      </c>
      <c r="Y155" s="1">
        <v>0.9839</v>
      </c>
      <c r="Z155" s="1">
        <v>1.06352</v>
      </c>
      <c r="AA155" s="1">
        <v>0.91122000000000003</v>
      </c>
      <c r="AB155" s="1">
        <v>0.90556999999999999</v>
      </c>
      <c r="AC155" s="1">
        <v>0.90178000000000003</v>
      </c>
      <c r="AD155" s="1">
        <v>0.89971999999999996</v>
      </c>
      <c r="AE155" s="1">
        <v>0.89498999999999995</v>
      </c>
      <c r="AF155" s="1">
        <v>0.9839</v>
      </c>
      <c r="AG155" s="1">
        <v>1.06352</v>
      </c>
      <c r="AH155" s="1">
        <v>0.91122000000000003</v>
      </c>
      <c r="AI155" s="1">
        <v>0.90556999999999999</v>
      </c>
      <c r="AJ155" s="1">
        <v>0.90178000000000003</v>
      </c>
      <c r="AL155" s="14" t="s">
        <v>222</v>
      </c>
      <c r="AM155" s="14"/>
      <c r="AN155" s="14"/>
      <c r="AO155" s="14"/>
      <c r="AP155" s="14"/>
      <c r="AQ155" s="14"/>
      <c r="AR155" s="14"/>
    </row>
    <row r="156" spans="1:44" ht="14.25" customHeight="1" x14ac:dyDescent="0.35">
      <c r="A156" s="1" t="s">
        <v>17</v>
      </c>
      <c r="B156" s="1" t="s">
        <v>15</v>
      </c>
      <c r="C156" s="1" t="s">
        <v>14</v>
      </c>
      <c r="D156" s="1" t="s">
        <v>17</v>
      </c>
      <c r="E156" s="1" t="s">
        <v>24</v>
      </c>
      <c r="F156" s="1">
        <v>1.1607799999999999</v>
      </c>
      <c r="G156" s="1">
        <v>1.0838300000000001</v>
      </c>
      <c r="H156" s="1">
        <v>1.0957300000000001</v>
      </c>
      <c r="I156" s="1">
        <v>1.0737399999999999</v>
      </c>
      <c r="J156" s="1">
        <v>1.0648500000000001</v>
      </c>
      <c r="K156" s="1">
        <v>0.87309000000000003</v>
      </c>
      <c r="L156" s="1">
        <v>0.94176000000000004</v>
      </c>
      <c r="M156" s="1">
        <v>1.0861700000000001</v>
      </c>
      <c r="N156" s="1">
        <v>1.0838300000000001</v>
      </c>
      <c r="O156" s="1">
        <v>1.0957300000000001</v>
      </c>
      <c r="P156" s="1">
        <v>1.0737399999999999</v>
      </c>
      <c r="Q156" s="1">
        <v>1.0648500000000001</v>
      </c>
      <c r="R156" s="1">
        <v>0.87309000000000003</v>
      </c>
      <c r="S156" s="1">
        <v>0.94176000000000004</v>
      </c>
      <c r="T156" s="1">
        <v>1.0861700000000001</v>
      </c>
      <c r="U156" s="1">
        <v>1.0838300000000001</v>
      </c>
      <c r="V156" s="1">
        <v>1.0957300000000001</v>
      </c>
      <c r="W156" s="1">
        <v>1.0737399999999999</v>
      </c>
      <c r="X156" s="1">
        <v>1.0648500000000001</v>
      </c>
      <c r="Y156" s="1">
        <v>0.87309000000000003</v>
      </c>
      <c r="Z156" s="1">
        <v>0.94176000000000004</v>
      </c>
      <c r="AA156" s="1">
        <v>1.0861700000000001</v>
      </c>
      <c r="AB156" s="1">
        <v>1.0838300000000001</v>
      </c>
      <c r="AC156" s="1">
        <v>1.0957300000000001</v>
      </c>
      <c r="AD156" s="1">
        <v>1.0737399999999999</v>
      </c>
      <c r="AE156" s="1">
        <v>1.0648500000000001</v>
      </c>
      <c r="AF156" s="1">
        <v>0.87309000000000003</v>
      </c>
      <c r="AG156" s="1">
        <v>0.94176000000000004</v>
      </c>
      <c r="AH156" s="1">
        <v>1.0861700000000001</v>
      </c>
      <c r="AI156" s="1">
        <v>1.0838300000000001</v>
      </c>
      <c r="AJ156" s="1">
        <v>1.0957300000000001</v>
      </c>
      <c r="AL156" s="4"/>
      <c r="AM156" s="4" t="s">
        <v>13</v>
      </c>
      <c r="AN156" s="4" t="s">
        <v>14</v>
      </c>
      <c r="AO156" s="4" t="s">
        <v>15</v>
      </c>
      <c r="AP156" s="4" t="s">
        <v>16</v>
      </c>
      <c r="AQ156" s="4" t="s">
        <v>17</v>
      </c>
      <c r="AR156" s="4" t="s">
        <v>7</v>
      </c>
    </row>
    <row r="157" spans="1:44" ht="14.25" customHeight="1" x14ac:dyDescent="0.35">
      <c r="A157" s="1" t="s">
        <v>17</v>
      </c>
      <c r="B157" s="1" t="s">
        <v>15</v>
      </c>
      <c r="C157" s="1" t="s">
        <v>14</v>
      </c>
      <c r="D157" s="1" t="s">
        <v>16</v>
      </c>
      <c r="E157" s="1" t="s">
        <v>26</v>
      </c>
      <c r="F157" s="1">
        <v>1.03409</v>
      </c>
      <c r="G157" s="1">
        <v>0.90066000000000002</v>
      </c>
      <c r="H157" s="1">
        <v>0.90891999999999995</v>
      </c>
      <c r="I157" s="1">
        <v>0.88200999999999996</v>
      </c>
      <c r="J157" s="1">
        <v>0.88895000000000002</v>
      </c>
      <c r="K157" s="1">
        <v>0.82303000000000004</v>
      </c>
      <c r="L157" s="1">
        <v>0.85223000000000004</v>
      </c>
      <c r="M157" s="1">
        <v>0.89759</v>
      </c>
      <c r="N157" s="1">
        <v>0.90066000000000002</v>
      </c>
      <c r="O157" s="1">
        <v>0.90891999999999995</v>
      </c>
      <c r="P157" s="1">
        <v>0.88200999999999996</v>
      </c>
      <c r="Q157" s="1">
        <v>0.88895000000000002</v>
      </c>
      <c r="R157" s="1">
        <v>0.82303000000000004</v>
      </c>
      <c r="S157" s="1">
        <v>0.85223000000000004</v>
      </c>
      <c r="T157" s="1">
        <v>0.89759</v>
      </c>
      <c r="U157" s="1">
        <v>0.90066000000000002</v>
      </c>
      <c r="V157" s="1">
        <v>0.90891999999999995</v>
      </c>
      <c r="W157" s="1">
        <v>0.88200999999999996</v>
      </c>
      <c r="X157" s="1">
        <v>0.88895000000000002</v>
      </c>
      <c r="Y157" s="1">
        <v>0.82303000000000004</v>
      </c>
      <c r="Z157" s="1">
        <v>0.85223000000000004</v>
      </c>
      <c r="AA157" s="1">
        <v>0.89759</v>
      </c>
      <c r="AB157" s="1">
        <v>0.90066000000000002</v>
      </c>
      <c r="AC157" s="1">
        <v>0.90891999999999995</v>
      </c>
      <c r="AD157" s="1">
        <v>0.88200999999999996</v>
      </c>
      <c r="AE157" s="1">
        <v>0.88895000000000002</v>
      </c>
      <c r="AF157" s="1">
        <v>0.82303000000000004</v>
      </c>
      <c r="AG157" s="1">
        <v>0.85223000000000004</v>
      </c>
      <c r="AH157" s="1">
        <v>0.89759</v>
      </c>
      <c r="AI157" s="1">
        <v>0.90066000000000002</v>
      </c>
      <c r="AJ157" s="1">
        <v>0.90891999999999995</v>
      </c>
      <c r="AL157" s="4" t="s">
        <v>19</v>
      </c>
      <c r="AM157" s="6" cm="1">
        <f t="array" ref="AM157">IFERROR((SUMPRODUCT(($C$148:$C$171=AM$146)*($F$144:$AJ$144="")*$F$148:$AJ$171)+IF(AM$146="P3",SUMPRODUCT(($F$144:$AJ$144="P3")*$F$148:$AJ$171),0))/(SUMPRODUCT(($C$148:$C$171=AM$146)*($F$144:$AJ$144=""))+IF(AM$146="P3",COUNTIF($F$144:$AJ$144,"P3")*ROWS($C$148:$C$171),0)),"")</f>
        <v>0.93350380681818312</v>
      </c>
      <c r="AN157" s="6" cm="1">
        <f t="array" ref="AN157">IFERROR((SUMPRODUCT(($C$148:$C$171=AN$146)*($F$144:$AJ$144="")*$F$148:$AJ$171)+IF(AN$146="P3",SUMPRODUCT(($F$144:$AJ$144="P3")*$F$148:$AJ$171),0))/(SUMPRODUCT(($C$148:$C$171=AN$146)*($F$144:$AJ$144=""))+IF(AN$146="P3",COUNTIF($F$144:$AJ$144,"P3")*ROWS($C$148:$C$171),0)),"")</f>
        <v>1.0829336931818181</v>
      </c>
      <c r="AO157" s="6" cm="1">
        <f t="array" ref="AO157">IFERROR((SUMPRODUCT(($C$148:$C$171=AO$146)*($F$144:$AJ$144="")*$F$148:$AJ$171)+IF(AO$146="P3",SUMPRODUCT(($F$144:$AJ$144="P3")*$F$148:$AJ$171),0))/(SUMPRODUCT(($C$148:$C$171=AO$146)*($F$144:$AJ$144=""))+IF(AO$146="P3",COUNTIF($F$144:$AJ$144,"P3")*ROWS($C$148:$C$171),0)),"")</f>
        <v>0.98216081632653018</v>
      </c>
      <c r="AP157" s="6" t="str" cm="1">
        <f t="array" ref="AP157">IFERROR((SUMPRODUCT(($C$148:$C$171=AP$146)*($F$144:$AJ$144="")*$F$148:$AJ$171)+IF(AP$146="P3",SUMPRODUCT(($F$144:$AJ$144="P3")*$F$148:$AJ$171),0))/(SUMPRODUCT(($C$148:$C$171=AP$146)*($F$144:$AJ$144=""))+IF(AP$146="P3",COUNTIF($F$144:$AJ$144,"P3")*ROWS($C$148:$C$171),0)),"")</f>
        <v/>
      </c>
      <c r="AQ157" s="6" t="str" cm="1">
        <f t="array" ref="AQ157">IFERROR((SUMPRODUCT(($C$148:$C$171=AQ$146)*($F$144:$AJ$144="")*$F$148:$AJ$171)+IF(AQ$146="P3",SUMPRODUCT(($F$144:$AJ$144="P3")*$F$148:$AJ$171),0))/(SUMPRODUCT(($C$148:$C$171=AQ$146)*($F$144:$AJ$144=""))+IF(AQ$146="P3",COUNTIF($F$144:$AJ$144,"P3")*ROWS($C$148:$C$171),0)),"")</f>
        <v/>
      </c>
      <c r="AR157" s="6" t="str" cm="1">
        <f t="array" ref="AR157">IFERROR((SUMPRODUCT(($C$148:$C$171=AR$146)*($F$144:$AJ$144="")*$F$148:$AJ$171)+IF(AR$146="P3",SUMPRODUCT(($F$144:$AJ$144="P3")*$F$148:$AJ$171),0))/(SUMPRODUCT(($C$148:$C$171=AR$146)*($F$144:$AJ$144=""))+IF(AR$146="P3",COUNTIF($F$144:$AJ$144,"P3")*ROWS($C$148:$C$171),0)),"")</f>
        <v/>
      </c>
    </row>
    <row r="158" spans="1:44" ht="14.25" customHeight="1" x14ac:dyDescent="0.35">
      <c r="A158" s="1" t="s">
        <v>16</v>
      </c>
      <c r="B158" s="1" t="s">
        <v>14</v>
      </c>
      <c r="C158" s="1" t="s">
        <v>13</v>
      </c>
      <c r="D158" s="1" t="s">
        <v>16</v>
      </c>
      <c r="E158" s="1" t="s">
        <v>28</v>
      </c>
      <c r="F158" s="1">
        <v>0.96264000000000005</v>
      </c>
      <c r="G158" s="1">
        <v>0.89609000000000005</v>
      </c>
      <c r="H158" s="1">
        <v>0.90454000000000001</v>
      </c>
      <c r="I158" s="1">
        <v>0.88671999999999995</v>
      </c>
      <c r="J158" s="1">
        <v>0.88456999999999997</v>
      </c>
      <c r="K158" s="1">
        <v>0.80022000000000004</v>
      </c>
      <c r="L158" s="1">
        <v>0.78010999999999997</v>
      </c>
      <c r="M158" s="1">
        <v>0.88222</v>
      </c>
      <c r="N158" s="1">
        <v>0.89609000000000005</v>
      </c>
      <c r="O158" s="1">
        <v>0.90454000000000001</v>
      </c>
      <c r="P158" s="1">
        <v>0.88671999999999995</v>
      </c>
      <c r="Q158" s="1">
        <v>0.88456999999999997</v>
      </c>
      <c r="R158" s="1">
        <v>0.80022000000000004</v>
      </c>
      <c r="S158" s="1">
        <v>0.78010999999999997</v>
      </c>
      <c r="T158" s="1">
        <v>0.88222</v>
      </c>
      <c r="U158" s="1">
        <v>0.89609000000000005</v>
      </c>
      <c r="V158" s="1">
        <v>0.90454000000000001</v>
      </c>
      <c r="W158" s="1">
        <v>0.88671999999999995</v>
      </c>
      <c r="X158" s="1">
        <v>0.88456999999999997</v>
      </c>
      <c r="Y158" s="1">
        <v>0.80022000000000004</v>
      </c>
      <c r="Z158" s="1">
        <v>0.78010999999999997</v>
      </c>
      <c r="AA158" s="1">
        <v>0.88222</v>
      </c>
      <c r="AB158" s="1">
        <v>0.89609000000000005</v>
      </c>
      <c r="AC158" s="1">
        <v>0.90454000000000001</v>
      </c>
      <c r="AD158" s="1">
        <v>0.88671999999999995</v>
      </c>
      <c r="AE158" s="1">
        <v>0.88456999999999997</v>
      </c>
      <c r="AF158" s="1">
        <v>0.80022000000000004</v>
      </c>
      <c r="AG158" s="1">
        <v>0.78010999999999997</v>
      </c>
      <c r="AH158" s="1">
        <v>0.88222</v>
      </c>
      <c r="AI158" s="1">
        <v>0.89609000000000005</v>
      </c>
      <c r="AJ158" s="1">
        <v>0.90454000000000001</v>
      </c>
      <c r="AL158" s="4" t="s">
        <v>21</v>
      </c>
      <c r="AM158" s="6" t="str" cm="1">
        <f t="array" ref="AM158">IFERROR((SUMPRODUCT(($A$148:$A$171=AM$146)*($F$145:$AJ$145="")*$F$148:$AJ$171)+IF(AM$146="P6",SUMPRODUCT(($F$145:$AJ$145="P6")*$F$148:$AJ$171),0))/(SUMPRODUCT(($A$148:$A$171=AM$146)*($F$145:$AJ$145=""))+IF(AM$146="P6",COUNTIF($F$145:$AJ$145,"P6")*ROWS($A$148:$A$171),0)),"")</f>
        <v/>
      </c>
      <c r="AN158" s="6" t="str" cm="1">
        <f t="array" ref="AN158">IFERROR((SUMPRODUCT(($A$148:$A$171=AN$146)*($F$145:$AJ$145="")*$F$148:$AJ$171)+IF(AN$146="P6",SUMPRODUCT(($F$145:$AJ$145="P6")*$F$148:$AJ$171),0))/(SUMPRODUCT(($A$148:$A$171=AN$146)*($F$145:$AJ$145=""))+IF(AN$146="P6",COUNTIF($F$145:$AJ$145,"P6")*ROWS($A$148:$A$171),0)),"")</f>
        <v/>
      </c>
      <c r="AO158" s="6" t="str" cm="1">
        <f t="array" ref="AO158">IFERROR((SUMPRODUCT(($A$148:$A$171=AO$146)*($F$145:$AJ$145="")*$F$148:$AJ$171)+IF(AO$146="P6",SUMPRODUCT(($F$145:$AJ$145="P6")*$F$148:$AJ$171),0))/(SUMPRODUCT(($A$148:$A$171=AO$146)*($F$145:$AJ$145=""))+IF(AO$146="P6",COUNTIF($F$145:$AJ$145,"P6")*ROWS($A$148:$A$171),0)),"")</f>
        <v/>
      </c>
      <c r="AP158" s="6" cm="1">
        <f t="array" ref="AP158">IFERROR((SUMPRODUCT(($A$148:$A$171=AP$146)*($F$145:$AJ$145="")*$F$148:$AJ$171)+IF(AP$146="P6",SUMPRODUCT(($F$145:$AJ$145="P6")*$F$148:$AJ$171),0))/(SUMPRODUCT(($A$148:$A$171=AP$146)*($F$145:$AJ$145=""))+IF(AP$146="P6",COUNTIF($F$145:$AJ$145,"P6")*ROWS($A$148:$A$171),0)),"")</f>
        <v>0.94427060606060698</v>
      </c>
      <c r="AQ158" s="6" cm="1">
        <f t="array" ref="AQ158">IFERROR((SUMPRODUCT(($A$148:$A$171=AQ$146)*($F$145:$AJ$145="")*$F$148:$AJ$171)+IF(AQ$146="P6",SUMPRODUCT(($F$145:$AJ$145="P6")*$F$148:$AJ$171),0))/(SUMPRODUCT(($A$148:$A$171=AQ$146)*($F$145:$AJ$145=""))+IF(AQ$146="P6",COUNTIF($F$145:$AJ$145,"P6")*ROWS($A$148:$A$171),0)),"")</f>
        <v>1.0904377922077921</v>
      </c>
      <c r="AR158" s="6" cm="1">
        <f t="array" ref="AR158">IFERROR((SUMPRODUCT(($A$148:$A$171=AR$146)*($F$145:$AJ$145="")*$F$148:$AJ$171)+IF(AR$146="P6",SUMPRODUCT(($F$145:$AJ$145="P6")*$F$148:$AJ$171),0))/(SUMPRODUCT(($A$148:$A$171=AR$146)*($F$145:$AJ$145=""))+IF(AR$146="P6",COUNTIF($F$145:$AJ$145,"P6")*ROWS($A$148:$A$171),0)),"")</f>
        <v>0.98216081632653018</v>
      </c>
    </row>
    <row r="159" spans="1:44" ht="14.25" customHeight="1" x14ac:dyDescent="0.35">
      <c r="A159" s="1" t="s">
        <v>16</v>
      </c>
      <c r="B159" s="1" t="s">
        <v>14</v>
      </c>
      <c r="C159" s="1" t="s">
        <v>13</v>
      </c>
      <c r="D159" s="1" t="s">
        <v>16</v>
      </c>
      <c r="E159" s="1" t="s">
        <v>30</v>
      </c>
      <c r="F159" s="1">
        <v>0.93184</v>
      </c>
      <c r="G159" s="1">
        <v>0.91007000000000005</v>
      </c>
      <c r="H159" s="1">
        <v>0.91317000000000004</v>
      </c>
      <c r="I159" s="1">
        <v>0.90219000000000005</v>
      </c>
      <c r="J159" s="1">
        <v>0.89197000000000004</v>
      </c>
      <c r="K159" s="1">
        <v>0.80649000000000004</v>
      </c>
      <c r="L159" s="1">
        <v>0.77607000000000004</v>
      </c>
      <c r="M159" s="1">
        <v>0.88658000000000003</v>
      </c>
      <c r="N159" s="1">
        <v>0.91007000000000005</v>
      </c>
      <c r="O159" s="1">
        <v>0.91317000000000004</v>
      </c>
      <c r="P159" s="1">
        <v>0.90219000000000005</v>
      </c>
      <c r="Q159" s="1">
        <v>0.89197000000000004</v>
      </c>
      <c r="R159" s="1">
        <v>0.80649000000000004</v>
      </c>
      <c r="S159" s="1">
        <v>0.77607000000000004</v>
      </c>
      <c r="T159" s="1">
        <v>0.88658000000000003</v>
      </c>
      <c r="U159" s="1">
        <v>0.91007000000000005</v>
      </c>
      <c r="V159" s="1">
        <v>0.91317000000000004</v>
      </c>
      <c r="W159" s="1">
        <v>0.90219000000000005</v>
      </c>
      <c r="X159" s="1">
        <v>0.89197000000000004</v>
      </c>
      <c r="Y159" s="1">
        <v>0.80649000000000004</v>
      </c>
      <c r="Z159" s="1">
        <v>0.77607000000000004</v>
      </c>
      <c r="AA159" s="1">
        <v>0.88658000000000003</v>
      </c>
      <c r="AB159" s="1">
        <v>0.91007000000000005</v>
      </c>
      <c r="AC159" s="1">
        <v>0.91317000000000004</v>
      </c>
      <c r="AD159" s="1">
        <v>0.90219000000000005</v>
      </c>
      <c r="AE159" s="1">
        <v>0.89197000000000004</v>
      </c>
      <c r="AF159" s="1">
        <v>0.80649000000000004</v>
      </c>
      <c r="AG159" s="1">
        <v>0.77607000000000004</v>
      </c>
      <c r="AH159" s="1">
        <v>0.88658000000000003</v>
      </c>
      <c r="AI159" s="1">
        <v>0.91007000000000005</v>
      </c>
      <c r="AJ159" s="1">
        <v>0.91317000000000004</v>
      </c>
      <c r="AL159" s="4" t="s">
        <v>23</v>
      </c>
      <c r="AM159" s="6" t="str" cm="1">
        <f t="array" ref="AM159">IFERROR((SUMPRODUCT(($A$148:$A$171=AM$146)*($F$145:$AJ$145="")*$F$148:$AJ$171)+IF(AM$146="P6",SUMPRODUCT(($F$145:$AJ$145="P6")*$F$148:$AJ$171),0))/(SUMPRODUCT(($A$148:$A$171=AM$146)*($F$145:$AJ$145=""))+IF(AM$146="P6",COUNTIF($F$145:$AJ$145,"P6")*ROWS($A$148:$A$171),0)),"")</f>
        <v/>
      </c>
      <c r="AN159" s="6" t="str" cm="1">
        <f t="array" ref="AN159">IFERROR((SUMPRODUCT(($A$148:$A$171=AN$146)*($F$145:$AJ$145="")*$F$148:$AJ$171)+IF(AN$146="P6",SUMPRODUCT(($F$145:$AJ$145="P6")*$F$148:$AJ$171),0))/(SUMPRODUCT(($A$148:$A$171=AN$146)*($F$145:$AJ$145=""))+IF(AN$146="P6",COUNTIF($F$145:$AJ$145,"P6")*ROWS($A$148:$A$171),0)),"")</f>
        <v/>
      </c>
      <c r="AO159" s="6" t="str" cm="1">
        <f t="array" ref="AO159">IFERROR((SUMPRODUCT(($A$148:$A$171=AO$146)*($F$145:$AJ$145="")*$F$148:$AJ$171)+IF(AO$146="P6",SUMPRODUCT(($F$145:$AJ$145="P6")*$F$148:$AJ$171),0))/(SUMPRODUCT(($A$148:$A$171=AO$146)*($F$145:$AJ$145=""))+IF(AO$146="P6",COUNTIF($F$145:$AJ$145,"P6")*ROWS($A$148:$A$171),0)),"")</f>
        <v/>
      </c>
      <c r="AP159" s="6" cm="1">
        <f t="array" ref="AP159">IFERROR((SUMPRODUCT(($A$148:$A$171=AP$146)*($F$145:$AJ$145="")*$F$148:$AJ$171)+IF(AP$146="P6",SUMPRODUCT(($F$145:$AJ$145="P6")*$F$148:$AJ$171),0))/(SUMPRODUCT(($A$148:$A$171=AP$146)*($F$145:$AJ$145=""))+IF(AP$146="P6",COUNTIF($F$145:$AJ$145,"P6")*ROWS($A$148:$A$171),0)),"")</f>
        <v>0.94427060606060698</v>
      </c>
      <c r="AQ159" s="6" cm="1">
        <f t="array" ref="AQ159">IFERROR((SUMPRODUCT(($A$148:$A$171=AQ$146)*($F$145:$AJ$145="")*$F$148:$AJ$171)+IF(AQ$146="P6",SUMPRODUCT(($F$145:$AJ$145="P6")*$F$148:$AJ$171),0))/(SUMPRODUCT(($A$148:$A$171=AQ$146)*($F$145:$AJ$145=""))+IF(AQ$146="P6",COUNTIF($F$145:$AJ$145,"P6")*ROWS($A$148:$A$171),0)),"")</f>
        <v>1.0904377922077921</v>
      </c>
      <c r="AR159" s="6" cm="1">
        <f t="array" ref="AR159">IFERROR((SUMPRODUCT(($A$148:$A$171=AR$146)*($F$145:$AJ$145="")*$F$148:$AJ$171)+IF(AR$146="P6",SUMPRODUCT(($F$145:$AJ$145="P6")*$F$148:$AJ$171),0))/(SUMPRODUCT(($A$148:$A$171=AR$146)*($F$145:$AJ$145=""))+IF(AR$146="P6",COUNTIF($F$145:$AJ$145,"P6")*ROWS($A$148:$A$171),0)),"")</f>
        <v>0.98216081632653018</v>
      </c>
    </row>
    <row r="160" spans="1:44" ht="14.25" customHeight="1" x14ac:dyDescent="0.35">
      <c r="A160" s="1" t="s">
        <v>16</v>
      </c>
      <c r="B160" s="1" t="s">
        <v>14</v>
      </c>
      <c r="C160" s="1" t="s">
        <v>13</v>
      </c>
      <c r="D160" s="1" t="s">
        <v>16</v>
      </c>
      <c r="E160" s="1" t="s">
        <v>31</v>
      </c>
      <c r="F160" s="1">
        <v>0.95877999999999997</v>
      </c>
      <c r="G160" s="1">
        <v>0.90263000000000004</v>
      </c>
      <c r="H160" s="1">
        <v>0.90447999999999995</v>
      </c>
      <c r="I160" s="1">
        <v>0.89426000000000005</v>
      </c>
      <c r="J160" s="1">
        <v>0.90385000000000004</v>
      </c>
      <c r="K160" s="1">
        <v>0.80945</v>
      </c>
      <c r="L160" s="1">
        <v>0.78144000000000002</v>
      </c>
      <c r="M160" s="1">
        <v>0.87810999999999995</v>
      </c>
      <c r="N160" s="1">
        <v>0.90263000000000004</v>
      </c>
      <c r="O160" s="1">
        <v>0.90447999999999995</v>
      </c>
      <c r="P160" s="1">
        <v>0.89426000000000005</v>
      </c>
      <c r="Q160" s="1">
        <v>0.90385000000000004</v>
      </c>
      <c r="R160" s="1">
        <v>0.80945</v>
      </c>
      <c r="S160" s="1">
        <v>0.78144000000000002</v>
      </c>
      <c r="T160" s="1">
        <v>0.87810999999999995</v>
      </c>
      <c r="U160" s="1">
        <v>0.90263000000000004</v>
      </c>
      <c r="V160" s="1">
        <v>0.90447999999999995</v>
      </c>
      <c r="W160" s="1">
        <v>0.89426000000000005</v>
      </c>
      <c r="X160" s="1">
        <v>0.90385000000000004</v>
      </c>
      <c r="Y160" s="1">
        <v>0.80945</v>
      </c>
      <c r="Z160" s="1">
        <v>0.78144000000000002</v>
      </c>
      <c r="AA160" s="1">
        <v>0.87810999999999995</v>
      </c>
      <c r="AB160" s="1">
        <v>0.90263000000000004</v>
      </c>
      <c r="AC160" s="1">
        <v>0.90447999999999995</v>
      </c>
      <c r="AD160" s="1">
        <v>0.89426000000000005</v>
      </c>
      <c r="AE160" s="1">
        <v>0.90385000000000004</v>
      </c>
      <c r="AF160" s="1">
        <v>0.80945</v>
      </c>
      <c r="AG160" s="1">
        <v>0.78144000000000002</v>
      </c>
      <c r="AH160" s="1">
        <v>0.87810999999999995</v>
      </c>
      <c r="AI160" s="1">
        <v>0.90263000000000004</v>
      </c>
      <c r="AJ160" s="1">
        <v>0.90447999999999995</v>
      </c>
      <c r="AL160" s="4" t="s">
        <v>25</v>
      </c>
      <c r="AM160" s="6" t="str" cm="1">
        <f t="array" ref="AM160">IFERROR((SUMPRODUCT(($A$148:$A$171=AM$146)*($F$145:$AJ$145="")*$F$148:$AJ$171)+IF(AM$146="P6",SUMPRODUCT(($F$145:$AJ$145="P6")*$F$148:$AJ$171),0))/(SUMPRODUCT(($A$148:$A$171=AM$146)*($F$145:$AJ$145=""))+IF(AM$146="P6",COUNTIF($F$145:$AJ$145,"P6")*ROWS($A$148:$A$171),0)),"")</f>
        <v/>
      </c>
      <c r="AN160" s="6" t="str" cm="1">
        <f t="array" ref="AN160">IFERROR((SUMPRODUCT(($A$148:$A$171=AN$146)*($F$145:$AJ$145="")*$F$148:$AJ$171)+IF(AN$146="P6",SUMPRODUCT(($F$145:$AJ$145="P6")*$F$148:$AJ$171),0))/(SUMPRODUCT(($A$148:$A$171=AN$146)*($F$145:$AJ$145=""))+IF(AN$146="P6",COUNTIF($F$145:$AJ$145,"P6")*ROWS($A$148:$A$171),0)),"")</f>
        <v/>
      </c>
      <c r="AO160" s="6" t="str" cm="1">
        <f t="array" ref="AO160">IFERROR((SUMPRODUCT(($A$148:$A$171=AO$146)*($F$145:$AJ$145="")*$F$148:$AJ$171)+IF(AO$146="P6",SUMPRODUCT(($F$145:$AJ$145="P6")*$F$148:$AJ$171),0))/(SUMPRODUCT(($A$148:$A$171=AO$146)*($F$145:$AJ$145=""))+IF(AO$146="P6",COUNTIF($F$145:$AJ$145,"P6")*ROWS($A$148:$A$171),0)),"")</f>
        <v/>
      </c>
      <c r="AP160" s="6" cm="1">
        <f t="array" ref="AP160">IFERROR((SUMPRODUCT(($A$148:$A$171=AP$146)*($F$145:$AJ$145="")*$F$148:$AJ$171)+IF(AP$146="P6",SUMPRODUCT(($F$145:$AJ$145="P6")*$F$148:$AJ$171),0))/(SUMPRODUCT(($A$148:$A$171=AP$146)*($F$145:$AJ$145=""))+IF(AP$146="P6",COUNTIF($F$145:$AJ$145,"P6")*ROWS($A$148:$A$171),0)),"")</f>
        <v>0.94427060606060698</v>
      </c>
      <c r="AQ160" s="6" cm="1">
        <f t="array" ref="AQ160">IFERROR((SUMPRODUCT(($A$148:$A$171=AQ$146)*($F$145:$AJ$145="")*$F$148:$AJ$171)+IF(AQ$146="P6",SUMPRODUCT(($F$145:$AJ$145="P6")*$F$148:$AJ$171),0))/(SUMPRODUCT(($A$148:$A$171=AQ$146)*($F$145:$AJ$145=""))+IF(AQ$146="P6",COUNTIF($F$145:$AJ$145,"P6")*ROWS($A$148:$A$171),0)),"")</f>
        <v>1.0904377922077921</v>
      </c>
      <c r="AR160" s="6" cm="1">
        <f t="array" ref="AR160">IFERROR((SUMPRODUCT(($A$148:$A$171=AR$146)*($F$145:$AJ$145="")*$F$148:$AJ$171)+IF(AR$146="P6",SUMPRODUCT(($F$145:$AJ$145="P6")*$F$148:$AJ$171),0))/(SUMPRODUCT(($A$148:$A$171=AR$146)*($F$145:$AJ$145=""))+IF(AR$146="P6",COUNTIF($F$145:$AJ$145,"P6")*ROWS($A$148:$A$171),0)),"")</f>
        <v>0.98216081632653018</v>
      </c>
    </row>
    <row r="161" spans="1:44" ht="14.25" customHeight="1" x14ac:dyDescent="0.35">
      <c r="A161" s="1" t="s">
        <v>16</v>
      </c>
      <c r="B161" s="1" t="s">
        <v>14</v>
      </c>
      <c r="C161" s="1" t="s">
        <v>13</v>
      </c>
      <c r="D161" s="1" t="s">
        <v>16</v>
      </c>
      <c r="E161" s="1" t="s">
        <v>32</v>
      </c>
      <c r="F161" s="1">
        <v>0.91232999999999997</v>
      </c>
      <c r="G161" s="1">
        <v>0.88195999999999997</v>
      </c>
      <c r="H161" s="1">
        <v>0.88505</v>
      </c>
      <c r="I161" s="1">
        <v>0.88109999999999999</v>
      </c>
      <c r="J161" s="1">
        <v>0.88407999999999998</v>
      </c>
      <c r="K161" s="1">
        <v>0.80545</v>
      </c>
      <c r="L161" s="1">
        <v>0.77529999999999999</v>
      </c>
      <c r="M161" s="1">
        <v>0.86748999999999998</v>
      </c>
      <c r="N161" s="1">
        <v>0.88195999999999997</v>
      </c>
      <c r="O161" s="1">
        <v>0.88505</v>
      </c>
      <c r="P161" s="1">
        <v>0.88109999999999999</v>
      </c>
      <c r="Q161" s="1">
        <v>0.88407999999999998</v>
      </c>
      <c r="R161" s="1">
        <v>0.80545</v>
      </c>
      <c r="S161" s="1">
        <v>0.77529999999999999</v>
      </c>
      <c r="T161" s="1">
        <v>0.86748999999999998</v>
      </c>
      <c r="U161" s="1">
        <v>0.88195999999999997</v>
      </c>
      <c r="V161" s="1">
        <v>0.88505</v>
      </c>
      <c r="W161" s="1">
        <v>0.88109999999999999</v>
      </c>
      <c r="X161" s="1">
        <v>0.88407999999999998</v>
      </c>
      <c r="Y161" s="1">
        <v>0.80545</v>
      </c>
      <c r="Z161" s="1">
        <v>0.77529999999999999</v>
      </c>
      <c r="AA161" s="1">
        <v>0.86748999999999998</v>
      </c>
      <c r="AB161" s="1">
        <v>0.88195999999999997</v>
      </c>
      <c r="AC161" s="1">
        <v>0.88505</v>
      </c>
      <c r="AD161" s="1">
        <v>0.88109999999999999</v>
      </c>
      <c r="AE161" s="1">
        <v>0.88407999999999998</v>
      </c>
      <c r="AF161" s="1">
        <v>0.80545</v>
      </c>
      <c r="AG161" s="1">
        <v>0.77529999999999999</v>
      </c>
      <c r="AH161" s="1">
        <v>0.86748999999999998</v>
      </c>
      <c r="AI161" s="1">
        <v>0.88195999999999997</v>
      </c>
      <c r="AJ161" s="1">
        <v>0.88505</v>
      </c>
      <c r="AL161" s="4" t="s">
        <v>27</v>
      </c>
      <c r="AM161" s="6" t="str" cm="1">
        <f t="array" ref="AM161">IFERROR((SUMPRODUCT(($A$148:$A$171=AM$146)*($F$145:$AJ$145="")*$F$148:$AJ$171)+IF(AM$146="P6",SUMPRODUCT(($F$145:$AJ$145="P6")*$F$148:$AJ$171),0))/(SUMPRODUCT(($A$148:$A$171=AM$146)*($F$145:$AJ$145=""))+IF(AM$146="P6",COUNTIF($F$145:$AJ$145,"P6")*ROWS($A$148:$A$171),0)),"")</f>
        <v/>
      </c>
      <c r="AN161" s="6" t="str" cm="1">
        <f t="array" ref="AN161">IFERROR((SUMPRODUCT(($A$148:$A$171=AN$146)*($F$145:$AJ$145="")*$F$148:$AJ$171)+IF(AN$146="P6",SUMPRODUCT(($F$145:$AJ$145="P6")*$F$148:$AJ$171),0))/(SUMPRODUCT(($A$148:$A$171=AN$146)*($F$145:$AJ$145=""))+IF(AN$146="P6",COUNTIF($F$145:$AJ$145,"P6")*ROWS($A$148:$A$171),0)),"")</f>
        <v/>
      </c>
      <c r="AO161" s="6" t="str" cm="1">
        <f t="array" ref="AO161">IFERROR((SUMPRODUCT(($A$148:$A$171=AO$146)*($F$145:$AJ$145="")*$F$148:$AJ$171)+IF(AO$146="P6",SUMPRODUCT(($F$145:$AJ$145="P6")*$F$148:$AJ$171),0))/(SUMPRODUCT(($A$148:$A$171=AO$146)*($F$145:$AJ$145=""))+IF(AO$146="P6",COUNTIF($F$145:$AJ$145,"P6")*ROWS($A$148:$A$171),0)),"")</f>
        <v/>
      </c>
      <c r="AP161" s="6" cm="1">
        <f t="array" ref="AP161">IFERROR((SUMPRODUCT(($A$148:$A$171=AP$146)*($F$145:$AJ$145="")*$F$148:$AJ$171)+IF(AP$146="P6",SUMPRODUCT(($F$145:$AJ$145="P6")*$F$148:$AJ$171),0))/(SUMPRODUCT(($A$148:$A$171=AP$146)*($F$145:$AJ$145=""))+IF(AP$146="P6",COUNTIF($F$145:$AJ$145,"P6")*ROWS($A$148:$A$171),0)),"")</f>
        <v>0.94427060606060698</v>
      </c>
      <c r="AQ161" s="6" cm="1">
        <f t="array" ref="AQ161">IFERROR((SUMPRODUCT(($A$148:$A$171=AQ$146)*($F$145:$AJ$145="")*$F$148:$AJ$171)+IF(AQ$146="P6",SUMPRODUCT(($F$145:$AJ$145="P6")*$F$148:$AJ$171),0))/(SUMPRODUCT(($A$148:$A$171=AQ$146)*($F$145:$AJ$145=""))+IF(AQ$146="P6",COUNTIF($F$145:$AJ$145,"P6")*ROWS($A$148:$A$171),0)),"")</f>
        <v>1.0904377922077921</v>
      </c>
      <c r="AR161" s="6" cm="1">
        <f t="array" ref="AR161">IFERROR((SUMPRODUCT(($A$148:$A$171=AR$146)*($F$145:$AJ$145="")*$F$148:$AJ$171)+IF(AR$146="P6",SUMPRODUCT(($F$145:$AJ$145="P6")*$F$148:$AJ$171),0))/(SUMPRODUCT(($A$148:$A$171=AR$146)*($F$145:$AJ$145=""))+IF(AR$146="P6",COUNTIF($F$145:$AJ$145,"P6")*ROWS($A$148:$A$171),0)),"")</f>
        <v>0.98216081632653018</v>
      </c>
    </row>
    <row r="162" spans="1:44" ht="14.25" customHeight="1" x14ac:dyDescent="0.35">
      <c r="A162" s="1" t="s">
        <v>16</v>
      </c>
      <c r="B162" s="1" t="s">
        <v>14</v>
      </c>
      <c r="C162" s="1" t="s">
        <v>14</v>
      </c>
      <c r="D162" s="1" t="s">
        <v>17</v>
      </c>
      <c r="E162" s="1" t="s">
        <v>33</v>
      </c>
      <c r="F162" s="1">
        <v>0.89610999999999996</v>
      </c>
      <c r="G162" s="1">
        <v>1.02383</v>
      </c>
      <c r="H162" s="1">
        <v>1.03732</v>
      </c>
      <c r="I162" s="1">
        <v>1.0431600000000001</v>
      </c>
      <c r="J162" s="1">
        <v>1.04684</v>
      </c>
      <c r="K162" s="1">
        <v>0.81252999999999997</v>
      </c>
      <c r="L162" s="1">
        <v>0.78637000000000001</v>
      </c>
      <c r="M162" s="1">
        <v>1.0007900000000001</v>
      </c>
      <c r="N162" s="1">
        <v>1.02383</v>
      </c>
      <c r="O162" s="1">
        <v>1.03732</v>
      </c>
      <c r="P162" s="1">
        <v>1.0431600000000001</v>
      </c>
      <c r="Q162" s="1">
        <v>1.04684</v>
      </c>
      <c r="R162" s="1">
        <v>0.81252999999999997</v>
      </c>
      <c r="S162" s="1">
        <v>0.78637000000000001</v>
      </c>
      <c r="T162" s="1">
        <v>1.0007900000000001</v>
      </c>
      <c r="U162" s="1">
        <v>1.02383</v>
      </c>
      <c r="V162" s="1">
        <v>1.03732</v>
      </c>
      <c r="W162" s="1">
        <v>1.0431600000000001</v>
      </c>
      <c r="X162" s="1">
        <v>1.04684</v>
      </c>
      <c r="Y162" s="1">
        <v>0.81252999999999997</v>
      </c>
      <c r="Z162" s="1">
        <v>0.78637000000000001</v>
      </c>
      <c r="AA162" s="1">
        <v>1.0007900000000001</v>
      </c>
      <c r="AB162" s="1">
        <v>1.02383</v>
      </c>
      <c r="AC162" s="1">
        <v>1.03732</v>
      </c>
      <c r="AD162" s="1">
        <v>1.0431600000000001</v>
      </c>
      <c r="AE162" s="1">
        <v>1.04684</v>
      </c>
      <c r="AF162" s="1">
        <v>0.81252999999999997</v>
      </c>
      <c r="AG162" s="1">
        <v>0.78637000000000001</v>
      </c>
      <c r="AH162" s="1">
        <v>1.0007900000000001</v>
      </c>
      <c r="AI162" s="1">
        <v>1.02383</v>
      </c>
      <c r="AJ162" s="1">
        <v>1.03732</v>
      </c>
      <c r="AL162" s="4" t="s">
        <v>29</v>
      </c>
      <c r="AM162" s="6" t="str" cm="1">
        <f t="array" ref="AM162">IFERROR((SUMPRODUCT(($A$148:$A$171=AM$146)*($F$145:$AJ$145="")*$F$148:$AJ$171)+IF(AM$146="P6",SUMPRODUCT(($F$145:$AJ$145="P6")*$F$148:$AJ$171),0))/(SUMPRODUCT(($A$148:$A$171=AM$146)*($F$145:$AJ$145=""))+IF(AM$146="P6",COUNTIF($F$145:$AJ$145,"P6")*ROWS($A$148:$A$171),0)),"")</f>
        <v/>
      </c>
      <c r="AN162" s="6" t="str" cm="1">
        <f t="array" ref="AN162">IFERROR((SUMPRODUCT(($A$148:$A$171=AN$146)*($F$145:$AJ$145="")*$F$148:$AJ$171)+IF(AN$146="P6",SUMPRODUCT(($F$145:$AJ$145="P6")*$F$148:$AJ$171),0))/(SUMPRODUCT(($A$148:$A$171=AN$146)*($F$145:$AJ$145=""))+IF(AN$146="P6",COUNTIF($F$145:$AJ$145,"P6")*ROWS($A$148:$A$171),0)),"")</f>
        <v/>
      </c>
      <c r="AO162" s="6" t="str" cm="1">
        <f t="array" ref="AO162">IFERROR((SUMPRODUCT(($A$148:$A$171=AO$146)*($F$145:$AJ$145="")*$F$148:$AJ$171)+IF(AO$146="P6",SUMPRODUCT(($F$145:$AJ$145="P6")*$F$148:$AJ$171),0))/(SUMPRODUCT(($A$148:$A$171=AO$146)*($F$145:$AJ$145=""))+IF(AO$146="P6",COUNTIF($F$145:$AJ$145,"P6")*ROWS($A$148:$A$171),0)),"")</f>
        <v/>
      </c>
      <c r="AP162" s="6" cm="1">
        <f t="array" ref="AP162">IFERROR((SUMPRODUCT(($A$148:$A$171=AP$146)*($F$145:$AJ$145="")*$F$148:$AJ$171)+IF(AP$146="P6",SUMPRODUCT(($F$145:$AJ$145="P6")*$F$148:$AJ$171),0))/(SUMPRODUCT(($A$148:$A$171=AP$146)*($F$145:$AJ$145=""))+IF(AP$146="P6",COUNTIF($F$145:$AJ$145,"P6")*ROWS($A$148:$A$171),0)),"")</f>
        <v>0.94427060606060698</v>
      </c>
      <c r="AQ162" s="6" cm="1">
        <f t="array" ref="AQ162">IFERROR((SUMPRODUCT(($A$148:$A$171=AQ$146)*($F$145:$AJ$145="")*$F$148:$AJ$171)+IF(AQ$146="P6",SUMPRODUCT(($F$145:$AJ$145="P6")*$F$148:$AJ$171),0))/(SUMPRODUCT(($A$148:$A$171=AQ$146)*($F$145:$AJ$145=""))+IF(AQ$146="P6",COUNTIF($F$145:$AJ$145,"P6")*ROWS($A$148:$A$171),0)),"")</f>
        <v>1.0904377922077921</v>
      </c>
      <c r="AR162" s="6" cm="1">
        <f t="array" ref="AR162">IFERROR((SUMPRODUCT(($A$148:$A$171=AR$146)*($F$145:$AJ$145="")*$F$148:$AJ$171)+IF(AR$146="P6",SUMPRODUCT(($F$145:$AJ$145="P6")*$F$148:$AJ$171),0))/(SUMPRODUCT(($A$148:$A$171=AR$146)*($F$145:$AJ$145=""))+IF(AR$146="P6",COUNTIF($F$145:$AJ$145,"P6")*ROWS($A$148:$A$171),0)),"")</f>
        <v>0.98216081632653018</v>
      </c>
    </row>
    <row r="163" spans="1:44" ht="14.25" customHeight="1" x14ac:dyDescent="0.35">
      <c r="A163" s="1" t="s">
        <v>17</v>
      </c>
      <c r="B163" s="1" t="s">
        <v>15</v>
      </c>
      <c r="C163" s="1" t="s">
        <v>14</v>
      </c>
      <c r="D163" s="1" t="s">
        <v>17</v>
      </c>
      <c r="E163" s="1" t="s">
        <v>34</v>
      </c>
      <c r="F163" s="1">
        <v>1.0029399999999999</v>
      </c>
      <c r="G163" s="1">
        <v>1.06365</v>
      </c>
      <c r="H163" s="1">
        <v>1.07622</v>
      </c>
      <c r="I163" s="1">
        <v>1.0832299999999999</v>
      </c>
      <c r="J163" s="1">
        <v>1.07338</v>
      </c>
      <c r="K163" s="1">
        <v>0.86043000000000003</v>
      </c>
      <c r="L163" s="1">
        <v>0.83745999999999998</v>
      </c>
      <c r="M163" s="1">
        <v>1.05854</v>
      </c>
      <c r="N163" s="1">
        <v>1.06365</v>
      </c>
      <c r="O163" s="1">
        <v>1.07622</v>
      </c>
      <c r="P163" s="1">
        <v>1.0832299999999999</v>
      </c>
      <c r="Q163" s="1">
        <v>1.07338</v>
      </c>
      <c r="R163" s="1">
        <v>0.86043000000000003</v>
      </c>
      <c r="S163" s="1">
        <v>0.83745999999999998</v>
      </c>
      <c r="T163" s="1">
        <v>1.05854</v>
      </c>
      <c r="U163" s="1">
        <v>1.06365</v>
      </c>
      <c r="V163" s="1">
        <v>1.07622</v>
      </c>
      <c r="W163" s="1">
        <v>1.0832299999999999</v>
      </c>
      <c r="X163" s="1">
        <v>1.07338</v>
      </c>
      <c r="Y163" s="1">
        <v>0.86043000000000003</v>
      </c>
      <c r="Z163" s="1">
        <v>0.83745999999999998</v>
      </c>
      <c r="AA163" s="1">
        <v>1.05854</v>
      </c>
      <c r="AB163" s="1">
        <v>1.06365</v>
      </c>
      <c r="AC163" s="1">
        <v>1.07622</v>
      </c>
      <c r="AD163" s="1">
        <v>1.0832299999999999</v>
      </c>
      <c r="AE163" s="1">
        <v>1.07338</v>
      </c>
      <c r="AF163" s="1">
        <v>0.86043000000000003</v>
      </c>
      <c r="AG163" s="1">
        <v>0.83745999999999998</v>
      </c>
      <c r="AH163" s="1">
        <v>1.05854</v>
      </c>
      <c r="AI163" s="1">
        <v>1.06365</v>
      </c>
      <c r="AJ163" s="1">
        <v>1.07622</v>
      </c>
      <c r="AL163" s="10"/>
      <c r="AM163" s="10"/>
      <c r="AN163" s="10"/>
      <c r="AO163" s="10"/>
      <c r="AP163" s="10"/>
      <c r="AQ163" s="10"/>
      <c r="AR163" s="10"/>
    </row>
    <row r="164" spans="1:44" ht="14.25" customHeight="1" x14ac:dyDescent="0.35">
      <c r="A164" s="1" t="s">
        <v>17</v>
      </c>
      <c r="B164" s="1" t="s">
        <v>15</v>
      </c>
      <c r="C164" s="1" t="s">
        <v>14</v>
      </c>
      <c r="D164" s="1" t="s">
        <v>17</v>
      </c>
      <c r="E164" s="1" t="s">
        <v>35</v>
      </c>
      <c r="F164" s="1">
        <v>1.0427200000000001</v>
      </c>
      <c r="G164" s="1">
        <v>1.0971200000000001</v>
      </c>
      <c r="H164" s="1">
        <v>1.0929899999999999</v>
      </c>
      <c r="I164" s="1">
        <v>1.10846</v>
      </c>
      <c r="J164" s="1">
        <v>1.07988</v>
      </c>
      <c r="K164" s="1">
        <v>0.88815</v>
      </c>
      <c r="L164" s="1">
        <v>0.87790000000000001</v>
      </c>
      <c r="M164" s="1">
        <v>1.10466</v>
      </c>
      <c r="N164" s="1">
        <v>1.0971200000000001</v>
      </c>
      <c r="O164" s="1">
        <v>1.0929899999999999</v>
      </c>
      <c r="P164" s="1">
        <v>1.10846</v>
      </c>
      <c r="Q164" s="1">
        <v>1.07988</v>
      </c>
      <c r="R164" s="1">
        <v>0.88815</v>
      </c>
      <c r="S164" s="1">
        <v>0.87790000000000001</v>
      </c>
      <c r="T164" s="1">
        <v>1.10466</v>
      </c>
      <c r="U164" s="1">
        <v>1.0971200000000001</v>
      </c>
      <c r="V164" s="1">
        <v>1.0929899999999999</v>
      </c>
      <c r="W164" s="1">
        <v>1.10846</v>
      </c>
      <c r="X164" s="1">
        <v>1.07988</v>
      </c>
      <c r="Y164" s="1">
        <v>0.88815</v>
      </c>
      <c r="Z164" s="1">
        <v>0.87790000000000001</v>
      </c>
      <c r="AA164" s="1">
        <v>1.10466</v>
      </c>
      <c r="AB164" s="1">
        <v>1.0971200000000001</v>
      </c>
      <c r="AC164" s="1">
        <v>1.0929899999999999</v>
      </c>
      <c r="AD164" s="1">
        <v>1.10846</v>
      </c>
      <c r="AE164" s="1">
        <v>1.07988</v>
      </c>
      <c r="AF164" s="1">
        <v>0.88815</v>
      </c>
      <c r="AG164" s="1">
        <v>0.87790000000000001</v>
      </c>
      <c r="AH164" s="1">
        <v>1.10466</v>
      </c>
      <c r="AI164" s="1">
        <v>1.0971200000000001</v>
      </c>
      <c r="AJ164" s="1">
        <v>1.0929899999999999</v>
      </c>
      <c r="AL164" s="10"/>
      <c r="AM164" s="10"/>
      <c r="AN164" s="10"/>
      <c r="AO164" s="10"/>
      <c r="AP164" s="10"/>
      <c r="AQ164" s="10"/>
      <c r="AR164" s="10"/>
    </row>
    <row r="165" spans="1:44" ht="14.25" customHeight="1" x14ac:dyDescent="0.35">
      <c r="A165" s="1" t="s">
        <v>17</v>
      </c>
      <c r="B165" s="1" t="s">
        <v>15</v>
      </c>
      <c r="C165" s="1" t="s">
        <v>14</v>
      </c>
      <c r="D165" s="1" t="s">
        <v>17</v>
      </c>
      <c r="E165" s="1" t="s">
        <v>36</v>
      </c>
      <c r="F165" s="1">
        <v>1.04636</v>
      </c>
      <c r="G165" s="1">
        <v>1.1120399999999999</v>
      </c>
      <c r="H165" s="1">
        <v>1.0923400000000001</v>
      </c>
      <c r="I165" s="1">
        <v>1.12619</v>
      </c>
      <c r="J165" s="1">
        <v>1.08317</v>
      </c>
      <c r="K165" s="1">
        <v>0.91239000000000003</v>
      </c>
      <c r="L165" s="1">
        <v>0.91412000000000004</v>
      </c>
      <c r="M165" s="1">
        <v>1.1164799999999999</v>
      </c>
      <c r="N165" s="1">
        <v>1.1120399999999999</v>
      </c>
      <c r="O165" s="1">
        <v>1.0923400000000001</v>
      </c>
      <c r="P165" s="1">
        <v>1.12619</v>
      </c>
      <c r="Q165" s="1">
        <v>1.08317</v>
      </c>
      <c r="R165" s="1">
        <v>0.91239000000000003</v>
      </c>
      <c r="S165" s="1">
        <v>0.91412000000000004</v>
      </c>
      <c r="T165" s="1">
        <v>1.1164799999999999</v>
      </c>
      <c r="U165" s="1">
        <v>1.1120399999999999</v>
      </c>
      <c r="V165" s="1">
        <v>1.0923400000000001</v>
      </c>
      <c r="W165" s="1">
        <v>1.12619</v>
      </c>
      <c r="X165" s="1">
        <v>1.08317</v>
      </c>
      <c r="Y165" s="1">
        <v>0.91239000000000003</v>
      </c>
      <c r="Z165" s="1">
        <v>0.91412000000000004</v>
      </c>
      <c r="AA165" s="1">
        <v>1.1164799999999999</v>
      </c>
      <c r="AB165" s="1">
        <v>1.1120399999999999</v>
      </c>
      <c r="AC165" s="1">
        <v>1.0923400000000001</v>
      </c>
      <c r="AD165" s="1">
        <v>1.12619</v>
      </c>
      <c r="AE165" s="1">
        <v>1.08317</v>
      </c>
      <c r="AF165" s="1">
        <v>0.91239000000000003</v>
      </c>
      <c r="AG165" s="1">
        <v>0.91412000000000004</v>
      </c>
      <c r="AH165" s="1">
        <v>1.1164799999999999</v>
      </c>
      <c r="AI165" s="1">
        <v>1.1120399999999999</v>
      </c>
      <c r="AJ165" s="1">
        <v>1.0923400000000001</v>
      </c>
      <c r="AL165" s="14" t="s">
        <v>223</v>
      </c>
      <c r="AM165" s="14"/>
      <c r="AN165" s="14"/>
      <c r="AO165" s="14"/>
      <c r="AP165" s="14"/>
      <c r="AQ165" s="14"/>
      <c r="AR165" s="14"/>
    </row>
    <row r="166" spans="1:44" ht="14.25" customHeight="1" x14ac:dyDescent="0.35">
      <c r="A166" s="1" t="s">
        <v>16</v>
      </c>
      <c r="B166" s="1" t="s">
        <v>14</v>
      </c>
      <c r="C166" s="1" t="s">
        <v>13</v>
      </c>
      <c r="D166" s="1" t="s">
        <v>16</v>
      </c>
      <c r="E166" s="1" t="s">
        <v>37</v>
      </c>
      <c r="F166" s="1">
        <v>1.0719799999999999</v>
      </c>
      <c r="G166" s="1">
        <v>0.93884000000000001</v>
      </c>
      <c r="H166" s="1">
        <v>0.95255000000000001</v>
      </c>
      <c r="I166" s="1">
        <v>0.96594000000000002</v>
      </c>
      <c r="J166" s="1">
        <v>0.94550000000000001</v>
      </c>
      <c r="K166" s="1">
        <v>0.93218000000000001</v>
      </c>
      <c r="L166" s="1">
        <v>0.94713999999999998</v>
      </c>
      <c r="M166" s="1">
        <v>0.95811000000000002</v>
      </c>
      <c r="N166" s="1">
        <v>0.93884000000000001</v>
      </c>
      <c r="O166" s="1">
        <v>0.95255000000000001</v>
      </c>
      <c r="P166" s="1">
        <v>0.96594000000000002</v>
      </c>
      <c r="Q166" s="1">
        <v>0.94550000000000001</v>
      </c>
      <c r="R166" s="1">
        <v>0.93218000000000001</v>
      </c>
      <c r="S166" s="1">
        <v>0.94713999999999998</v>
      </c>
      <c r="T166" s="1">
        <v>0.95811000000000002</v>
      </c>
      <c r="U166" s="1">
        <v>0.93884000000000001</v>
      </c>
      <c r="V166" s="1">
        <v>0.95255000000000001</v>
      </c>
      <c r="W166" s="1">
        <v>0.96594000000000002</v>
      </c>
      <c r="X166" s="1">
        <v>0.94550000000000001</v>
      </c>
      <c r="Y166" s="1">
        <v>0.93218000000000001</v>
      </c>
      <c r="Z166" s="1">
        <v>0.94713999999999998</v>
      </c>
      <c r="AA166" s="1">
        <v>0.95811000000000002</v>
      </c>
      <c r="AB166" s="1">
        <v>0.93884000000000001</v>
      </c>
      <c r="AC166" s="1">
        <v>0.95255000000000001</v>
      </c>
      <c r="AD166" s="1">
        <v>0.96594000000000002</v>
      </c>
      <c r="AE166" s="1">
        <v>0.94550000000000001</v>
      </c>
      <c r="AF166" s="1">
        <v>0.93218000000000001</v>
      </c>
      <c r="AG166" s="1">
        <v>0.94713999999999998</v>
      </c>
      <c r="AH166" s="1">
        <v>0.95811000000000002</v>
      </c>
      <c r="AI166" s="1">
        <v>0.93884000000000001</v>
      </c>
      <c r="AJ166" s="1">
        <v>0.95255000000000001</v>
      </c>
      <c r="AL166" s="4"/>
      <c r="AM166" s="4" t="s">
        <v>13</v>
      </c>
      <c r="AN166" s="4" t="s">
        <v>14</v>
      </c>
      <c r="AO166" s="4" t="s">
        <v>15</v>
      </c>
      <c r="AP166" s="4" t="s">
        <v>16</v>
      </c>
      <c r="AQ166" s="4" t="s">
        <v>17</v>
      </c>
      <c r="AR166" s="4" t="s">
        <v>7</v>
      </c>
    </row>
    <row r="167" spans="1:44" ht="14.25" customHeight="1" x14ac:dyDescent="0.35">
      <c r="A167" s="1" t="s">
        <v>16</v>
      </c>
      <c r="B167" s="1" t="s">
        <v>14</v>
      </c>
      <c r="C167" s="1" t="s">
        <v>13</v>
      </c>
      <c r="D167" s="1" t="s">
        <v>16</v>
      </c>
      <c r="E167" s="1" t="s">
        <v>38</v>
      </c>
      <c r="F167" s="1">
        <v>1.07378</v>
      </c>
      <c r="G167" s="1">
        <v>0.96199000000000001</v>
      </c>
      <c r="H167" s="1">
        <v>0.97230000000000005</v>
      </c>
      <c r="I167" s="1">
        <v>0.97431999999999996</v>
      </c>
      <c r="J167" s="1">
        <v>0.97918000000000005</v>
      </c>
      <c r="K167" s="1">
        <v>0.96687999999999996</v>
      </c>
      <c r="L167" s="1">
        <v>0.95457999999999998</v>
      </c>
      <c r="M167" s="1">
        <v>0.97158</v>
      </c>
      <c r="N167" s="1">
        <v>0.96199000000000001</v>
      </c>
      <c r="O167" s="1">
        <v>0.97230000000000005</v>
      </c>
      <c r="P167" s="1">
        <v>0.97431999999999996</v>
      </c>
      <c r="Q167" s="1">
        <v>0.97918000000000005</v>
      </c>
      <c r="R167" s="1">
        <v>0.96687999999999996</v>
      </c>
      <c r="S167" s="1">
        <v>0.95457999999999998</v>
      </c>
      <c r="T167" s="1">
        <v>0.97158</v>
      </c>
      <c r="U167" s="1">
        <v>0.96199000000000001</v>
      </c>
      <c r="V167" s="1">
        <v>0.97230000000000005</v>
      </c>
      <c r="W167" s="1">
        <v>0.97431999999999996</v>
      </c>
      <c r="X167" s="1">
        <v>0.97918000000000005</v>
      </c>
      <c r="Y167" s="1">
        <v>0.96687999999999996</v>
      </c>
      <c r="Z167" s="1">
        <v>0.95457999999999998</v>
      </c>
      <c r="AA167" s="1">
        <v>0.97158</v>
      </c>
      <c r="AB167" s="1">
        <v>0.96199000000000001</v>
      </c>
      <c r="AC167" s="1">
        <v>0.97230000000000005</v>
      </c>
      <c r="AD167" s="1">
        <v>0.97431999999999996</v>
      </c>
      <c r="AE167" s="1">
        <v>0.97918000000000005</v>
      </c>
      <c r="AF167" s="1">
        <v>0.96687999999999996</v>
      </c>
      <c r="AG167" s="1">
        <v>0.95457999999999998</v>
      </c>
      <c r="AH167" s="1">
        <v>0.97158</v>
      </c>
      <c r="AI167" s="1">
        <v>0.96199000000000001</v>
      </c>
      <c r="AJ167" s="1">
        <v>0.97230000000000005</v>
      </c>
      <c r="AL167" s="4" t="s">
        <v>19</v>
      </c>
      <c r="AM167" s="6" cm="1">
        <f t="array" ref="AM167">IFERROR((SUMPRODUCT(($C$148:$C$171=AM$146)*($F$144:$AJ$144="")*$F$148:$AJ$171)+IF(AM$146="P3",SUMPRODUCT(($F$144:$AJ$144="P3")*$F$148:$AJ$171),0))/(SUMPRODUCT(($C$148:$C$171=AM$146)*($F$144:$AJ$144=""))+IF(AM$146="P3",COUNTIF($F$144:$AJ$144,"P3")*ROWS($C$148:$C$171),0)),"")</f>
        <v>0.93350380681818312</v>
      </c>
      <c r="AN167" s="6" cm="1">
        <f t="array" ref="AN167">IFERROR((SUMPRODUCT(($C$148:$C$171=AN$146)*($F$144:$AJ$144="")*$F$148:$AJ$171)+IF(AN$146="P3",SUMPRODUCT(($F$144:$AJ$144="P3")*$F$148:$AJ$171),0))/(SUMPRODUCT(($C$148:$C$171=AN$146)*($F$144:$AJ$144=""))+IF(AN$146="P3",COUNTIF($F$144:$AJ$144,"P3")*ROWS($C$148:$C$171),0)),"")</f>
        <v>1.0829336931818181</v>
      </c>
      <c r="AO167" s="6" cm="1">
        <f t="array" ref="AO167">IFERROR((SUMPRODUCT(($C$148:$C$171=AO$146)*($F$144:$AJ$144="")*$F$148:$AJ$171)+IF(AO$146="P3",SUMPRODUCT(($F$144:$AJ$144="P3")*$F$148:$AJ$171),0))/(SUMPRODUCT(($C$148:$C$171=AO$146)*($F$144:$AJ$144=""))+IF(AO$146="P3",COUNTIF($F$144:$AJ$144,"P3")*ROWS($C$148:$C$171),0)),"")</f>
        <v>0.98216081632653018</v>
      </c>
      <c r="AP167" s="6" t="str" cm="1">
        <f t="array" ref="AP167">IFERROR((SUMPRODUCT(($C$148:$C$171=AP$146)*($F$144:$AJ$144="")*$F$148:$AJ$171)+IF(AP$146="P3",SUMPRODUCT(($F$144:$AJ$144="P3")*$F$148:$AJ$171),0))/(SUMPRODUCT(($C$148:$C$171=AP$146)*($F$144:$AJ$144=""))+IF(AP$146="P3",COUNTIF($F$144:$AJ$144,"P3")*ROWS($C$148:$C$171),0)),"")</f>
        <v/>
      </c>
      <c r="AQ167" s="6" t="str" cm="1">
        <f t="array" ref="AQ167">IFERROR((SUMPRODUCT(($C$148:$C$171=AQ$146)*($F$144:$AJ$144="")*$F$148:$AJ$171)+IF(AQ$146="P3",SUMPRODUCT(($F$144:$AJ$144="P3")*$F$148:$AJ$171),0))/(SUMPRODUCT(($C$148:$C$171=AQ$146)*($F$144:$AJ$144=""))+IF(AQ$146="P3",COUNTIF($F$144:$AJ$144,"P3")*ROWS($C$148:$C$171),0)),"")</f>
        <v/>
      </c>
      <c r="AR167" s="6" t="str" cm="1">
        <f t="array" ref="AR167">IFERROR((SUMPRODUCT(($C$148:$C$171=AR$146)*($F$144:$AJ$144="")*$F$148:$AJ$171)+IF(AR$146="P3",SUMPRODUCT(($F$144:$AJ$144="P3")*$F$148:$AJ$171),0))/(SUMPRODUCT(($C$148:$C$171=AR$146)*($F$144:$AJ$144=""))+IF(AR$146="P3",COUNTIF($F$144:$AJ$144,"P3")*ROWS($C$148:$C$171),0)),"")</f>
        <v/>
      </c>
    </row>
    <row r="168" spans="1:44" ht="14.25" customHeight="1" x14ac:dyDescent="0.35">
      <c r="A168" s="1" t="s">
        <v>16</v>
      </c>
      <c r="B168" s="1" t="s">
        <v>14</v>
      </c>
      <c r="C168" s="1" t="s">
        <v>13</v>
      </c>
      <c r="D168" s="1" t="s">
        <v>16</v>
      </c>
      <c r="E168" s="1" t="s">
        <v>39</v>
      </c>
      <c r="F168" s="1">
        <v>1.0702</v>
      </c>
      <c r="G168" s="1">
        <v>0.96484000000000003</v>
      </c>
      <c r="H168" s="1">
        <v>0.99956999999999996</v>
      </c>
      <c r="I168" s="1">
        <v>0.99197999999999997</v>
      </c>
      <c r="J168" s="1">
        <v>1.01694</v>
      </c>
      <c r="K168" s="1">
        <v>1.00569</v>
      </c>
      <c r="L168" s="1">
        <v>0.94140999999999997</v>
      </c>
      <c r="M168" s="1">
        <v>0.96492999999999995</v>
      </c>
      <c r="N168" s="1">
        <v>0.96484000000000003</v>
      </c>
      <c r="O168" s="1">
        <v>0.99956999999999996</v>
      </c>
      <c r="P168" s="1">
        <v>0.99197999999999997</v>
      </c>
      <c r="Q168" s="1">
        <v>1.01694</v>
      </c>
      <c r="R168" s="1">
        <v>1.00569</v>
      </c>
      <c r="S168" s="1">
        <v>0.94140999999999997</v>
      </c>
      <c r="T168" s="1">
        <v>0.96492999999999995</v>
      </c>
      <c r="U168" s="1">
        <v>0.96484000000000003</v>
      </c>
      <c r="V168" s="1">
        <v>0.99956999999999996</v>
      </c>
      <c r="W168" s="1">
        <v>0.99197999999999997</v>
      </c>
      <c r="X168" s="1">
        <v>1.01694</v>
      </c>
      <c r="Y168" s="1">
        <v>1.00569</v>
      </c>
      <c r="Z168" s="1">
        <v>0.94140999999999997</v>
      </c>
      <c r="AA168" s="1">
        <v>0.96492999999999995</v>
      </c>
      <c r="AB168" s="1">
        <v>0.96484000000000003</v>
      </c>
      <c r="AC168" s="1">
        <v>0.99956999999999996</v>
      </c>
      <c r="AD168" s="1">
        <v>0.99197999999999997</v>
      </c>
      <c r="AE168" s="1">
        <v>1.01694</v>
      </c>
      <c r="AF168" s="1">
        <v>1.00569</v>
      </c>
      <c r="AG168" s="1">
        <v>0.94140999999999997</v>
      </c>
      <c r="AH168" s="1">
        <v>0.96492999999999995</v>
      </c>
      <c r="AI168" s="1">
        <v>0.96484000000000003</v>
      </c>
      <c r="AJ168" s="1">
        <v>0.99956999999999996</v>
      </c>
      <c r="AL168" s="4" t="s">
        <v>21</v>
      </c>
      <c r="AM168" s="6" t="str" cm="1">
        <f t="array" ref="AM168">IFERROR((SUMPRODUCT(($B$148:$B$171=AM$146)*($F$145:$AJ$145="")*$F$148:$AJ$171)+IF(AM$146="P6",SUMPRODUCT(($F$145:$AJ$145="P6")*$F$148:$AJ$171),0))/(SUMPRODUCT(($B$148:$B$171=AM$146)*($F$145:$AJ$145=""))+IF(AM$146="P6",COUNTIF($F$145:$AJ$145,"P6")*ROWS($B$148:$B$171),0)),"")</f>
        <v/>
      </c>
      <c r="AN168" s="6" cm="1">
        <f t="array" ref="AN168">IFERROR((SUMPRODUCT(($B$148:$B$171=AN$146)*($F$145:$AJ$145="")*$F$148:$AJ$171)+IF(AN$146="P6",SUMPRODUCT(($F$145:$AJ$145="P6")*$F$148:$AJ$171),0))/(SUMPRODUCT(($B$148:$B$171=AN$146)*($F$145:$AJ$145=""))+IF(AN$146="P6",COUNTIF($F$145:$AJ$145,"P6")*ROWS($B$148:$B$171),0)),"")</f>
        <v>0.94427060606060698</v>
      </c>
      <c r="AO168" s="6" cm="1">
        <f t="array" ref="AO168">IFERROR((SUMPRODUCT(($B$148:$B$171=AO$146)*($F$145:$AJ$145="")*$F$148:$AJ$171)+IF(AO$146="P6",SUMPRODUCT(($F$145:$AJ$145="P6")*$F$148:$AJ$171),0))/(SUMPRODUCT(($B$148:$B$171=AO$146)*($F$145:$AJ$145=""))+IF(AO$146="P6",COUNTIF($F$145:$AJ$145,"P6")*ROWS($B$148:$B$171),0)),"")</f>
        <v>1.0904377922077921</v>
      </c>
      <c r="AP168" s="6" t="str" cm="1">
        <f t="array" ref="AP168">IFERROR((SUMPRODUCT(($B$148:$B$171=AP$146)*($F$145:$AJ$145="")*$F$148:$AJ$171)+IF(AP$146="P6",SUMPRODUCT(($F$145:$AJ$145="P6")*$F$148:$AJ$171),0))/(SUMPRODUCT(($B$148:$B$171=AP$146)*($F$145:$AJ$145=""))+IF(AP$146="P6",COUNTIF($F$145:$AJ$145,"P6")*ROWS($B$148:$B$171),0)),"")</f>
        <v/>
      </c>
      <c r="AQ168" s="6" t="str" cm="1">
        <f t="array" ref="AQ168">IFERROR((SUMPRODUCT(($B$148:$B$171=AQ$146)*($F$145:$AJ$145="")*$F$148:$AJ$171)+IF(AQ$146="P6",SUMPRODUCT(($F$145:$AJ$145="P6")*$F$148:$AJ$171),0))/(SUMPRODUCT(($B$148:$B$171=AQ$146)*($F$145:$AJ$145=""))+IF(AQ$146="P6",COUNTIF($F$145:$AJ$145,"P6")*ROWS($B$148:$B$171),0)),"")</f>
        <v/>
      </c>
      <c r="AR168" s="6" cm="1">
        <f t="array" ref="AR168">IFERROR((SUMPRODUCT(($B$148:$B$171=AR$146)*($F$145:$AJ$145="")*$F$148:$AJ$171)+IF(AR$146="P6",SUMPRODUCT(($F$145:$AJ$145="P6")*$F$148:$AJ$171),0))/(SUMPRODUCT(($B$148:$B$171=AR$146)*($F$145:$AJ$145=""))+IF(AR$146="P6",COUNTIF($F$145:$AJ$145,"P6")*ROWS($B$148:$B$171),0)),"")</f>
        <v>0.98216081632653018</v>
      </c>
    </row>
    <row r="169" spans="1:44" ht="14.25" customHeight="1" x14ac:dyDescent="0.35">
      <c r="A169" s="1" t="s">
        <v>16</v>
      </c>
      <c r="B169" s="1" t="s">
        <v>14</v>
      </c>
      <c r="C169" s="1" t="s">
        <v>13</v>
      </c>
      <c r="D169" s="1" t="s">
        <v>16</v>
      </c>
      <c r="E169" s="1" t="s">
        <v>40</v>
      </c>
      <c r="F169" s="1">
        <v>1.03657</v>
      </c>
      <c r="G169" s="1">
        <v>0.95179999999999998</v>
      </c>
      <c r="H169" s="1">
        <v>1.00267</v>
      </c>
      <c r="I169" s="1">
        <v>0.99933000000000005</v>
      </c>
      <c r="J169" s="1">
        <v>1.0239400000000001</v>
      </c>
      <c r="K169" s="1">
        <v>1.0170600000000001</v>
      </c>
      <c r="L169" s="1">
        <v>0.91779999999999995</v>
      </c>
      <c r="M169" s="1">
        <v>0.96109</v>
      </c>
      <c r="N169" s="1">
        <v>0.95179999999999998</v>
      </c>
      <c r="O169" s="1">
        <v>1.00267</v>
      </c>
      <c r="P169" s="1">
        <v>0.99933000000000005</v>
      </c>
      <c r="Q169" s="1">
        <v>1.0239400000000001</v>
      </c>
      <c r="R169" s="1">
        <v>1.0170600000000001</v>
      </c>
      <c r="S169" s="1">
        <v>0.91779999999999995</v>
      </c>
      <c r="T169" s="1">
        <v>0.96109</v>
      </c>
      <c r="U169" s="1">
        <v>0.95179999999999998</v>
      </c>
      <c r="V169" s="1">
        <v>1.00267</v>
      </c>
      <c r="W169" s="1">
        <v>0.99933000000000005</v>
      </c>
      <c r="X169" s="1">
        <v>1.0239400000000001</v>
      </c>
      <c r="Y169" s="1">
        <v>1.0170600000000001</v>
      </c>
      <c r="Z169" s="1">
        <v>0.91779999999999995</v>
      </c>
      <c r="AA169" s="1">
        <v>0.96109</v>
      </c>
      <c r="AB169" s="1">
        <v>0.95179999999999998</v>
      </c>
      <c r="AC169" s="1">
        <v>1.00267</v>
      </c>
      <c r="AD169" s="1">
        <v>0.99933000000000005</v>
      </c>
      <c r="AE169" s="1">
        <v>1.0239400000000001</v>
      </c>
      <c r="AF169" s="1">
        <v>1.0170600000000001</v>
      </c>
      <c r="AG169" s="1">
        <v>0.91779999999999995</v>
      </c>
      <c r="AH169" s="1">
        <v>0.96109</v>
      </c>
      <c r="AI169" s="1">
        <v>0.95179999999999998</v>
      </c>
      <c r="AJ169" s="1">
        <v>1.00267</v>
      </c>
      <c r="AL169" s="4" t="s">
        <v>23</v>
      </c>
      <c r="AM169" s="6" t="str" cm="1">
        <f t="array" ref="AM169">IFERROR((SUMPRODUCT(($B$148:$B$171=AM$146)*($F$145:$AJ$145="")*$F$148:$AJ$171)+IF(AM$146="P6",SUMPRODUCT(($F$145:$AJ$145="P6")*$F$148:$AJ$171),0))/(SUMPRODUCT(($B$148:$B$171=AM$146)*($F$145:$AJ$145=""))+IF(AM$146="P6",COUNTIF($F$145:$AJ$145,"P6")*ROWS($B$148:$B$171),0)),"")</f>
        <v/>
      </c>
      <c r="AN169" s="6" cm="1">
        <f t="array" ref="AN169">IFERROR((SUMPRODUCT(($B$148:$B$171=AN$146)*($F$145:$AJ$145="")*$F$148:$AJ$171)+IF(AN$146="P6",SUMPRODUCT(($F$145:$AJ$145="P6")*$F$148:$AJ$171),0))/(SUMPRODUCT(($B$148:$B$171=AN$146)*($F$145:$AJ$145=""))+IF(AN$146="P6",COUNTIF($F$145:$AJ$145,"P6")*ROWS($B$148:$B$171),0)),"")</f>
        <v>0.94427060606060698</v>
      </c>
      <c r="AO169" s="6" cm="1">
        <f t="array" ref="AO169">IFERROR((SUMPRODUCT(($B$148:$B$171=AO$146)*($F$145:$AJ$145="")*$F$148:$AJ$171)+IF(AO$146="P6",SUMPRODUCT(($F$145:$AJ$145="P6")*$F$148:$AJ$171),0))/(SUMPRODUCT(($B$148:$B$171=AO$146)*($F$145:$AJ$145=""))+IF(AO$146="P6",COUNTIF($F$145:$AJ$145,"P6")*ROWS($B$148:$B$171),0)),"")</f>
        <v>1.0904377922077921</v>
      </c>
      <c r="AP169" s="6" t="str" cm="1">
        <f t="array" ref="AP169">IFERROR((SUMPRODUCT(($B$148:$B$171=AP$146)*($F$145:$AJ$145="")*$F$148:$AJ$171)+IF(AP$146="P6",SUMPRODUCT(($F$145:$AJ$145="P6")*$F$148:$AJ$171),0))/(SUMPRODUCT(($B$148:$B$171=AP$146)*($F$145:$AJ$145=""))+IF(AP$146="P6",COUNTIF($F$145:$AJ$145,"P6")*ROWS($B$148:$B$171),0)),"")</f>
        <v/>
      </c>
      <c r="AQ169" s="6" t="str" cm="1">
        <f t="array" ref="AQ169">IFERROR((SUMPRODUCT(($B$148:$B$171=AQ$146)*($F$145:$AJ$145="")*$F$148:$AJ$171)+IF(AQ$146="P6",SUMPRODUCT(($F$145:$AJ$145="P6")*$F$148:$AJ$171),0))/(SUMPRODUCT(($B$148:$B$171=AQ$146)*($F$145:$AJ$145=""))+IF(AQ$146="P6",COUNTIF($F$145:$AJ$145,"P6")*ROWS($B$148:$B$171),0)),"")</f>
        <v/>
      </c>
      <c r="AR169" s="6" cm="1">
        <f t="array" ref="AR169">IFERROR((SUMPRODUCT(($B$148:$B$171=AR$146)*($F$145:$AJ$145="")*$F$148:$AJ$171)+IF(AR$146="P6",SUMPRODUCT(($F$145:$AJ$145="P6")*$F$148:$AJ$171),0))/(SUMPRODUCT(($B$148:$B$171=AR$146)*($F$145:$AJ$145=""))+IF(AR$146="P6",COUNTIF($F$145:$AJ$145,"P6")*ROWS($B$148:$B$171),0)),"")</f>
        <v>0.98216081632653018</v>
      </c>
    </row>
    <row r="170" spans="1:44" ht="14.25" customHeight="1" x14ac:dyDescent="0.35">
      <c r="A170" s="1" t="s">
        <v>17</v>
      </c>
      <c r="B170" s="1" t="s">
        <v>15</v>
      </c>
      <c r="C170" s="1" t="s">
        <v>14</v>
      </c>
      <c r="D170" s="1" t="s">
        <v>17</v>
      </c>
      <c r="E170" s="1" t="s">
        <v>41</v>
      </c>
      <c r="F170" s="1">
        <v>1.0593900000000001</v>
      </c>
      <c r="G170" s="1">
        <v>1.1293200000000001</v>
      </c>
      <c r="H170" s="1">
        <v>1.1897899999999999</v>
      </c>
      <c r="I170" s="1">
        <v>1.1900900000000001</v>
      </c>
      <c r="J170" s="1">
        <v>1.21373</v>
      </c>
      <c r="K170" s="1">
        <v>1.0425599999999999</v>
      </c>
      <c r="L170" s="1">
        <v>0.94406999999999996</v>
      </c>
      <c r="M170" s="1">
        <v>1.14175</v>
      </c>
      <c r="N170" s="1">
        <v>1.1293200000000001</v>
      </c>
      <c r="O170" s="1">
        <v>1.1897899999999999</v>
      </c>
      <c r="P170" s="1">
        <v>1.1900900000000001</v>
      </c>
      <c r="Q170" s="1">
        <v>1.21373</v>
      </c>
      <c r="R170" s="1">
        <v>1.0425599999999999</v>
      </c>
      <c r="S170" s="1">
        <v>0.94406999999999996</v>
      </c>
      <c r="T170" s="1">
        <v>1.14175</v>
      </c>
      <c r="U170" s="1">
        <v>1.1293200000000001</v>
      </c>
      <c r="V170" s="1">
        <v>1.1897899999999999</v>
      </c>
      <c r="W170" s="1">
        <v>1.1900900000000001</v>
      </c>
      <c r="X170" s="1">
        <v>1.21373</v>
      </c>
      <c r="Y170" s="1">
        <v>1.0425599999999999</v>
      </c>
      <c r="Z170" s="1">
        <v>0.94406999999999996</v>
      </c>
      <c r="AA170" s="1">
        <v>1.14175</v>
      </c>
      <c r="AB170" s="1">
        <v>1.1293200000000001</v>
      </c>
      <c r="AC170" s="1">
        <v>1.1897899999999999</v>
      </c>
      <c r="AD170" s="1">
        <v>1.1900900000000001</v>
      </c>
      <c r="AE170" s="1">
        <v>1.21373</v>
      </c>
      <c r="AF170" s="1">
        <v>1.0425599999999999</v>
      </c>
      <c r="AG170" s="1">
        <v>0.94406999999999996</v>
      </c>
      <c r="AH170" s="1">
        <v>1.14175</v>
      </c>
      <c r="AI170" s="1">
        <v>1.1293200000000001</v>
      </c>
      <c r="AJ170" s="1">
        <v>1.1897899999999999</v>
      </c>
      <c r="AL170" s="4" t="s">
        <v>25</v>
      </c>
      <c r="AM170" s="6" t="str" cm="1">
        <f t="array" ref="AM170">IFERROR((SUMPRODUCT(($B$148:$B$171=AM$146)*($F$145:$AJ$145="")*$F$148:$AJ$171)+IF(AM$146="P6",SUMPRODUCT(($F$145:$AJ$145="P6")*$F$148:$AJ$171),0))/(SUMPRODUCT(($B$148:$B$171=AM$146)*($F$145:$AJ$145=""))+IF(AM$146="P6",COUNTIF($F$145:$AJ$145,"P6")*ROWS($B$148:$B$171),0)),"")</f>
        <v/>
      </c>
      <c r="AN170" s="6" cm="1">
        <f t="array" ref="AN170">IFERROR((SUMPRODUCT(($B$148:$B$171=AN$146)*($F$145:$AJ$145="")*$F$148:$AJ$171)+IF(AN$146="P6",SUMPRODUCT(($F$145:$AJ$145="P6")*$F$148:$AJ$171),0))/(SUMPRODUCT(($B$148:$B$171=AN$146)*($F$145:$AJ$145=""))+IF(AN$146="P6",COUNTIF($F$145:$AJ$145,"P6")*ROWS($B$148:$B$171),0)),"")</f>
        <v>0.94427060606060698</v>
      </c>
      <c r="AO170" s="6" cm="1">
        <f t="array" ref="AO170">IFERROR((SUMPRODUCT(($B$148:$B$171=AO$146)*($F$145:$AJ$145="")*$F$148:$AJ$171)+IF(AO$146="P6",SUMPRODUCT(($F$145:$AJ$145="P6")*$F$148:$AJ$171),0))/(SUMPRODUCT(($B$148:$B$171=AO$146)*($F$145:$AJ$145=""))+IF(AO$146="P6",COUNTIF($F$145:$AJ$145,"P6")*ROWS($B$148:$B$171),0)),"")</f>
        <v>1.0904377922077921</v>
      </c>
      <c r="AP170" s="6" t="str" cm="1">
        <f t="array" ref="AP170">IFERROR((SUMPRODUCT(($B$148:$B$171=AP$146)*($F$145:$AJ$145="")*$F$148:$AJ$171)+IF(AP$146="P6",SUMPRODUCT(($F$145:$AJ$145="P6")*$F$148:$AJ$171),0))/(SUMPRODUCT(($B$148:$B$171=AP$146)*($F$145:$AJ$145=""))+IF(AP$146="P6",COUNTIF($F$145:$AJ$145,"P6")*ROWS($B$148:$B$171),0)),"")</f>
        <v/>
      </c>
      <c r="AQ170" s="6" t="str" cm="1">
        <f t="array" ref="AQ170">IFERROR((SUMPRODUCT(($B$148:$B$171=AQ$146)*($F$145:$AJ$145="")*$F$148:$AJ$171)+IF(AQ$146="P6",SUMPRODUCT(($F$145:$AJ$145="P6")*$F$148:$AJ$171),0))/(SUMPRODUCT(($B$148:$B$171=AQ$146)*($F$145:$AJ$145=""))+IF(AQ$146="P6",COUNTIF($F$145:$AJ$145,"P6")*ROWS($B$148:$B$171),0)),"")</f>
        <v/>
      </c>
      <c r="AR170" s="6" cm="1">
        <f t="array" ref="AR170">IFERROR((SUMPRODUCT(($B$148:$B$171=AR$146)*($F$145:$AJ$145="")*$F$148:$AJ$171)+IF(AR$146="P6",SUMPRODUCT(($F$145:$AJ$145="P6")*$F$148:$AJ$171),0))/(SUMPRODUCT(($B$148:$B$171=AR$146)*($F$145:$AJ$145=""))+IF(AR$146="P6",COUNTIF($F$145:$AJ$145,"P6")*ROWS($B$148:$B$171),0)),"")</f>
        <v>0.98216081632653018</v>
      </c>
    </row>
    <row r="171" spans="1:44" ht="14.25" customHeight="1" x14ac:dyDescent="0.35">
      <c r="A171" s="1" t="s">
        <v>17</v>
      </c>
      <c r="B171" s="1" t="s">
        <v>15</v>
      </c>
      <c r="C171" s="1" t="s">
        <v>14</v>
      </c>
      <c r="D171" s="1" t="s">
        <v>17</v>
      </c>
      <c r="E171" s="1" t="s">
        <v>42</v>
      </c>
      <c r="F171" s="1">
        <v>1.1115299999999999</v>
      </c>
      <c r="G171" s="1">
        <v>1.17974</v>
      </c>
      <c r="H171" s="1">
        <v>1.23963</v>
      </c>
      <c r="I171" s="1">
        <v>1.21862</v>
      </c>
      <c r="J171" s="1">
        <v>1.22512</v>
      </c>
      <c r="K171" s="1">
        <v>1.07101</v>
      </c>
      <c r="L171" s="1">
        <v>0.9667</v>
      </c>
      <c r="M171" s="1">
        <v>1.18777</v>
      </c>
      <c r="N171" s="1">
        <v>1.17974</v>
      </c>
      <c r="O171" s="1">
        <v>1.23963</v>
      </c>
      <c r="P171" s="1">
        <v>1.21862</v>
      </c>
      <c r="Q171" s="1">
        <v>1.22512</v>
      </c>
      <c r="R171" s="1">
        <v>1.07101</v>
      </c>
      <c r="S171" s="1">
        <v>0.9667</v>
      </c>
      <c r="T171" s="1">
        <v>1.18777</v>
      </c>
      <c r="U171" s="1">
        <v>1.17974</v>
      </c>
      <c r="V171" s="1">
        <v>1.23963</v>
      </c>
      <c r="W171" s="1">
        <v>1.21862</v>
      </c>
      <c r="X171" s="1">
        <v>1.22512</v>
      </c>
      <c r="Y171" s="1">
        <v>1.07101</v>
      </c>
      <c r="Z171" s="1">
        <v>0.9667</v>
      </c>
      <c r="AA171" s="1">
        <v>1.18777</v>
      </c>
      <c r="AB171" s="1">
        <v>1.17974</v>
      </c>
      <c r="AC171" s="1">
        <v>1.23963</v>
      </c>
      <c r="AD171" s="1">
        <v>1.21862</v>
      </c>
      <c r="AE171" s="1">
        <v>1.22512</v>
      </c>
      <c r="AF171" s="1">
        <v>1.07101</v>
      </c>
      <c r="AG171" s="1">
        <v>0.9667</v>
      </c>
      <c r="AH171" s="1">
        <v>1.18777</v>
      </c>
      <c r="AI171" s="1">
        <v>1.17974</v>
      </c>
      <c r="AJ171" s="1">
        <v>1.23963</v>
      </c>
      <c r="AL171" s="4" t="s">
        <v>27</v>
      </c>
      <c r="AM171" s="6" t="str" cm="1">
        <f t="array" ref="AM171">IFERROR((SUMPRODUCT(($B$148:$B$171=AM$146)*($F$145:$AJ$145="")*$F$148:$AJ$171)+IF(AM$146="P6",SUMPRODUCT(($F$145:$AJ$145="P6")*$F$148:$AJ$171),0))/(SUMPRODUCT(($B$148:$B$171=AM$146)*($F$145:$AJ$145=""))+IF(AM$146="P6",COUNTIF($F$145:$AJ$145,"P6")*ROWS($B$148:$B$171),0)),"")</f>
        <v/>
      </c>
      <c r="AN171" s="6" cm="1">
        <f t="array" ref="AN171">IFERROR((SUMPRODUCT(($B$148:$B$171=AN$146)*($F$145:$AJ$145="")*$F$148:$AJ$171)+IF(AN$146="P6",SUMPRODUCT(($F$145:$AJ$145="P6")*$F$148:$AJ$171),0))/(SUMPRODUCT(($B$148:$B$171=AN$146)*($F$145:$AJ$145=""))+IF(AN$146="P6",COUNTIF($F$145:$AJ$145,"P6")*ROWS($B$148:$B$171),0)),"")</f>
        <v>0.94427060606060698</v>
      </c>
      <c r="AO171" s="6" cm="1">
        <f t="array" ref="AO171">IFERROR((SUMPRODUCT(($B$148:$B$171=AO$146)*($F$145:$AJ$145="")*$F$148:$AJ$171)+IF(AO$146="P6",SUMPRODUCT(($F$145:$AJ$145="P6")*$F$148:$AJ$171),0))/(SUMPRODUCT(($B$148:$B$171=AO$146)*($F$145:$AJ$145=""))+IF(AO$146="P6",COUNTIF($F$145:$AJ$145,"P6")*ROWS($B$148:$B$171),0)),"")</f>
        <v>1.0904377922077921</v>
      </c>
      <c r="AP171" s="6" t="str" cm="1">
        <f t="array" ref="AP171">IFERROR((SUMPRODUCT(($B$148:$B$171=AP$146)*($F$145:$AJ$145="")*$F$148:$AJ$171)+IF(AP$146="P6",SUMPRODUCT(($F$145:$AJ$145="P6")*$F$148:$AJ$171),0))/(SUMPRODUCT(($B$148:$B$171=AP$146)*($F$145:$AJ$145=""))+IF(AP$146="P6",COUNTIF($F$145:$AJ$145,"P6")*ROWS($B$148:$B$171),0)),"")</f>
        <v/>
      </c>
      <c r="AQ171" s="6" t="str" cm="1">
        <f t="array" ref="AQ171">IFERROR((SUMPRODUCT(($B$148:$B$171=AQ$146)*($F$145:$AJ$145="")*$F$148:$AJ$171)+IF(AQ$146="P6",SUMPRODUCT(($F$145:$AJ$145="P6")*$F$148:$AJ$171),0))/(SUMPRODUCT(($B$148:$B$171=AQ$146)*($F$145:$AJ$145=""))+IF(AQ$146="P6",COUNTIF($F$145:$AJ$145,"P6")*ROWS($B$148:$B$171),0)),"")</f>
        <v/>
      </c>
      <c r="AR171" s="6" cm="1">
        <f t="array" ref="AR171">IFERROR((SUMPRODUCT(($B$148:$B$171=AR$146)*($F$145:$AJ$145="")*$F$148:$AJ$171)+IF(AR$146="P6",SUMPRODUCT(($F$145:$AJ$145="P6")*$F$148:$AJ$171),0))/(SUMPRODUCT(($B$148:$B$171=AR$146)*($F$145:$AJ$145=""))+IF(AR$146="P6",COUNTIF($F$145:$AJ$145,"P6")*ROWS($B$148:$B$171),0)),"")</f>
        <v>0.98216081632653018</v>
      </c>
    </row>
    <row r="172" spans="1:44" ht="14.25" customHeight="1" x14ac:dyDescent="0.35">
      <c r="AL172" s="4" t="s">
        <v>29</v>
      </c>
      <c r="AM172" s="6" t="str" cm="1">
        <f t="array" ref="AM172">IFERROR((SUMPRODUCT(($B$148:$B$171=AM$146)*($F$145:$AJ$145="")*$F$148:$AJ$171)+IF(AM$146="P6",SUMPRODUCT(($F$145:$AJ$145="P6")*$F$148:$AJ$171),0))/(SUMPRODUCT(($B$148:$B$171=AM$146)*($F$145:$AJ$145=""))+IF(AM$146="P6",COUNTIF($F$145:$AJ$145,"P6")*ROWS($B$148:$B$171),0)),"")</f>
        <v/>
      </c>
      <c r="AN172" s="6" cm="1">
        <f t="array" ref="AN172">IFERROR((SUMPRODUCT(($B$148:$B$171=AN$146)*($F$145:$AJ$145="")*$F$148:$AJ$171)+IF(AN$146="P6",SUMPRODUCT(($F$145:$AJ$145="P6")*$F$148:$AJ$171),0))/(SUMPRODUCT(($B$148:$B$171=AN$146)*($F$145:$AJ$145=""))+IF(AN$146="P6",COUNTIF($F$145:$AJ$145,"P6")*ROWS($B$148:$B$171),0)),"")</f>
        <v>0.94427060606060698</v>
      </c>
      <c r="AO172" s="6" cm="1">
        <f t="array" ref="AO172">IFERROR((SUMPRODUCT(($B$148:$B$171=AO$146)*($F$145:$AJ$145="")*$F$148:$AJ$171)+IF(AO$146="P6",SUMPRODUCT(($F$145:$AJ$145="P6")*$F$148:$AJ$171),0))/(SUMPRODUCT(($B$148:$B$171=AO$146)*($F$145:$AJ$145=""))+IF(AO$146="P6",COUNTIF($F$145:$AJ$145,"P6")*ROWS($B$148:$B$171),0)),"")</f>
        <v>1.0904377922077921</v>
      </c>
      <c r="AP172" s="6" t="str" cm="1">
        <f t="array" ref="AP172">IFERROR((SUMPRODUCT(($B$148:$B$171=AP$146)*($F$145:$AJ$145="")*$F$148:$AJ$171)+IF(AP$146="P6",SUMPRODUCT(($F$145:$AJ$145="P6")*$F$148:$AJ$171),0))/(SUMPRODUCT(($B$148:$B$171=AP$146)*($F$145:$AJ$145=""))+IF(AP$146="P6",COUNTIF($F$145:$AJ$145,"P6")*ROWS($B$148:$B$171),0)),"")</f>
        <v/>
      </c>
      <c r="AQ172" s="6" t="str" cm="1">
        <f t="array" ref="AQ172">IFERROR((SUMPRODUCT(($B$148:$B$171=AQ$146)*($F$145:$AJ$145="")*$F$148:$AJ$171)+IF(AQ$146="P6",SUMPRODUCT(($F$145:$AJ$145="P6")*$F$148:$AJ$171),0))/(SUMPRODUCT(($B$148:$B$171=AQ$146)*($F$145:$AJ$145=""))+IF(AQ$146="P6",COUNTIF($F$145:$AJ$145,"P6")*ROWS($B$148:$B$171),0)),"")</f>
        <v/>
      </c>
      <c r="AR172" s="6" cm="1">
        <f t="array" ref="AR172">IFERROR((SUMPRODUCT(($B$148:$B$171=AR$146)*($F$145:$AJ$145="")*$F$148:$AJ$171)+IF(AR$146="P6",SUMPRODUCT(($F$145:$AJ$145="P6")*$F$148:$AJ$171),0))/(SUMPRODUCT(($B$148:$B$171=AR$146)*($F$145:$AJ$145=""))+IF(AR$146="P6",COUNTIF($F$145:$AJ$145,"P6")*ROWS($B$148:$B$171),0)),"")</f>
        <v>0.98216081632653018</v>
      </c>
    </row>
    <row r="176" spans="1:44" ht="14.25" customHeight="1" x14ac:dyDescent="0.35">
      <c r="A176" s="15" t="s">
        <v>224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</row>
    <row r="177" spans="1:44" ht="14.25" customHeight="1" x14ac:dyDescent="0.3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</row>
    <row r="178" spans="1:44" ht="14.25" customHeight="1" x14ac:dyDescent="0.35">
      <c r="AL178" s="10"/>
      <c r="AM178" s="10"/>
      <c r="AN178" s="10"/>
      <c r="AO178" s="10"/>
      <c r="AP178" s="10"/>
      <c r="AQ178" s="10"/>
      <c r="AR178" s="10"/>
    </row>
    <row r="179" spans="1:44" ht="14.25" customHeight="1" x14ac:dyDescent="0.35">
      <c r="F179" s="1" t="str">
        <f>IF(OR(F181="S",F181="D"),"P3","")</f>
        <v/>
      </c>
      <c r="G179" s="1" t="str">
        <f t="shared" ref="G179:AI179" si="20">IF(OR(G181="S",G181="D"),"P3","")</f>
        <v/>
      </c>
      <c r="H179" s="1" t="str">
        <f t="shared" si="20"/>
        <v>P3</v>
      </c>
      <c r="I179" s="1" t="str">
        <f t="shared" si="20"/>
        <v>P3</v>
      </c>
      <c r="J179" s="1" t="str">
        <f t="shared" si="20"/>
        <v/>
      </c>
      <c r="K179" s="1" t="str">
        <f t="shared" si="20"/>
        <v/>
      </c>
      <c r="L179" s="1" t="str">
        <f t="shared" si="20"/>
        <v/>
      </c>
      <c r="M179" s="1" t="str">
        <f t="shared" si="20"/>
        <v/>
      </c>
      <c r="N179" s="1" t="str">
        <f t="shared" si="20"/>
        <v/>
      </c>
      <c r="O179" s="1" t="str">
        <f t="shared" si="20"/>
        <v>P3</v>
      </c>
      <c r="P179" s="1" t="str">
        <f t="shared" si="20"/>
        <v>P3</v>
      </c>
      <c r="Q179" s="1" t="str">
        <f t="shared" si="20"/>
        <v/>
      </c>
      <c r="R179" s="1" t="str">
        <f t="shared" si="20"/>
        <v/>
      </c>
      <c r="S179" s="1" t="str">
        <f t="shared" si="20"/>
        <v/>
      </c>
      <c r="T179" s="1" t="str">
        <f t="shared" si="20"/>
        <v/>
      </c>
      <c r="U179" s="1" t="str">
        <f t="shared" si="20"/>
        <v/>
      </c>
      <c r="V179" s="1" t="str">
        <f t="shared" si="20"/>
        <v>P3</v>
      </c>
      <c r="W179" s="1" t="str">
        <f t="shared" si="20"/>
        <v>P3</v>
      </c>
      <c r="X179" s="1" t="str">
        <f t="shared" si="20"/>
        <v/>
      </c>
      <c r="Y179" s="1" t="str">
        <f t="shared" si="20"/>
        <v/>
      </c>
      <c r="Z179" s="1" t="str">
        <f t="shared" si="20"/>
        <v/>
      </c>
      <c r="AA179" s="1" t="str">
        <f t="shared" si="20"/>
        <v/>
      </c>
      <c r="AB179" s="1" t="str">
        <f t="shared" si="20"/>
        <v/>
      </c>
      <c r="AC179" s="1" t="str">
        <f t="shared" si="20"/>
        <v>P3</v>
      </c>
      <c r="AD179" s="1" t="str">
        <f t="shared" si="20"/>
        <v>P3</v>
      </c>
      <c r="AE179" s="1" t="str">
        <f t="shared" si="20"/>
        <v/>
      </c>
      <c r="AF179" s="1" t="str">
        <f t="shared" si="20"/>
        <v/>
      </c>
      <c r="AG179" s="1" t="str">
        <f t="shared" si="20"/>
        <v/>
      </c>
      <c r="AH179" s="1" t="str">
        <f t="shared" si="20"/>
        <v/>
      </c>
      <c r="AI179" s="1" t="str">
        <f t="shared" si="20"/>
        <v/>
      </c>
      <c r="AL179" s="10"/>
      <c r="AM179" s="10"/>
      <c r="AN179" s="10"/>
      <c r="AO179" s="10"/>
      <c r="AP179" s="10"/>
      <c r="AQ179" s="10"/>
      <c r="AR179" s="10"/>
    </row>
    <row r="180" spans="1:44" ht="14.25" customHeight="1" x14ac:dyDescent="0.35">
      <c r="F180" s="1" t="str">
        <f>IF(OR(F181="S",F181="D"),"P6","")</f>
        <v/>
      </c>
      <c r="G180" s="1" t="str">
        <f t="shared" ref="G180:AI180" si="21">IF(OR(G181="S",G181="D"),"P6","")</f>
        <v/>
      </c>
      <c r="H180" s="1" t="str">
        <f t="shared" si="21"/>
        <v>P6</v>
      </c>
      <c r="I180" s="1" t="str">
        <f t="shared" si="21"/>
        <v>P6</v>
      </c>
      <c r="J180" s="1" t="str">
        <f t="shared" si="21"/>
        <v/>
      </c>
      <c r="K180" s="1" t="str">
        <f t="shared" si="21"/>
        <v/>
      </c>
      <c r="L180" s="1" t="str">
        <f t="shared" si="21"/>
        <v/>
      </c>
      <c r="M180" s="1" t="str">
        <f t="shared" si="21"/>
        <v/>
      </c>
      <c r="N180" s="1" t="str">
        <f t="shared" si="21"/>
        <v/>
      </c>
      <c r="O180" s="1" t="str">
        <f t="shared" si="21"/>
        <v>P6</v>
      </c>
      <c r="P180" s="1" t="str">
        <f t="shared" si="21"/>
        <v>P6</v>
      </c>
      <c r="Q180" s="1" t="str">
        <f t="shared" si="21"/>
        <v/>
      </c>
      <c r="R180" s="1" t="str">
        <f t="shared" si="21"/>
        <v/>
      </c>
      <c r="S180" s="1" t="str">
        <f t="shared" si="21"/>
        <v/>
      </c>
      <c r="T180" s="1" t="str">
        <f t="shared" si="21"/>
        <v/>
      </c>
      <c r="U180" s="1" t="str">
        <f t="shared" si="21"/>
        <v/>
      </c>
      <c r="V180" s="1" t="str">
        <f t="shared" si="21"/>
        <v>P6</v>
      </c>
      <c r="W180" s="1" t="str">
        <f t="shared" si="21"/>
        <v>P6</v>
      </c>
      <c r="X180" s="1" t="str">
        <f t="shared" si="21"/>
        <v/>
      </c>
      <c r="Y180" s="1" t="str">
        <f t="shared" si="21"/>
        <v/>
      </c>
      <c r="Z180" s="1" t="str">
        <f t="shared" si="21"/>
        <v/>
      </c>
      <c r="AA180" s="1" t="str">
        <f t="shared" si="21"/>
        <v/>
      </c>
      <c r="AB180" s="1" t="str">
        <f t="shared" si="21"/>
        <v/>
      </c>
      <c r="AC180" s="1" t="str">
        <f t="shared" si="21"/>
        <v>P6</v>
      </c>
      <c r="AD180" s="1" t="str">
        <f t="shared" si="21"/>
        <v>P6</v>
      </c>
      <c r="AE180" s="1" t="str">
        <f t="shared" si="21"/>
        <v/>
      </c>
      <c r="AF180" s="1" t="str">
        <f t="shared" si="21"/>
        <v/>
      </c>
      <c r="AG180" s="1" t="str">
        <f t="shared" si="21"/>
        <v/>
      </c>
      <c r="AH180" s="1" t="str">
        <f t="shared" si="21"/>
        <v/>
      </c>
      <c r="AI180" s="1" t="str">
        <f t="shared" si="21"/>
        <v/>
      </c>
      <c r="AL180" s="14" t="s">
        <v>225</v>
      </c>
      <c r="AM180" s="14"/>
      <c r="AN180" s="14"/>
      <c r="AO180" s="14"/>
      <c r="AP180" s="14"/>
      <c r="AQ180" s="14"/>
      <c r="AR180" s="14"/>
    </row>
    <row r="181" spans="1:44" ht="14.25" customHeight="1" x14ac:dyDescent="0.35">
      <c r="F181" s="1" t="str">
        <f>CHOOSE(WEEKDAY(F182,2),"L","M","X","J","V","S","D")</f>
        <v>J</v>
      </c>
      <c r="G181" s="1" t="str">
        <f t="shared" ref="G181:AI181" si="22">CHOOSE(WEEKDAY(G182,2),"L","M","X","J","V","S","D")</f>
        <v>V</v>
      </c>
      <c r="H181" s="1" t="str">
        <f t="shared" si="22"/>
        <v>S</v>
      </c>
      <c r="I181" s="1" t="str">
        <f t="shared" si="22"/>
        <v>D</v>
      </c>
      <c r="J181" s="1" t="str">
        <f t="shared" si="22"/>
        <v>L</v>
      </c>
      <c r="K181" s="1" t="str">
        <f t="shared" si="22"/>
        <v>M</v>
      </c>
      <c r="L181" s="1" t="str">
        <f t="shared" si="22"/>
        <v>X</v>
      </c>
      <c r="M181" s="1" t="str">
        <f t="shared" si="22"/>
        <v>J</v>
      </c>
      <c r="N181" s="1" t="str">
        <f t="shared" si="22"/>
        <v>V</v>
      </c>
      <c r="O181" s="1" t="str">
        <f t="shared" si="22"/>
        <v>S</v>
      </c>
      <c r="P181" s="1" t="str">
        <f t="shared" si="22"/>
        <v>D</v>
      </c>
      <c r="Q181" s="1" t="str">
        <f t="shared" si="22"/>
        <v>L</v>
      </c>
      <c r="R181" s="1" t="str">
        <f t="shared" si="22"/>
        <v>M</v>
      </c>
      <c r="S181" s="1" t="str">
        <f t="shared" si="22"/>
        <v>X</v>
      </c>
      <c r="T181" s="1" t="str">
        <f t="shared" si="22"/>
        <v>J</v>
      </c>
      <c r="U181" s="1" t="str">
        <f t="shared" si="22"/>
        <v>V</v>
      </c>
      <c r="V181" s="1" t="str">
        <f t="shared" si="22"/>
        <v>S</v>
      </c>
      <c r="W181" s="1" t="str">
        <f t="shared" si="22"/>
        <v>D</v>
      </c>
      <c r="X181" s="1" t="str">
        <f t="shared" si="22"/>
        <v>L</v>
      </c>
      <c r="Y181" s="1" t="str">
        <f t="shared" si="22"/>
        <v>M</v>
      </c>
      <c r="Z181" s="1" t="str">
        <f t="shared" si="22"/>
        <v>X</v>
      </c>
      <c r="AA181" s="1" t="str">
        <f t="shared" si="22"/>
        <v>J</v>
      </c>
      <c r="AB181" s="1" t="str">
        <f t="shared" si="22"/>
        <v>V</v>
      </c>
      <c r="AC181" s="1" t="str">
        <f t="shared" si="22"/>
        <v>S</v>
      </c>
      <c r="AD181" s="1" t="str">
        <f t="shared" si="22"/>
        <v>D</v>
      </c>
      <c r="AE181" s="1" t="str">
        <f t="shared" si="22"/>
        <v>L</v>
      </c>
      <c r="AF181" s="1" t="str">
        <f t="shared" si="22"/>
        <v>M</v>
      </c>
      <c r="AG181" s="1" t="str">
        <f t="shared" si="22"/>
        <v>X</v>
      </c>
      <c r="AH181" s="1" t="str">
        <f t="shared" si="22"/>
        <v>J</v>
      </c>
      <c r="AI181" s="1" t="str">
        <f t="shared" si="22"/>
        <v>V</v>
      </c>
      <c r="AL181" s="4"/>
      <c r="AM181" s="4" t="s">
        <v>13</v>
      </c>
      <c r="AN181" s="4" t="s">
        <v>14</v>
      </c>
      <c r="AO181" s="4" t="s">
        <v>15</v>
      </c>
      <c r="AP181" s="4" t="s">
        <v>16</v>
      </c>
      <c r="AQ181" s="4" t="s">
        <v>17</v>
      </c>
      <c r="AR181" s="4" t="s">
        <v>7</v>
      </c>
    </row>
    <row r="182" spans="1:44" ht="14.25" customHeight="1" x14ac:dyDescent="0.35">
      <c r="A182" s="3" t="s">
        <v>76</v>
      </c>
      <c r="B182" s="3" t="s">
        <v>77</v>
      </c>
      <c r="C182" s="3" t="s">
        <v>75</v>
      </c>
      <c r="D182" s="3" t="s">
        <v>74</v>
      </c>
      <c r="F182" s="8">
        <v>45078</v>
      </c>
      <c r="G182" s="8">
        <v>45079</v>
      </c>
      <c r="H182" s="8">
        <v>45080</v>
      </c>
      <c r="I182" s="8">
        <v>45081</v>
      </c>
      <c r="J182" s="8">
        <v>45082</v>
      </c>
      <c r="K182" s="8">
        <v>45083</v>
      </c>
      <c r="L182" s="8">
        <v>45084</v>
      </c>
      <c r="M182" s="8">
        <v>45085</v>
      </c>
      <c r="N182" s="8">
        <v>45086</v>
      </c>
      <c r="O182" s="8">
        <v>45087</v>
      </c>
      <c r="P182" s="8">
        <v>45088</v>
      </c>
      <c r="Q182" s="8">
        <v>45089</v>
      </c>
      <c r="R182" s="8">
        <v>45090</v>
      </c>
      <c r="S182" s="8">
        <v>45091</v>
      </c>
      <c r="T182" s="8">
        <v>45092</v>
      </c>
      <c r="U182" s="8">
        <v>45093</v>
      </c>
      <c r="V182" s="8">
        <v>45094</v>
      </c>
      <c r="W182" s="8">
        <v>45095</v>
      </c>
      <c r="X182" s="8">
        <v>45096</v>
      </c>
      <c r="Y182" s="8">
        <v>45097</v>
      </c>
      <c r="Z182" s="8">
        <v>45098</v>
      </c>
      <c r="AA182" s="8">
        <v>45099</v>
      </c>
      <c r="AB182" s="8">
        <v>45100</v>
      </c>
      <c r="AC182" s="8">
        <v>45101</v>
      </c>
      <c r="AD182" s="8">
        <v>45102</v>
      </c>
      <c r="AE182" s="8">
        <v>45103</v>
      </c>
      <c r="AF182" s="8">
        <v>45104</v>
      </c>
      <c r="AG182" s="8">
        <v>45105</v>
      </c>
      <c r="AH182" s="8">
        <v>45106</v>
      </c>
      <c r="AI182" s="8">
        <v>45107</v>
      </c>
      <c r="AL182" s="4" t="s">
        <v>19</v>
      </c>
      <c r="AM182" s="6" cm="1">
        <f t="array" ref="AM182">IFERROR((SUMPRODUCT(($C$183:$C$206=AM$181)*($F$179:$AI$179="")*$F$183:$AI$206)+IF(AM$181="P3",SUMPRODUCT(($F$179:$AI$179="P3")*$F$183:$AI$206),0))/(SUMPRODUCT(($C$183:$C$206=AM$181)*($F$179:$AI$179=""))+IF(AM$181="P3",COUNTIF($F$179:$AI$179,"P3")*ROWS($C$183:$C$206),0)),"")</f>
        <v>0.87609801136363608</v>
      </c>
      <c r="AN182" s="6" cm="1">
        <f t="array" ref="AN182">IFERROR((SUMPRODUCT(($C$183:$C$206=AN$181)*($F$179:$AI$179="")*$F$183:$AI$206)+IF(AN$181="P3",SUMPRODUCT(($F$179:$AI$179="P3")*$F$183:$AI$206),0))/(SUMPRODUCT(($C$183:$C$206=AN$181)*($F$179:$AI$179=""))+IF(AN$181="P3",COUNTIF($F$179:$AI$179,"P3")*ROWS($C$183:$C$206),0)),"")</f>
        <v>0.8942555113636359</v>
      </c>
      <c r="AO182" s="6" cm="1">
        <f t="array" ref="AO182">IFERROR((SUMPRODUCT(($C$183:$C$206=AO$181)*($F$179:$AI$179="")*$F$183:$AI$206)+IF(AO$181="P3",SUMPRODUCT(($F$179:$AI$179="P3")*$F$183:$AI$206),0))/(SUMPRODUCT(($C$183:$C$206=AO$181)*($F$179:$AI$179=""))+IF(AO$181="P3",COUNTIF($F$179:$AI$179,"P3")*ROWS($C$183:$C$206),0)),"")</f>
        <v>0.9295307336956522</v>
      </c>
      <c r="AP182" s="6" t="str" cm="1">
        <f t="array" ref="AP182">IFERROR((SUMPRODUCT(($C$183:$C$206=AP$181)*($F$179:$AI$179="")*$F$183:$AI$206)+IF(AP$181="P3",SUMPRODUCT(($F$179:$AI$179="P3")*$F$183:$AI$206),0))/(SUMPRODUCT(($C$183:$C$206=AP$181)*($F$179:$AI$179=""))+IF(AP$181="P3",COUNTIF($F$179:$AI$179,"P3")*ROWS($C$183:$C$206),0)),"")</f>
        <v/>
      </c>
      <c r="AQ182" s="6" t="str" cm="1">
        <f t="array" ref="AQ182">IFERROR((SUMPRODUCT(($C$183:$C$206=AQ$181)*($F$179:$AI$179="")*$F$183:$AI$206)+IF(AQ$181="P3",SUMPRODUCT(($F$179:$AI$179="P3")*$F$183:$AI$206),0))/(SUMPRODUCT(($C$183:$C$206=AQ$181)*($F$179:$AI$179=""))+IF(AQ$181="P3",COUNTIF($F$179:$AI$179,"P3")*ROWS($C$183:$C$206),0)),"")</f>
        <v/>
      </c>
      <c r="AR182" s="6" t="str" cm="1">
        <f t="array" ref="AR182">IFERROR((SUMPRODUCT(($C$183:$C$206=AR$181)*($F$179:$AI$179="")*$F$183:$AI$206)+IF(AR$181="P3",SUMPRODUCT(($F$179:$AI$179="P3")*$F$183:$AI$206),0))/(SUMPRODUCT(($C$183:$C$206=AR$181)*($F$179:$AI$179=""))+IF(AR$181="P3",COUNTIF($F$179:$AI$179,"P3")*ROWS($C$183:$C$206),0)),"")</f>
        <v/>
      </c>
    </row>
    <row r="183" spans="1:44" ht="14.25" customHeight="1" x14ac:dyDescent="0.35">
      <c r="A183" s="1" t="s">
        <v>7</v>
      </c>
      <c r="B183" s="1" t="s">
        <v>7</v>
      </c>
      <c r="C183" s="1" t="s">
        <v>15</v>
      </c>
      <c r="D183" s="1" t="s">
        <v>7</v>
      </c>
      <c r="E183" s="1" t="s">
        <v>8</v>
      </c>
      <c r="F183" s="1">
        <v>0.93240999999999996</v>
      </c>
      <c r="G183" s="1">
        <v>0.94389000000000001</v>
      </c>
      <c r="H183" s="1">
        <v>0.94867999999999997</v>
      </c>
      <c r="I183" s="1">
        <v>1.0114700000000001</v>
      </c>
      <c r="J183" s="1">
        <v>0.95814999999999995</v>
      </c>
      <c r="K183" s="1">
        <v>0.92195000000000005</v>
      </c>
      <c r="L183" s="1">
        <v>0.92183999999999999</v>
      </c>
      <c r="M183" s="1">
        <v>0.93240999999999996</v>
      </c>
      <c r="N183" s="1">
        <v>0.94389000000000001</v>
      </c>
      <c r="O183" s="1">
        <v>0.94867999999999997</v>
      </c>
      <c r="P183" s="1">
        <v>1.0114700000000001</v>
      </c>
      <c r="Q183" s="1">
        <v>0.95814999999999995</v>
      </c>
      <c r="R183" s="1">
        <v>0.92195000000000005</v>
      </c>
      <c r="S183" s="1">
        <v>0.92183999999999999</v>
      </c>
      <c r="T183" s="1">
        <v>0.93240999999999996</v>
      </c>
      <c r="U183" s="1">
        <v>0.94389000000000001</v>
      </c>
      <c r="V183" s="1">
        <v>0.94867999999999997</v>
      </c>
      <c r="W183" s="1">
        <v>1.0114700000000001</v>
      </c>
      <c r="X183" s="1">
        <v>0.95814999999999995</v>
      </c>
      <c r="Y183" s="1">
        <v>0.92195000000000005</v>
      </c>
      <c r="Z183" s="1">
        <v>0.92183999999999999</v>
      </c>
      <c r="AA183" s="1">
        <v>0.93240999999999996</v>
      </c>
      <c r="AB183" s="1">
        <v>0.94389000000000001</v>
      </c>
      <c r="AC183" s="1">
        <v>0.94867999999999997</v>
      </c>
      <c r="AD183" s="1">
        <v>1.0114700000000001</v>
      </c>
      <c r="AE183" s="1">
        <v>0.95814999999999995</v>
      </c>
      <c r="AF183" s="1">
        <v>0.92195000000000005</v>
      </c>
      <c r="AG183" s="1">
        <v>0.92183999999999999</v>
      </c>
      <c r="AH183" s="1">
        <v>0.93240999999999996</v>
      </c>
      <c r="AI183" s="1">
        <v>0.94389000000000001</v>
      </c>
      <c r="AL183" s="4" t="s">
        <v>21</v>
      </c>
      <c r="AM183" s="6" t="str" cm="1">
        <f t="array" ref="AM183">IFERROR((SUMPRODUCT(($D$183:$D$206=AM$181)*($F$180:$AI$180="")*$F$183:$AI$206)+IF(AM$181="P6",SUMPRODUCT(($F$180:$AI$180="P6")*$F$183:$AI$206),0))/(SUMPRODUCT(($D$183:$D$206=AM$181)*($F$180:$AI$180=""))+IF(AM$181="P6",COUNTIF($F$180:$AI$180,"P6")*ROWS($D$183:$D$206),0)),"")</f>
        <v/>
      </c>
      <c r="AN183" s="6" t="str" cm="1">
        <f t="array" ref="AN183">IFERROR((SUMPRODUCT(($D$183:$D$206=AN$181)*($F$180:$AI$180="")*$F$183:$AI$206)+IF(AN$181="P6",SUMPRODUCT(($F$180:$AI$180="P6")*$F$183:$AI$206),0))/(SUMPRODUCT(($D$183:$D$206=AN$181)*($F$180:$AI$180=""))+IF(AN$181="P6",COUNTIF($F$180:$AI$180,"P6")*ROWS($D$183:$D$206),0)),"")</f>
        <v/>
      </c>
      <c r="AO183" s="6" cm="1">
        <f t="array" ref="AO183">IFERROR((SUMPRODUCT(($D$183:$D$206=AO$181)*($F$180:$AI$180="")*$F$183:$AI$206)+IF(AO$181="P6",SUMPRODUCT(($F$180:$AI$180="P6")*$F$183:$AI$206),0))/(SUMPRODUCT(($D$183:$D$206=AO$181)*($F$180:$AI$180=""))+IF(AO$181="P6",COUNTIF($F$180:$AI$180,"P6")*ROWS($D$183:$D$206),0)),"")</f>
        <v>0.87290404040404068</v>
      </c>
      <c r="AP183" s="6" cm="1">
        <f t="array" ref="AP183">IFERROR((SUMPRODUCT(($D$183:$D$206=AP$181)*($F$180:$AI$180="")*$F$183:$AI$206)+IF(AP$181="P6",SUMPRODUCT(($F$180:$AI$180="P6")*$F$183:$AI$206),0))/(SUMPRODUCT(($D$183:$D$206=AP$181)*($F$180:$AI$180=""))+IF(AP$181="P6",COUNTIF($F$180:$AI$180,"P6")*ROWS($D$183:$D$206),0)),"")</f>
        <v>0.9009559740259736</v>
      </c>
      <c r="AQ183" s="6" t="str" cm="1">
        <f t="array" ref="AQ183">IFERROR((SUMPRODUCT(($D$183:$D$206=AQ$181)*($F$180:$AI$180="")*$F$183:$AI$206)+IF(AQ$181="P6",SUMPRODUCT(($F$180:$AI$180="P6")*$F$183:$AI$206),0))/(SUMPRODUCT(($D$183:$D$206=AQ$181)*($F$180:$AI$180=""))+IF(AQ$181="P6",COUNTIF($F$180:$AI$180,"P6")*ROWS($D$183:$D$206),0)),"")</f>
        <v/>
      </c>
      <c r="AR183" s="6" cm="1">
        <f t="array" ref="AR183">IFERROR((SUMPRODUCT(($D$183:$D$206=AR$181)*($F$180:$AI$180="")*$F$183:$AI$206)+IF(AR$181="P6",SUMPRODUCT(($F$180:$AI$180="P6")*$F$183:$AI$206),0))/(SUMPRODUCT(($D$183:$D$206=AR$181)*($F$180:$AI$180=""))+IF(AR$181="P6",COUNTIF($F$180:$AI$180,"P6")*ROWS($D$183:$D$206),0)),"")</f>
        <v>0.9295307336956522</v>
      </c>
    </row>
    <row r="184" spans="1:44" ht="14.25" customHeight="1" x14ac:dyDescent="0.35">
      <c r="A184" s="1" t="s">
        <v>7</v>
      </c>
      <c r="B184" s="1" t="s">
        <v>7</v>
      </c>
      <c r="C184" s="1" t="s">
        <v>15</v>
      </c>
      <c r="D184" s="1" t="s">
        <v>7</v>
      </c>
      <c r="E184" s="1" t="s">
        <v>9</v>
      </c>
      <c r="F184" s="1">
        <v>0.95677999999999996</v>
      </c>
      <c r="G184" s="1">
        <v>0.96596000000000004</v>
      </c>
      <c r="H184" s="1">
        <v>0.96314999999999995</v>
      </c>
      <c r="I184" s="1">
        <v>1.0263</v>
      </c>
      <c r="J184" s="1">
        <v>0.98745000000000005</v>
      </c>
      <c r="K184" s="1">
        <v>0.95076000000000005</v>
      </c>
      <c r="L184" s="1">
        <v>0.94106000000000001</v>
      </c>
      <c r="M184" s="1">
        <v>0.95677999999999996</v>
      </c>
      <c r="N184" s="1">
        <v>0.96596000000000004</v>
      </c>
      <c r="O184" s="1">
        <v>0.96314999999999995</v>
      </c>
      <c r="P184" s="1">
        <v>1.0263</v>
      </c>
      <c r="Q184" s="1">
        <v>0.98745000000000005</v>
      </c>
      <c r="R184" s="1">
        <v>0.95076000000000005</v>
      </c>
      <c r="S184" s="1">
        <v>0.94106000000000001</v>
      </c>
      <c r="T184" s="1">
        <v>0.95677999999999996</v>
      </c>
      <c r="U184" s="1">
        <v>0.96596000000000004</v>
      </c>
      <c r="V184" s="1">
        <v>0.96314999999999995</v>
      </c>
      <c r="W184" s="1">
        <v>1.0263</v>
      </c>
      <c r="X184" s="1">
        <v>0.98745000000000005</v>
      </c>
      <c r="Y184" s="1">
        <v>0.95076000000000005</v>
      </c>
      <c r="Z184" s="1">
        <v>0.94106000000000001</v>
      </c>
      <c r="AA184" s="1">
        <v>0.95677999999999996</v>
      </c>
      <c r="AB184" s="1">
        <v>0.96596000000000004</v>
      </c>
      <c r="AC184" s="1">
        <v>0.96314999999999995</v>
      </c>
      <c r="AD184" s="1">
        <v>1.0263</v>
      </c>
      <c r="AE184" s="1">
        <v>0.98745000000000005</v>
      </c>
      <c r="AF184" s="1">
        <v>0.95076000000000005</v>
      </c>
      <c r="AG184" s="1">
        <v>0.94106000000000001</v>
      </c>
      <c r="AH184" s="1">
        <v>0.95677999999999996</v>
      </c>
      <c r="AI184" s="1">
        <v>0.96596000000000004</v>
      </c>
      <c r="AL184" s="4" t="s">
        <v>23</v>
      </c>
      <c r="AM184" s="6" t="str" cm="1">
        <f t="array" ref="AM184">IFERROR((SUMPRODUCT(($D$183:$D$206=AM$181)*($F$180:$AI$180="")*$F$183:$AI$206)+IF(AM$181="P6",SUMPRODUCT(($F$180:$AI$180="P6")*$F$183:$AI$206),0))/(SUMPRODUCT(($D$183:$D$206=AM$181)*($F$180:$AI$180=""))+IF(AM$181="P6",COUNTIF($F$180:$AI$180,"P6")*ROWS($D$183:$D$206),0)),"")</f>
        <v/>
      </c>
      <c r="AN184" s="6" t="str" cm="1">
        <f t="array" ref="AN184">IFERROR((SUMPRODUCT(($D$183:$D$206=AN$181)*($F$180:$AI$180="")*$F$183:$AI$206)+IF(AN$181="P6",SUMPRODUCT(($F$180:$AI$180="P6")*$F$183:$AI$206),0))/(SUMPRODUCT(($D$183:$D$206=AN$181)*($F$180:$AI$180=""))+IF(AN$181="P6",COUNTIF($F$180:$AI$180,"P6")*ROWS($D$183:$D$206),0)),"")</f>
        <v/>
      </c>
      <c r="AO184" s="5" cm="1">
        <f t="array" ref="AO184">IFERROR((SUMPRODUCT(($D$183:$D$206=AO$181)*($F$180:$AI$180="")*$F$183:$AI$206)+IF(AO$181="P6",SUMPRODUCT(($F$180:$AI$180="P6")*$F$183:$AI$206),0))/(SUMPRODUCT(($D$183:$D$206=AO$181)*($F$180:$AI$180=""))+IF(AO$181="P6",COUNTIF($F$180:$AI$180,"P6")*ROWS($D$183:$D$206),0)),"")</f>
        <v>0.87290404040404068</v>
      </c>
      <c r="AP184" s="5" cm="1">
        <f t="array" ref="AP184">IFERROR((SUMPRODUCT(($D$183:$D$206=AP$181)*($F$180:$AI$180="")*$F$183:$AI$206)+IF(AP$181="P6",SUMPRODUCT(($F$180:$AI$180="P6")*$F$183:$AI$206),0))/(SUMPRODUCT(($D$183:$D$206=AP$181)*($F$180:$AI$180=""))+IF(AP$181="P6",COUNTIF($F$180:$AI$180,"P6")*ROWS($D$183:$D$206),0)),"")</f>
        <v>0.9009559740259736</v>
      </c>
      <c r="AQ184" s="5" t="str" cm="1">
        <f t="array" ref="AQ184">IFERROR((SUMPRODUCT(($D$183:$D$206=AQ$181)*($F$180:$AI$180="")*$F$183:$AI$206)+IF(AQ$181="P6",SUMPRODUCT(($F$180:$AI$180="P6")*$F$183:$AI$206),0))/(SUMPRODUCT(($D$183:$D$206=AQ$181)*($F$180:$AI$180=""))+IF(AQ$181="P6",COUNTIF($F$180:$AI$180,"P6")*ROWS($D$183:$D$206),0)),"")</f>
        <v/>
      </c>
      <c r="AR184" s="6" cm="1">
        <f t="array" ref="AR184">IFERROR((SUMPRODUCT(($D$183:$D$206=AR$181)*($F$180:$AI$180="")*$F$183:$AI$206)+IF(AR$181="P6",SUMPRODUCT(($F$180:$AI$180="P6")*$F$183:$AI$206),0))/(SUMPRODUCT(($D$183:$D$206=AR$181)*($F$180:$AI$180=""))+IF(AR$181="P6",COUNTIF($F$180:$AI$180,"P6")*ROWS($D$183:$D$206),0)),"")</f>
        <v>0.9295307336956522</v>
      </c>
    </row>
    <row r="185" spans="1:44" ht="14.25" customHeight="1" x14ac:dyDescent="0.35">
      <c r="A185" s="1" t="s">
        <v>7</v>
      </c>
      <c r="B185" s="1" t="s">
        <v>7</v>
      </c>
      <c r="C185" s="1" t="s">
        <v>15</v>
      </c>
      <c r="D185" s="1" t="s">
        <v>7</v>
      </c>
      <c r="E185" s="1" t="s">
        <v>10</v>
      </c>
      <c r="F185" s="1">
        <v>0.97980999999999996</v>
      </c>
      <c r="G185" s="1">
        <v>0.9819</v>
      </c>
      <c r="H185" s="1">
        <v>0.97550999999999999</v>
      </c>
      <c r="I185" s="1">
        <v>1.0448</v>
      </c>
      <c r="J185" s="1">
        <v>1.00701</v>
      </c>
      <c r="K185" s="1">
        <v>0.97060999999999997</v>
      </c>
      <c r="L185" s="1">
        <v>0.95504999999999995</v>
      </c>
      <c r="M185" s="1">
        <v>0.97980999999999996</v>
      </c>
      <c r="N185" s="1">
        <v>0.9819</v>
      </c>
      <c r="O185" s="1">
        <v>0.97550999999999999</v>
      </c>
      <c r="P185" s="1">
        <v>1.0448</v>
      </c>
      <c r="Q185" s="1">
        <v>1.00701</v>
      </c>
      <c r="R185" s="1">
        <v>0.97060999999999997</v>
      </c>
      <c r="S185" s="1">
        <v>0.95504999999999995</v>
      </c>
      <c r="T185" s="1">
        <v>0.97980999999999996</v>
      </c>
      <c r="U185" s="1">
        <v>0.9819</v>
      </c>
      <c r="V185" s="1">
        <v>0.97550999999999999</v>
      </c>
      <c r="W185" s="1">
        <v>1.0448</v>
      </c>
      <c r="X185" s="1">
        <v>1.00701</v>
      </c>
      <c r="Y185" s="1">
        <v>0.97060999999999997</v>
      </c>
      <c r="Z185" s="1">
        <v>0.95504999999999995</v>
      </c>
      <c r="AA185" s="1">
        <v>0.97980999999999996</v>
      </c>
      <c r="AB185" s="1">
        <v>0.9819</v>
      </c>
      <c r="AC185" s="1">
        <v>0.97550999999999999</v>
      </c>
      <c r="AD185" s="1">
        <v>1.0448</v>
      </c>
      <c r="AE185" s="1">
        <v>1.00701</v>
      </c>
      <c r="AF185" s="1">
        <v>0.97060999999999997</v>
      </c>
      <c r="AG185" s="1">
        <v>0.95504999999999995</v>
      </c>
      <c r="AH185" s="1">
        <v>0.97980999999999996</v>
      </c>
      <c r="AI185" s="1">
        <v>0.9819</v>
      </c>
      <c r="AL185" s="4" t="s">
        <v>25</v>
      </c>
      <c r="AM185" s="6" t="str" cm="1">
        <f t="array" ref="AM185">IFERROR((SUMPRODUCT(($D$183:$D$206=AM$181)*($F$180:$AI$180="")*$F$183:$AI$206)+IF(AM$181="P6",SUMPRODUCT(($F$180:$AI$180="P6")*$F$183:$AI$206),0))/(SUMPRODUCT(($D$183:$D$206=AM$181)*($F$180:$AI$180=""))+IF(AM$181="P6",COUNTIF($F$180:$AI$180,"P6")*ROWS($D$183:$D$206),0)),"")</f>
        <v/>
      </c>
      <c r="AN185" s="6" t="str" cm="1">
        <f t="array" ref="AN185">IFERROR((SUMPRODUCT(($D$183:$D$206=AN$181)*($F$180:$AI$180="")*$F$183:$AI$206)+IF(AN$181="P6",SUMPRODUCT(($F$180:$AI$180="P6")*$F$183:$AI$206),0))/(SUMPRODUCT(($D$183:$D$206=AN$181)*($F$180:$AI$180=""))+IF(AN$181="P6",COUNTIF($F$180:$AI$180,"P6")*ROWS($D$183:$D$206),0)),"")</f>
        <v/>
      </c>
      <c r="AO185" s="5" cm="1">
        <f t="array" ref="AO185">IFERROR((SUMPRODUCT(($D$183:$D$206=AO$181)*($F$180:$AI$180="")*$F$183:$AI$206)+IF(AO$181="P6",SUMPRODUCT(($F$180:$AI$180="P6")*$F$183:$AI$206),0))/(SUMPRODUCT(($D$183:$D$206=AO$181)*($F$180:$AI$180=""))+IF(AO$181="P6",COUNTIF($F$180:$AI$180,"P6")*ROWS($D$183:$D$206),0)),"")</f>
        <v>0.87290404040404068</v>
      </c>
      <c r="AP185" s="5" cm="1">
        <f t="array" ref="AP185">IFERROR((SUMPRODUCT(($D$183:$D$206=AP$181)*($F$180:$AI$180="")*$F$183:$AI$206)+IF(AP$181="P6",SUMPRODUCT(($F$180:$AI$180="P6")*$F$183:$AI$206),0))/(SUMPRODUCT(($D$183:$D$206=AP$181)*($F$180:$AI$180=""))+IF(AP$181="P6",COUNTIF($F$180:$AI$180,"P6")*ROWS($D$183:$D$206),0)),"")</f>
        <v>0.9009559740259736</v>
      </c>
      <c r="AQ185" s="5" t="str" cm="1">
        <f t="array" ref="AQ185">IFERROR((SUMPRODUCT(($D$183:$D$206=AQ$181)*($F$180:$AI$180="")*$F$183:$AI$206)+IF(AQ$181="P6",SUMPRODUCT(($F$180:$AI$180="P6")*$F$183:$AI$206),0))/(SUMPRODUCT(($D$183:$D$206=AQ$181)*($F$180:$AI$180=""))+IF(AQ$181="P6",COUNTIF($F$180:$AI$180,"P6")*ROWS($D$183:$D$206),0)),"")</f>
        <v/>
      </c>
      <c r="AR185" s="6" cm="1">
        <f t="array" ref="AR185">IFERROR((SUMPRODUCT(($D$183:$D$206=AR$181)*($F$180:$AI$180="")*$F$183:$AI$206)+IF(AR$181="P6",SUMPRODUCT(($F$180:$AI$180="P6")*$F$183:$AI$206),0))/(SUMPRODUCT(($D$183:$D$206=AR$181)*($F$180:$AI$180=""))+IF(AR$181="P6",COUNTIF($F$180:$AI$180,"P6")*ROWS($D$183:$D$206),0)),"")</f>
        <v>0.9295307336956522</v>
      </c>
    </row>
    <row r="186" spans="1:44" ht="14.25" customHeight="1" x14ac:dyDescent="0.35">
      <c r="A186" s="1" t="s">
        <v>7</v>
      </c>
      <c r="B186" s="1" t="s">
        <v>7</v>
      </c>
      <c r="C186" s="1" t="s">
        <v>15</v>
      </c>
      <c r="D186" s="1" t="s">
        <v>7</v>
      </c>
      <c r="E186" s="1" t="s">
        <v>11</v>
      </c>
      <c r="F186" s="1">
        <v>0.97946999999999995</v>
      </c>
      <c r="G186" s="1">
        <v>0.98112999999999995</v>
      </c>
      <c r="H186" s="1">
        <v>0.98177000000000003</v>
      </c>
      <c r="I186" s="1">
        <v>1.0517099999999999</v>
      </c>
      <c r="J186" s="1">
        <v>1.01407</v>
      </c>
      <c r="K186" s="1">
        <v>0.96992</v>
      </c>
      <c r="L186" s="1">
        <v>0.96267000000000003</v>
      </c>
      <c r="M186" s="1">
        <v>0.97946999999999995</v>
      </c>
      <c r="N186" s="1">
        <v>0.98112999999999995</v>
      </c>
      <c r="O186" s="1">
        <v>0.98177000000000003</v>
      </c>
      <c r="P186" s="1">
        <v>1.0517099999999999</v>
      </c>
      <c r="Q186" s="1">
        <v>1.01407</v>
      </c>
      <c r="R186" s="1">
        <v>0.96992</v>
      </c>
      <c r="S186" s="1">
        <v>0.96267000000000003</v>
      </c>
      <c r="T186" s="1">
        <v>0.97946999999999995</v>
      </c>
      <c r="U186" s="1">
        <v>0.98112999999999995</v>
      </c>
      <c r="V186" s="1">
        <v>0.98177000000000003</v>
      </c>
      <c r="W186" s="1">
        <v>1.0517099999999999</v>
      </c>
      <c r="X186" s="1">
        <v>1.01407</v>
      </c>
      <c r="Y186" s="1">
        <v>0.96992</v>
      </c>
      <c r="Z186" s="1">
        <v>0.96267000000000003</v>
      </c>
      <c r="AA186" s="1">
        <v>0.97946999999999995</v>
      </c>
      <c r="AB186" s="1">
        <v>0.98112999999999995</v>
      </c>
      <c r="AC186" s="1">
        <v>0.98177000000000003</v>
      </c>
      <c r="AD186" s="1">
        <v>1.0517099999999999</v>
      </c>
      <c r="AE186" s="1">
        <v>1.01407</v>
      </c>
      <c r="AF186" s="1">
        <v>0.96992</v>
      </c>
      <c r="AG186" s="1">
        <v>0.96267000000000003</v>
      </c>
      <c r="AH186" s="1">
        <v>0.97946999999999995</v>
      </c>
      <c r="AI186" s="1">
        <v>0.98112999999999995</v>
      </c>
      <c r="AL186" s="4" t="s">
        <v>27</v>
      </c>
      <c r="AM186" s="6" t="str" cm="1">
        <f t="array" ref="AM186">IFERROR((SUMPRODUCT(($D$183:$D$206=AM$181)*($F$180:$AI$180="")*$F$183:$AI$206)+IF(AM$181="P6",SUMPRODUCT(($F$180:$AI$180="P6")*$F$183:$AI$206),0))/(SUMPRODUCT(($D$183:$D$206=AM$181)*($F$180:$AI$180=""))+IF(AM$181="P6",COUNTIF($F$180:$AI$180,"P6")*ROWS($D$183:$D$206),0)),"")</f>
        <v/>
      </c>
      <c r="AN186" s="6" t="str" cm="1">
        <f t="array" ref="AN186">IFERROR((SUMPRODUCT(($D$183:$D$206=AN$181)*($F$180:$AI$180="")*$F$183:$AI$206)+IF(AN$181="P6",SUMPRODUCT(($F$180:$AI$180="P6")*$F$183:$AI$206),0))/(SUMPRODUCT(($D$183:$D$206=AN$181)*($F$180:$AI$180=""))+IF(AN$181="P6",COUNTIF($F$180:$AI$180,"P6")*ROWS($D$183:$D$206),0)),"")</f>
        <v/>
      </c>
      <c r="AO186" s="5" cm="1">
        <f t="array" ref="AO186">IFERROR((SUMPRODUCT(($D$183:$D$206=AO$181)*($F$180:$AI$180="")*$F$183:$AI$206)+IF(AO$181="P6",SUMPRODUCT(($F$180:$AI$180="P6")*$F$183:$AI$206),0))/(SUMPRODUCT(($D$183:$D$206=AO$181)*($F$180:$AI$180=""))+IF(AO$181="P6",COUNTIF($F$180:$AI$180,"P6")*ROWS($D$183:$D$206),0)),"")</f>
        <v>0.87290404040404068</v>
      </c>
      <c r="AP186" s="5" cm="1">
        <f t="array" ref="AP186">IFERROR((SUMPRODUCT(($D$183:$D$206=AP$181)*($F$180:$AI$180="")*$F$183:$AI$206)+IF(AP$181="P6",SUMPRODUCT(($F$180:$AI$180="P6")*$F$183:$AI$206),0))/(SUMPRODUCT(($D$183:$D$206=AP$181)*($F$180:$AI$180=""))+IF(AP$181="P6",COUNTIF($F$180:$AI$180,"P6")*ROWS($D$183:$D$206),0)),"")</f>
        <v>0.9009559740259736</v>
      </c>
      <c r="AQ186" s="5" t="str" cm="1">
        <f t="array" ref="AQ186">IFERROR((SUMPRODUCT(($D$183:$D$206=AQ$181)*($F$180:$AI$180="")*$F$183:$AI$206)+IF(AQ$181="P6",SUMPRODUCT(($F$180:$AI$180="P6")*$F$183:$AI$206),0))/(SUMPRODUCT(($D$183:$D$206=AQ$181)*($F$180:$AI$180=""))+IF(AQ$181="P6",COUNTIF($F$180:$AI$180,"P6")*ROWS($D$183:$D$206),0)),"")</f>
        <v/>
      </c>
      <c r="AR186" s="6" cm="1">
        <f t="array" ref="AR186">IFERROR((SUMPRODUCT(($D$183:$D$206=AR$181)*($F$180:$AI$180="")*$F$183:$AI$206)+IF(AR$181="P6",SUMPRODUCT(($F$180:$AI$180="P6")*$F$183:$AI$206),0))/(SUMPRODUCT(($D$183:$D$206=AR$181)*($F$180:$AI$180=""))+IF(AR$181="P6",COUNTIF($F$180:$AI$180,"P6")*ROWS($D$183:$D$206),0)),"")</f>
        <v>0.9295307336956522</v>
      </c>
    </row>
    <row r="187" spans="1:44" ht="14.25" customHeight="1" x14ac:dyDescent="0.35">
      <c r="A187" s="1" t="s">
        <v>7</v>
      </c>
      <c r="B187" s="1" t="s">
        <v>7</v>
      </c>
      <c r="C187" s="1" t="s">
        <v>15</v>
      </c>
      <c r="D187" s="1" t="s">
        <v>7</v>
      </c>
      <c r="E187" s="1" t="s">
        <v>12</v>
      </c>
      <c r="F187" s="1">
        <v>0.97912999999999994</v>
      </c>
      <c r="G187" s="1">
        <v>0.97291000000000005</v>
      </c>
      <c r="H187" s="1">
        <v>0.98363</v>
      </c>
      <c r="I187" s="1">
        <v>1.04461</v>
      </c>
      <c r="J187" s="1">
        <v>1.00891</v>
      </c>
      <c r="K187" s="1">
        <v>0.95843999999999996</v>
      </c>
      <c r="L187" s="1">
        <v>0.95804999999999996</v>
      </c>
      <c r="M187" s="1">
        <v>0.97912999999999994</v>
      </c>
      <c r="N187" s="1">
        <v>0.97291000000000005</v>
      </c>
      <c r="O187" s="1">
        <v>0.98363</v>
      </c>
      <c r="P187" s="1">
        <v>1.04461</v>
      </c>
      <c r="Q187" s="1">
        <v>1.00891</v>
      </c>
      <c r="R187" s="1">
        <v>0.95843999999999996</v>
      </c>
      <c r="S187" s="1">
        <v>0.95804999999999996</v>
      </c>
      <c r="T187" s="1">
        <v>0.97912999999999994</v>
      </c>
      <c r="U187" s="1">
        <v>0.97291000000000005</v>
      </c>
      <c r="V187" s="1">
        <v>0.98363</v>
      </c>
      <c r="W187" s="1">
        <v>1.04461</v>
      </c>
      <c r="X187" s="1">
        <v>1.00891</v>
      </c>
      <c r="Y187" s="1">
        <v>0.95843999999999996</v>
      </c>
      <c r="Z187" s="1">
        <v>0.95804999999999996</v>
      </c>
      <c r="AA187" s="1">
        <v>0.97912999999999994</v>
      </c>
      <c r="AB187" s="1">
        <v>0.97291000000000005</v>
      </c>
      <c r="AC187" s="1">
        <v>0.98363</v>
      </c>
      <c r="AD187" s="1">
        <v>1.04461</v>
      </c>
      <c r="AE187" s="1">
        <v>1.00891</v>
      </c>
      <c r="AF187" s="1">
        <v>0.95843999999999996</v>
      </c>
      <c r="AG187" s="1">
        <v>0.95804999999999996</v>
      </c>
      <c r="AH187" s="1">
        <v>0.97912999999999994</v>
      </c>
      <c r="AI187" s="1">
        <v>0.97291000000000005</v>
      </c>
      <c r="AL187" s="4" t="s">
        <v>29</v>
      </c>
      <c r="AM187" s="6" t="str" cm="1">
        <f t="array" ref="AM187">IFERROR((SUMPRODUCT(($D$183:$D$206=AM$181)*($F$180:$AI$180="")*$F$183:$AI$206)+IF(AM$181="P6",SUMPRODUCT(($F$180:$AI$180="P6")*$F$183:$AI$206),0))/(SUMPRODUCT(($D$183:$D$206=AM$181)*($F$180:$AI$180=""))+IF(AM$181="P6",COUNTIF($F$180:$AI$180,"P6")*ROWS($D$183:$D$206),0)),"")</f>
        <v/>
      </c>
      <c r="AN187" s="6" t="str" cm="1">
        <f t="array" ref="AN187">IFERROR((SUMPRODUCT(($D$183:$D$206=AN$181)*($F$180:$AI$180="")*$F$183:$AI$206)+IF(AN$181="P6",SUMPRODUCT(($F$180:$AI$180="P6")*$F$183:$AI$206),0))/(SUMPRODUCT(($D$183:$D$206=AN$181)*($F$180:$AI$180=""))+IF(AN$181="P6",COUNTIF($F$180:$AI$180,"P6")*ROWS($D$183:$D$206),0)),"")</f>
        <v/>
      </c>
      <c r="AO187" s="5" cm="1">
        <f t="array" ref="AO187">IFERROR((SUMPRODUCT(($D$183:$D$206=AO$181)*($F$180:$AI$180="")*$F$183:$AI$206)+IF(AO$181="P6",SUMPRODUCT(($F$180:$AI$180="P6")*$F$183:$AI$206),0))/(SUMPRODUCT(($D$183:$D$206=AO$181)*($F$180:$AI$180=""))+IF(AO$181="P6",COUNTIF($F$180:$AI$180,"P6")*ROWS($D$183:$D$206),0)),"")</f>
        <v>0.87290404040404068</v>
      </c>
      <c r="AP187" s="5" cm="1">
        <f t="array" ref="AP187">IFERROR((SUMPRODUCT(($D$183:$D$206=AP$181)*($F$180:$AI$180="")*$F$183:$AI$206)+IF(AP$181="P6",SUMPRODUCT(($F$180:$AI$180="P6")*$F$183:$AI$206),0))/(SUMPRODUCT(($D$183:$D$206=AP$181)*($F$180:$AI$180=""))+IF(AP$181="P6",COUNTIF($F$180:$AI$180,"P6")*ROWS($D$183:$D$206),0)),"")</f>
        <v>0.9009559740259736</v>
      </c>
      <c r="AQ187" s="5" t="str" cm="1">
        <f t="array" ref="AQ187">IFERROR((SUMPRODUCT(($D$183:$D$206=AQ$181)*($F$180:$AI$180="")*$F$183:$AI$206)+IF(AQ$181="P6",SUMPRODUCT(($F$180:$AI$180="P6")*$F$183:$AI$206),0))/(SUMPRODUCT(($D$183:$D$206=AQ$181)*($F$180:$AI$180=""))+IF(AQ$181="P6",COUNTIF($F$180:$AI$180,"P6")*ROWS($D$183:$D$206),0)),"")</f>
        <v/>
      </c>
      <c r="AR187" s="6" cm="1">
        <f t="array" ref="AR187">IFERROR((SUMPRODUCT(($D$183:$D$206=AR$181)*($F$180:$AI$180="")*$F$183:$AI$206)+IF(AR$181="P6",SUMPRODUCT(($F$180:$AI$180="P6")*$F$183:$AI$206),0))/(SUMPRODUCT(($D$183:$D$206=AR$181)*($F$180:$AI$180=""))+IF(AR$181="P6",COUNTIF($F$180:$AI$180,"P6")*ROWS($D$183:$D$206),0)),"")</f>
        <v>0.9295307336956522</v>
      </c>
    </row>
    <row r="188" spans="1:44" ht="14.25" customHeight="1" x14ac:dyDescent="0.35">
      <c r="A188" s="1" t="s">
        <v>7</v>
      </c>
      <c r="B188" s="1" t="s">
        <v>7</v>
      </c>
      <c r="C188" s="1" t="s">
        <v>15</v>
      </c>
      <c r="D188" s="1" t="s">
        <v>7</v>
      </c>
      <c r="E188" s="1" t="s">
        <v>18</v>
      </c>
      <c r="F188" s="1">
        <v>0.96550999999999998</v>
      </c>
      <c r="G188" s="1">
        <v>0.95101999999999998</v>
      </c>
      <c r="H188" s="1">
        <v>0.98529999999999995</v>
      </c>
      <c r="I188" s="1">
        <v>1.0504899999999999</v>
      </c>
      <c r="J188" s="1">
        <v>0.97946</v>
      </c>
      <c r="K188" s="1">
        <v>0.94777999999999996</v>
      </c>
      <c r="L188" s="1">
        <v>0.93964999999999999</v>
      </c>
      <c r="M188" s="1">
        <v>0.96550999999999998</v>
      </c>
      <c r="N188" s="1">
        <v>0.95101999999999998</v>
      </c>
      <c r="O188" s="1">
        <v>0.98529999999999995</v>
      </c>
      <c r="P188" s="1">
        <v>1.0504899999999999</v>
      </c>
      <c r="Q188" s="1">
        <v>0.97946</v>
      </c>
      <c r="R188" s="1">
        <v>0.94777999999999996</v>
      </c>
      <c r="S188" s="1">
        <v>0.93964999999999999</v>
      </c>
      <c r="T188" s="1">
        <v>0.96550999999999998</v>
      </c>
      <c r="U188" s="1">
        <v>0.95101999999999998</v>
      </c>
      <c r="V188" s="1">
        <v>0.98529999999999995</v>
      </c>
      <c r="W188" s="1">
        <v>1.0504899999999999</v>
      </c>
      <c r="X188" s="1">
        <v>0.97946</v>
      </c>
      <c r="Y188" s="1">
        <v>0.94777999999999996</v>
      </c>
      <c r="Z188" s="1">
        <v>0.93964999999999999</v>
      </c>
      <c r="AA188" s="1">
        <v>0.96550999999999998</v>
      </c>
      <c r="AB188" s="1">
        <v>0.95101999999999998</v>
      </c>
      <c r="AC188" s="1">
        <v>0.98529999999999995</v>
      </c>
      <c r="AD188" s="1">
        <v>1.0504899999999999</v>
      </c>
      <c r="AE188" s="1">
        <v>0.97946</v>
      </c>
      <c r="AF188" s="1">
        <v>0.94777999999999996</v>
      </c>
      <c r="AG188" s="1">
        <v>0.93964999999999999</v>
      </c>
      <c r="AH188" s="1">
        <v>0.96550999999999998</v>
      </c>
      <c r="AI188" s="1">
        <v>0.95101999999999998</v>
      </c>
      <c r="AL188" s="10"/>
      <c r="AM188" s="10"/>
      <c r="AN188" s="10"/>
      <c r="AO188" s="10"/>
      <c r="AP188" s="10"/>
      <c r="AQ188" s="10"/>
      <c r="AR188" s="10"/>
    </row>
    <row r="189" spans="1:44" ht="14.25" customHeight="1" x14ac:dyDescent="0.35">
      <c r="A189" s="1" t="s">
        <v>7</v>
      </c>
      <c r="B189" s="1" t="s">
        <v>7</v>
      </c>
      <c r="C189" s="1" t="s">
        <v>15</v>
      </c>
      <c r="D189" s="1" t="s">
        <v>7</v>
      </c>
      <c r="E189" s="1" t="s">
        <v>20</v>
      </c>
      <c r="F189" s="1">
        <v>0.92118999999999995</v>
      </c>
      <c r="G189" s="1">
        <v>0.90937000000000001</v>
      </c>
      <c r="H189" s="1">
        <v>0.97799999999999998</v>
      </c>
      <c r="I189" s="1">
        <v>1.04643</v>
      </c>
      <c r="J189" s="1">
        <v>0.92081000000000002</v>
      </c>
      <c r="K189" s="1">
        <v>0.90534999999999999</v>
      </c>
      <c r="L189" s="1">
        <v>0.89609000000000005</v>
      </c>
      <c r="M189" s="1">
        <v>0.92118999999999995</v>
      </c>
      <c r="N189" s="1">
        <v>0.90937000000000001</v>
      </c>
      <c r="O189" s="1">
        <v>0.97799999999999998</v>
      </c>
      <c r="P189" s="1">
        <v>1.04643</v>
      </c>
      <c r="Q189" s="1">
        <v>0.92081000000000002</v>
      </c>
      <c r="R189" s="1">
        <v>0.90534999999999999</v>
      </c>
      <c r="S189" s="1">
        <v>0.89609000000000005</v>
      </c>
      <c r="T189" s="1">
        <v>0.92118999999999995</v>
      </c>
      <c r="U189" s="1">
        <v>0.90937000000000001</v>
      </c>
      <c r="V189" s="1">
        <v>0.97799999999999998</v>
      </c>
      <c r="W189" s="1">
        <v>1.04643</v>
      </c>
      <c r="X189" s="1">
        <v>0.92081000000000002</v>
      </c>
      <c r="Y189" s="1">
        <v>0.90534999999999999</v>
      </c>
      <c r="Z189" s="1">
        <v>0.89609000000000005</v>
      </c>
      <c r="AA189" s="1">
        <v>0.92118999999999995</v>
      </c>
      <c r="AB189" s="1">
        <v>0.90937000000000001</v>
      </c>
      <c r="AC189" s="1">
        <v>0.97799999999999998</v>
      </c>
      <c r="AD189" s="1">
        <v>1.04643</v>
      </c>
      <c r="AE189" s="1">
        <v>0.92081000000000002</v>
      </c>
      <c r="AF189" s="1">
        <v>0.90534999999999999</v>
      </c>
      <c r="AG189" s="1">
        <v>0.89609000000000005</v>
      </c>
      <c r="AH189" s="1">
        <v>0.92118999999999995</v>
      </c>
      <c r="AI189" s="1">
        <v>0.90937000000000001</v>
      </c>
      <c r="AL189" s="10"/>
      <c r="AM189" s="10"/>
      <c r="AN189" s="10"/>
      <c r="AO189" s="10"/>
      <c r="AP189" s="10"/>
      <c r="AQ189" s="10"/>
      <c r="AR189" s="10"/>
    </row>
    <row r="190" spans="1:44" ht="14.25" customHeight="1" x14ac:dyDescent="0.35">
      <c r="A190" s="1" t="s">
        <v>7</v>
      </c>
      <c r="B190" s="1" t="s">
        <v>7</v>
      </c>
      <c r="C190" s="1" t="s">
        <v>15</v>
      </c>
      <c r="D190" s="1" t="s">
        <v>7</v>
      </c>
      <c r="E190" s="1" t="s">
        <v>22</v>
      </c>
      <c r="F190" s="1">
        <v>0.86621000000000004</v>
      </c>
      <c r="G190" s="1">
        <v>0.85529999999999995</v>
      </c>
      <c r="H190" s="1">
        <v>0.94789999999999996</v>
      </c>
      <c r="I190" s="1">
        <v>1.01004</v>
      </c>
      <c r="J190" s="1">
        <v>0.86097999999999997</v>
      </c>
      <c r="K190" s="1">
        <v>0.84592000000000001</v>
      </c>
      <c r="L190" s="1">
        <v>0.84619</v>
      </c>
      <c r="M190" s="1">
        <v>0.86621000000000004</v>
      </c>
      <c r="N190" s="1">
        <v>0.85529999999999995</v>
      </c>
      <c r="O190" s="1">
        <v>0.94789999999999996</v>
      </c>
      <c r="P190" s="1">
        <v>1.01004</v>
      </c>
      <c r="Q190" s="1">
        <v>0.86097999999999997</v>
      </c>
      <c r="R190" s="1">
        <v>0.84592000000000001</v>
      </c>
      <c r="S190" s="1">
        <v>0.84619</v>
      </c>
      <c r="T190" s="1">
        <v>0.86621000000000004</v>
      </c>
      <c r="U190" s="1">
        <v>0.85529999999999995</v>
      </c>
      <c r="V190" s="1">
        <v>0.94789999999999996</v>
      </c>
      <c r="W190" s="1">
        <v>1.01004</v>
      </c>
      <c r="X190" s="1">
        <v>0.86097999999999997</v>
      </c>
      <c r="Y190" s="1">
        <v>0.84592000000000001</v>
      </c>
      <c r="Z190" s="1">
        <v>0.84619</v>
      </c>
      <c r="AA190" s="1">
        <v>0.86621000000000004</v>
      </c>
      <c r="AB190" s="1">
        <v>0.85529999999999995</v>
      </c>
      <c r="AC190" s="1">
        <v>0.94789999999999996</v>
      </c>
      <c r="AD190" s="1">
        <v>1.01004</v>
      </c>
      <c r="AE190" s="1">
        <v>0.86097999999999997</v>
      </c>
      <c r="AF190" s="1">
        <v>0.84592000000000001</v>
      </c>
      <c r="AG190" s="1">
        <v>0.84619</v>
      </c>
      <c r="AH190" s="1">
        <v>0.86621000000000004</v>
      </c>
      <c r="AI190" s="1">
        <v>0.85529999999999995</v>
      </c>
      <c r="AL190" s="14" t="s">
        <v>226</v>
      </c>
      <c r="AM190" s="14"/>
      <c r="AN190" s="14"/>
      <c r="AO190" s="14"/>
      <c r="AP190" s="14"/>
      <c r="AQ190" s="14"/>
      <c r="AR190" s="14"/>
    </row>
    <row r="191" spans="1:44" ht="14.25" customHeight="1" x14ac:dyDescent="0.35">
      <c r="A191" s="1" t="s">
        <v>17</v>
      </c>
      <c r="B191" s="1" t="s">
        <v>14</v>
      </c>
      <c r="C191" s="1" t="s">
        <v>14</v>
      </c>
      <c r="D191" s="1" t="s">
        <v>16</v>
      </c>
      <c r="E191" s="1" t="s">
        <v>24</v>
      </c>
      <c r="F191" s="1">
        <v>0.88199000000000005</v>
      </c>
      <c r="G191" s="1">
        <v>0.86497000000000002</v>
      </c>
      <c r="H191" s="1">
        <v>0.86975000000000002</v>
      </c>
      <c r="I191" s="1">
        <v>0.92139000000000004</v>
      </c>
      <c r="J191" s="1">
        <v>0.87243999999999999</v>
      </c>
      <c r="K191" s="1">
        <v>0.86534</v>
      </c>
      <c r="L191" s="1">
        <v>0.86502000000000001</v>
      </c>
      <c r="M191" s="1">
        <v>0.88199000000000005</v>
      </c>
      <c r="N191" s="1">
        <v>0.86497000000000002</v>
      </c>
      <c r="O191" s="1">
        <v>0.86975000000000002</v>
      </c>
      <c r="P191" s="1">
        <v>0.92139000000000004</v>
      </c>
      <c r="Q191" s="1">
        <v>0.87243999999999999</v>
      </c>
      <c r="R191" s="1">
        <v>0.86534</v>
      </c>
      <c r="S191" s="1">
        <v>0.86502000000000001</v>
      </c>
      <c r="T191" s="1">
        <v>0.88199000000000005</v>
      </c>
      <c r="U191" s="1">
        <v>0.86497000000000002</v>
      </c>
      <c r="V191" s="1">
        <v>0.86975000000000002</v>
      </c>
      <c r="W191" s="1">
        <v>0.92139000000000004</v>
      </c>
      <c r="X191" s="1">
        <v>0.87243999999999999</v>
      </c>
      <c r="Y191" s="1">
        <v>0.86534</v>
      </c>
      <c r="Z191" s="1">
        <v>0.86502000000000001</v>
      </c>
      <c r="AA191" s="1">
        <v>0.88199000000000005</v>
      </c>
      <c r="AB191" s="1">
        <v>0.86497000000000002</v>
      </c>
      <c r="AC191" s="1">
        <v>0.86975000000000002</v>
      </c>
      <c r="AD191" s="1">
        <v>0.92139000000000004</v>
      </c>
      <c r="AE191" s="1">
        <v>0.87243999999999999</v>
      </c>
      <c r="AF191" s="1">
        <v>0.86534</v>
      </c>
      <c r="AG191" s="1">
        <v>0.86502000000000001</v>
      </c>
      <c r="AH191" s="1">
        <v>0.88199000000000005</v>
      </c>
      <c r="AI191" s="1">
        <v>0.86497000000000002</v>
      </c>
      <c r="AL191" s="4"/>
      <c r="AM191" s="4" t="s">
        <v>13</v>
      </c>
      <c r="AN191" s="4" t="s">
        <v>14</v>
      </c>
      <c r="AO191" s="4" t="s">
        <v>15</v>
      </c>
      <c r="AP191" s="4" t="s">
        <v>16</v>
      </c>
      <c r="AQ191" s="4" t="s">
        <v>17</v>
      </c>
      <c r="AR191" s="4" t="s">
        <v>7</v>
      </c>
    </row>
    <row r="192" spans="1:44" ht="14.25" customHeight="1" x14ac:dyDescent="0.35">
      <c r="A192" s="1" t="s">
        <v>17</v>
      </c>
      <c r="B192" s="1" t="s">
        <v>14</v>
      </c>
      <c r="C192" s="1" t="s">
        <v>14</v>
      </c>
      <c r="D192" s="1" t="s">
        <v>15</v>
      </c>
      <c r="E192" s="1" t="s">
        <v>26</v>
      </c>
      <c r="F192" s="1">
        <v>0.86070000000000002</v>
      </c>
      <c r="G192" s="1">
        <v>0.83237000000000005</v>
      </c>
      <c r="H192" s="1">
        <v>0.82218000000000002</v>
      </c>
      <c r="I192" s="1">
        <v>0.86551</v>
      </c>
      <c r="J192" s="1">
        <v>0.84891000000000005</v>
      </c>
      <c r="K192" s="1">
        <v>0.84940000000000004</v>
      </c>
      <c r="L192" s="1">
        <v>0.84579000000000004</v>
      </c>
      <c r="M192" s="1">
        <v>0.86070000000000002</v>
      </c>
      <c r="N192" s="1">
        <v>0.83237000000000005</v>
      </c>
      <c r="O192" s="1">
        <v>0.82218000000000002</v>
      </c>
      <c r="P192" s="1">
        <v>0.86551</v>
      </c>
      <c r="Q192" s="1">
        <v>0.84891000000000005</v>
      </c>
      <c r="R192" s="1">
        <v>0.84940000000000004</v>
      </c>
      <c r="S192" s="1">
        <v>0.84579000000000004</v>
      </c>
      <c r="T192" s="1">
        <v>0.86070000000000002</v>
      </c>
      <c r="U192" s="1">
        <v>0.83237000000000005</v>
      </c>
      <c r="V192" s="1">
        <v>0.82218000000000002</v>
      </c>
      <c r="W192" s="1">
        <v>0.86551</v>
      </c>
      <c r="X192" s="1">
        <v>0.84891000000000005</v>
      </c>
      <c r="Y192" s="1">
        <v>0.84940000000000004</v>
      </c>
      <c r="Z192" s="1">
        <v>0.84579000000000004</v>
      </c>
      <c r="AA192" s="1">
        <v>0.86070000000000002</v>
      </c>
      <c r="AB192" s="1">
        <v>0.83237000000000005</v>
      </c>
      <c r="AC192" s="1">
        <v>0.82218000000000002</v>
      </c>
      <c r="AD192" s="1">
        <v>0.86551</v>
      </c>
      <c r="AE192" s="1">
        <v>0.84891000000000005</v>
      </c>
      <c r="AF192" s="1">
        <v>0.84940000000000004</v>
      </c>
      <c r="AG192" s="1">
        <v>0.84579000000000004</v>
      </c>
      <c r="AH192" s="1">
        <v>0.86070000000000002</v>
      </c>
      <c r="AI192" s="1">
        <v>0.83237000000000005</v>
      </c>
      <c r="AL192" s="4" t="s">
        <v>19</v>
      </c>
      <c r="AM192" s="6" cm="1">
        <f t="array" ref="AM192">IFERROR((SUMPRODUCT(($C$183:$C$206=AM$181)*($F$179:$AI$179="")*$F$183:$AI$206)+IF(AM$181="P3",SUMPRODUCT(($F$179:$AI$179="P3")*$F$183:$AI$206),0))/(SUMPRODUCT(($C$183:$C$206=AM$181)*($F$179:$AI$179=""))+IF(AM$181="P3",COUNTIF($F$179:$AI$179,"P3")*ROWS($C$183:$C$206),0)),"")</f>
        <v>0.87609801136363608</v>
      </c>
      <c r="AN192" s="6" cm="1">
        <f t="array" ref="AN192">IFERROR((SUMPRODUCT(($C$183:$C$206=AN$181)*($F$179:$AI$179="")*$F$183:$AI$206)+IF(AN$181="P3",SUMPRODUCT(($F$179:$AI$179="P3")*$F$183:$AI$206),0))/(SUMPRODUCT(($C$183:$C$206=AN$181)*($F$179:$AI$179=""))+IF(AN$181="P3",COUNTIF($F$179:$AI$179,"P3")*ROWS($C$183:$C$206),0)),"")</f>
        <v>0.8942555113636359</v>
      </c>
      <c r="AO192" s="6" cm="1">
        <f t="array" ref="AO192">IFERROR((SUMPRODUCT(($C$183:$C$206=AO$181)*($F$179:$AI$179="")*$F$183:$AI$206)+IF(AO$181="P3",SUMPRODUCT(($F$179:$AI$179="P3")*$F$183:$AI$206),0))/(SUMPRODUCT(($C$183:$C$206=AO$181)*($F$179:$AI$179=""))+IF(AO$181="P3",COUNTIF($F$179:$AI$179,"P3")*ROWS($C$183:$C$206),0)),"")</f>
        <v>0.9295307336956522</v>
      </c>
      <c r="AP192" s="6" t="str" cm="1">
        <f t="array" ref="AP192">IFERROR((SUMPRODUCT(($C$183:$C$206=AP$181)*($F$179:$AI$179="")*$F$183:$AI$206)+IF(AP$181="P3",SUMPRODUCT(($F$179:$AI$179="P3")*$F$183:$AI$206),0))/(SUMPRODUCT(($C$183:$C$206=AP$181)*($F$179:$AI$179=""))+IF(AP$181="P3",COUNTIF($F$179:$AI$179,"P3")*ROWS($C$183:$C$206),0)),"")</f>
        <v/>
      </c>
      <c r="AQ192" s="6" t="str" cm="1">
        <f t="array" ref="AQ192">IFERROR((SUMPRODUCT(($C$183:$C$206=AQ$181)*($F$179:$AI$179="")*$F$183:$AI$206)+IF(AQ$181="P3",SUMPRODUCT(($F$179:$AI$179="P3")*$F$183:$AI$206),0))/(SUMPRODUCT(($C$183:$C$206=AQ$181)*($F$179:$AI$179=""))+IF(AQ$181="P3",COUNTIF($F$179:$AI$179,"P3")*ROWS($C$183:$C$206),0)),"")</f>
        <v/>
      </c>
      <c r="AR192" s="6" t="str" cm="1">
        <f t="array" ref="AR192">IFERROR((SUMPRODUCT(($C$183:$C$206=AR$181)*($F$179:$AI$179="")*$F$183:$AI$206)+IF(AR$181="P3",SUMPRODUCT(($F$179:$AI$179="P3")*$F$183:$AI$206),0))/(SUMPRODUCT(($C$183:$C$206=AR$181)*($F$179:$AI$179=""))+IF(AR$181="P3",COUNTIF($F$179:$AI$179,"P3")*ROWS($C$183:$C$206),0)),"")</f>
        <v/>
      </c>
    </row>
    <row r="193" spans="1:44" ht="14.25" customHeight="1" x14ac:dyDescent="0.35">
      <c r="A193" s="1" t="s">
        <v>16</v>
      </c>
      <c r="B193" s="1" t="s">
        <v>13</v>
      </c>
      <c r="C193" s="1" t="s">
        <v>13</v>
      </c>
      <c r="D193" s="1" t="s">
        <v>15</v>
      </c>
      <c r="E193" s="1" t="s">
        <v>28</v>
      </c>
      <c r="F193" s="1">
        <v>0.85126999999999997</v>
      </c>
      <c r="G193" s="1">
        <v>0.81847999999999999</v>
      </c>
      <c r="H193" s="1">
        <v>0.80398999999999998</v>
      </c>
      <c r="I193" s="1">
        <v>0.82065999999999995</v>
      </c>
      <c r="J193" s="1">
        <v>0.83648999999999996</v>
      </c>
      <c r="K193" s="1">
        <v>0.83894999999999997</v>
      </c>
      <c r="L193" s="1">
        <v>0.84253</v>
      </c>
      <c r="M193" s="1">
        <v>0.85126999999999997</v>
      </c>
      <c r="N193" s="1">
        <v>0.81847999999999999</v>
      </c>
      <c r="O193" s="1">
        <v>0.80398999999999998</v>
      </c>
      <c r="P193" s="1">
        <v>0.82065999999999995</v>
      </c>
      <c r="Q193" s="1">
        <v>0.83648999999999996</v>
      </c>
      <c r="R193" s="1">
        <v>0.83894999999999997</v>
      </c>
      <c r="S193" s="1">
        <v>0.84253</v>
      </c>
      <c r="T193" s="1">
        <v>0.85126999999999997</v>
      </c>
      <c r="U193" s="1">
        <v>0.81847999999999999</v>
      </c>
      <c r="V193" s="1">
        <v>0.80398999999999998</v>
      </c>
      <c r="W193" s="1">
        <v>0.82065999999999995</v>
      </c>
      <c r="X193" s="1">
        <v>0.83648999999999996</v>
      </c>
      <c r="Y193" s="1">
        <v>0.83894999999999997</v>
      </c>
      <c r="Z193" s="1">
        <v>0.84253</v>
      </c>
      <c r="AA193" s="1">
        <v>0.85126999999999997</v>
      </c>
      <c r="AB193" s="1">
        <v>0.81847999999999999</v>
      </c>
      <c r="AC193" s="1">
        <v>0.80398999999999998</v>
      </c>
      <c r="AD193" s="1">
        <v>0.82065999999999995</v>
      </c>
      <c r="AE193" s="1">
        <v>0.83648999999999996</v>
      </c>
      <c r="AF193" s="1">
        <v>0.83894999999999997</v>
      </c>
      <c r="AG193" s="1">
        <v>0.84253</v>
      </c>
      <c r="AH193" s="1">
        <v>0.85126999999999997</v>
      </c>
      <c r="AI193" s="1">
        <v>0.81847999999999999</v>
      </c>
      <c r="AL193" s="4" t="s">
        <v>21</v>
      </c>
      <c r="AM193" s="6" t="str" cm="1">
        <f t="array" ref="AM193">IFERROR((SUMPRODUCT(($A$183:$A$206=AM$181)*($F$180:$AI$180="")*$F$183:$AI$206)+IF(AM$181="P6",SUMPRODUCT(($F$180:$AI$180="P6")*$F$183:$AI$206),0))/(SUMPRODUCT(($A$183:$A$206=AM$181)*($F$180:$AI$180=""))+IF(AM$181="P6",COUNTIF($F$180:$AI$180,"P6")*ROWS($A$183:$A$206),0)),"")</f>
        <v/>
      </c>
      <c r="AN193" s="6" t="str" cm="1">
        <f t="array" ref="AN193">IFERROR((SUMPRODUCT(($A$183:$A$206=AN$181)*($F$180:$AI$180="")*$F$183:$AI$206)+IF(AN$181="P6",SUMPRODUCT(($F$180:$AI$180="P6")*$F$183:$AI$206),0))/(SUMPRODUCT(($A$183:$A$206=AN$181)*($F$180:$AI$180=""))+IF(AN$181="P6",COUNTIF($F$180:$AI$180,"P6")*ROWS($A$183:$A$206),0)),"")</f>
        <v/>
      </c>
      <c r="AO193" s="6" t="str" cm="1">
        <f t="array" ref="AO193">IFERROR((SUMPRODUCT(($A$183:$A$206=AO$181)*($F$180:$AI$180="")*$F$183:$AI$206)+IF(AO$181="P6",SUMPRODUCT(($F$180:$AI$180="P6")*$F$183:$AI$206),0))/(SUMPRODUCT(($A$183:$A$206=AO$181)*($F$180:$AI$180=""))+IF(AO$181="P6",COUNTIF($F$180:$AI$180,"P6")*ROWS($A$183:$A$206),0)),"")</f>
        <v/>
      </c>
      <c r="AP193" s="6" cm="1">
        <f t="array" ref="AP193">IFERROR((SUMPRODUCT(($A$183:$A$206=AP$181)*($F$180:$AI$180="")*$F$183:$AI$206)+IF(AP$181="P6",SUMPRODUCT(($F$180:$AI$180="P6")*$F$183:$AI$206),0))/(SUMPRODUCT(($A$183:$A$206=AP$181)*($F$180:$AI$180=""))+IF(AP$181="P6",COUNTIF($F$180:$AI$180,"P6")*ROWS($A$183:$A$206),0)),"")</f>
        <v>0.87260444444444496</v>
      </c>
      <c r="AQ193" s="6" cm="1">
        <f t="array" ref="AQ193">IFERROR((SUMPRODUCT(($A$183:$A$206=AQ$181)*($F$180:$AI$180="")*$F$183:$AI$206)+IF(AQ$181="P6",SUMPRODUCT(($F$180:$AI$180="P6")*$F$183:$AI$206),0))/(SUMPRODUCT(($A$183:$A$206=AQ$181)*($F$180:$AI$180=""))+IF(AQ$181="P6",COUNTIF($F$180:$AI$180,"P6")*ROWS($A$183:$A$206),0)),"")</f>
        <v>0.90134116883116855</v>
      </c>
      <c r="AR193" s="6" cm="1">
        <f t="array" ref="AR193">IFERROR((SUMPRODUCT(($A$183:$A$206=AR$181)*($F$180:$AI$180="")*$F$183:$AI$206)+IF(AR$181="P6",SUMPRODUCT(($F$180:$AI$180="P6")*$F$183:$AI$206),0))/(SUMPRODUCT(($A$183:$A$206=AR$181)*($F$180:$AI$180=""))+IF(AR$181="P6",COUNTIF($F$180:$AI$180,"P6")*ROWS($A$183:$A$206),0)),"")</f>
        <v>0.9295307336956522</v>
      </c>
    </row>
    <row r="194" spans="1:44" ht="14.25" customHeight="1" x14ac:dyDescent="0.35">
      <c r="A194" s="1" t="s">
        <v>16</v>
      </c>
      <c r="B194" s="1" t="s">
        <v>13</v>
      </c>
      <c r="C194" s="1" t="s">
        <v>13</v>
      </c>
      <c r="D194" s="1" t="s">
        <v>15</v>
      </c>
      <c r="E194" s="1" t="s">
        <v>30</v>
      </c>
      <c r="F194" s="1">
        <v>0.85509000000000002</v>
      </c>
      <c r="G194" s="1">
        <v>0.82076000000000005</v>
      </c>
      <c r="H194" s="1">
        <v>0.80184</v>
      </c>
      <c r="I194" s="1">
        <v>0.80854999999999999</v>
      </c>
      <c r="J194" s="1">
        <v>0.83096000000000003</v>
      </c>
      <c r="K194" s="1">
        <v>0.84053</v>
      </c>
      <c r="L194" s="1">
        <v>0.83420000000000005</v>
      </c>
      <c r="M194" s="1">
        <v>0.85509000000000002</v>
      </c>
      <c r="N194" s="1">
        <v>0.82076000000000005</v>
      </c>
      <c r="O194" s="1">
        <v>0.80184</v>
      </c>
      <c r="P194" s="1">
        <v>0.80854999999999999</v>
      </c>
      <c r="Q194" s="1">
        <v>0.83096000000000003</v>
      </c>
      <c r="R194" s="1">
        <v>0.84053</v>
      </c>
      <c r="S194" s="1">
        <v>0.83420000000000005</v>
      </c>
      <c r="T194" s="1">
        <v>0.85509000000000002</v>
      </c>
      <c r="U194" s="1">
        <v>0.82076000000000005</v>
      </c>
      <c r="V194" s="1">
        <v>0.80184</v>
      </c>
      <c r="W194" s="1">
        <v>0.80854999999999999</v>
      </c>
      <c r="X194" s="1">
        <v>0.83096000000000003</v>
      </c>
      <c r="Y194" s="1">
        <v>0.84053</v>
      </c>
      <c r="Z194" s="1">
        <v>0.83420000000000005</v>
      </c>
      <c r="AA194" s="1">
        <v>0.85509000000000002</v>
      </c>
      <c r="AB194" s="1">
        <v>0.82076000000000005</v>
      </c>
      <c r="AC194" s="1">
        <v>0.80184</v>
      </c>
      <c r="AD194" s="1">
        <v>0.80854999999999999</v>
      </c>
      <c r="AE194" s="1">
        <v>0.83096000000000003</v>
      </c>
      <c r="AF194" s="1">
        <v>0.84053</v>
      </c>
      <c r="AG194" s="1">
        <v>0.83420000000000005</v>
      </c>
      <c r="AH194" s="1">
        <v>0.85509000000000002</v>
      </c>
      <c r="AI194" s="1">
        <v>0.82076000000000005</v>
      </c>
      <c r="AL194" s="4" t="s">
        <v>23</v>
      </c>
      <c r="AM194" s="6" t="str" cm="1">
        <f t="array" ref="AM194">IFERROR((SUMPRODUCT(($A$183:$A$206=AM$181)*($F$180:$AI$180="")*$F$183:$AI$206)+IF(AM$181="P6",SUMPRODUCT(($F$180:$AI$180="P6")*$F$183:$AI$206),0))/(SUMPRODUCT(($A$183:$A$206=AM$181)*($F$180:$AI$180=""))+IF(AM$181="P6",COUNTIF($F$180:$AI$180,"P6")*ROWS($A$183:$A$206),0)),"")</f>
        <v/>
      </c>
      <c r="AN194" s="6" t="str" cm="1">
        <f t="array" ref="AN194">IFERROR((SUMPRODUCT(($A$183:$A$206=AN$181)*($F$180:$AI$180="")*$F$183:$AI$206)+IF(AN$181="P6",SUMPRODUCT(($F$180:$AI$180="P6")*$F$183:$AI$206),0))/(SUMPRODUCT(($A$183:$A$206=AN$181)*($F$180:$AI$180=""))+IF(AN$181="P6",COUNTIF($F$180:$AI$180,"P6")*ROWS($A$183:$A$206),0)),"")</f>
        <v/>
      </c>
      <c r="AO194" s="6" t="str" cm="1">
        <f t="array" ref="AO194">IFERROR((SUMPRODUCT(($A$183:$A$206=AO$181)*($F$180:$AI$180="")*$F$183:$AI$206)+IF(AO$181="P6",SUMPRODUCT(($F$180:$AI$180="P6")*$F$183:$AI$206),0))/(SUMPRODUCT(($A$183:$A$206=AO$181)*($F$180:$AI$180=""))+IF(AO$181="P6",COUNTIF($F$180:$AI$180,"P6")*ROWS($A$183:$A$206),0)),"")</f>
        <v/>
      </c>
      <c r="AP194" s="6" cm="1">
        <f t="array" ref="AP194">IFERROR((SUMPRODUCT(($A$183:$A$206=AP$181)*($F$180:$AI$180="")*$F$183:$AI$206)+IF(AP$181="P6",SUMPRODUCT(($F$180:$AI$180="P6")*$F$183:$AI$206),0))/(SUMPRODUCT(($A$183:$A$206=AP$181)*($F$180:$AI$180=""))+IF(AP$181="P6",COUNTIF($F$180:$AI$180,"P6")*ROWS($A$183:$A$206),0)),"")</f>
        <v>0.87260444444444496</v>
      </c>
      <c r="AQ194" s="6" cm="1">
        <f t="array" ref="AQ194">IFERROR((SUMPRODUCT(($A$183:$A$206=AQ$181)*($F$180:$AI$180="")*$F$183:$AI$206)+IF(AQ$181="P6",SUMPRODUCT(($F$180:$AI$180="P6")*$F$183:$AI$206),0))/(SUMPRODUCT(($A$183:$A$206=AQ$181)*($F$180:$AI$180=""))+IF(AQ$181="P6",COUNTIF($F$180:$AI$180,"P6")*ROWS($A$183:$A$206),0)),"")</f>
        <v>0.90134116883116855</v>
      </c>
      <c r="AR194" s="6" cm="1">
        <f t="array" ref="AR194">IFERROR((SUMPRODUCT(($A$183:$A$206=AR$181)*($F$180:$AI$180="")*$F$183:$AI$206)+IF(AR$181="P6",SUMPRODUCT(($F$180:$AI$180="P6")*$F$183:$AI$206),0))/(SUMPRODUCT(($A$183:$A$206=AR$181)*($F$180:$AI$180=""))+IF(AR$181="P6",COUNTIF($F$180:$AI$180,"P6")*ROWS($A$183:$A$206),0)),"")</f>
        <v>0.9295307336956522</v>
      </c>
    </row>
    <row r="195" spans="1:44" ht="14.25" customHeight="1" x14ac:dyDescent="0.35">
      <c r="A195" s="1" t="s">
        <v>16</v>
      </c>
      <c r="B195" s="1" t="s">
        <v>13</v>
      </c>
      <c r="C195" s="1" t="s">
        <v>13</v>
      </c>
      <c r="D195" s="1" t="s">
        <v>15</v>
      </c>
      <c r="E195" s="1" t="s">
        <v>31</v>
      </c>
      <c r="F195" s="1">
        <v>0.85626000000000002</v>
      </c>
      <c r="G195" s="1">
        <v>0.82791000000000003</v>
      </c>
      <c r="H195" s="1">
        <v>0.80106999999999995</v>
      </c>
      <c r="I195" s="1">
        <v>0.81118999999999997</v>
      </c>
      <c r="J195" s="1">
        <v>0.82489999999999997</v>
      </c>
      <c r="K195" s="1">
        <v>0.83043</v>
      </c>
      <c r="L195" s="1">
        <v>0.83750999999999998</v>
      </c>
      <c r="M195" s="1">
        <v>0.85626000000000002</v>
      </c>
      <c r="N195" s="1">
        <v>0.82791000000000003</v>
      </c>
      <c r="O195" s="1">
        <v>0.80106999999999995</v>
      </c>
      <c r="P195" s="1">
        <v>0.81118999999999997</v>
      </c>
      <c r="Q195" s="1">
        <v>0.82489999999999997</v>
      </c>
      <c r="R195" s="1">
        <v>0.83043</v>
      </c>
      <c r="S195" s="1">
        <v>0.83750999999999998</v>
      </c>
      <c r="T195" s="1">
        <v>0.85626000000000002</v>
      </c>
      <c r="U195" s="1">
        <v>0.82791000000000003</v>
      </c>
      <c r="V195" s="1">
        <v>0.80106999999999995</v>
      </c>
      <c r="W195" s="1">
        <v>0.81118999999999997</v>
      </c>
      <c r="X195" s="1">
        <v>0.82489999999999997</v>
      </c>
      <c r="Y195" s="1">
        <v>0.83043</v>
      </c>
      <c r="Z195" s="1">
        <v>0.83750999999999998</v>
      </c>
      <c r="AA195" s="1">
        <v>0.85626000000000002</v>
      </c>
      <c r="AB195" s="1">
        <v>0.82791000000000003</v>
      </c>
      <c r="AC195" s="1">
        <v>0.80106999999999995</v>
      </c>
      <c r="AD195" s="1">
        <v>0.81118999999999997</v>
      </c>
      <c r="AE195" s="1">
        <v>0.82489999999999997</v>
      </c>
      <c r="AF195" s="1">
        <v>0.83043</v>
      </c>
      <c r="AG195" s="1">
        <v>0.83750999999999998</v>
      </c>
      <c r="AH195" s="1">
        <v>0.85626000000000002</v>
      </c>
      <c r="AI195" s="1">
        <v>0.82791000000000003</v>
      </c>
      <c r="AL195" s="4" t="s">
        <v>25</v>
      </c>
      <c r="AM195" s="6" t="str" cm="1">
        <f t="array" ref="AM195">IFERROR((SUMPRODUCT(($A$183:$A$206=AM$181)*($F$180:$AI$180="")*$F$183:$AI$206)+IF(AM$181="P6",SUMPRODUCT(($F$180:$AI$180="P6")*$F$183:$AI$206),0))/(SUMPRODUCT(($A$183:$A$206=AM$181)*($F$180:$AI$180=""))+IF(AM$181="P6",COUNTIF($F$180:$AI$180,"P6")*ROWS($A$183:$A$206),0)),"")</f>
        <v/>
      </c>
      <c r="AN195" s="6" t="str" cm="1">
        <f t="array" ref="AN195">IFERROR((SUMPRODUCT(($A$183:$A$206=AN$181)*($F$180:$AI$180="")*$F$183:$AI$206)+IF(AN$181="P6",SUMPRODUCT(($F$180:$AI$180="P6")*$F$183:$AI$206),0))/(SUMPRODUCT(($A$183:$A$206=AN$181)*($F$180:$AI$180=""))+IF(AN$181="P6",COUNTIF($F$180:$AI$180,"P6")*ROWS($A$183:$A$206),0)),"")</f>
        <v/>
      </c>
      <c r="AO195" s="6" t="str" cm="1">
        <f t="array" ref="AO195">IFERROR((SUMPRODUCT(($A$183:$A$206=AO$181)*($F$180:$AI$180="")*$F$183:$AI$206)+IF(AO$181="P6",SUMPRODUCT(($F$180:$AI$180="P6")*$F$183:$AI$206),0))/(SUMPRODUCT(($A$183:$A$206=AO$181)*($F$180:$AI$180=""))+IF(AO$181="P6",COUNTIF($F$180:$AI$180,"P6")*ROWS($A$183:$A$206),0)),"")</f>
        <v/>
      </c>
      <c r="AP195" s="6" cm="1">
        <f t="array" ref="AP195">IFERROR((SUMPRODUCT(($A$183:$A$206=AP$181)*($F$180:$AI$180="")*$F$183:$AI$206)+IF(AP$181="P6",SUMPRODUCT(($F$180:$AI$180="P6")*$F$183:$AI$206),0))/(SUMPRODUCT(($A$183:$A$206=AP$181)*($F$180:$AI$180=""))+IF(AP$181="P6",COUNTIF($F$180:$AI$180,"P6")*ROWS($A$183:$A$206),0)),"")</f>
        <v>0.87260444444444496</v>
      </c>
      <c r="AQ195" s="6" cm="1">
        <f t="array" ref="AQ195">IFERROR((SUMPRODUCT(($A$183:$A$206=AQ$181)*($F$180:$AI$180="")*$F$183:$AI$206)+IF(AQ$181="P6",SUMPRODUCT(($F$180:$AI$180="P6")*$F$183:$AI$206),0))/(SUMPRODUCT(($A$183:$A$206=AQ$181)*($F$180:$AI$180=""))+IF(AQ$181="P6",COUNTIF($F$180:$AI$180,"P6")*ROWS($A$183:$A$206),0)),"")</f>
        <v>0.90134116883116855</v>
      </c>
      <c r="AR195" s="6" cm="1">
        <f t="array" ref="AR195">IFERROR((SUMPRODUCT(($A$183:$A$206=AR$181)*($F$180:$AI$180="")*$F$183:$AI$206)+IF(AR$181="P6",SUMPRODUCT(($F$180:$AI$180="P6")*$F$183:$AI$206),0))/(SUMPRODUCT(($A$183:$A$206=AR$181)*($F$180:$AI$180=""))+IF(AR$181="P6",COUNTIF($F$180:$AI$180,"P6")*ROWS($A$183:$A$206),0)),"")</f>
        <v>0.9295307336956522</v>
      </c>
    </row>
    <row r="196" spans="1:44" ht="14.25" customHeight="1" x14ac:dyDescent="0.35">
      <c r="A196" s="1" t="s">
        <v>16</v>
      </c>
      <c r="B196" s="1" t="s">
        <v>13</v>
      </c>
      <c r="C196" s="1" t="s">
        <v>13</v>
      </c>
      <c r="D196" s="1" t="s">
        <v>15</v>
      </c>
      <c r="E196" s="1" t="s">
        <v>32</v>
      </c>
      <c r="F196" s="1">
        <v>0.84260999999999997</v>
      </c>
      <c r="G196" s="1">
        <v>0.82157000000000002</v>
      </c>
      <c r="H196" s="1">
        <v>0.79552999999999996</v>
      </c>
      <c r="I196" s="1">
        <v>0.80017000000000005</v>
      </c>
      <c r="J196" s="1">
        <v>0.81540000000000001</v>
      </c>
      <c r="K196" s="1">
        <v>0.81601999999999997</v>
      </c>
      <c r="L196" s="1">
        <v>0.82216</v>
      </c>
      <c r="M196" s="1">
        <v>0.84260999999999997</v>
      </c>
      <c r="N196" s="1">
        <v>0.82157000000000002</v>
      </c>
      <c r="O196" s="1">
        <v>0.79552999999999996</v>
      </c>
      <c r="P196" s="1">
        <v>0.80017000000000005</v>
      </c>
      <c r="Q196" s="1">
        <v>0.81540000000000001</v>
      </c>
      <c r="R196" s="1">
        <v>0.81601999999999997</v>
      </c>
      <c r="S196" s="1">
        <v>0.82216</v>
      </c>
      <c r="T196" s="1">
        <v>0.84260999999999997</v>
      </c>
      <c r="U196" s="1">
        <v>0.82157000000000002</v>
      </c>
      <c r="V196" s="1">
        <v>0.79552999999999996</v>
      </c>
      <c r="W196" s="1">
        <v>0.80017000000000005</v>
      </c>
      <c r="X196" s="1">
        <v>0.81540000000000001</v>
      </c>
      <c r="Y196" s="1">
        <v>0.81601999999999997</v>
      </c>
      <c r="Z196" s="1">
        <v>0.82216</v>
      </c>
      <c r="AA196" s="1">
        <v>0.84260999999999997</v>
      </c>
      <c r="AB196" s="1">
        <v>0.82157000000000002</v>
      </c>
      <c r="AC196" s="1">
        <v>0.79552999999999996</v>
      </c>
      <c r="AD196" s="1">
        <v>0.80017000000000005</v>
      </c>
      <c r="AE196" s="1">
        <v>0.81540000000000001</v>
      </c>
      <c r="AF196" s="1">
        <v>0.81601999999999997</v>
      </c>
      <c r="AG196" s="1">
        <v>0.82216</v>
      </c>
      <c r="AH196" s="1">
        <v>0.84260999999999997</v>
      </c>
      <c r="AI196" s="1">
        <v>0.82157000000000002</v>
      </c>
      <c r="AL196" s="4" t="s">
        <v>27</v>
      </c>
      <c r="AM196" s="6" t="str" cm="1">
        <f t="array" ref="AM196">IFERROR((SUMPRODUCT(($A$183:$A$206=AM$181)*($F$180:$AI$180="")*$F$183:$AI$206)+IF(AM$181="P6",SUMPRODUCT(($F$180:$AI$180="P6")*$F$183:$AI$206),0))/(SUMPRODUCT(($A$183:$A$206=AM$181)*($F$180:$AI$180=""))+IF(AM$181="P6",COUNTIF($F$180:$AI$180,"P6")*ROWS($A$183:$A$206),0)),"")</f>
        <v/>
      </c>
      <c r="AN196" s="6" t="str" cm="1">
        <f t="array" ref="AN196">IFERROR((SUMPRODUCT(($A$183:$A$206=AN$181)*($F$180:$AI$180="")*$F$183:$AI$206)+IF(AN$181="P6",SUMPRODUCT(($F$180:$AI$180="P6")*$F$183:$AI$206),0))/(SUMPRODUCT(($A$183:$A$206=AN$181)*($F$180:$AI$180=""))+IF(AN$181="P6",COUNTIF($F$180:$AI$180,"P6")*ROWS($A$183:$A$206),0)),"")</f>
        <v/>
      </c>
      <c r="AO196" s="6" t="str" cm="1">
        <f t="array" ref="AO196">IFERROR((SUMPRODUCT(($A$183:$A$206=AO$181)*($F$180:$AI$180="")*$F$183:$AI$206)+IF(AO$181="P6",SUMPRODUCT(($F$180:$AI$180="P6")*$F$183:$AI$206),0))/(SUMPRODUCT(($A$183:$A$206=AO$181)*($F$180:$AI$180=""))+IF(AO$181="P6",COUNTIF($F$180:$AI$180,"P6")*ROWS($A$183:$A$206),0)),"")</f>
        <v/>
      </c>
      <c r="AP196" s="6" cm="1">
        <f t="array" ref="AP196">IFERROR((SUMPRODUCT(($A$183:$A$206=AP$181)*($F$180:$AI$180="")*$F$183:$AI$206)+IF(AP$181="P6",SUMPRODUCT(($F$180:$AI$180="P6")*$F$183:$AI$206),0))/(SUMPRODUCT(($A$183:$A$206=AP$181)*($F$180:$AI$180=""))+IF(AP$181="P6",COUNTIF($F$180:$AI$180,"P6")*ROWS($A$183:$A$206),0)),"")</f>
        <v>0.87260444444444496</v>
      </c>
      <c r="AQ196" s="6" cm="1">
        <f t="array" ref="AQ196">IFERROR((SUMPRODUCT(($A$183:$A$206=AQ$181)*($F$180:$AI$180="")*$F$183:$AI$206)+IF(AQ$181="P6",SUMPRODUCT(($F$180:$AI$180="P6")*$F$183:$AI$206),0))/(SUMPRODUCT(($A$183:$A$206=AQ$181)*($F$180:$AI$180=""))+IF(AQ$181="P6",COUNTIF($F$180:$AI$180,"P6")*ROWS($A$183:$A$206),0)),"")</f>
        <v>0.90134116883116855</v>
      </c>
      <c r="AR196" s="6" cm="1">
        <f t="array" ref="AR196">IFERROR((SUMPRODUCT(($A$183:$A$206=AR$181)*($F$180:$AI$180="")*$F$183:$AI$206)+IF(AR$181="P6",SUMPRODUCT(($F$180:$AI$180="P6")*$F$183:$AI$206),0))/(SUMPRODUCT(($A$183:$A$206=AR$181)*($F$180:$AI$180=""))+IF(AR$181="P6",COUNTIF($F$180:$AI$180,"P6")*ROWS($A$183:$A$206),0)),"")</f>
        <v>0.9295307336956522</v>
      </c>
    </row>
    <row r="197" spans="1:44" ht="14.25" customHeight="1" x14ac:dyDescent="0.35">
      <c r="A197" s="1" t="s">
        <v>16</v>
      </c>
      <c r="B197" s="1" t="s">
        <v>13</v>
      </c>
      <c r="C197" s="1" t="s">
        <v>14</v>
      </c>
      <c r="D197" s="1" t="s">
        <v>16</v>
      </c>
      <c r="E197" s="1" t="s">
        <v>33</v>
      </c>
      <c r="F197" s="1">
        <v>0.86007999999999996</v>
      </c>
      <c r="G197" s="1">
        <v>0.84755000000000003</v>
      </c>
      <c r="H197" s="1">
        <v>0.79120000000000001</v>
      </c>
      <c r="I197" s="1">
        <v>0.80212000000000006</v>
      </c>
      <c r="J197" s="1">
        <v>0.83377999999999997</v>
      </c>
      <c r="K197" s="1">
        <v>0.83377999999999997</v>
      </c>
      <c r="L197" s="1">
        <v>0.84350999999999998</v>
      </c>
      <c r="M197" s="1">
        <v>0.86007999999999996</v>
      </c>
      <c r="N197" s="1">
        <v>0.84755000000000003</v>
      </c>
      <c r="O197" s="1">
        <v>0.79120000000000001</v>
      </c>
      <c r="P197" s="1">
        <v>0.80212000000000006</v>
      </c>
      <c r="Q197" s="1">
        <v>0.83377999999999997</v>
      </c>
      <c r="R197" s="1">
        <v>0.83377999999999997</v>
      </c>
      <c r="S197" s="1">
        <v>0.84350999999999998</v>
      </c>
      <c r="T197" s="1">
        <v>0.86007999999999996</v>
      </c>
      <c r="U197" s="1">
        <v>0.84755000000000003</v>
      </c>
      <c r="V197" s="1">
        <v>0.79120000000000001</v>
      </c>
      <c r="W197" s="1">
        <v>0.80212000000000006</v>
      </c>
      <c r="X197" s="1">
        <v>0.83377999999999997</v>
      </c>
      <c r="Y197" s="1">
        <v>0.83377999999999997</v>
      </c>
      <c r="Z197" s="1">
        <v>0.84350999999999998</v>
      </c>
      <c r="AA197" s="1">
        <v>0.86007999999999996</v>
      </c>
      <c r="AB197" s="1">
        <v>0.84755000000000003</v>
      </c>
      <c r="AC197" s="1">
        <v>0.79120000000000001</v>
      </c>
      <c r="AD197" s="1">
        <v>0.80212000000000006</v>
      </c>
      <c r="AE197" s="1">
        <v>0.83377999999999997</v>
      </c>
      <c r="AF197" s="1">
        <v>0.83377999999999997</v>
      </c>
      <c r="AG197" s="1">
        <v>0.84350999999999998</v>
      </c>
      <c r="AH197" s="1">
        <v>0.86007999999999996</v>
      </c>
      <c r="AI197" s="1">
        <v>0.84755000000000003</v>
      </c>
      <c r="AL197" s="4" t="s">
        <v>29</v>
      </c>
      <c r="AM197" s="6" t="str" cm="1">
        <f t="array" ref="AM197">IFERROR((SUMPRODUCT(($A$183:$A$206=AM$181)*($F$180:$AI$180="")*$F$183:$AI$206)+IF(AM$181="P6",SUMPRODUCT(($F$180:$AI$180="P6")*$F$183:$AI$206),0))/(SUMPRODUCT(($A$183:$A$206=AM$181)*($F$180:$AI$180=""))+IF(AM$181="P6",COUNTIF($F$180:$AI$180,"P6")*ROWS($A$183:$A$206),0)),"")</f>
        <v/>
      </c>
      <c r="AN197" s="6" t="str" cm="1">
        <f t="array" ref="AN197">IFERROR((SUMPRODUCT(($A$183:$A$206=AN$181)*($F$180:$AI$180="")*$F$183:$AI$206)+IF(AN$181="P6",SUMPRODUCT(($F$180:$AI$180="P6")*$F$183:$AI$206),0))/(SUMPRODUCT(($A$183:$A$206=AN$181)*($F$180:$AI$180=""))+IF(AN$181="P6",COUNTIF($F$180:$AI$180,"P6")*ROWS($A$183:$A$206),0)),"")</f>
        <v/>
      </c>
      <c r="AO197" s="6" t="str" cm="1">
        <f t="array" ref="AO197">IFERROR((SUMPRODUCT(($A$183:$A$206=AO$181)*($F$180:$AI$180="")*$F$183:$AI$206)+IF(AO$181="P6",SUMPRODUCT(($F$180:$AI$180="P6")*$F$183:$AI$206),0))/(SUMPRODUCT(($A$183:$A$206=AO$181)*($F$180:$AI$180=""))+IF(AO$181="P6",COUNTIF($F$180:$AI$180,"P6")*ROWS($A$183:$A$206),0)),"")</f>
        <v/>
      </c>
      <c r="AP197" s="6" cm="1">
        <f t="array" ref="AP197">IFERROR((SUMPRODUCT(($A$183:$A$206=AP$181)*($F$180:$AI$180="")*$F$183:$AI$206)+IF(AP$181="P6",SUMPRODUCT(($F$180:$AI$180="P6")*$F$183:$AI$206),0))/(SUMPRODUCT(($A$183:$A$206=AP$181)*($F$180:$AI$180=""))+IF(AP$181="P6",COUNTIF($F$180:$AI$180,"P6")*ROWS($A$183:$A$206),0)),"")</f>
        <v>0.87260444444444496</v>
      </c>
      <c r="AQ197" s="6" cm="1">
        <f t="array" ref="AQ197">IFERROR((SUMPRODUCT(($A$183:$A$206=AQ$181)*($F$180:$AI$180="")*$F$183:$AI$206)+IF(AQ$181="P6",SUMPRODUCT(($F$180:$AI$180="P6")*$F$183:$AI$206),0))/(SUMPRODUCT(($A$183:$A$206=AQ$181)*($F$180:$AI$180=""))+IF(AQ$181="P6",COUNTIF($F$180:$AI$180,"P6")*ROWS($A$183:$A$206),0)),"")</f>
        <v>0.90134116883116855</v>
      </c>
      <c r="AR197" s="6" cm="1">
        <f t="array" ref="AR197">IFERROR((SUMPRODUCT(($A$183:$A$206=AR$181)*($F$180:$AI$180="")*$F$183:$AI$206)+IF(AR$181="P6",SUMPRODUCT(($F$180:$AI$180="P6")*$F$183:$AI$206),0))/(SUMPRODUCT(($A$183:$A$206=AR$181)*($F$180:$AI$180=""))+IF(AR$181="P6",COUNTIF($F$180:$AI$180,"P6")*ROWS($A$183:$A$206),0)),"")</f>
        <v>0.9295307336956522</v>
      </c>
    </row>
    <row r="198" spans="1:44" ht="14.25" customHeight="1" x14ac:dyDescent="0.35">
      <c r="A198" s="1" t="s">
        <v>17</v>
      </c>
      <c r="B198" s="1" t="s">
        <v>14</v>
      </c>
      <c r="C198" s="1" t="s">
        <v>14</v>
      </c>
      <c r="D198" s="1" t="s">
        <v>16</v>
      </c>
      <c r="E198" s="1" t="s">
        <v>34</v>
      </c>
      <c r="F198" s="1">
        <v>0.87634999999999996</v>
      </c>
      <c r="G198" s="1">
        <v>0.86197999999999997</v>
      </c>
      <c r="H198" s="1">
        <v>0.82418000000000002</v>
      </c>
      <c r="I198" s="1">
        <v>0.83230000000000004</v>
      </c>
      <c r="J198" s="1">
        <v>0.85919999999999996</v>
      </c>
      <c r="K198" s="1">
        <v>0.85857000000000006</v>
      </c>
      <c r="L198" s="1">
        <v>0.86370999999999998</v>
      </c>
      <c r="M198" s="1">
        <v>0.87634999999999996</v>
      </c>
      <c r="N198" s="1">
        <v>0.86197999999999997</v>
      </c>
      <c r="O198" s="1">
        <v>0.82418000000000002</v>
      </c>
      <c r="P198" s="1">
        <v>0.83230000000000004</v>
      </c>
      <c r="Q198" s="1">
        <v>0.85919999999999996</v>
      </c>
      <c r="R198" s="1">
        <v>0.85857000000000006</v>
      </c>
      <c r="S198" s="1">
        <v>0.86370999999999998</v>
      </c>
      <c r="T198" s="1">
        <v>0.87634999999999996</v>
      </c>
      <c r="U198" s="1">
        <v>0.86197999999999997</v>
      </c>
      <c r="V198" s="1">
        <v>0.82418000000000002</v>
      </c>
      <c r="W198" s="1">
        <v>0.83230000000000004</v>
      </c>
      <c r="X198" s="1">
        <v>0.85919999999999996</v>
      </c>
      <c r="Y198" s="1">
        <v>0.85857000000000006</v>
      </c>
      <c r="Z198" s="1">
        <v>0.86370999999999998</v>
      </c>
      <c r="AA198" s="1">
        <v>0.87634999999999996</v>
      </c>
      <c r="AB198" s="1">
        <v>0.86197999999999997</v>
      </c>
      <c r="AC198" s="1">
        <v>0.82418000000000002</v>
      </c>
      <c r="AD198" s="1">
        <v>0.83230000000000004</v>
      </c>
      <c r="AE198" s="1">
        <v>0.85919999999999996</v>
      </c>
      <c r="AF198" s="1">
        <v>0.85857000000000006</v>
      </c>
      <c r="AG198" s="1">
        <v>0.86370999999999998</v>
      </c>
      <c r="AH198" s="1">
        <v>0.87634999999999996</v>
      </c>
      <c r="AI198" s="1">
        <v>0.86197999999999997</v>
      </c>
      <c r="AL198" s="10"/>
      <c r="AM198" s="10"/>
      <c r="AN198" s="10"/>
      <c r="AO198" s="10"/>
      <c r="AP198" s="10"/>
      <c r="AQ198" s="10"/>
      <c r="AR198" s="10"/>
    </row>
    <row r="199" spans="1:44" ht="14.25" customHeight="1" x14ac:dyDescent="0.35">
      <c r="A199" s="1" t="s">
        <v>17</v>
      </c>
      <c r="B199" s="1" t="s">
        <v>14</v>
      </c>
      <c r="C199" s="1" t="s">
        <v>14</v>
      </c>
      <c r="D199" s="1" t="s">
        <v>16</v>
      </c>
      <c r="E199" s="1" t="s">
        <v>35</v>
      </c>
      <c r="F199" s="1">
        <v>0.88073000000000001</v>
      </c>
      <c r="G199" s="1">
        <v>0.87565000000000004</v>
      </c>
      <c r="H199" s="1">
        <v>0.84386000000000005</v>
      </c>
      <c r="I199" s="1">
        <v>0.85296000000000005</v>
      </c>
      <c r="J199" s="1">
        <v>0.87709000000000004</v>
      </c>
      <c r="K199" s="1">
        <v>0.87904000000000004</v>
      </c>
      <c r="L199" s="1">
        <v>0.87409999999999999</v>
      </c>
      <c r="M199" s="1">
        <v>0.88073000000000001</v>
      </c>
      <c r="N199" s="1">
        <v>0.87565000000000004</v>
      </c>
      <c r="O199" s="1">
        <v>0.84386000000000005</v>
      </c>
      <c r="P199" s="1">
        <v>0.85296000000000005</v>
      </c>
      <c r="Q199" s="1">
        <v>0.87709000000000004</v>
      </c>
      <c r="R199" s="1">
        <v>0.87904000000000004</v>
      </c>
      <c r="S199" s="1">
        <v>0.87409999999999999</v>
      </c>
      <c r="T199" s="1">
        <v>0.88073000000000001</v>
      </c>
      <c r="U199" s="1">
        <v>0.87565000000000004</v>
      </c>
      <c r="V199" s="1">
        <v>0.84386000000000005</v>
      </c>
      <c r="W199" s="1">
        <v>0.85296000000000005</v>
      </c>
      <c r="X199" s="1">
        <v>0.87709000000000004</v>
      </c>
      <c r="Y199" s="1">
        <v>0.87904000000000004</v>
      </c>
      <c r="Z199" s="1">
        <v>0.87409999999999999</v>
      </c>
      <c r="AA199" s="1">
        <v>0.88073000000000001</v>
      </c>
      <c r="AB199" s="1">
        <v>0.87565000000000004</v>
      </c>
      <c r="AC199" s="1">
        <v>0.84386000000000005</v>
      </c>
      <c r="AD199" s="1">
        <v>0.85296000000000005</v>
      </c>
      <c r="AE199" s="1">
        <v>0.87709000000000004</v>
      </c>
      <c r="AF199" s="1">
        <v>0.87904000000000004</v>
      </c>
      <c r="AG199" s="1">
        <v>0.87409999999999999</v>
      </c>
      <c r="AH199" s="1">
        <v>0.88073000000000001</v>
      </c>
      <c r="AI199" s="1">
        <v>0.87565000000000004</v>
      </c>
      <c r="AL199" s="10"/>
      <c r="AM199" s="10"/>
      <c r="AN199" s="10"/>
      <c r="AO199" s="10"/>
      <c r="AP199" s="10"/>
      <c r="AQ199" s="10"/>
      <c r="AR199" s="10"/>
    </row>
    <row r="200" spans="1:44" ht="14.25" customHeight="1" x14ac:dyDescent="0.35">
      <c r="A200" s="1" t="s">
        <v>17</v>
      </c>
      <c r="B200" s="1" t="s">
        <v>14</v>
      </c>
      <c r="C200" s="1" t="s">
        <v>14</v>
      </c>
      <c r="D200" s="1" t="s">
        <v>16</v>
      </c>
      <c r="E200" s="1" t="s">
        <v>36</v>
      </c>
      <c r="F200" s="1">
        <v>0.88668000000000002</v>
      </c>
      <c r="G200" s="1">
        <v>0.89</v>
      </c>
      <c r="H200" s="1">
        <v>0.86592000000000002</v>
      </c>
      <c r="I200" s="1">
        <v>0.87114000000000003</v>
      </c>
      <c r="J200" s="1">
        <v>0.88214999999999999</v>
      </c>
      <c r="K200" s="1">
        <v>0.88488999999999995</v>
      </c>
      <c r="L200" s="1">
        <v>0.88473000000000002</v>
      </c>
      <c r="M200" s="1">
        <v>0.88668000000000002</v>
      </c>
      <c r="N200" s="1">
        <v>0.89</v>
      </c>
      <c r="O200" s="1">
        <v>0.86592000000000002</v>
      </c>
      <c r="P200" s="1">
        <v>0.87114000000000003</v>
      </c>
      <c r="Q200" s="1">
        <v>0.88214999999999999</v>
      </c>
      <c r="R200" s="1">
        <v>0.88488999999999995</v>
      </c>
      <c r="S200" s="1">
        <v>0.88473000000000002</v>
      </c>
      <c r="T200" s="1">
        <v>0.88668000000000002</v>
      </c>
      <c r="U200" s="1">
        <v>0.89</v>
      </c>
      <c r="V200" s="1">
        <v>0.86592000000000002</v>
      </c>
      <c r="W200" s="1">
        <v>0.87114000000000003</v>
      </c>
      <c r="X200" s="1">
        <v>0.88214999999999999</v>
      </c>
      <c r="Y200" s="1">
        <v>0.88488999999999995</v>
      </c>
      <c r="Z200" s="1">
        <v>0.88473000000000002</v>
      </c>
      <c r="AA200" s="1">
        <v>0.88668000000000002</v>
      </c>
      <c r="AB200" s="1">
        <v>0.89</v>
      </c>
      <c r="AC200" s="1">
        <v>0.86592000000000002</v>
      </c>
      <c r="AD200" s="1">
        <v>0.87114000000000003</v>
      </c>
      <c r="AE200" s="1">
        <v>0.88214999999999999</v>
      </c>
      <c r="AF200" s="1">
        <v>0.88488999999999995</v>
      </c>
      <c r="AG200" s="1">
        <v>0.88473000000000002</v>
      </c>
      <c r="AH200" s="1">
        <v>0.88668000000000002</v>
      </c>
      <c r="AI200" s="1">
        <v>0.89</v>
      </c>
      <c r="AL200" s="14" t="s">
        <v>227</v>
      </c>
      <c r="AM200" s="14"/>
      <c r="AN200" s="14"/>
      <c r="AO200" s="14"/>
      <c r="AP200" s="14"/>
      <c r="AQ200" s="14"/>
      <c r="AR200" s="14"/>
    </row>
    <row r="201" spans="1:44" ht="14.25" customHeight="1" x14ac:dyDescent="0.35">
      <c r="A201" s="1" t="s">
        <v>16</v>
      </c>
      <c r="B201" s="1" t="s">
        <v>13</v>
      </c>
      <c r="C201" s="1" t="s">
        <v>13</v>
      </c>
      <c r="D201" s="1" t="s">
        <v>15</v>
      </c>
      <c r="E201" s="1" t="s">
        <v>37</v>
      </c>
      <c r="F201" s="1">
        <v>0.88924999999999998</v>
      </c>
      <c r="G201" s="1">
        <v>0.90037</v>
      </c>
      <c r="H201" s="1">
        <v>0.89983000000000002</v>
      </c>
      <c r="I201" s="1">
        <v>0.89981</v>
      </c>
      <c r="J201" s="1">
        <v>0.88078000000000001</v>
      </c>
      <c r="K201" s="1">
        <v>0.89331000000000005</v>
      </c>
      <c r="L201" s="1">
        <v>0.89142999999999994</v>
      </c>
      <c r="M201" s="1">
        <v>0.88924999999999998</v>
      </c>
      <c r="N201" s="1">
        <v>0.90037</v>
      </c>
      <c r="O201" s="1">
        <v>0.89983000000000002</v>
      </c>
      <c r="P201" s="1">
        <v>0.89981</v>
      </c>
      <c r="Q201" s="1">
        <v>0.88078000000000001</v>
      </c>
      <c r="R201" s="1">
        <v>0.89331000000000005</v>
      </c>
      <c r="S201" s="1">
        <v>0.89142999999999994</v>
      </c>
      <c r="T201" s="1">
        <v>0.88924999999999998</v>
      </c>
      <c r="U201" s="1">
        <v>0.90037</v>
      </c>
      <c r="V201" s="1">
        <v>0.89983000000000002</v>
      </c>
      <c r="W201" s="1">
        <v>0.89981</v>
      </c>
      <c r="X201" s="1">
        <v>0.88078000000000001</v>
      </c>
      <c r="Y201" s="1">
        <v>0.89331000000000005</v>
      </c>
      <c r="Z201" s="1">
        <v>0.89142999999999994</v>
      </c>
      <c r="AA201" s="1">
        <v>0.88924999999999998</v>
      </c>
      <c r="AB201" s="1">
        <v>0.90037</v>
      </c>
      <c r="AC201" s="1">
        <v>0.89983000000000002</v>
      </c>
      <c r="AD201" s="1">
        <v>0.89981</v>
      </c>
      <c r="AE201" s="1">
        <v>0.88078000000000001</v>
      </c>
      <c r="AF201" s="1">
        <v>0.89331000000000005</v>
      </c>
      <c r="AG201" s="1">
        <v>0.89142999999999994</v>
      </c>
      <c r="AH201" s="1">
        <v>0.88924999999999998</v>
      </c>
      <c r="AI201" s="1">
        <v>0.90037</v>
      </c>
      <c r="AL201" s="4"/>
      <c r="AM201" s="4" t="s">
        <v>13</v>
      </c>
      <c r="AN201" s="4" t="s">
        <v>14</v>
      </c>
      <c r="AO201" s="4" t="s">
        <v>15</v>
      </c>
      <c r="AP201" s="4" t="s">
        <v>16</v>
      </c>
      <c r="AQ201" s="4" t="s">
        <v>17</v>
      </c>
      <c r="AR201" s="4" t="s">
        <v>7</v>
      </c>
    </row>
    <row r="202" spans="1:44" ht="14.25" customHeight="1" x14ac:dyDescent="0.35">
      <c r="A202" s="1" t="s">
        <v>16</v>
      </c>
      <c r="B202" s="1" t="s">
        <v>13</v>
      </c>
      <c r="C202" s="1" t="s">
        <v>13</v>
      </c>
      <c r="D202" s="1" t="s">
        <v>15</v>
      </c>
      <c r="E202" s="1" t="s">
        <v>38</v>
      </c>
      <c r="F202" s="1">
        <v>0.91996</v>
      </c>
      <c r="G202" s="1">
        <v>0.93557999999999997</v>
      </c>
      <c r="H202" s="1">
        <v>0.94021999999999994</v>
      </c>
      <c r="I202" s="1">
        <v>0.92589999999999995</v>
      </c>
      <c r="J202" s="1">
        <v>0.90778999999999999</v>
      </c>
      <c r="K202" s="1">
        <v>0.92198999999999998</v>
      </c>
      <c r="L202" s="1">
        <v>0.91944999999999999</v>
      </c>
      <c r="M202" s="1">
        <v>0.91996</v>
      </c>
      <c r="N202" s="1">
        <v>0.93557999999999997</v>
      </c>
      <c r="O202" s="1">
        <v>0.94021999999999994</v>
      </c>
      <c r="P202" s="1">
        <v>0.92589999999999995</v>
      </c>
      <c r="Q202" s="1">
        <v>0.90778999999999999</v>
      </c>
      <c r="R202" s="1">
        <v>0.92198999999999998</v>
      </c>
      <c r="S202" s="1">
        <v>0.91944999999999999</v>
      </c>
      <c r="T202" s="1">
        <v>0.91996</v>
      </c>
      <c r="U202" s="1">
        <v>0.93557999999999997</v>
      </c>
      <c r="V202" s="1">
        <v>0.94021999999999994</v>
      </c>
      <c r="W202" s="1">
        <v>0.92589999999999995</v>
      </c>
      <c r="X202" s="1">
        <v>0.90778999999999999</v>
      </c>
      <c r="Y202" s="1">
        <v>0.92198999999999998</v>
      </c>
      <c r="Z202" s="1">
        <v>0.91944999999999999</v>
      </c>
      <c r="AA202" s="1">
        <v>0.91996</v>
      </c>
      <c r="AB202" s="1">
        <v>0.93557999999999997</v>
      </c>
      <c r="AC202" s="1">
        <v>0.94021999999999994</v>
      </c>
      <c r="AD202" s="1">
        <v>0.92589999999999995</v>
      </c>
      <c r="AE202" s="1">
        <v>0.90778999999999999</v>
      </c>
      <c r="AF202" s="1">
        <v>0.92198999999999998</v>
      </c>
      <c r="AG202" s="1">
        <v>0.91944999999999999</v>
      </c>
      <c r="AH202" s="1">
        <v>0.91996</v>
      </c>
      <c r="AI202" s="1">
        <v>0.93557999999999997</v>
      </c>
      <c r="AL202" s="4" t="s">
        <v>19</v>
      </c>
      <c r="AM202" s="6" cm="1">
        <f t="array" ref="AM202">IFERROR((SUMPRODUCT(($C$183:$C$206=AM$181)*($F$179:$AI$179="")*$F$183:$AI$206)+IF(AM$181="P3",SUMPRODUCT(($F$179:$AI$179="P3")*$F$183:$AI$206),0))/(SUMPRODUCT(($C$183:$C$206=AM$181)*($F$179:$AI$179=""))+IF(AM$181="P3",COUNTIF($F$179:$AI$179,"P3")*ROWS($C$183:$C$206),0)),"")</f>
        <v>0.87609801136363608</v>
      </c>
      <c r="AN202" s="6" cm="1">
        <f t="array" ref="AN202">IFERROR((SUMPRODUCT(($C$183:$C$206=AN$181)*($F$179:$AI$179="")*$F$183:$AI$206)+IF(AN$181="P3",SUMPRODUCT(($F$179:$AI$179="P3")*$F$183:$AI$206),0))/(SUMPRODUCT(($C$183:$C$206=AN$181)*($F$179:$AI$179=""))+IF(AN$181="P3",COUNTIF($F$179:$AI$179,"P3")*ROWS($C$183:$C$206),0)),"")</f>
        <v>0.8942555113636359</v>
      </c>
      <c r="AO202" s="6" cm="1">
        <f t="array" ref="AO202">IFERROR((SUMPRODUCT(($C$183:$C$206=AO$181)*($F$179:$AI$179="")*$F$183:$AI$206)+IF(AO$181="P3",SUMPRODUCT(($F$179:$AI$179="P3")*$F$183:$AI$206),0))/(SUMPRODUCT(($C$183:$C$206=AO$181)*($F$179:$AI$179=""))+IF(AO$181="P3",COUNTIF($F$179:$AI$179,"P3")*ROWS($C$183:$C$206),0)),"")</f>
        <v>0.9295307336956522</v>
      </c>
      <c r="AP202" s="6" t="str" cm="1">
        <f t="array" ref="AP202">IFERROR((SUMPRODUCT(($C$183:$C$206=AP$181)*($F$179:$AI$179="")*$F$183:$AI$206)+IF(AP$181="P3",SUMPRODUCT(($F$179:$AI$179="P3")*$F$183:$AI$206),0))/(SUMPRODUCT(($C$183:$C$206=AP$181)*($F$179:$AI$179=""))+IF(AP$181="P3",COUNTIF($F$179:$AI$179,"P3")*ROWS($C$183:$C$206),0)),"")</f>
        <v/>
      </c>
      <c r="AQ202" s="6" t="str" cm="1">
        <f t="array" ref="AQ202">IFERROR((SUMPRODUCT(($C$183:$C$206=AQ$181)*($F$179:$AI$179="")*$F$183:$AI$206)+IF(AQ$181="P3",SUMPRODUCT(($F$179:$AI$179="P3")*$F$183:$AI$206),0))/(SUMPRODUCT(($C$183:$C$206=AQ$181)*($F$179:$AI$179=""))+IF(AQ$181="P3",COUNTIF($F$179:$AI$179,"P3")*ROWS($C$183:$C$206),0)),"")</f>
        <v/>
      </c>
      <c r="AR202" s="6" t="str" cm="1">
        <f t="array" ref="AR202">IFERROR((SUMPRODUCT(($C$183:$C$206=AR$181)*($F$179:$AI$179="")*$F$183:$AI$206)+IF(AR$181="P3",SUMPRODUCT(($F$179:$AI$179="P3")*$F$183:$AI$206),0))/(SUMPRODUCT(($C$183:$C$206=AR$181)*($F$179:$AI$179=""))+IF(AR$181="P3",COUNTIF($F$179:$AI$179,"P3")*ROWS($C$183:$C$206),0)),"")</f>
        <v/>
      </c>
    </row>
    <row r="203" spans="1:44" ht="14.25" customHeight="1" x14ac:dyDescent="0.35">
      <c r="A203" s="1" t="s">
        <v>16</v>
      </c>
      <c r="B203" s="1" t="s">
        <v>13</v>
      </c>
      <c r="C203" s="1" t="s">
        <v>13</v>
      </c>
      <c r="D203" s="1" t="s">
        <v>15</v>
      </c>
      <c r="E203" s="1" t="s">
        <v>39</v>
      </c>
      <c r="F203" s="1">
        <v>0.94245999999999996</v>
      </c>
      <c r="G203" s="1">
        <v>0.95728999999999997</v>
      </c>
      <c r="H203" s="1">
        <v>0.97833000000000003</v>
      </c>
      <c r="I203" s="1">
        <v>0.94491999999999998</v>
      </c>
      <c r="J203" s="1">
        <v>0.91507000000000005</v>
      </c>
      <c r="K203" s="1">
        <v>0.91735999999999995</v>
      </c>
      <c r="L203" s="1">
        <v>0.92974999999999997</v>
      </c>
      <c r="M203" s="1">
        <v>0.94245999999999996</v>
      </c>
      <c r="N203" s="1">
        <v>0.95728999999999997</v>
      </c>
      <c r="O203" s="1">
        <v>0.97833000000000003</v>
      </c>
      <c r="P203" s="1">
        <v>0.94491999999999998</v>
      </c>
      <c r="Q203" s="1">
        <v>0.91507000000000005</v>
      </c>
      <c r="R203" s="1">
        <v>0.91735999999999995</v>
      </c>
      <c r="S203" s="1">
        <v>0.92974999999999997</v>
      </c>
      <c r="T203" s="1">
        <v>0.94245999999999996</v>
      </c>
      <c r="U203" s="1">
        <v>0.95728999999999997</v>
      </c>
      <c r="V203" s="1">
        <v>0.97833000000000003</v>
      </c>
      <c r="W203" s="1">
        <v>0.94491999999999998</v>
      </c>
      <c r="X203" s="1">
        <v>0.91507000000000005</v>
      </c>
      <c r="Y203" s="1">
        <v>0.91735999999999995</v>
      </c>
      <c r="Z203" s="1">
        <v>0.92974999999999997</v>
      </c>
      <c r="AA203" s="1">
        <v>0.94245999999999996</v>
      </c>
      <c r="AB203" s="1">
        <v>0.95728999999999997</v>
      </c>
      <c r="AC203" s="1">
        <v>0.97833000000000003</v>
      </c>
      <c r="AD203" s="1">
        <v>0.94491999999999998</v>
      </c>
      <c r="AE203" s="1">
        <v>0.91507000000000005</v>
      </c>
      <c r="AF203" s="1">
        <v>0.91735999999999995</v>
      </c>
      <c r="AG203" s="1">
        <v>0.92974999999999997</v>
      </c>
      <c r="AH203" s="1">
        <v>0.94245999999999996</v>
      </c>
      <c r="AI203" s="1">
        <v>0.95728999999999997</v>
      </c>
      <c r="AL203" s="4" t="s">
        <v>21</v>
      </c>
      <c r="AM203" s="6" cm="1">
        <f t="array" ref="AM203">IFERROR((SUMPRODUCT(($B$183:$B$206=AM$181)*($F$180:$AI$180="")*$F$183:$AI$206)+IF(AM$181="P6",SUMPRODUCT(($F$180:$AI$180="P6")*$F$183:$AI$206),0))/(SUMPRODUCT(($B$183:$B$206=AM$181)*($F$180:$AI$180=""))+IF(AM$181="P6",COUNTIF($F$180:$AI$180,"P6")*ROWS($B$183:$B$206),0)),"")</f>
        <v>0.87260444444444496</v>
      </c>
      <c r="AN203" s="6" cm="1">
        <f t="array" ref="AN203">IFERROR((SUMPRODUCT(($B$183:$B$206=AN$181)*($F$180:$AI$180="")*$F$183:$AI$206)+IF(AN$181="P6",SUMPRODUCT(($F$180:$AI$180="P6")*$F$183:$AI$206),0))/(SUMPRODUCT(($B$183:$B$206=AN$181)*($F$180:$AI$180=""))+IF(AN$181="P6",COUNTIF($F$180:$AI$180,"P6")*ROWS($B$183:$B$206),0)),"")</f>
        <v>0.90134116883116855</v>
      </c>
      <c r="AO203" s="6" t="str" cm="1">
        <f t="array" ref="AO203">IFERROR((SUMPRODUCT(($B$183:$B$206=AO$181)*($F$180:$AI$180="")*$F$183:$AI$206)+IF(AO$181="P6",SUMPRODUCT(($F$180:$AI$180="P6")*$F$183:$AI$206),0))/(SUMPRODUCT(($B$183:$B$206=AO$181)*($F$180:$AI$180=""))+IF(AO$181="P6",COUNTIF($F$180:$AI$180,"P6")*ROWS($B$183:$B$206),0)),"")</f>
        <v/>
      </c>
      <c r="AP203" s="6" t="str" cm="1">
        <f t="array" ref="AP203">IFERROR((SUMPRODUCT(($B$183:$B$206=AP$181)*($F$180:$AI$180="")*$F$183:$AI$206)+IF(AP$181="P6",SUMPRODUCT(($F$180:$AI$180="P6")*$F$183:$AI$206),0))/(SUMPRODUCT(($B$183:$B$206=AP$181)*($F$180:$AI$180=""))+IF(AP$181="P6",COUNTIF($F$180:$AI$180,"P6")*ROWS($B$183:$B$206),0)),"")</f>
        <v/>
      </c>
      <c r="AQ203" s="6" t="str" cm="1">
        <f t="array" ref="AQ203">IFERROR((SUMPRODUCT(($B$183:$B$206=AQ$181)*($F$180:$AI$180="")*$F$183:$AI$206)+IF(AQ$181="P6",SUMPRODUCT(($F$180:$AI$180="P6")*$F$183:$AI$206),0))/(SUMPRODUCT(($B$183:$B$206=AQ$181)*($F$180:$AI$180=""))+IF(AQ$181="P6",COUNTIF($F$180:$AI$180,"P6")*ROWS($B$183:$B$206),0)),"")</f>
        <v/>
      </c>
      <c r="AR203" s="6" cm="1">
        <f t="array" ref="AR203">IFERROR((SUMPRODUCT(($B$183:$B$206=AR$181)*($F$180:$AI$180="")*$F$183:$AI$206)+IF(AR$181="P6",SUMPRODUCT(($F$180:$AI$180="P6")*$F$183:$AI$206),0))/(SUMPRODUCT(($B$183:$B$206=AR$181)*($F$180:$AI$180=""))+IF(AR$181="P6",COUNTIF($F$180:$AI$180,"P6")*ROWS($B$183:$B$206),0)),"")</f>
        <v>0.9295307336956522</v>
      </c>
    </row>
    <row r="204" spans="1:44" ht="14.25" customHeight="1" x14ac:dyDescent="0.35">
      <c r="A204" s="1" t="s">
        <v>16</v>
      </c>
      <c r="B204" s="1" t="s">
        <v>13</v>
      </c>
      <c r="C204" s="1" t="s">
        <v>13</v>
      </c>
      <c r="D204" s="1" t="s">
        <v>15</v>
      </c>
      <c r="E204" s="1" t="s">
        <v>40</v>
      </c>
      <c r="F204" s="1">
        <v>0.93957999999999997</v>
      </c>
      <c r="G204" s="1">
        <v>0.96069000000000004</v>
      </c>
      <c r="H204" s="1">
        <v>0.97313000000000005</v>
      </c>
      <c r="I204" s="1">
        <v>0.92005000000000003</v>
      </c>
      <c r="J204" s="1">
        <v>0.89659</v>
      </c>
      <c r="K204" s="1">
        <v>0.90856000000000003</v>
      </c>
      <c r="L204" s="1">
        <v>0.92223999999999995</v>
      </c>
      <c r="M204" s="1">
        <v>0.93957999999999997</v>
      </c>
      <c r="N204" s="1">
        <v>0.96069000000000004</v>
      </c>
      <c r="O204" s="1">
        <v>0.97313000000000005</v>
      </c>
      <c r="P204" s="1">
        <v>0.92005000000000003</v>
      </c>
      <c r="Q204" s="1">
        <v>0.89659</v>
      </c>
      <c r="R204" s="1">
        <v>0.90856000000000003</v>
      </c>
      <c r="S204" s="1">
        <v>0.92223999999999995</v>
      </c>
      <c r="T204" s="1">
        <v>0.93957999999999997</v>
      </c>
      <c r="U204" s="1">
        <v>0.96069000000000004</v>
      </c>
      <c r="V204" s="1">
        <v>0.97313000000000005</v>
      </c>
      <c r="W204" s="1">
        <v>0.92005000000000003</v>
      </c>
      <c r="X204" s="1">
        <v>0.89659</v>
      </c>
      <c r="Y204" s="1">
        <v>0.90856000000000003</v>
      </c>
      <c r="Z204" s="1">
        <v>0.92223999999999995</v>
      </c>
      <c r="AA204" s="1">
        <v>0.93957999999999997</v>
      </c>
      <c r="AB204" s="1">
        <v>0.96069000000000004</v>
      </c>
      <c r="AC204" s="1">
        <v>0.97313000000000005</v>
      </c>
      <c r="AD204" s="1">
        <v>0.92005000000000003</v>
      </c>
      <c r="AE204" s="1">
        <v>0.89659</v>
      </c>
      <c r="AF204" s="1">
        <v>0.90856000000000003</v>
      </c>
      <c r="AG204" s="1">
        <v>0.92223999999999995</v>
      </c>
      <c r="AH204" s="1">
        <v>0.93957999999999997</v>
      </c>
      <c r="AI204" s="1">
        <v>0.96069000000000004</v>
      </c>
      <c r="AL204" s="4" t="s">
        <v>23</v>
      </c>
      <c r="AM204" s="6" cm="1">
        <f t="array" ref="AM204">IFERROR((SUMPRODUCT(($B$183:$B$206=AM$181)*($F$180:$AI$180="")*$F$183:$AI$206)+IF(AM$181="P6",SUMPRODUCT(($F$180:$AI$180="P6")*$F$183:$AI$206),0))/(SUMPRODUCT(($B$183:$B$206=AM$181)*($F$180:$AI$180=""))+IF(AM$181="P6",COUNTIF($F$180:$AI$180,"P6")*ROWS($B$183:$B$206),0)),"")</f>
        <v>0.87260444444444496</v>
      </c>
      <c r="AN204" s="6" cm="1">
        <f t="array" ref="AN204">IFERROR((SUMPRODUCT(($B$183:$B$206=AN$181)*($F$180:$AI$180="")*$F$183:$AI$206)+IF(AN$181="P6",SUMPRODUCT(($F$180:$AI$180="P6")*$F$183:$AI$206),0))/(SUMPRODUCT(($B$183:$B$206=AN$181)*($F$180:$AI$180=""))+IF(AN$181="P6",COUNTIF($F$180:$AI$180,"P6")*ROWS($B$183:$B$206),0)),"")</f>
        <v>0.90134116883116855</v>
      </c>
      <c r="AO204" s="6" t="str" cm="1">
        <f t="array" ref="AO204">IFERROR((SUMPRODUCT(($B$183:$B$206=AO$181)*($F$180:$AI$180="")*$F$183:$AI$206)+IF(AO$181="P6",SUMPRODUCT(($F$180:$AI$180="P6")*$F$183:$AI$206),0))/(SUMPRODUCT(($B$183:$B$206=AO$181)*($F$180:$AI$180=""))+IF(AO$181="P6",COUNTIF($F$180:$AI$180,"P6")*ROWS($B$183:$B$206),0)),"")</f>
        <v/>
      </c>
      <c r="AP204" s="6" t="str" cm="1">
        <f t="array" ref="AP204">IFERROR((SUMPRODUCT(($B$183:$B$206=AP$181)*($F$180:$AI$180="")*$F$183:$AI$206)+IF(AP$181="P6",SUMPRODUCT(($F$180:$AI$180="P6")*$F$183:$AI$206),0))/(SUMPRODUCT(($B$183:$B$206=AP$181)*($F$180:$AI$180=""))+IF(AP$181="P6",COUNTIF($F$180:$AI$180,"P6")*ROWS($B$183:$B$206),0)),"")</f>
        <v/>
      </c>
      <c r="AQ204" s="6" t="str" cm="1">
        <f t="array" ref="AQ204">IFERROR((SUMPRODUCT(($B$183:$B$206=AQ$181)*($F$180:$AI$180="")*$F$183:$AI$206)+IF(AQ$181="P6",SUMPRODUCT(($F$180:$AI$180="P6")*$F$183:$AI$206),0))/(SUMPRODUCT(($B$183:$B$206=AQ$181)*($F$180:$AI$180=""))+IF(AQ$181="P6",COUNTIF($F$180:$AI$180,"P6")*ROWS($B$183:$B$206),0)),"")</f>
        <v/>
      </c>
      <c r="AR204" s="6" cm="1">
        <f t="array" ref="AR204">IFERROR((SUMPRODUCT(($B$183:$B$206=AR$181)*($F$180:$AI$180="")*$F$183:$AI$206)+IF(AR$181="P6",SUMPRODUCT(($F$180:$AI$180="P6")*$F$183:$AI$206),0))/(SUMPRODUCT(($B$183:$B$206=AR$181)*($F$180:$AI$180=""))+IF(AR$181="P6",COUNTIF($F$180:$AI$180,"P6")*ROWS($B$183:$B$206),0)),"")</f>
        <v>0.9295307336956522</v>
      </c>
    </row>
    <row r="205" spans="1:44" ht="14.25" customHeight="1" x14ac:dyDescent="0.35">
      <c r="A205" s="1" t="s">
        <v>17</v>
      </c>
      <c r="B205" s="1" t="s">
        <v>14</v>
      </c>
      <c r="C205" s="1" t="s">
        <v>14</v>
      </c>
      <c r="D205" s="1" t="s">
        <v>16</v>
      </c>
      <c r="E205" s="1" t="s">
        <v>41</v>
      </c>
      <c r="F205" s="1">
        <v>0.98131000000000002</v>
      </c>
      <c r="G205" s="1">
        <v>0.99136999999999997</v>
      </c>
      <c r="H205" s="1">
        <v>0.98092000000000001</v>
      </c>
      <c r="I205" s="1">
        <v>0.91217000000000004</v>
      </c>
      <c r="J205" s="1">
        <v>0.94493000000000005</v>
      </c>
      <c r="K205" s="1">
        <v>0.97667000000000004</v>
      </c>
      <c r="L205" s="1">
        <v>0.96855999999999998</v>
      </c>
      <c r="M205" s="1">
        <v>0.98131000000000002</v>
      </c>
      <c r="N205" s="1">
        <v>0.99136999999999997</v>
      </c>
      <c r="O205" s="1">
        <v>0.98092000000000001</v>
      </c>
      <c r="P205" s="1">
        <v>0.91217000000000004</v>
      </c>
      <c r="Q205" s="1">
        <v>0.94493000000000005</v>
      </c>
      <c r="R205" s="1">
        <v>0.97667000000000004</v>
      </c>
      <c r="S205" s="1">
        <v>0.96855999999999998</v>
      </c>
      <c r="T205" s="1">
        <v>0.98131000000000002</v>
      </c>
      <c r="U205" s="1">
        <v>0.99136999999999997</v>
      </c>
      <c r="V205" s="1">
        <v>0.98092000000000001</v>
      </c>
      <c r="W205" s="1">
        <v>0.91217000000000004</v>
      </c>
      <c r="X205" s="1">
        <v>0.94493000000000005</v>
      </c>
      <c r="Y205" s="1">
        <v>0.97667000000000004</v>
      </c>
      <c r="Z205" s="1">
        <v>0.96855999999999998</v>
      </c>
      <c r="AA205" s="1">
        <v>0.98131000000000002</v>
      </c>
      <c r="AB205" s="1">
        <v>0.99136999999999997</v>
      </c>
      <c r="AC205" s="1">
        <v>0.98092000000000001</v>
      </c>
      <c r="AD205" s="1">
        <v>0.91217000000000004</v>
      </c>
      <c r="AE205" s="1">
        <v>0.94493000000000005</v>
      </c>
      <c r="AF205" s="1">
        <v>0.97667000000000004</v>
      </c>
      <c r="AG205" s="1">
        <v>0.96855999999999998</v>
      </c>
      <c r="AH205" s="1">
        <v>0.98131000000000002</v>
      </c>
      <c r="AI205" s="1">
        <v>0.99136999999999997</v>
      </c>
      <c r="AL205" s="4" t="s">
        <v>25</v>
      </c>
      <c r="AM205" s="6" cm="1">
        <f t="array" ref="AM205">IFERROR((SUMPRODUCT(($B$183:$B$206=AM$181)*($F$180:$AI$180="")*$F$183:$AI$206)+IF(AM$181="P6",SUMPRODUCT(($F$180:$AI$180="P6")*$F$183:$AI$206),0))/(SUMPRODUCT(($B$183:$B$206=AM$181)*($F$180:$AI$180=""))+IF(AM$181="P6",COUNTIF($F$180:$AI$180,"P6")*ROWS($B$183:$B$206),0)),"")</f>
        <v>0.87260444444444496</v>
      </c>
      <c r="AN205" s="6" cm="1">
        <f t="array" ref="AN205">IFERROR((SUMPRODUCT(($B$183:$B$206=AN$181)*($F$180:$AI$180="")*$F$183:$AI$206)+IF(AN$181="P6",SUMPRODUCT(($F$180:$AI$180="P6")*$F$183:$AI$206),0))/(SUMPRODUCT(($B$183:$B$206=AN$181)*($F$180:$AI$180=""))+IF(AN$181="P6",COUNTIF($F$180:$AI$180,"P6")*ROWS($B$183:$B$206),0)),"")</f>
        <v>0.90134116883116855</v>
      </c>
      <c r="AO205" s="6" t="str" cm="1">
        <f t="array" ref="AO205">IFERROR((SUMPRODUCT(($B$183:$B$206=AO$181)*($F$180:$AI$180="")*$F$183:$AI$206)+IF(AO$181="P6",SUMPRODUCT(($F$180:$AI$180="P6")*$F$183:$AI$206),0))/(SUMPRODUCT(($B$183:$B$206=AO$181)*($F$180:$AI$180=""))+IF(AO$181="P6",COUNTIF($F$180:$AI$180,"P6")*ROWS($B$183:$B$206),0)),"")</f>
        <v/>
      </c>
      <c r="AP205" s="6" t="str" cm="1">
        <f t="array" ref="AP205">IFERROR((SUMPRODUCT(($B$183:$B$206=AP$181)*($F$180:$AI$180="")*$F$183:$AI$206)+IF(AP$181="P6",SUMPRODUCT(($F$180:$AI$180="P6")*$F$183:$AI$206),0))/(SUMPRODUCT(($B$183:$B$206=AP$181)*($F$180:$AI$180=""))+IF(AP$181="P6",COUNTIF($F$180:$AI$180,"P6")*ROWS($B$183:$B$206),0)),"")</f>
        <v/>
      </c>
      <c r="AQ205" s="6" t="str" cm="1">
        <f t="array" ref="AQ205">IFERROR((SUMPRODUCT(($B$183:$B$206=AQ$181)*($F$180:$AI$180="")*$F$183:$AI$206)+IF(AQ$181="P6",SUMPRODUCT(($F$180:$AI$180="P6")*$F$183:$AI$206),0))/(SUMPRODUCT(($B$183:$B$206=AQ$181)*($F$180:$AI$180=""))+IF(AQ$181="P6",COUNTIF($F$180:$AI$180,"P6")*ROWS($B$183:$B$206),0)),"")</f>
        <v/>
      </c>
      <c r="AR205" s="6" cm="1">
        <f t="array" ref="AR205">IFERROR((SUMPRODUCT(($B$183:$B$206=AR$181)*($F$180:$AI$180="")*$F$183:$AI$206)+IF(AR$181="P6",SUMPRODUCT(($F$180:$AI$180="P6")*$F$183:$AI$206),0))/(SUMPRODUCT(($B$183:$B$206=AR$181)*($F$180:$AI$180=""))+IF(AR$181="P6",COUNTIF($F$180:$AI$180,"P6")*ROWS($B$183:$B$206),0)),"")</f>
        <v>0.9295307336956522</v>
      </c>
    </row>
    <row r="206" spans="1:44" ht="14.25" customHeight="1" x14ac:dyDescent="0.35">
      <c r="A206" s="1" t="s">
        <v>17</v>
      </c>
      <c r="B206" s="1" t="s">
        <v>14</v>
      </c>
      <c r="C206" s="1" t="s">
        <v>14</v>
      </c>
      <c r="D206" s="1" t="s">
        <v>16</v>
      </c>
      <c r="E206" s="1" t="s">
        <v>42</v>
      </c>
      <c r="F206" s="1">
        <v>1.00051</v>
      </c>
      <c r="G206" s="1">
        <v>1.0018899999999999</v>
      </c>
      <c r="H206" s="1">
        <v>1.0005299999999999</v>
      </c>
      <c r="I206" s="1">
        <v>0.93006</v>
      </c>
      <c r="J206" s="1">
        <v>0.96457999999999999</v>
      </c>
      <c r="K206" s="1">
        <v>0.99012999999999995</v>
      </c>
      <c r="L206" s="1">
        <v>0.98826000000000003</v>
      </c>
      <c r="M206" s="1">
        <v>1.00051</v>
      </c>
      <c r="N206" s="1">
        <v>1.0018899999999999</v>
      </c>
      <c r="O206" s="1">
        <v>1.0005299999999999</v>
      </c>
      <c r="P206" s="1">
        <v>0.93006</v>
      </c>
      <c r="Q206" s="1">
        <v>0.96457999999999999</v>
      </c>
      <c r="R206" s="1">
        <v>0.99012999999999995</v>
      </c>
      <c r="S206" s="1">
        <v>0.98826000000000003</v>
      </c>
      <c r="T206" s="1">
        <v>1.00051</v>
      </c>
      <c r="U206" s="1">
        <v>1.0018899999999999</v>
      </c>
      <c r="V206" s="1">
        <v>1.0005299999999999</v>
      </c>
      <c r="W206" s="1">
        <v>0.93006</v>
      </c>
      <c r="X206" s="1">
        <v>0.96457999999999999</v>
      </c>
      <c r="Y206" s="1">
        <v>0.99012999999999995</v>
      </c>
      <c r="Z206" s="1">
        <v>0.98826000000000003</v>
      </c>
      <c r="AA206" s="1">
        <v>1.00051</v>
      </c>
      <c r="AB206" s="1">
        <v>1.0018899999999999</v>
      </c>
      <c r="AC206" s="1">
        <v>1.0005299999999999</v>
      </c>
      <c r="AD206" s="1">
        <v>0.93006</v>
      </c>
      <c r="AE206" s="1">
        <v>0.96457999999999999</v>
      </c>
      <c r="AF206" s="1">
        <v>0.99012999999999995</v>
      </c>
      <c r="AG206" s="1">
        <v>0.98826000000000003</v>
      </c>
      <c r="AH206" s="1">
        <v>1.00051</v>
      </c>
      <c r="AI206" s="1">
        <v>1.0018899999999999</v>
      </c>
      <c r="AL206" s="4" t="s">
        <v>27</v>
      </c>
      <c r="AM206" s="6" cm="1">
        <f t="array" ref="AM206">IFERROR((SUMPRODUCT(($B$183:$B$206=AM$181)*($F$180:$AI$180="")*$F$183:$AI$206)+IF(AM$181="P6",SUMPRODUCT(($F$180:$AI$180="P6")*$F$183:$AI$206),0))/(SUMPRODUCT(($B$183:$B$206=AM$181)*($F$180:$AI$180=""))+IF(AM$181="P6",COUNTIF($F$180:$AI$180,"P6")*ROWS($B$183:$B$206),0)),"")</f>
        <v>0.87260444444444496</v>
      </c>
      <c r="AN206" s="6" cm="1">
        <f t="array" ref="AN206">IFERROR((SUMPRODUCT(($B$183:$B$206=AN$181)*($F$180:$AI$180="")*$F$183:$AI$206)+IF(AN$181="P6",SUMPRODUCT(($F$180:$AI$180="P6")*$F$183:$AI$206),0))/(SUMPRODUCT(($B$183:$B$206=AN$181)*($F$180:$AI$180=""))+IF(AN$181="P6",COUNTIF($F$180:$AI$180,"P6")*ROWS($B$183:$B$206),0)),"")</f>
        <v>0.90134116883116855</v>
      </c>
      <c r="AO206" s="6" t="str" cm="1">
        <f t="array" ref="AO206">IFERROR((SUMPRODUCT(($B$183:$B$206=AO$181)*($F$180:$AI$180="")*$F$183:$AI$206)+IF(AO$181="P6",SUMPRODUCT(($F$180:$AI$180="P6")*$F$183:$AI$206),0))/(SUMPRODUCT(($B$183:$B$206=AO$181)*($F$180:$AI$180=""))+IF(AO$181="P6",COUNTIF($F$180:$AI$180,"P6")*ROWS($B$183:$B$206),0)),"")</f>
        <v/>
      </c>
      <c r="AP206" s="6" t="str" cm="1">
        <f t="array" ref="AP206">IFERROR((SUMPRODUCT(($B$183:$B$206=AP$181)*($F$180:$AI$180="")*$F$183:$AI$206)+IF(AP$181="P6",SUMPRODUCT(($F$180:$AI$180="P6")*$F$183:$AI$206),0))/(SUMPRODUCT(($B$183:$B$206=AP$181)*($F$180:$AI$180=""))+IF(AP$181="P6",COUNTIF($F$180:$AI$180,"P6")*ROWS($B$183:$B$206),0)),"")</f>
        <v/>
      </c>
      <c r="AQ206" s="6" t="str" cm="1">
        <f t="array" ref="AQ206">IFERROR((SUMPRODUCT(($B$183:$B$206=AQ$181)*($F$180:$AI$180="")*$F$183:$AI$206)+IF(AQ$181="P6",SUMPRODUCT(($F$180:$AI$180="P6")*$F$183:$AI$206),0))/(SUMPRODUCT(($B$183:$B$206=AQ$181)*($F$180:$AI$180=""))+IF(AQ$181="P6",COUNTIF($F$180:$AI$180,"P6")*ROWS($B$183:$B$206),0)),"")</f>
        <v/>
      </c>
      <c r="AR206" s="6" cm="1">
        <f t="array" ref="AR206">IFERROR((SUMPRODUCT(($B$183:$B$206=AR$181)*($F$180:$AI$180="")*$F$183:$AI$206)+IF(AR$181="P6",SUMPRODUCT(($F$180:$AI$180="P6")*$F$183:$AI$206),0))/(SUMPRODUCT(($B$183:$B$206=AR$181)*($F$180:$AI$180=""))+IF(AR$181="P6",COUNTIF($F$180:$AI$180,"P6")*ROWS($B$183:$B$206),0)),"")</f>
        <v>0.9295307336956522</v>
      </c>
    </row>
    <row r="207" spans="1:44" ht="14.25" customHeight="1" x14ac:dyDescent="0.35">
      <c r="AL207" s="4" t="s">
        <v>29</v>
      </c>
      <c r="AM207" s="6" cm="1">
        <f t="array" ref="AM207">IFERROR((SUMPRODUCT(($B$183:$B$206=AM$181)*($F$180:$AI$180="")*$F$183:$AI$206)+IF(AM$181="P6",SUMPRODUCT(($F$180:$AI$180="P6")*$F$183:$AI$206),0))/(SUMPRODUCT(($B$183:$B$206=AM$181)*($F$180:$AI$180=""))+IF(AM$181="P6",COUNTIF($F$180:$AI$180,"P6")*ROWS($B$183:$B$206),0)),"")</f>
        <v>0.87260444444444496</v>
      </c>
      <c r="AN207" s="6" cm="1">
        <f t="array" ref="AN207">IFERROR((SUMPRODUCT(($B$183:$B$206=AN$181)*($F$180:$AI$180="")*$F$183:$AI$206)+IF(AN$181="P6",SUMPRODUCT(($F$180:$AI$180="P6")*$F$183:$AI$206),0))/(SUMPRODUCT(($B$183:$B$206=AN$181)*($F$180:$AI$180=""))+IF(AN$181="P6",COUNTIF($F$180:$AI$180,"P6")*ROWS($B$183:$B$206),0)),"")</f>
        <v>0.90134116883116855</v>
      </c>
      <c r="AO207" s="6" t="str" cm="1">
        <f t="array" ref="AO207">IFERROR((SUMPRODUCT(($B$183:$B$206=AO$181)*($F$180:$AI$180="")*$F$183:$AI$206)+IF(AO$181="P6",SUMPRODUCT(($F$180:$AI$180="P6")*$F$183:$AI$206),0))/(SUMPRODUCT(($B$183:$B$206=AO$181)*($F$180:$AI$180=""))+IF(AO$181="P6",COUNTIF($F$180:$AI$180,"P6")*ROWS($B$183:$B$206),0)),"")</f>
        <v/>
      </c>
      <c r="AP207" s="6" t="str" cm="1">
        <f t="array" ref="AP207">IFERROR((SUMPRODUCT(($B$183:$B$206=AP$181)*($F$180:$AI$180="")*$F$183:$AI$206)+IF(AP$181="P6",SUMPRODUCT(($F$180:$AI$180="P6")*$F$183:$AI$206),0))/(SUMPRODUCT(($B$183:$B$206=AP$181)*($F$180:$AI$180=""))+IF(AP$181="P6",COUNTIF($F$180:$AI$180,"P6")*ROWS($B$183:$B$206),0)),"")</f>
        <v/>
      </c>
      <c r="AQ207" s="6" t="str" cm="1">
        <f t="array" ref="AQ207">IFERROR((SUMPRODUCT(($B$183:$B$206=AQ$181)*($F$180:$AI$180="")*$F$183:$AI$206)+IF(AQ$181="P6",SUMPRODUCT(($F$180:$AI$180="P6")*$F$183:$AI$206),0))/(SUMPRODUCT(($B$183:$B$206=AQ$181)*($F$180:$AI$180=""))+IF(AQ$181="P6",COUNTIF($F$180:$AI$180,"P6")*ROWS($B$183:$B$206),0)),"")</f>
        <v/>
      </c>
      <c r="AR207" s="6" cm="1">
        <f t="array" ref="AR207">IFERROR((SUMPRODUCT(($B$183:$B$206=AR$181)*($F$180:$AI$180="")*$F$183:$AI$206)+IF(AR$181="P6",SUMPRODUCT(($F$180:$AI$180="P6")*$F$183:$AI$206),0))/(SUMPRODUCT(($B$183:$B$206=AR$181)*($F$180:$AI$180=""))+IF(AR$181="P6",COUNTIF($F$180:$AI$180,"P6")*ROWS($B$183:$B$206),0)),"")</f>
        <v>0.9295307336956522</v>
      </c>
    </row>
    <row r="211" spans="1:44" ht="14.25" customHeight="1" x14ac:dyDescent="0.35">
      <c r="A211" s="15" t="s">
        <v>228</v>
      </c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</row>
    <row r="212" spans="1:44" ht="14.25" customHeight="1" x14ac:dyDescent="0.3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</row>
    <row r="213" spans="1:44" ht="14.25" customHeight="1" x14ac:dyDescent="0.35">
      <c r="AL213" s="10"/>
      <c r="AM213" s="10"/>
      <c r="AN213" s="10"/>
      <c r="AO213" s="10"/>
      <c r="AP213" s="10"/>
      <c r="AQ213" s="10"/>
      <c r="AR213" s="10"/>
    </row>
    <row r="214" spans="1:44" ht="14.25" customHeight="1" x14ac:dyDescent="0.35">
      <c r="F214" s="1" t="str">
        <f>IF(OR(F216="S",F216="D"),"P3","")</f>
        <v>P3</v>
      </c>
      <c r="G214" s="1" t="str">
        <f t="shared" ref="G214:AJ214" si="23">IF(OR(G216="S",G216="D"),"P3","")</f>
        <v>P3</v>
      </c>
      <c r="H214" s="1" t="str">
        <f t="shared" si="23"/>
        <v/>
      </c>
      <c r="I214" s="1" t="str">
        <f t="shared" si="23"/>
        <v/>
      </c>
      <c r="J214" s="1" t="str">
        <f t="shared" si="23"/>
        <v/>
      </c>
      <c r="K214" s="1" t="str">
        <f t="shared" si="23"/>
        <v/>
      </c>
      <c r="L214" s="1" t="str">
        <f t="shared" si="23"/>
        <v/>
      </c>
      <c r="M214" s="1" t="str">
        <f t="shared" si="23"/>
        <v>P3</v>
      </c>
      <c r="N214" s="1" t="str">
        <f t="shared" si="23"/>
        <v>P3</v>
      </c>
      <c r="O214" s="1" t="str">
        <f t="shared" si="23"/>
        <v/>
      </c>
      <c r="P214" s="1" t="str">
        <f t="shared" si="23"/>
        <v/>
      </c>
      <c r="Q214" s="1" t="str">
        <f t="shared" si="23"/>
        <v/>
      </c>
      <c r="R214" s="1" t="str">
        <f t="shared" si="23"/>
        <v/>
      </c>
      <c r="S214" s="1" t="str">
        <f t="shared" si="23"/>
        <v/>
      </c>
      <c r="T214" s="1" t="str">
        <f t="shared" si="23"/>
        <v>P3</v>
      </c>
      <c r="U214" s="1" t="str">
        <f t="shared" si="23"/>
        <v>P3</v>
      </c>
      <c r="V214" s="1" t="str">
        <f t="shared" si="23"/>
        <v/>
      </c>
      <c r="W214" s="1" t="str">
        <f t="shared" si="23"/>
        <v/>
      </c>
      <c r="X214" s="1" t="str">
        <f t="shared" si="23"/>
        <v/>
      </c>
      <c r="Y214" s="1" t="str">
        <f t="shared" si="23"/>
        <v/>
      </c>
      <c r="Z214" s="1" t="str">
        <f t="shared" si="23"/>
        <v/>
      </c>
      <c r="AA214" s="1" t="str">
        <f t="shared" si="23"/>
        <v>P3</v>
      </c>
      <c r="AB214" s="1" t="str">
        <f t="shared" si="23"/>
        <v>P3</v>
      </c>
      <c r="AC214" s="1" t="str">
        <f t="shared" si="23"/>
        <v/>
      </c>
      <c r="AD214" s="1" t="str">
        <f t="shared" si="23"/>
        <v/>
      </c>
      <c r="AE214" s="1" t="str">
        <f t="shared" si="23"/>
        <v/>
      </c>
      <c r="AF214" s="1" t="str">
        <f t="shared" si="23"/>
        <v/>
      </c>
      <c r="AG214" s="1" t="str">
        <f t="shared" si="23"/>
        <v/>
      </c>
      <c r="AH214" s="1" t="str">
        <f t="shared" si="23"/>
        <v>P3</v>
      </c>
      <c r="AI214" s="1" t="str">
        <f t="shared" si="23"/>
        <v>P3</v>
      </c>
      <c r="AJ214" s="1" t="str">
        <f t="shared" si="23"/>
        <v/>
      </c>
      <c r="AL214" s="10"/>
      <c r="AM214" s="10"/>
      <c r="AN214" s="10"/>
      <c r="AO214" s="10"/>
      <c r="AP214" s="10"/>
      <c r="AQ214" s="10"/>
      <c r="AR214" s="10"/>
    </row>
    <row r="215" spans="1:44" ht="14.25" customHeight="1" x14ac:dyDescent="0.35">
      <c r="F215" s="1" t="str">
        <f>IF(OR(F216="S",F216="D"),"P6","")</f>
        <v>P6</v>
      </c>
      <c r="G215" s="1" t="str">
        <f t="shared" ref="G215:AJ215" si="24">IF(OR(G216="S",G216="D"),"P6","")</f>
        <v>P6</v>
      </c>
      <c r="H215" s="1" t="str">
        <f t="shared" si="24"/>
        <v/>
      </c>
      <c r="I215" s="1" t="str">
        <f t="shared" si="24"/>
        <v/>
      </c>
      <c r="J215" s="1" t="str">
        <f t="shared" si="24"/>
        <v/>
      </c>
      <c r="K215" s="1" t="str">
        <f t="shared" si="24"/>
        <v/>
      </c>
      <c r="L215" s="1" t="str">
        <f t="shared" si="24"/>
        <v/>
      </c>
      <c r="M215" s="1" t="str">
        <f t="shared" si="24"/>
        <v>P6</v>
      </c>
      <c r="N215" s="1" t="str">
        <f t="shared" si="24"/>
        <v>P6</v>
      </c>
      <c r="O215" s="1" t="str">
        <f t="shared" si="24"/>
        <v/>
      </c>
      <c r="P215" s="1" t="str">
        <f t="shared" si="24"/>
        <v/>
      </c>
      <c r="Q215" s="1" t="str">
        <f t="shared" si="24"/>
        <v/>
      </c>
      <c r="R215" s="1" t="str">
        <f t="shared" si="24"/>
        <v/>
      </c>
      <c r="S215" s="1" t="str">
        <f t="shared" si="24"/>
        <v/>
      </c>
      <c r="T215" s="1" t="str">
        <f t="shared" si="24"/>
        <v>P6</v>
      </c>
      <c r="U215" s="1" t="str">
        <f t="shared" si="24"/>
        <v>P6</v>
      </c>
      <c r="V215" s="1" t="str">
        <f t="shared" si="24"/>
        <v/>
      </c>
      <c r="W215" s="1" t="str">
        <f t="shared" si="24"/>
        <v/>
      </c>
      <c r="X215" s="1" t="str">
        <f t="shared" si="24"/>
        <v/>
      </c>
      <c r="Y215" s="1" t="str">
        <f t="shared" si="24"/>
        <v/>
      </c>
      <c r="Z215" s="1" t="str">
        <f t="shared" si="24"/>
        <v/>
      </c>
      <c r="AA215" s="1" t="str">
        <f t="shared" si="24"/>
        <v>P6</v>
      </c>
      <c r="AB215" s="1" t="str">
        <f t="shared" si="24"/>
        <v>P6</v>
      </c>
      <c r="AC215" s="1" t="str">
        <f t="shared" si="24"/>
        <v/>
      </c>
      <c r="AD215" s="1" t="str">
        <f t="shared" si="24"/>
        <v/>
      </c>
      <c r="AE215" s="1" t="str">
        <f t="shared" si="24"/>
        <v/>
      </c>
      <c r="AF215" s="1" t="str">
        <f t="shared" si="24"/>
        <v/>
      </c>
      <c r="AG215" s="1" t="str">
        <f t="shared" si="24"/>
        <v/>
      </c>
      <c r="AH215" s="1" t="str">
        <f t="shared" si="24"/>
        <v>P6</v>
      </c>
      <c r="AI215" s="1" t="str">
        <f t="shared" si="24"/>
        <v>P6</v>
      </c>
      <c r="AJ215" s="1" t="str">
        <f t="shared" si="24"/>
        <v/>
      </c>
      <c r="AL215" s="14" t="s">
        <v>229</v>
      </c>
      <c r="AM215" s="14"/>
      <c r="AN215" s="14"/>
      <c r="AO215" s="14"/>
      <c r="AP215" s="14"/>
      <c r="AQ215" s="14"/>
      <c r="AR215" s="14"/>
    </row>
    <row r="216" spans="1:44" ht="14.25" customHeight="1" x14ac:dyDescent="0.35">
      <c r="F216" s="1" t="str">
        <f>CHOOSE(WEEKDAY(F217,2),"L","M","X","J","V","S","D")</f>
        <v>S</v>
      </c>
      <c r="G216" s="1" t="str">
        <f t="shared" ref="G216:AJ216" si="25">CHOOSE(WEEKDAY(G217,2),"L","M","X","J","V","S","D")</f>
        <v>D</v>
      </c>
      <c r="H216" s="1" t="str">
        <f t="shared" si="25"/>
        <v>L</v>
      </c>
      <c r="I216" s="1" t="str">
        <f t="shared" si="25"/>
        <v>M</v>
      </c>
      <c r="J216" s="1" t="str">
        <f t="shared" si="25"/>
        <v>X</v>
      </c>
      <c r="K216" s="1" t="str">
        <f t="shared" si="25"/>
        <v>J</v>
      </c>
      <c r="L216" s="1" t="str">
        <f t="shared" si="25"/>
        <v>V</v>
      </c>
      <c r="M216" s="1" t="str">
        <f t="shared" si="25"/>
        <v>S</v>
      </c>
      <c r="N216" s="1" t="str">
        <f t="shared" si="25"/>
        <v>D</v>
      </c>
      <c r="O216" s="1" t="str">
        <f t="shared" si="25"/>
        <v>L</v>
      </c>
      <c r="P216" s="1" t="str">
        <f t="shared" si="25"/>
        <v>M</v>
      </c>
      <c r="Q216" s="1" t="str">
        <f t="shared" si="25"/>
        <v>X</v>
      </c>
      <c r="R216" s="1" t="str">
        <f t="shared" si="25"/>
        <v>J</v>
      </c>
      <c r="S216" s="1" t="str">
        <f t="shared" si="25"/>
        <v>V</v>
      </c>
      <c r="T216" s="1" t="str">
        <f t="shared" si="25"/>
        <v>S</v>
      </c>
      <c r="U216" s="1" t="str">
        <f t="shared" si="25"/>
        <v>D</v>
      </c>
      <c r="V216" s="1" t="str">
        <f t="shared" si="25"/>
        <v>L</v>
      </c>
      <c r="W216" s="1" t="str">
        <f t="shared" si="25"/>
        <v>M</v>
      </c>
      <c r="X216" s="1" t="str">
        <f t="shared" si="25"/>
        <v>X</v>
      </c>
      <c r="Y216" s="1" t="str">
        <f t="shared" si="25"/>
        <v>J</v>
      </c>
      <c r="Z216" s="1" t="str">
        <f t="shared" si="25"/>
        <v>V</v>
      </c>
      <c r="AA216" s="1" t="str">
        <f t="shared" si="25"/>
        <v>S</v>
      </c>
      <c r="AB216" s="1" t="str">
        <f t="shared" si="25"/>
        <v>D</v>
      </c>
      <c r="AC216" s="1" t="str">
        <f t="shared" si="25"/>
        <v>L</v>
      </c>
      <c r="AD216" s="1" t="str">
        <f t="shared" si="25"/>
        <v>M</v>
      </c>
      <c r="AE216" s="1" t="str">
        <f t="shared" si="25"/>
        <v>X</v>
      </c>
      <c r="AF216" s="1" t="str">
        <f t="shared" si="25"/>
        <v>J</v>
      </c>
      <c r="AG216" s="1" t="str">
        <f t="shared" si="25"/>
        <v>V</v>
      </c>
      <c r="AH216" s="1" t="str">
        <f t="shared" si="25"/>
        <v>S</v>
      </c>
      <c r="AI216" s="1" t="str">
        <f t="shared" si="25"/>
        <v>D</v>
      </c>
      <c r="AJ216" s="1" t="str">
        <f t="shared" si="25"/>
        <v>L</v>
      </c>
      <c r="AL216" s="4"/>
      <c r="AM216" s="4" t="s">
        <v>13</v>
      </c>
      <c r="AN216" s="4" t="s">
        <v>14</v>
      </c>
      <c r="AO216" s="4" t="s">
        <v>15</v>
      </c>
      <c r="AP216" s="4" t="s">
        <v>16</v>
      </c>
      <c r="AQ216" s="4" t="s">
        <v>17</v>
      </c>
      <c r="AR216" s="4" t="s">
        <v>7</v>
      </c>
    </row>
    <row r="217" spans="1:44" ht="14.25" customHeight="1" x14ac:dyDescent="0.35">
      <c r="A217" s="3" t="s">
        <v>76</v>
      </c>
      <c r="B217" s="3" t="s">
        <v>77</v>
      </c>
      <c r="C217" s="3" t="s">
        <v>75</v>
      </c>
      <c r="D217" s="3" t="s">
        <v>74</v>
      </c>
      <c r="F217" s="8">
        <v>45108</v>
      </c>
      <c r="G217" s="8">
        <v>45109</v>
      </c>
      <c r="H217" s="8">
        <v>45110</v>
      </c>
      <c r="I217" s="8">
        <v>45111</v>
      </c>
      <c r="J217" s="8">
        <v>45112</v>
      </c>
      <c r="K217" s="8">
        <v>45113</v>
      </c>
      <c r="L217" s="8">
        <v>45114</v>
      </c>
      <c r="M217" s="8">
        <v>45115</v>
      </c>
      <c r="N217" s="8">
        <v>45116</v>
      </c>
      <c r="O217" s="8">
        <v>45117</v>
      </c>
      <c r="P217" s="8">
        <v>45118</v>
      </c>
      <c r="Q217" s="8">
        <v>45119</v>
      </c>
      <c r="R217" s="8">
        <v>45120</v>
      </c>
      <c r="S217" s="8">
        <v>45121</v>
      </c>
      <c r="T217" s="8">
        <v>45122</v>
      </c>
      <c r="U217" s="8">
        <v>45123</v>
      </c>
      <c r="V217" s="8">
        <v>45124</v>
      </c>
      <c r="W217" s="8">
        <v>45125</v>
      </c>
      <c r="X217" s="8">
        <v>45126</v>
      </c>
      <c r="Y217" s="8">
        <v>45127</v>
      </c>
      <c r="Z217" s="8">
        <v>45128</v>
      </c>
      <c r="AA217" s="8">
        <v>45129</v>
      </c>
      <c r="AB217" s="8">
        <v>45130</v>
      </c>
      <c r="AC217" s="8">
        <v>45131</v>
      </c>
      <c r="AD217" s="8">
        <v>45132</v>
      </c>
      <c r="AE217" s="8">
        <v>45133</v>
      </c>
      <c r="AF217" s="8">
        <v>45134</v>
      </c>
      <c r="AG217" s="8">
        <v>45135</v>
      </c>
      <c r="AH217" s="8">
        <v>45136</v>
      </c>
      <c r="AI217" s="8">
        <v>45137</v>
      </c>
      <c r="AJ217" s="8">
        <v>45138</v>
      </c>
      <c r="AL217" s="4" t="s">
        <v>19</v>
      </c>
      <c r="AM217" s="6" cm="1">
        <f t="array" ref="AM217">IFERROR((SUMPRODUCT(($C$218:$C$241=AM$216)*($F$214:$AJ$214="")*$F$218:$AJ$241)+IF(AM$216="P3",SUMPRODUCT(($F$214:$AJ$214="P3")*$F$218:$AJ$241),0))/(SUMPRODUCT(($C$218:$C$241=AM$216)*($F$214:$AJ$214=""))+IF(AM$216="P3",COUNTIF($F$214:$AJ$214,"P3")*ROWS($C$218:$C$241),0)),"")</f>
        <v>0.90244821428571442</v>
      </c>
      <c r="AN217" s="6" cm="1">
        <f t="array" ref="AN217">IFERROR((SUMPRODUCT(($C$218:$C$241=AN$216)*($F$214:$AJ$214="")*$F$218:$AJ$241)+IF(AN$216="P3",SUMPRODUCT(($F$214:$AJ$214="P3")*$F$218:$AJ$241),0))/(SUMPRODUCT(($C$218:$C$241=AN$216)*($F$214:$AJ$214=""))+IF(AN$216="P3",COUNTIF($F$214:$AJ$214,"P3")*ROWS($C$218:$C$241),0)),"")</f>
        <v>0.90053803571428492</v>
      </c>
      <c r="AO217" s="6" cm="1">
        <f t="array" ref="AO217">IFERROR((SUMPRODUCT(($C$218:$C$241=AO$216)*($F$214:$AJ$214="")*$F$218:$AJ$241)+IF(AO$216="P3",SUMPRODUCT(($F$214:$AJ$214="P3")*$F$218:$AJ$241),0))/(SUMPRODUCT(($C$218:$C$241=AO$216)*($F$214:$AJ$214=""))+IF(AO$216="P3",COUNTIF($F$214:$AJ$214,"P3")*ROWS($C$218:$C$241),0)),"")</f>
        <v>0.94471333333333296</v>
      </c>
      <c r="AP217" s="6" t="str" cm="1">
        <f t="array" ref="AP217">IFERROR((SUMPRODUCT(($C$218:$C$241=AP$216)*($F$214:$AJ$214="")*$F$218:$AJ$241)+IF(AP$216="P3",SUMPRODUCT(($F$214:$AJ$214="P3")*$F$218:$AJ$241),0))/(SUMPRODUCT(($C$218:$C$241=AP$216)*($F$214:$AJ$214=""))+IF(AP$216="P3",COUNTIF($F$214:$AJ$214,"P3")*ROWS($C$218:$C$241),0)),"")</f>
        <v/>
      </c>
      <c r="AQ217" s="6" t="str" cm="1">
        <f t="array" ref="AQ217">IFERROR((SUMPRODUCT(($C$218:$C$241=AQ$216)*($F$214:$AJ$214="")*$F$218:$AJ$241)+IF(AQ$216="P3",SUMPRODUCT(($F$214:$AJ$214="P3")*$F$218:$AJ$241),0))/(SUMPRODUCT(($C$218:$C$241=AQ$216)*($F$214:$AJ$214=""))+IF(AQ$216="P3",COUNTIF($F$214:$AJ$214,"P3")*ROWS($C$218:$C$241),0)),"")</f>
        <v/>
      </c>
      <c r="AR217" s="6" t="str" cm="1">
        <f t="array" ref="AR217">IFERROR((SUMPRODUCT(($C$218:$C$241=AR$216)*($F$214:$AJ$214="")*$F$218:$AJ$241)+IF(AR$216="P3",SUMPRODUCT(($F$214:$AJ$214="P3")*$F$218:$AJ$241),0))/(SUMPRODUCT(($C$218:$C$241=AR$216)*($F$214:$AJ$214=""))+IF(AR$216="P3",COUNTIF($F$214:$AJ$214,"P3")*ROWS($C$218:$C$241),0)),"")</f>
        <v/>
      </c>
    </row>
    <row r="218" spans="1:44" ht="14.25" customHeight="1" x14ac:dyDescent="0.35">
      <c r="A218" s="1" t="s">
        <v>7</v>
      </c>
      <c r="B218" s="1" t="s">
        <v>7</v>
      </c>
      <c r="C218" s="1" t="s">
        <v>15</v>
      </c>
      <c r="D218" s="1" t="s">
        <v>7</v>
      </c>
      <c r="E218" s="1" t="s">
        <v>8</v>
      </c>
      <c r="F218" s="1">
        <v>0.99136999999999997</v>
      </c>
      <c r="G218" s="1">
        <v>1.00959</v>
      </c>
      <c r="H218" s="1">
        <v>0.95816999999999997</v>
      </c>
      <c r="I218" s="1">
        <v>0.94843999999999995</v>
      </c>
      <c r="J218" s="1">
        <v>0.95194000000000001</v>
      </c>
      <c r="K218" s="1">
        <v>0.94774000000000003</v>
      </c>
      <c r="L218" s="1">
        <v>0.95409999999999995</v>
      </c>
      <c r="M218" s="1">
        <v>0.99136999999999997</v>
      </c>
      <c r="N218" s="1">
        <v>1.00959</v>
      </c>
      <c r="O218" s="1">
        <v>0.95816999999999997</v>
      </c>
      <c r="P218" s="1">
        <v>0.94843999999999995</v>
      </c>
      <c r="Q218" s="1">
        <v>0.95194000000000001</v>
      </c>
      <c r="R218" s="1">
        <v>0.94774000000000003</v>
      </c>
      <c r="S218" s="1">
        <v>0.95409999999999995</v>
      </c>
      <c r="T218" s="1">
        <v>0.99136999999999997</v>
      </c>
      <c r="U218" s="1">
        <v>1.00959</v>
      </c>
      <c r="V218" s="1">
        <v>0.95816999999999997</v>
      </c>
      <c r="W218" s="1">
        <v>0.94843999999999995</v>
      </c>
      <c r="X218" s="1">
        <v>0.95194000000000001</v>
      </c>
      <c r="Y218" s="1">
        <v>0.94774000000000003</v>
      </c>
      <c r="Z218" s="1">
        <v>0.95409999999999995</v>
      </c>
      <c r="AA218" s="1">
        <v>0.99136999999999997</v>
      </c>
      <c r="AB218" s="1">
        <v>1.00959</v>
      </c>
      <c r="AC218" s="1">
        <v>0.95816999999999997</v>
      </c>
      <c r="AD218" s="1">
        <v>0.94843999999999995</v>
      </c>
      <c r="AE218" s="1">
        <v>0.95194000000000001</v>
      </c>
      <c r="AF218" s="1">
        <v>0.94774000000000003</v>
      </c>
      <c r="AG218" s="1">
        <v>0.95409999999999995</v>
      </c>
      <c r="AH218" s="1">
        <v>0.99136999999999997</v>
      </c>
      <c r="AI218" s="1">
        <v>1.00959</v>
      </c>
      <c r="AJ218" s="1">
        <v>0.95816999999999997</v>
      </c>
      <c r="AL218" s="4" t="s">
        <v>21</v>
      </c>
      <c r="AM218" s="6" cm="1">
        <f t="array" ref="AM218">IFERROR((SUMPRODUCT(($D$218:$D$241=AM$216)*($F$215:$AJ$215="")*$F$218:$AJ$241)+IF(AM$216="P6",SUMPRODUCT(($F$215:$AJ$215="P6")*$F$218:$AJ$241),0))/(SUMPRODUCT(($D$218:$D$241=AM$216)*($F$215:$AJ$215=""))+IF(AM$216="P6",COUNTIF($F$215:$AJ$215,"P6")*ROWS($D$218:$D$241),0)),"")</f>
        <v>0.89920449735449681</v>
      </c>
      <c r="AN218" s="6" cm="1">
        <f t="array" ref="AN218">IFERROR((SUMPRODUCT(($D$218:$D$241=AN$216)*($F$215:$AJ$215="")*$F$218:$AJ$241)+IF(AN$216="P6",SUMPRODUCT(($F$215:$AJ$215="P6")*$F$218:$AJ$241),0))/(SUMPRODUCT(($D$218:$D$241=AN$216)*($F$215:$AJ$215=""))+IF(AN$216="P6",COUNTIF($F$215:$AJ$215,"P6")*ROWS($D$218:$D$241),0)),"")</f>
        <v>0.90443564625850248</v>
      </c>
      <c r="AO218" s="6" t="str" cm="1">
        <f t="array" ref="AO218">IFERROR((SUMPRODUCT(($D$218:$D$241=AO$216)*($F$215:$AJ$215="")*$F$218:$AJ$241)+IF(AO$216="P6",SUMPRODUCT(($F$215:$AJ$215="P6")*$F$218:$AJ$241),0))/(SUMPRODUCT(($D$218:$D$241=AO$216)*($F$215:$AJ$215=""))+IF(AO$216="P6",COUNTIF($F$215:$AJ$215,"P6")*ROWS($D$218:$D$241),0)),"")</f>
        <v/>
      </c>
      <c r="AP218" s="6" t="str" cm="1">
        <f t="array" ref="AP218">IFERROR((SUMPRODUCT(($D$218:$D$241=AP$216)*($F$215:$AJ$215="")*$F$218:$AJ$241)+IF(AP$216="P6",SUMPRODUCT(($F$215:$AJ$215="P6")*$F$218:$AJ$241),0))/(SUMPRODUCT(($D$218:$D$241=AP$216)*($F$215:$AJ$215=""))+IF(AP$216="P6",COUNTIF($F$215:$AJ$215,"P6")*ROWS($D$218:$D$241),0)),"")</f>
        <v/>
      </c>
      <c r="AQ218" s="6" t="str" cm="1">
        <f t="array" ref="AQ218">IFERROR((SUMPRODUCT(($D$218:$D$241=AQ$216)*($F$215:$AJ$215="")*$F$218:$AJ$241)+IF(AQ$216="P6",SUMPRODUCT(($F$215:$AJ$215="P6")*$F$218:$AJ$241),0))/(SUMPRODUCT(($D$218:$D$241=AQ$216)*($F$215:$AJ$215=""))+IF(AQ$216="P6",COUNTIF($F$215:$AJ$215,"P6")*ROWS($D$218:$D$241),0)),"")</f>
        <v/>
      </c>
      <c r="AR218" s="6" cm="1">
        <f t="array" ref="AR218">IFERROR((SUMPRODUCT(($D$218:$D$241=AR$216)*($F$215:$AJ$215="")*$F$218:$AJ$241)+IF(AR$216="P6",SUMPRODUCT(($F$215:$AJ$215="P6")*$F$218:$AJ$241),0))/(SUMPRODUCT(($D$218:$D$241=AR$216)*($F$215:$AJ$215=""))+IF(AR$216="P6",COUNTIF($F$215:$AJ$215,"P6")*ROWS($D$218:$D$241),0)),"")</f>
        <v>0.94471333333333296</v>
      </c>
    </row>
    <row r="219" spans="1:44" ht="14.25" customHeight="1" x14ac:dyDescent="0.35">
      <c r="A219" s="1" t="s">
        <v>7</v>
      </c>
      <c r="B219" s="1" t="s">
        <v>7</v>
      </c>
      <c r="C219" s="1" t="s">
        <v>15</v>
      </c>
      <c r="D219" s="1" t="s">
        <v>7</v>
      </c>
      <c r="E219" s="1" t="s">
        <v>9</v>
      </c>
      <c r="F219" s="1">
        <v>0.99280000000000002</v>
      </c>
      <c r="G219" s="1">
        <v>1.0031000000000001</v>
      </c>
      <c r="H219" s="1">
        <v>0.97189999999999999</v>
      </c>
      <c r="I219" s="1">
        <v>0.96289999999999998</v>
      </c>
      <c r="J219" s="1">
        <v>0.95942000000000005</v>
      </c>
      <c r="K219" s="1">
        <v>0.95801999999999998</v>
      </c>
      <c r="L219" s="1">
        <v>0.96340000000000003</v>
      </c>
      <c r="M219" s="1">
        <v>0.99280000000000002</v>
      </c>
      <c r="N219" s="1">
        <v>1.0031000000000001</v>
      </c>
      <c r="O219" s="1">
        <v>0.97189999999999999</v>
      </c>
      <c r="P219" s="1">
        <v>0.96289999999999998</v>
      </c>
      <c r="Q219" s="1">
        <v>0.95942000000000005</v>
      </c>
      <c r="R219" s="1">
        <v>0.95801999999999998</v>
      </c>
      <c r="S219" s="1">
        <v>0.96340000000000003</v>
      </c>
      <c r="T219" s="1">
        <v>0.99280000000000002</v>
      </c>
      <c r="U219" s="1">
        <v>1.0031000000000001</v>
      </c>
      <c r="V219" s="1">
        <v>0.97189999999999999</v>
      </c>
      <c r="W219" s="1">
        <v>0.96289999999999998</v>
      </c>
      <c r="X219" s="1">
        <v>0.95942000000000005</v>
      </c>
      <c r="Y219" s="1">
        <v>0.95801999999999998</v>
      </c>
      <c r="Z219" s="1">
        <v>0.96340000000000003</v>
      </c>
      <c r="AA219" s="1">
        <v>0.99280000000000002</v>
      </c>
      <c r="AB219" s="1">
        <v>1.0031000000000001</v>
      </c>
      <c r="AC219" s="1">
        <v>0.97189999999999999</v>
      </c>
      <c r="AD219" s="1">
        <v>0.96289999999999998</v>
      </c>
      <c r="AE219" s="1">
        <v>0.95942000000000005</v>
      </c>
      <c r="AF219" s="1">
        <v>0.95801999999999998</v>
      </c>
      <c r="AG219" s="1">
        <v>0.96340000000000003</v>
      </c>
      <c r="AH219" s="1">
        <v>0.99280000000000002</v>
      </c>
      <c r="AI219" s="1">
        <v>1.0031000000000001</v>
      </c>
      <c r="AJ219" s="1">
        <v>0.97189999999999999</v>
      </c>
      <c r="AL219" s="4" t="s">
        <v>23</v>
      </c>
      <c r="AM219" s="6" cm="1">
        <f t="array" ref="AM219">IFERROR((SUMPRODUCT(($D$218:$D$241=AM$216)*($F$215:$AJ$215="")*$F$218:$AJ$241)+IF(AM$216="P6",SUMPRODUCT(($F$215:$AJ$215="P6")*$F$218:$AJ$241),0))/(SUMPRODUCT(($D$218:$D$241=AM$216)*($F$215:$AJ$215=""))+IF(AM$216="P6",COUNTIF($F$215:$AJ$215,"P6")*ROWS($D$218:$D$241),0)),"")</f>
        <v>0.89920449735449681</v>
      </c>
      <c r="AN219" s="6" cm="1">
        <f t="array" ref="AN219">IFERROR((SUMPRODUCT(($D$218:$D$241=AN$216)*($F$215:$AJ$215="")*$F$218:$AJ$241)+IF(AN$216="P6",SUMPRODUCT(($F$215:$AJ$215="P6")*$F$218:$AJ$241),0))/(SUMPRODUCT(($D$218:$D$241=AN$216)*($F$215:$AJ$215=""))+IF(AN$216="P6",COUNTIF($F$215:$AJ$215,"P6")*ROWS($D$218:$D$241),0)),"")</f>
        <v>0.90443564625850248</v>
      </c>
      <c r="AO219" s="5" t="str" cm="1">
        <f t="array" ref="AO219">IFERROR((SUMPRODUCT(($D$218:$D$241=AO$216)*($F$215:$AJ$215="")*$F$218:$AJ$241)+IF(AO$216="P6",SUMPRODUCT(($F$215:$AJ$215="P6")*$F$218:$AJ$241),0))/(SUMPRODUCT(($D$218:$D$241=AO$216)*($F$215:$AJ$215=""))+IF(AO$216="P6",COUNTIF($F$215:$AJ$215,"P6")*ROWS($D$218:$D$241),0)),"")</f>
        <v/>
      </c>
      <c r="AP219" s="5" t="str" cm="1">
        <f t="array" ref="AP219">IFERROR((SUMPRODUCT(($D$218:$D$241=AP$216)*($F$215:$AJ$215="")*$F$218:$AJ$241)+IF(AP$216="P6",SUMPRODUCT(($F$215:$AJ$215="P6")*$F$218:$AJ$241),0))/(SUMPRODUCT(($D$218:$D$241=AP$216)*($F$215:$AJ$215=""))+IF(AP$216="P6",COUNTIF($F$215:$AJ$215,"P6")*ROWS($D$218:$D$241),0)),"")</f>
        <v/>
      </c>
      <c r="AQ219" s="5" t="str" cm="1">
        <f t="array" ref="AQ219">IFERROR((SUMPRODUCT(($D$218:$D$241=AQ$216)*($F$215:$AJ$215="")*$F$218:$AJ$241)+IF(AQ$216="P6",SUMPRODUCT(($F$215:$AJ$215="P6")*$F$218:$AJ$241),0))/(SUMPRODUCT(($D$218:$D$241=AQ$216)*($F$215:$AJ$215=""))+IF(AQ$216="P6",COUNTIF($F$215:$AJ$215,"P6")*ROWS($D$218:$D$241),0)),"")</f>
        <v/>
      </c>
      <c r="AR219" s="6" cm="1">
        <f t="array" ref="AR219">IFERROR((SUMPRODUCT(($D$218:$D$241=AR$216)*($F$215:$AJ$215="")*$F$218:$AJ$241)+IF(AR$216="P6",SUMPRODUCT(($F$215:$AJ$215="P6")*$F$218:$AJ$241),0))/(SUMPRODUCT(($D$218:$D$241=AR$216)*($F$215:$AJ$215=""))+IF(AR$216="P6",COUNTIF($F$215:$AJ$215,"P6")*ROWS($D$218:$D$241),0)),"")</f>
        <v>0.94471333333333296</v>
      </c>
    </row>
    <row r="220" spans="1:44" ht="14.25" customHeight="1" x14ac:dyDescent="0.35">
      <c r="A220" s="1" t="s">
        <v>7</v>
      </c>
      <c r="B220" s="1" t="s">
        <v>7</v>
      </c>
      <c r="C220" s="1" t="s">
        <v>15</v>
      </c>
      <c r="D220" s="1" t="s">
        <v>7</v>
      </c>
      <c r="E220" s="1" t="s">
        <v>10</v>
      </c>
      <c r="F220" s="1">
        <v>0.99853999999999998</v>
      </c>
      <c r="G220" s="1">
        <v>1.0023500000000001</v>
      </c>
      <c r="H220" s="1">
        <v>0.98114999999999997</v>
      </c>
      <c r="I220" s="1">
        <v>0.9758</v>
      </c>
      <c r="J220" s="1">
        <v>0.96318999999999999</v>
      </c>
      <c r="K220" s="1">
        <v>0.96592</v>
      </c>
      <c r="L220" s="1">
        <v>0.97091000000000005</v>
      </c>
      <c r="M220" s="1">
        <v>0.99853999999999998</v>
      </c>
      <c r="N220" s="1">
        <v>1.0023500000000001</v>
      </c>
      <c r="O220" s="1">
        <v>0.98114999999999997</v>
      </c>
      <c r="P220" s="1">
        <v>0.9758</v>
      </c>
      <c r="Q220" s="1">
        <v>0.96318999999999999</v>
      </c>
      <c r="R220" s="1">
        <v>0.96592</v>
      </c>
      <c r="S220" s="1">
        <v>0.97091000000000005</v>
      </c>
      <c r="T220" s="1">
        <v>0.99853999999999998</v>
      </c>
      <c r="U220" s="1">
        <v>1.0023500000000001</v>
      </c>
      <c r="V220" s="1">
        <v>0.98114999999999997</v>
      </c>
      <c r="W220" s="1">
        <v>0.9758</v>
      </c>
      <c r="X220" s="1">
        <v>0.96318999999999999</v>
      </c>
      <c r="Y220" s="1">
        <v>0.96592</v>
      </c>
      <c r="Z220" s="1">
        <v>0.97091000000000005</v>
      </c>
      <c r="AA220" s="1">
        <v>0.99853999999999998</v>
      </c>
      <c r="AB220" s="1">
        <v>1.0023500000000001</v>
      </c>
      <c r="AC220" s="1">
        <v>0.98114999999999997</v>
      </c>
      <c r="AD220" s="1">
        <v>0.9758</v>
      </c>
      <c r="AE220" s="1">
        <v>0.96318999999999999</v>
      </c>
      <c r="AF220" s="1">
        <v>0.96592</v>
      </c>
      <c r="AG220" s="1">
        <v>0.97091000000000005</v>
      </c>
      <c r="AH220" s="1">
        <v>0.99853999999999998</v>
      </c>
      <c r="AI220" s="1">
        <v>1.0023500000000001</v>
      </c>
      <c r="AJ220" s="1">
        <v>0.98114999999999997</v>
      </c>
      <c r="AL220" s="4" t="s">
        <v>25</v>
      </c>
      <c r="AM220" s="6" cm="1">
        <f t="array" ref="AM220">IFERROR((SUMPRODUCT(($D$218:$D$241=AM$216)*($F$215:$AJ$215="")*$F$218:$AJ$241)+IF(AM$216="P6",SUMPRODUCT(($F$215:$AJ$215="P6")*$F$218:$AJ$241),0))/(SUMPRODUCT(($D$218:$D$241=AM$216)*($F$215:$AJ$215=""))+IF(AM$216="P6",COUNTIF($F$215:$AJ$215,"P6")*ROWS($D$218:$D$241),0)),"")</f>
        <v>0.89920449735449681</v>
      </c>
      <c r="AN220" s="6" cm="1">
        <f t="array" ref="AN220">IFERROR((SUMPRODUCT(($D$218:$D$241=AN$216)*($F$215:$AJ$215="")*$F$218:$AJ$241)+IF(AN$216="P6",SUMPRODUCT(($F$215:$AJ$215="P6")*$F$218:$AJ$241),0))/(SUMPRODUCT(($D$218:$D$241=AN$216)*($F$215:$AJ$215=""))+IF(AN$216="P6",COUNTIF($F$215:$AJ$215,"P6")*ROWS($D$218:$D$241),0)),"")</f>
        <v>0.90443564625850248</v>
      </c>
      <c r="AO220" s="5" t="str" cm="1">
        <f t="array" ref="AO220">IFERROR((SUMPRODUCT(($D$218:$D$241=AO$216)*($F$215:$AJ$215="")*$F$218:$AJ$241)+IF(AO$216="P6",SUMPRODUCT(($F$215:$AJ$215="P6")*$F$218:$AJ$241),0))/(SUMPRODUCT(($D$218:$D$241=AO$216)*($F$215:$AJ$215=""))+IF(AO$216="P6",COUNTIF($F$215:$AJ$215,"P6")*ROWS($D$218:$D$241),0)),"")</f>
        <v/>
      </c>
      <c r="AP220" s="5" t="str" cm="1">
        <f t="array" ref="AP220">IFERROR((SUMPRODUCT(($D$218:$D$241=AP$216)*($F$215:$AJ$215="")*$F$218:$AJ$241)+IF(AP$216="P6",SUMPRODUCT(($F$215:$AJ$215="P6")*$F$218:$AJ$241),0))/(SUMPRODUCT(($D$218:$D$241=AP$216)*($F$215:$AJ$215=""))+IF(AP$216="P6",COUNTIF($F$215:$AJ$215,"P6")*ROWS($D$218:$D$241),0)),"")</f>
        <v/>
      </c>
      <c r="AQ220" s="5" t="str" cm="1">
        <f t="array" ref="AQ220">IFERROR((SUMPRODUCT(($D$218:$D$241=AQ$216)*($F$215:$AJ$215="")*$F$218:$AJ$241)+IF(AQ$216="P6",SUMPRODUCT(($F$215:$AJ$215="P6")*$F$218:$AJ$241),0))/(SUMPRODUCT(($D$218:$D$241=AQ$216)*($F$215:$AJ$215=""))+IF(AQ$216="P6",COUNTIF($F$215:$AJ$215,"P6")*ROWS($D$218:$D$241),0)),"")</f>
        <v/>
      </c>
      <c r="AR220" s="6" cm="1">
        <f t="array" ref="AR220">IFERROR((SUMPRODUCT(($D$218:$D$241=AR$216)*($F$215:$AJ$215="")*$F$218:$AJ$241)+IF(AR$216="P6",SUMPRODUCT(($F$215:$AJ$215="P6")*$F$218:$AJ$241),0))/(SUMPRODUCT(($D$218:$D$241=AR$216)*($F$215:$AJ$215=""))+IF(AR$216="P6",COUNTIF($F$215:$AJ$215,"P6")*ROWS($D$218:$D$241),0)),"")</f>
        <v>0.94471333333333296</v>
      </c>
    </row>
    <row r="221" spans="1:44" ht="14.25" customHeight="1" x14ac:dyDescent="0.35">
      <c r="A221" s="1" t="s">
        <v>7</v>
      </c>
      <c r="B221" s="1" t="s">
        <v>7</v>
      </c>
      <c r="C221" s="1" t="s">
        <v>15</v>
      </c>
      <c r="D221" s="1" t="s">
        <v>7</v>
      </c>
      <c r="E221" s="1" t="s">
        <v>11</v>
      </c>
      <c r="F221" s="1">
        <v>0.99629000000000001</v>
      </c>
      <c r="G221" s="1">
        <v>1.00526</v>
      </c>
      <c r="H221" s="1">
        <v>0.98011999999999999</v>
      </c>
      <c r="I221" s="1">
        <v>0.97380999999999995</v>
      </c>
      <c r="J221" s="1">
        <v>0.97031000000000001</v>
      </c>
      <c r="K221" s="1">
        <v>0.96984000000000004</v>
      </c>
      <c r="L221" s="1">
        <v>0.96969000000000005</v>
      </c>
      <c r="M221" s="1">
        <v>0.99629000000000001</v>
      </c>
      <c r="N221" s="1">
        <v>1.00526</v>
      </c>
      <c r="O221" s="1">
        <v>0.98011999999999999</v>
      </c>
      <c r="P221" s="1">
        <v>0.97380999999999995</v>
      </c>
      <c r="Q221" s="1">
        <v>0.97031000000000001</v>
      </c>
      <c r="R221" s="1">
        <v>0.96984000000000004</v>
      </c>
      <c r="S221" s="1">
        <v>0.96969000000000005</v>
      </c>
      <c r="T221" s="1">
        <v>0.99629000000000001</v>
      </c>
      <c r="U221" s="1">
        <v>1.00526</v>
      </c>
      <c r="V221" s="1">
        <v>0.98011999999999999</v>
      </c>
      <c r="W221" s="1">
        <v>0.97380999999999995</v>
      </c>
      <c r="X221" s="1">
        <v>0.97031000000000001</v>
      </c>
      <c r="Y221" s="1">
        <v>0.96984000000000004</v>
      </c>
      <c r="Z221" s="1">
        <v>0.96969000000000005</v>
      </c>
      <c r="AA221" s="1">
        <v>0.99629000000000001</v>
      </c>
      <c r="AB221" s="1">
        <v>1.00526</v>
      </c>
      <c r="AC221" s="1">
        <v>0.98011999999999999</v>
      </c>
      <c r="AD221" s="1">
        <v>0.97380999999999995</v>
      </c>
      <c r="AE221" s="1">
        <v>0.97031000000000001</v>
      </c>
      <c r="AF221" s="1">
        <v>0.96984000000000004</v>
      </c>
      <c r="AG221" s="1">
        <v>0.96969000000000005</v>
      </c>
      <c r="AH221" s="1">
        <v>0.99629000000000001</v>
      </c>
      <c r="AI221" s="1">
        <v>1.00526</v>
      </c>
      <c r="AJ221" s="1">
        <v>0.98011999999999999</v>
      </c>
      <c r="AL221" s="4" t="s">
        <v>27</v>
      </c>
      <c r="AM221" s="6" cm="1">
        <f t="array" ref="AM221">IFERROR((SUMPRODUCT(($D$218:$D$241=AM$216)*($F$215:$AJ$215="")*$F$218:$AJ$241)+IF(AM$216="P6",SUMPRODUCT(($F$215:$AJ$215="P6")*$F$218:$AJ$241),0))/(SUMPRODUCT(($D$218:$D$241=AM$216)*($F$215:$AJ$215=""))+IF(AM$216="P6",COUNTIF($F$215:$AJ$215,"P6")*ROWS($D$218:$D$241),0)),"")</f>
        <v>0.89920449735449681</v>
      </c>
      <c r="AN221" s="6" cm="1">
        <f t="array" ref="AN221">IFERROR((SUMPRODUCT(($D$218:$D$241=AN$216)*($F$215:$AJ$215="")*$F$218:$AJ$241)+IF(AN$216="P6",SUMPRODUCT(($F$215:$AJ$215="P6")*$F$218:$AJ$241),0))/(SUMPRODUCT(($D$218:$D$241=AN$216)*($F$215:$AJ$215=""))+IF(AN$216="P6",COUNTIF($F$215:$AJ$215,"P6")*ROWS($D$218:$D$241),0)),"")</f>
        <v>0.90443564625850248</v>
      </c>
      <c r="AO221" s="5" t="str" cm="1">
        <f t="array" ref="AO221">IFERROR((SUMPRODUCT(($D$218:$D$241=AO$216)*($F$215:$AJ$215="")*$F$218:$AJ$241)+IF(AO$216="P6",SUMPRODUCT(($F$215:$AJ$215="P6")*$F$218:$AJ$241),0))/(SUMPRODUCT(($D$218:$D$241=AO$216)*($F$215:$AJ$215=""))+IF(AO$216="P6",COUNTIF($F$215:$AJ$215,"P6")*ROWS($D$218:$D$241),0)),"")</f>
        <v/>
      </c>
      <c r="AP221" s="5" t="str" cm="1">
        <f t="array" ref="AP221">IFERROR((SUMPRODUCT(($D$218:$D$241=AP$216)*($F$215:$AJ$215="")*$F$218:$AJ$241)+IF(AP$216="P6",SUMPRODUCT(($F$215:$AJ$215="P6")*$F$218:$AJ$241),0))/(SUMPRODUCT(($D$218:$D$241=AP$216)*($F$215:$AJ$215=""))+IF(AP$216="P6",COUNTIF($F$215:$AJ$215,"P6")*ROWS($D$218:$D$241),0)),"")</f>
        <v/>
      </c>
      <c r="AQ221" s="5" t="str" cm="1">
        <f t="array" ref="AQ221">IFERROR((SUMPRODUCT(($D$218:$D$241=AQ$216)*($F$215:$AJ$215="")*$F$218:$AJ$241)+IF(AQ$216="P6",SUMPRODUCT(($F$215:$AJ$215="P6")*$F$218:$AJ$241),0))/(SUMPRODUCT(($D$218:$D$241=AQ$216)*($F$215:$AJ$215=""))+IF(AQ$216="P6",COUNTIF($F$215:$AJ$215,"P6")*ROWS($D$218:$D$241),0)),"")</f>
        <v/>
      </c>
      <c r="AR221" s="6" cm="1">
        <f t="array" ref="AR221">IFERROR((SUMPRODUCT(($D$218:$D$241=AR$216)*($F$215:$AJ$215="")*$F$218:$AJ$241)+IF(AR$216="P6",SUMPRODUCT(($F$215:$AJ$215="P6")*$F$218:$AJ$241),0))/(SUMPRODUCT(($D$218:$D$241=AR$216)*($F$215:$AJ$215=""))+IF(AR$216="P6",COUNTIF($F$215:$AJ$215,"P6")*ROWS($D$218:$D$241),0)),"")</f>
        <v>0.94471333333333296</v>
      </c>
    </row>
    <row r="222" spans="1:44" ht="14.25" customHeight="1" x14ac:dyDescent="0.35">
      <c r="A222" s="1" t="s">
        <v>7</v>
      </c>
      <c r="B222" s="1" t="s">
        <v>7</v>
      </c>
      <c r="C222" s="1" t="s">
        <v>15</v>
      </c>
      <c r="D222" s="1" t="s">
        <v>7</v>
      </c>
      <c r="E222" s="1" t="s">
        <v>12</v>
      </c>
      <c r="F222" s="1">
        <v>0.98773</v>
      </c>
      <c r="G222" s="1">
        <v>1.00675</v>
      </c>
      <c r="H222" s="1">
        <v>0.97372999999999998</v>
      </c>
      <c r="I222" s="1">
        <v>0.96594000000000002</v>
      </c>
      <c r="J222" s="1">
        <v>0.96774000000000004</v>
      </c>
      <c r="K222" s="1">
        <v>0.97509999999999997</v>
      </c>
      <c r="L222" s="1">
        <v>0.97002999999999995</v>
      </c>
      <c r="M222" s="1">
        <v>0.98773</v>
      </c>
      <c r="N222" s="1">
        <v>1.00675</v>
      </c>
      <c r="O222" s="1">
        <v>0.97372999999999998</v>
      </c>
      <c r="P222" s="1">
        <v>0.96594000000000002</v>
      </c>
      <c r="Q222" s="1">
        <v>0.96774000000000004</v>
      </c>
      <c r="R222" s="1">
        <v>0.97509999999999997</v>
      </c>
      <c r="S222" s="1">
        <v>0.97002999999999995</v>
      </c>
      <c r="T222" s="1">
        <v>0.98773</v>
      </c>
      <c r="U222" s="1">
        <v>1.00675</v>
      </c>
      <c r="V222" s="1">
        <v>0.97372999999999998</v>
      </c>
      <c r="W222" s="1">
        <v>0.96594000000000002</v>
      </c>
      <c r="X222" s="1">
        <v>0.96774000000000004</v>
      </c>
      <c r="Y222" s="1">
        <v>0.97509999999999997</v>
      </c>
      <c r="Z222" s="1">
        <v>0.97002999999999995</v>
      </c>
      <c r="AA222" s="1">
        <v>0.98773</v>
      </c>
      <c r="AB222" s="1">
        <v>1.00675</v>
      </c>
      <c r="AC222" s="1">
        <v>0.97372999999999998</v>
      </c>
      <c r="AD222" s="1">
        <v>0.96594000000000002</v>
      </c>
      <c r="AE222" s="1">
        <v>0.96774000000000004</v>
      </c>
      <c r="AF222" s="1">
        <v>0.97509999999999997</v>
      </c>
      <c r="AG222" s="1">
        <v>0.97002999999999995</v>
      </c>
      <c r="AH222" s="1">
        <v>0.98773</v>
      </c>
      <c r="AI222" s="1">
        <v>1.00675</v>
      </c>
      <c r="AJ222" s="1">
        <v>0.97372999999999998</v>
      </c>
      <c r="AL222" s="4" t="s">
        <v>29</v>
      </c>
      <c r="AM222" s="6" cm="1">
        <f t="array" ref="AM222">IFERROR((SUMPRODUCT(($D$218:$D$241=AM$216)*($F$215:$AJ$215="")*$F$218:$AJ$241)+IF(AM$216="P6",SUMPRODUCT(($F$215:$AJ$215="P6")*$F$218:$AJ$241),0))/(SUMPRODUCT(($D$218:$D$241=AM$216)*($F$215:$AJ$215=""))+IF(AM$216="P6",COUNTIF($F$215:$AJ$215,"P6")*ROWS($D$218:$D$241),0)),"")</f>
        <v>0.89920449735449681</v>
      </c>
      <c r="AN222" s="6" cm="1">
        <f t="array" ref="AN222">IFERROR((SUMPRODUCT(($D$218:$D$241=AN$216)*($F$215:$AJ$215="")*$F$218:$AJ$241)+IF(AN$216="P6",SUMPRODUCT(($F$215:$AJ$215="P6")*$F$218:$AJ$241),0))/(SUMPRODUCT(($D$218:$D$241=AN$216)*($F$215:$AJ$215=""))+IF(AN$216="P6",COUNTIF($F$215:$AJ$215,"P6")*ROWS($D$218:$D$241),0)),"")</f>
        <v>0.90443564625850248</v>
      </c>
      <c r="AO222" s="5" t="str" cm="1">
        <f t="array" ref="AO222">IFERROR((SUMPRODUCT(($D$218:$D$241=AO$216)*($F$215:$AJ$215="")*$F$218:$AJ$241)+IF(AO$216="P6",SUMPRODUCT(($F$215:$AJ$215="P6")*$F$218:$AJ$241),0))/(SUMPRODUCT(($D$218:$D$241=AO$216)*($F$215:$AJ$215=""))+IF(AO$216="P6",COUNTIF($F$215:$AJ$215,"P6")*ROWS($D$218:$D$241),0)),"")</f>
        <v/>
      </c>
      <c r="AP222" s="5" t="str" cm="1">
        <f t="array" ref="AP222">IFERROR((SUMPRODUCT(($D$218:$D$241=AP$216)*($F$215:$AJ$215="")*$F$218:$AJ$241)+IF(AP$216="P6",SUMPRODUCT(($F$215:$AJ$215="P6")*$F$218:$AJ$241),0))/(SUMPRODUCT(($D$218:$D$241=AP$216)*($F$215:$AJ$215=""))+IF(AP$216="P6",COUNTIF($F$215:$AJ$215,"P6")*ROWS($D$218:$D$241),0)),"")</f>
        <v/>
      </c>
      <c r="AQ222" s="5" t="str" cm="1">
        <f t="array" ref="AQ222">IFERROR((SUMPRODUCT(($D$218:$D$241=AQ$216)*($F$215:$AJ$215="")*$F$218:$AJ$241)+IF(AQ$216="P6",SUMPRODUCT(($F$215:$AJ$215="P6")*$F$218:$AJ$241),0))/(SUMPRODUCT(($D$218:$D$241=AQ$216)*($F$215:$AJ$215=""))+IF(AQ$216="P6",COUNTIF($F$215:$AJ$215,"P6")*ROWS($D$218:$D$241),0)),"")</f>
        <v/>
      </c>
      <c r="AR222" s="6" cm="1">
        <f t="array" ref="AR222">IFERROR((SUMPRODUCT(($D$218:$D$241=AR$216)*($F$215:$AJ$215="")*$F$218:$AJ$241)+IF(AR$216="P6",SUMPRODUCT(($F$215:$AJ$215="P6")*$F$218:$AJ$241),0))/(SUMPRODUCT(($D$218:$D$241=AR$216)*($F$215:$AJ$215=""))+IF(AR$216="P6",COUNTIF($F$215:$AJ$215,"P6")*ROWS($D$218:$D$241),0)),"")</f>
        <v>0.94471333333333296</v>
      </c>
    </row>
    <row r="223" spans="1:44" ht="14.25" customHeight="1" x14ac:dyDescent="0.35">
      <c r="A223" s="1" t="s">
        <v>7</v>
      </c>
      <c r="B223" s="1" t="s">
        <v>7</v>
      </c>
      <c r="C223" s="1" t="s">
        <v>15</v>
      </c>
      <c r="D223" s="1" t="s">
        <v>7</v>
      </c>
      <c r="E223" s="1" t="s">
        <v>18</v>
      </c>
      <c r="F223" s="1">
        <v>0.98319000000000001</v>
      </c>
      <c r="G223" s="1">
        <v>1.00258</v>
      </c>
      <c r="H223" s="1">
        <v>0.95545999999999998</v>
      </c>
      <c r="I223" s="1">
        <v>0.95533999999999997</v>
      </c>
      <c r="J223" s="1">
        <v>0.96011999999999997</v>
      </c>
      <c r="K223" s="1">
        <v>0.96870000000000001</v>
      </c>
      <c r="L223" s="1">
        <v>0.95955999999999997</v>
      </c>
      <c r="M223" s="1">
        <v>0.98319000000000001</v>
      </c>
      <c r="N223" s="1">
        <v>1.00258</v>
      </c>
      <c r="O223" s="1">
        <v>0.95545999999999998</v>
      </c>
      <c r="P223" s="1">
        <v>0.95533999999999997</v>
      </c>
      <c r="Q223" s="1">
        <v>0.96011999999999997</v>
      </c>
      <c r="R223" s="1">
        <v>0.96870000000000001</v>
      </c>
      <c r="S223" s="1">
        <v>0.95955999999999997</v>
      </c>
      <c r="T223" s="1">
        <v>0.98319000000000001</v>
      </c>
      <c r="U223" s="1">
        <v>1.00258</v>
      </c>
      <c r="V223" s="1">
        <v>0.95545999999999998</v>
      </c>
      <c r="W223" s="1">
        <v>0.95533999999999997</v>
      </c>
      <c r="X223" s="1">
        <v>0.96011999999999997</v>
      </c>
      <c r="Y223" s="1">
        <v>0.96870000000000001</v>
      </c>
      <c r="Z223" s="1">
        <v>0.95955999999999997</v>
      </c>
      <c r="AA223" s="1">
        <v>0.98319000000000001</v>
      </c>
      <c r="AB223" s="1">
        <v>1.00258</v>
      </c>
      <c r="AC223" s="1">
        <v>0.95545999999999998</v>
      </c>
      <c r="AD223" s="1">
        <v>0.95533999999999997</v>
      </c>
      <c r="AE223" s="1">
        <v>0.96011999999999997</v>
      </c>
      <c r="AF223" s="1">
        <v>0.96870000000000001</v>
      </c>
      <c r="AG223" s="1">
        <v>0.95955999999999997</v>
      </c>
      <c r="AH223" s="1">
        <v>0.98319000000000001</v>
      </c>
      <c r="AI223" s="1">
        <v>1.00258</v>
      </c>
      <c r="AJ223" s="1">
        <v>0.95545999999999998</v>
      </c>
      <c r="AL223" s="10"/>
      <c r="AM223" s="10"/>
      <c r="AN223" s="10"/>
      <c r="AO223" s="10"/>
      <c r="AP223" s="10"/>
      <c r="AQ223" s="10"/>
      <c r="AR223" s="10"/>
    </row>
    <row r="224" spans="1:44" ht="14.25" customHeight="1" x14ac:dyDescent="0.35">
      <c r="A224" s="1" t="s">
        <v>7</v>
      </c>
      <c r="B224" s="1" t="s">
        <v>7</v>
      </c>
      <c r="C224" s="1" t="s">
        <v>15</v>
      </c>
      <c r="D224" s="1" t="s">
        <v>7</v>
      </c>
      <c r="E224" s="1" t="s">
        <v>20</v>
      </c>
      <c r="F224" s="1">
        <v>0.97406000000000004</v>
      </c>
      <c r="G224" s="1">
        <v>0.99768999999999997</v>
      </c>
      <c r="H224" s="1">
        <v>0.91227999999999998</v>
      </c>
      <c r="I224" s="1">
        <v>0.92351000000000005</v>
      </c>
      <c r="J224" s="1">
        <v>0.93083000000000005</v>
      </c>
      <c r="K224" s="1">
        <v>0.94093000000000004</v>
      </c>
      <c r="L224" s="1">
        <v>0.92710000000000004</v>
      </c>
      <c r="M224" s="1">
        <v>0.97406000000000004</v>
      </c>
      <c r="N224" s="1">
        <v>0.99768999999999997</v>
      </c>
      <c r="O224" s="1">
        <v>0.91227999999999998</v>
      </c>
      <c r="P224" s="1">
        <v>0.92351000000000005</v>
      </c>
      <c r="Q224" s="1">
        <v>0.93083000000000005</v>
      </c>
      <c r="R224" s="1">
        <v>0.94093000000000004</v>
      </c>
      <c r="S224" s="1">
        <v>0.92710000000000004</v>
      </c>
      <c r="T224" s="1">
        <v>0.97406000000000004</v>
      </c>
      <c r="U224" s="1">
        <v>0.99768999999999997</v>
      </c>
      <c r="V224" s="1">
        <v>0.91227999999999998</v>
      </c>
      <c r="W224" s="1">
        <v>0.92351000000000005</v>
      </c>
      <c r="X224" s="1">
        <v>0.93083000000000005</v>
      </c>
      <c r="Y224" s="1">
        <v>0.94093000000000004</v>
      </c>
      <c r="Z224" s="1">
        <v>0.92710000000000004</v>
      </c>
      <c r="AA224" s="1">
        <v>0.97406000000000004</v>
      </c>
      <c r="AB224" s="1">
        <v>0.99768999999999997</v>
      </c>
      <c r="AC224" s="1">
        <v>0.91227999999999998</v>
      </c>
      <c r="AD224" s="1">
        <v>0.92351000000000005</v>
      </c>
      <c r="AE224" s="1">
        <v>0.93083000000000005</v>
      </c>
      <c r="AF224" s="1">
        <v>0.94093000000000004</v>
      </c>
      <c r="AG224" s="1">
        <v>0.92710000000000004</v>
      </c>
      <c r="AH224" s="1">
        <v>0.97406000000000004</v>
      </c>
      <c r="AI224" s="1">
        <v>0.99768999999999997</v>
      </c>
      <c r="AJ224" s="1">
        <v>0.91227999999999998</v>
      </c>
      <c r="AL224" s="10"/>
      <c r="AM224" s="10"/>
      <c r="AN224" s="10"/>
      <c r="AO224" s="10"/>
      <c r="AP224" s="10"/>
      <c r="AQ224" s="10"/>
      <c r="AR224" s="10"/>
    </row>
    <row r="225" spans="1:44" ht="14.25" customHeight="1" x14ac:dyDescent="0.35">
      <c r="A225" s="1" t="s">
        <v>7</v>
      </c>
      <c r="B225" s="1" t="s">
        <v>7</v>
      </c>
      <c r="C225" s="1" t="s">
        <v>15</v>
      </c>
      <c r="D225" s="1" t="s">
        <v>7</v>
      </c>
      <c r="E225" s="1" t="s">
        <v>22</v>
      </c>
      <c r="F225" s="1">
        <v>0.94801000000000002</v>
      </c>
      <c r="G225" s="1">
        <v>0.98353999999999997</v>
      </c>
      <c r="H225" s="1">
        <v>0.89376999999999995</v>
      </c>
      <c r="I225" s="1">
        <v>0.90029999999999999</v>
      </c>
      <c r="J225" s="1">
        <v>0.91900000000000004</v>
      </c>
      <c r="K225" s="1">
        <v>0.91505999999999998</v>
      </c>
      <c r="L225" s="1">
        <v>0.90647</v>
      </c>
      <c r="M225" s="1">
        <v>0.94801000000000002</v>
      </c>
      <c r="N225" s="1">
        <v>0.98353999999999997</v>
      </c>
      <c r="O225" s="1">
        <v>0.89376999999999995</v>
      </c>
      <c r="P225" s="1">
        <v>0.90029999999999999</v>
      </c>
      <c r="Q225" s="1">
        <v>0.91900000000000004</v>
      </c>
      <c r="R225" s="1">
        <v>0.91505999999999998</v>
      </c>
      <c r="S225" s="1">
        <v>0.90647</v>
      </c>
      <c r="T225" s="1">
        <v>0.94801000000000002</v>
      </c>
      <c r="U225" s="1">
        <v>0.98353999999999997</v>
      </c>
      <c r="V225" s="1">
        <v>0.89376999999999995</v>
      </c>
      <c r="W225" s="1">
        <v>0.90029999999999999</v>
      </c>
      <c r="X225" s="1">
        <v>0.91900000000000004</v>
      </c>
      <c r="Y225" s="1">
        <v>0.91505999999999998</v>
      </c>
      <c r="Z225" s="1">
        <v>0.90647</v>
      </c>
      <c r="AA225" s="1">
        <v>0.94801000000000002</v>
      </c>
      <c r="AB225" s="1">
        <v>0.98353999999999997</v>
      </c>
      <c r="AC225" s="1">
        <v>0.89376999999999995</v>
      </c>
      <c r="AD225" s="1">
        <v>0.90029999999999999</v>
      </c>
      <c r="AE225" s="1">
        <v>0.91900000000000004</v>
      </c>
      <c r="AF225" s="1">
        <v>0.91505999999999998</v>
      </c>
      <c r="AG225" s="1">
        <v>0.90647</v>
      </c>
      <c r="AH225" s="1">
        <v>0.94801000000000002</v>
      </c>
      <c r="AI225" s="1">
        <v>0.98353999999999997</v>
      </c>
      <c r="AJ225" s="1">
        <v>0.89376999999999995</v>
      </c>
      <c r="AL225" s="14" t="s">
        <v>230</v>
      </c>
      <c r="AM225" s="14"/>
      <c r="AN225" s="14"/>
      <c r="AO225" s="14"/>
      <c r="AP225" s="14"/>
      <c r="AQ225" s="14"/>
      <c r="AR225" s="14"/>
    </row>
    <row r="226" spans="1:44" ht="14.25" customHeight="1" x14ac:dyDescent="0.35">
      <c r="A226" s="1" t="s">
        <v>15</v>
      </c>
      <c r="B226" s="1" t="s">
        <v>14</v>
      </c>
      <c r="C226" s="1" t="s">
        <v>14</v>
      </c>
      <c r="D226" s="1" t="s">
        <v>14</v>
      </c>
      <c r="E226" s="1" t="s">
        <v>24</v>
      </c>
      <c r="F226" s="1">
        <v>0.89156000000000002</v>
      </c>
      <c r="G226" s="1">
        <v>0.92359000000000002</v>
      </c>
      <c r="H226" s="1">
        <v>0.86046999999999996</v>
      </c>
      <c r="I226" s="1">
        <v>0.87361999999999995</v>
      </c>
      <c r="J226" s="1">
        <v>0.89104000000000005</v>
      </c>
      <c r="K226" s="1">
        <v>0.89190999999999998</v>
      </c>
      <c r="L226" s="1">
        <v>0.87339999999999995</v>
      </c>
      <c r="M226" s="1">
        <v>0.89156000000000002</v>
      </c>
      <c r="N226" s="1">
        <v>0.92359000000000002</v>
      </c>
      <c r="O226" s="1">
        <v>0.86046999999999996</v>
      </c>
      <c r="P226" s="1">
        <v>0.87361999999999995</v>
      </c>
      <c r="Q226" s="1">
        <v>0.89104000000000005</v>
      </c>
      <c r="R226" s="1">
        <v>0.89190999999999998</v>
      </c>
      <c r="S226" s="1">
        <v>0.87339999999999995</v>
      </c>
      <c r="T226" s="1">
        <v>0.89156000000000002</v>
      </c>
      <c r="U226" s="1">
        <v>0.92359000000000002</v>
      </c>
      <c r="V226" s="1">
        <v>0.86046999999999996</v>
      </c>
      <c r="W226" s="1">
        <v>0.87361999999999995</v>
      </c>
      <c r="X226" s="1">
        <v>0.89104000000000005</v>
      </c>
      <c r="Y226" s="1">
        <v>0.89190999999999998</v>
      </c>
      <c r="Z226" s="1">
        <v>0.87339999999999995</v>
      </c>
      <c r="AA226" s="1">
        <v>0.89156000000000002</v>
      </c>
      <c r="AB226" s="1">
        <v>0.92359000000000002</v>
      </c>
      <c r="AC226" s="1">
        <v>0.86046999999999996</v>
      </c>
      <c r="AD226" s="1">
        <v>0.87361999999999995</v>
      </c>
      <c r="AE226" s="1">
        <v>0.89104000000000005</v>
      </c>
      <c r="AF226" s="1">
        <v>0.89190999999999998</v>
      </c>
      <c r="AG226" s="1">
        <v>0.87339999999999995</v>
      </c>
      <c r="AH226" s="1">
        <v>0.89156000000000002</v>
      </c>
      <c r="AI226" s="1">
        <v>0.92359000000000002</v>
      </c>
      <c r="AJ226" s="1">
        <v>0.86046999999999996</v>
      </c>
      <c r="AL226" s="4"/>
      <c r="AM226" s="4" t="s">
        <v>13</v>
      </c>
      <c r="AN226" s="4" t="s">
        <v>14</v>
      </c>
      <c r="AO226" s="4" t="s">
        <v>15</v>
      </c>
      <c r="AP226" s="4" t="s">
        <v>16</v>
      </c>
      <c r="AQ226" s="4" t="s">
        <v>17</v>
      </c>
      <c r="AR226" s="4" t="s">
        <v>7</v>
      </c>
    </row>
    <row r="227" spans="1:44" ht="14.25" customHeight="1" x14ac:dyDescent="0.35">
      <c r="A227" s="1" t="s">
        <v>15</v>
      </c>
      <c r="B227" s="1" t="s">
        <v>14</v>
      </c>
      <c r="C227" s="1" t="s">
        <v>14</v>
      </c>
      <c r="D227" s="1" t="s">
        <v>13</v>
      </c>
      <c r="E227" s="1" t="s">
        <v>26</v>
      </c>
      <c r="F227" s="1">
        <v>0.87302000000000002</v>
      </c>
      <c r="G227" s="1">
        <v>0.89297000000000004</v>
      </c>
      <c r="H227" s="1">
        <v>0.85358999999999996</v>
      </c>
      <c r="I227" s="1">
        <v>0.86958999999999997</v>
      </c>
      <c r="J227" s="1">
        <v>0.88549</v>
      </c>
      <c r="K227" s="1">
        <v>0.89334999999999998</v>
      </c>
      <c r="L227" s="1">
        <v>0.86917</v>
      </c>
      <c r="M227" s="1">
        <v>0.87302000000000002</v>
      </c>
      <c r="N227" s="1">
        <v>0.89297000000000004</v>
      </c>
      <c r="O227" s="1">
        <v>0.85358999999999996</v>
      </c>
      <c r="P227" s="1">
        <v>0.86958999999999997</v>
      </c>
      <c r="Q227" s="1">
        <v>0.88549</v>
      </c>
      <c r="R227" s="1">
        <v>0.89334999999999998</v>
      </c>
      <c r="S227" s="1">
        <v>0.86917</v>
      </c>
      <c r="T227" s="1">
        <v>0.87302000000000002</v>
      </c>
      <c r="U227" s="1">
        <v>0.89297000000000004</v>
      </c>
      <c r="V227" s="1">
        <v>0.85358999999999996</v>
      </c>
      <c r="W227" s="1">
        <v>0.86958999999999997</v>
      </c>
      <c r="X227" s="1">
        <v>0.88549</v>
      </c>
      <c r="Y227" s="1">
        <v>0.89334999999999998</v>
      </c>
      <c r="Z227" s="1">
        <v>0.86917</v>
      </c>
      <c r="AA227" s="1">
        <v>0.87302000000000002</v>
      </c>
      <c r="AB227" s="1">
        <v>0.89297000000000004</v>
      </c>
      <c r="AC227" s="1">
        <v>0.85358999999999996</v>
      </c>
      <c r="AD227" s="1">
        <v>0.86958999999999997</v>
      </c>
      <c r="AE227" s="1">
        <v>0.88549</v>
      </c>
      <c r="AF227" s="1">
        <v>0.89334999999999998</v>
      </c>
      <c r="AG227" s="1">
        <v>0.86917</v>
      </c>
      <c r="AH227" s="1">
        <v>0.87302000000000002</v>
      </c>
      <c r="AI227" s="1">
        <v>0.89297000000000004</v>
      </c>
      <c r="AJ227" s="1">
        <v>0.85358999999999996</v>
      </c>
      <c r="AL227" s="4" t="s">
        <v>19</v>
      </c>
      <c r="AM227" s="6" cm="1">
        <f t="array" ref="AM227">IFERROR((SUMPRODUCT(($C$218:$C$241=AM$216)*($F$214:$AJ$214="")*$F$218:$AJ$241)+IF(AM$216="P3",SUMPRODUCT(($F$214:$AJ$214="P3")*$F$218:$AJ$241),0))/(SUMPRODUCT(($C$218:$C$241=AM$216)*($F$214:$AJ$214=""))+IF(AM$216="P3",COUNTIF($F$214:$AJ$214,"P3")*ROWS($C$218:$C$241),0)),"")</f>
        <v>0.90244821428571442</v>
      </c>
      <c r="AN227" s="6" cm="1">
        <f t="array" ref="AN227">IFERROR((SUMPRODUCT(($C$218:$C$241=AN$216)*($F$214:$AJ$214="")*$F$218:$AJ$241)+IF(AN$216="P3",SUMPRODUCT(($F$214:$AJ$214="P3")*$F$218:$AJ$241),0))/(SUMPRODUCT(($C$218:$C$241=AN$216)*($F$214:$AJ$214=""))+IF(AN$216="P3",COUNTIF($F$214:$AJ$214,"P3")*ROWS($C$218:$C$241),0)),"")</f>
        <v>0.90053803571428492</v>
      </c>
      <c r="AO227" s="6" cm="1">
        <f t="array" ref="AO227">IFERROR((SUMPRODUCT(($C$218:$C$241=AO$216)*($F$214:$AJ$214="")*$F$218:$AJ$241)+IF(AO$216="P3",SUMPRODUCT(($F$214:$AJ$214="P3")*$F$218:$AJ$241),0))/(SUMPRODUCT(($C$218:$C$241=AO$216)*($F$214:$AJ$214=""))+IF(AO$216="P3",COUNTIF($F$214:$AJ$214,"P3")*ROWS($C$218:$C$241),0)),"")</f>
        <v>0.94471333333333296</v>
      </c>
      <c r="AP227" s="6" t="str" cm="1">
        <f t="array" ref="AP227">IFERROR((SUMPRODUCT(($C$218:$C$241=AP$216)*($F$214:$AJ$214="")*$F$218:$AJ$241)+IF(AP$216="P3",SUMPRODUCT(($F$214:$AJ$214="P3")*$F$218:$AJ$241),0))/(SUMPRODUCT(($C$218:$C$241=AP$216)*($F$214:$AJ$214=""))+IF(AP$216="P3",COUNTIF($F$214:$AJ$214,"P3")*ROWS($C$218:$C$241),0)),"")</f>
        <v/>
      </c>
      <c r="AQ227" s="6" t="str" cm="1">
        <f t="array" ref="AQ227">IFERROR((SUMPRODUCT(($C$218:$C$241=AQ$216)*($F$214:$AJ$214="")*$F$218:$AJ$241)+IF(AQ$216="P3",SUMPRODUCT(($F$214:$AJ$214="P3")*$F$218:$AJ$241),0))/(SUMPRODUCT(($C$218:$C$241=AQ$216)*($F$214:$AJ$214=""))+IF(AQ$216="P3",COUNTIF($F$214:$AJ$214,"P3")*ROWS($C$218:$C$241),0)),"")</f>
        <v/>
      </c>
      <c r="AR227" s="6" t="str" cm="1">
        <f t="array" ref="AR227">IFERROR((SUMPRODUCT(($C$218:$C$241=AR$216)*($F$214:$AJ$214="")*$F$218:$AJ$241)+IF(AR$216="P3",SUMPRODUCT(($F$214:$AJ$214="P3")*$F$218:$AJ$241),0))/(SUMPRODUCT(($C$218:$C$241=AR$216)*($F$214:$AJ$214=""))+IF(AR$216="P3",COUNTIF($F$214:$AJ$214,"P3")*ROWS($C$218:$C$241),0)),"")</f>
        <v/>
      </c>
    </row>
    <row r="228" spans="1:44" ht="14.25" customHeight="1" x14ac:dyDescent="0.35">
      <c r="A228" s="1" t="s">
        <v>13</v>
      </c>
      <c r="B228" s="1" t="s">
        <v>13</v>
      </c>
      <c r="C228" s="1" t="s">
        <v>13</v>
      </c>
      <c r="D228" s="1" t="s">
        <v>13</v>
      </c>
      <c r="E228" s="1" t="s">
        <v>28</v>
      </c>
      <c r="F228" s="1">
        <v>0.86580000000000001</v>
      </c>
      <c r="G228" s="1">
        <v>0.86716000000000004</v>
      </c>
      <c r="H228" s="1">
        <v>0.85504999999999998</v>
      </c>
      <c r="I228" s="1">
        <v>0.86287999999999998</v>
      </c>
      <c r="J228" s="1">
        <v>0.89239000000000002</v>
      </c>
      <c r="K228" s="1">
        <v>0.89476</v>
      </c>
      <c r="L228" s="1">
        <v>0.86228000000000005</v>
      </c>
      <c r="M228" s="1">
        <v>0.86580000000000001</v>
      </c>
      <c r="N228" s="1">
        <v>0.86716000000000004</v>
      </c>
      <c r="O228" s="1">
        <v>0.85504999999999998</v>
      </c>
      <c r="P228" s="1">
        <v>0.86287999999999998</v>
      </c>
      <c r="Q228" s="1">
        <v>0.89239000000000002</v>
      </c>
      <c r="R228" s="1">
        <v>0.89476</v>
      </c>
      <c r="S228" s="1">
        <v>0.86228000000000005</v>
      </c>
      <c r="T228" s="1">
        <v>0.86580000000000001</v>
      </c>
      <c r="U228" s="1">
        <v>0.86716000000000004</v>
      </c>
      <c r="V228" s="1">
        <v>0.85504999999999998</v>
      </c>
      <c r="W228" s="1">
        <v>0.86287999999999998</v>
      </c>
      <c r="X228" s="1">
        <v>0.89239000000000002</v>
      </c>
      <c r="Y228" s="1">
        <v>0.89476</v>
      </c>
      <c r="Z228" s="1">
        <v>0.86228000000000005</v>
      </c>
      <c r="AA228" s="1">
        <v>0.86580000000000001</v>
      </c>
      <c r="AB228" s="1">
        <v>0.86716000000000004</v>
      </c>
      <c r="AC228" s="1">
        <v>0.85504999999999998</v>
      </c>
      <c r="AD228" s="1">
        <v>0.86287999999999998</v>
      </c>
      <c r="AE228" s="1">
        <v>0.89239000000000002</v>
      </c>
      <c r="AF228" s="1">
        <v>0.89476</v>
      </c>
      <c r="AG228" s="1">
        <v>0.86228000000000005</v>
      </c>
      <c r="AH228" s="1">
        <v>0.86580000000000001</v>
      </c>
      <c r="AI228" s="1">
        <v>0.86716000000000004</v>
      </c>
      <c r="AJ228" s="1">
        <v>0.85504999999999998</v>
      </c>
      <c r="AL228" s="4" t="s">
        <v>21</v>
      </c>
      <c r="AM228" s="6" cm="1">
        <f t="array" ref="AM228">IFERROR((SUMPRODUCT(($A$218:$A$241=AM$216)*($F$215:$AJ$215="")*$F$218:$AJ$241)+IF(AM$216="P6",SUMPRODUCT(($F$215:$AJ$215="P6")*$F$218:$AJ$241),0))/(SUMPRODUCT(($A$218:$A$241=AM$216)*($F$215:$AJ$215=""))+IF(AM$216="P6",COUNTIF($F$215:$AJ$215,"P6")*ROWS($A$218:$A$241),0)),"")</f>
        <v>0.89945211640211598</v>
      </c>
      <c r="AN228" s="6" t="str" cm="1">
        <f t="array" ref="AN228">IFERROR((SUMPRODUCT(($A$218:$A$241=AN$216)*($F$215:$AJ$215="")*$F$218:$AJ$241)+IF(AN$216="P6",SUMPRODUCT(($F$215:$AJ$215="P6")*$F$218:$AJ$241),0))/(SUMPRODUCT(($A$218:$A$241=AN$216)*($F$215:$AJ$215=""))+IF(AN$216="P6",COUNTIF($F$215:$AJ$215,"P6")*ROWS($A$218:$A$241),0)),"")</f>
        <v/>
      </c>
      <c r="AO228" s="6" cm="1">
        <f t="array" ref="AO228">IFERROR((SUMPRODUCT(($A$218:$A$241=AO$216)*($F$215:$AJ$215="")*$F$218:$AJ$241)+IF(AO$216="P6",SUMPRODUCT(($F$215:$AJ$215="P6")*$F$218:$AJ$241),0))/(SUMPRODUCT(($A$218:$A$241=AO$216)*($F$215:$AJ$215=""))+IF(AO$216="P6",COUNTIF($F$215:$AJ$215,"P6")*ROWS($A$218:$A$241),0)),"")</f>
        <v>0.90411727891156379</v>
      </c>
      <c r="AP228" s="6" t="str" cm="1">
        <f t="array" ref="AP228">IFERROR((SUMPRODUCT(($A$218:$A$241=AP$216)*($F$215:$AJ$215="")*$F$218:$AJ$241)+IF(AP$216="P6",SUMPRODUCT(($F$215:$AJ$215="P6")*$F$218:$AJ$241),0))/(SUMPRODUCT(($A$218:$A$241=AP$216)*($F$215:$AJ$215=""))+IF(AP$216="P6",COUNTIF($F$215:$AJ$215,"P6")*ROWS($A$218:$A$241),0)),"")</f>
        <v/>
      </c>
      <c r="AQ228" s="6" t="str" cm="1">
        <f t="array" ref="AQ228">IFERROR((SUMPRODUCT(($A$218:$A$241=AQ$216)*($F$215:$AJ$215="")*$F$218:$AJ$241)+IF(AQ$216="P6",SUMPRODUCT(($F$215:$AJ$215="P6")*$F$218:$AJ$241),0))/(SUMPRODUCT(($A$218:$A$241=AQ$216)*($F$215:$AJ$215=""))+IF(AQ$216="P6",COUNTIF($F$215:$AJ$215,"P6")*ROWS($A$218:$A$241),0)),"")</f>
        <v/>
      </c>
      <c r="AR228" s="6" cm="1">
        <f t="array" ref="AR228">IFERROR((SUMPRODUCT(($A$218:$A$241=AR$216)*($F$215:$AJ$215="")*$F$218:$AJ$241)+IF(AR$216="P6",SUMPRODUCT(($F$215:$AJ$215="P6")*$F$218:$AJ$241),0))/(SUMPRODUCT(($A$218:$A$241=AR$216)*($F$215:$AJ$215=""))+IF(AR$216="P6",COUNTIF($F$215:$AJ$215,"P6")*ROWS($A$218:$A$241),0)),"")</f>
        <v>0.94471333333333296</v>
      </c>
    </row>
    <row r="229" spans="1:44" ht="14.25" customHeight="1" x14ac:dyDescent="0.35">
      <c r="A229" s="1" t="s">
        <v>13</v>
      </c>
      <c r="B229" s="1" t="s">
        <v>13</v>
      </c>
      <c r="C229" s="1" t="s">
        <v>13</v>
      </c>
      <c r="D229" s="1" t="s">
        <v>13</v>
      </c>
      <c r="E229" s="1" t="s">
        <v>30</v>
      </c>
      <c r="F229" s="1">
        <v>0.86712</v>
      </c>
      <c r="G229" s="1">
        <v>0.86040000000000005</v>
      </c>
      <c r="H229" s="1">
        <v>0.86619999999999997</v>
      </c>
      <c r="I229" s="1">
        <v>0.87729000000000001</v>
      </c>
      <c r="J229" s="1">
        <v>0.89609000000000005</v>
      </c>
      <c r="K229" s="1">
        <v>0.89081999999999995</v>
      </c>
      <c r="L229" s="1">
        <v>0.86378999999999995</v>
      </c>
      <c r="M229" s="1">
        <v>0.86712</v>
      </c>
      <c r="N229" s="1">
        <v>0.86040000000000005</v>
      </c>
      <c r="O229" s="1">
        <v>0.86619999999999997</v>
      </c>
      <c r="P229" s="1">
        <v>0.87729000000000001</v>
      </c>
      <c r="Q229" s="1">
        <v>0.89609000000000005</v>
      </c>
      <c r="R229" s="1">
        <v>0.89081999999999995</v>
      </c>
      <c r="S229" s="1">
        <v>0.86378999999999995</v>
      </c>
      <c r="T229" s="1">
        <v>0.86712</v>
      </c>
      <c r="U229" s="1">
        <v>0.86040000000000005</v>
      </c>
      <c r="V229" s="1">
        <v>0.86619999999999997</v>
      </c>
      <c r="W229" s="1">
        <v>0.87729000000000001</v>
      </c>
      <c r="X229" s="1">
        <v>0.89609000000000005</v>
      </c>
      <c r="Y229" s="1">
        <v>0.89081999999999995</v>
      </c>
      <c r="Z229" s="1">
        <v>0.86378999999999995</v>
      </c>
      <c r="AA229" s="1">
        <v>0.86712</v>
      </c>
      <c r="AB229" s="1">
        <v>0.86040000000000005</v>
      </c>
      <c r="AC229" s="1">
        <v>0.86619999999999997</v>
      </c>
      <c r="AD229" s="1">
        <v>0.87729000000000001</v>
      </c>
      <c r="AE229" s="1">
        <v>0.89609000000000005</v>
      </c>
      <c r="AF229" s="1">
        <v>0.89081999999999995</v>
      </c>
      <c r="AG229" s="1">
        <v>0.86378999999999995</v>
      </c>
      <c r="AH229" s="1">
        <v>0.86712</v>
      </c>
      <c r="AI229" s="1">
        <v>0.86040000000000005</v>
      </c>
      <c r="AJ229" s="1">
        <v>0.86619999999999997</v>
      </c>
      <c r="AL229" s="4" t="s">
        <v>23</v>
      </c>
      <c r="AM229" s="6" cm="1">
        <f t="array" ref="AM229">IFERROR((SUMPRODUCT(($A$218:$A$241=AM$216)*($F$215:$AJ$215="")*$F$218:$AJ$241)+IF(AM$216="P6",SUMPRODUCT(($F$215:$AJ$215="P6")*$F$218:$AJ$241),0))/(SUMPRODUCT(($A$218:$A$241=AM$216)*($F$215:$AJ$215=""))+IF(AM$216="P6",COUNTIF($F$215:$AJ$215,"P6")*ROWS($A$218:$A$241),0)),"")</f>
        <v>0.89945211640211598</v>
      </c>
      <c r="AN229" s="6" t="str" cm="1">
        <f t="array" ref="AN229">IFERROR((SUMPRODUCT(($A$218:$A$241=AN$216)*($F$215:$AJ$215="")*$F$218:$AJ$241)+IF(AN$216="P6",SUMPRODUCT(($F$215:$AJ$215="P6")*$F$218:$AJ$241),0))/(SUMPRODUCT(($A$218:$A$241=AN$216)*($F$215:$AJ$215=""))+IF(AN$216="P6",COUNTIF($F$215:$AJ$215,"P6")*ROWS($A$218:$A$241),0)),"")</f>
        <v/>
      </c>
      <c r="AO229" s="6" cm="1">
        <f t="array" ref="AO229">IFERROR((SUMPRODUCT(($A$218:$A$241=AO$216)*($F$215:$AJ$215="")*$F$218:$AJ$241)+IF(AO$216="P6",SUMPRODUCT(($F$215:$AJ$215="P6")*$F$218:$AJ$241),0))/(SUMPRODUCT(($A$218:$A$241=AO$216)*($F$215:$AJ$215=""))+IF(AO$216="P6",COUNTIF($F$215:$AJ$215,"P6")*ROWS($A$218:$A$241),0)),"")</f>
        <v>0.90411727891156379</v>
      </c>
      <c r="AP229" s="6" t="str" cm="1">
        <f t="array" ref="AP229">IFERROR((SUMPRODUCT(($A$218:$A$241=AP$216)*($F$215:$AJ$215="")*$F$218:$AJ$241)+IF(AP$216="P6",SUMPRODUCT(($F$215:$AJ$215="P6")*$F$218:$AJ$241),0))/(SUMPRODUCT(($A$218:$A$241=AP$216)*($F$215:$AJ$215=""))+IF(AP$216="P6",COUNTIF($F$215:$AJ$215,"P6")*ROWS($A$218:$A$241),0)),"")</f>
        <v/>
      </c>
      <c r="AQ229" s="6" t="str" cm="1">
        <f t="array" ref="AQ229">IFERROR((SUMPRODUCT(($A$218:$A$241=AQ$216)*($F$215:$AJ$215="")*$F$218:$AJ$241)+IF(AQ$216="P6",SUMPRODUCT(($F$215:$AJ$215="P6")*$F$218:$AJ$241),0))/(SUMPRODUCT(($A$218:$A$241=AQ$216)*($F$215:$AJ$215=""))+IF(AQ$216="P6",COUNTIF($F$215:$AJ$215,"P6")*ROWS($A$218:$A$241),0)),"")</f>
        <v/>
      </c>
      <c r="AR229" s="6" cm="1">
        <f t="array" ref="AR229">IFERROR((SUMPRODUCT(($A$218:$A$241=AR$216)*($F$215:$AJ$215="")*$F$218:$AJ$241)+IF(AR$216="P6",SUMPRODUCT(($F$215:$AJ$215="P6")*$F$218:$AJ$241),0))/(SUMPRODUCT(($A$218:$A$241=AR$216)*($F$215:$AJ$215=""))+IF(AR$216="P6",COUNTIF($F$215:$AJ$215,"P6")*ROWS($A$218:$A$241),0)),"")</f>
        <v>0.94471333333333296</v>
      </c>
    </row>
    <row r="230" spans="1:44" ht="14.25" customHeight="1" x14ac:dyDescent="0.35">
      <c r="A230" s="1" t="s">
        <v>13</v>
      </c>
      <c r="B230" s="1" t="s">
        <v>13</v>
      </c>
      <c r="C230" s="1" t="s">
        <v>13</v>
      </c>
      <c r="D230" s="1" t="s">
        <v>13</v>
      </c>
      <c r="E230" s="1" t="s">
        <v>31</v>
      </c>
      <c r="F230" s="1">
        <v>0.87416000000000005</v>
      </c>
      <c r="G230" s="1">
        <v>0.86919000000000002</v>
      </c>
      <c r="H230" s="1">
        <v>0.87687999999999999</v>
      </c>
      <c r="I230" s="1">
        <v>0.88156000000000001</v>
      </c>
      <c r="J230" s="1">
        <v>0.91032000000000002</v>
      </c>
      <c r="K230" s="1">
        <v>0.90178999999999998</v>
      </c>
      <c r="L230" s="1">
        <v>0.87434999999999996</v>
      </c>
      <c r="M230" s="1">
        <v>0.87416000000000005</v>
      </c>
      <c r="N230" s="1">
        <v>0.86919000000000002</v>
      </c>
      <c r="O230" s="1">
        <v>0.87687999999999999</v>
      </c>
      <c r="P230" s="1">
        <v>0.88156000000000001</v>
      </c>
      <c r="Q230" s="1">
        <v>0.91032000000000002</v>
      </c>
      <c r="R230" s="1">
        <v>0.90178999999999998</v>
      </c>
      <c r="S230" s="1">
        <v>0.87434999999999996</v>
      </c>
      <c r="T230" s="1">
        <v>0.87416000000000005</v>
      </c>
      <c r="U230" s="1">
        <v>0.86919000000000002</v>
      </c>
      <c r="V230" s="1">
        <v>0.87687999999999999</v>
      </c>
      <c r="W230" s="1">
        <v>0.88156000000000001</v>
      </c>
      <c r="X230" s="1">
        <v>0.91032000000000002</v>
      </c>
      <c r="Y230" s="1">
        <v>0.90178999999999998</v>
      </c>
      <c r="Z230" s="1">
        <v>0.87434999999999996</v>
      </c>
      <c r="AA230" s="1">
        <v>0.87416000000000005</v>
      </c>
      <c r="AB230" s="1">
        <v>0.86919000000000002</v>
      </c>
      <c r="AC230" s="1">
        <v>0.87687999999999999</v>
      </c>
      <c r="AD230" s="1">
        <v>0.88156000000000001</v>
      </c>
      <c r="AE230" s="1">
        <v>0.91032000000000002</v>
      </c>
      <c r="AF230" s="1">
        <v>0.90178999999999998</v>
      </c>
      <c r="AG230" s="1">
        <v>0.87434999999999996</v>
      </c>
      <c r="AH230" s="1">
        <v>0.87416000000000005</v>
      </c>
      <c r="AI230" s="1">
        <v>0.86919000000000002</v>
      </c>
      <c r="AJ230" s="1">
        <v>0.87687999999999999</v>
      </c>
      <c r="AL230" s="4" t="s">
        <v>25</v>
      </c>
      <c r="AM230" s="6" cm="1">
        <f t="array" ref="AM230">IFERROR((SUMPRODUCT(($A$218:$A$241=AM$216)*($F$215:$AJ$215="")*$F$218:$AJ$241)+IF(AM$216="P6",SUMPRODUCT(($F$215:$AJ$215="P6")*$F$218:$AJ$241),0))/(SUMPRODUCT(($A$218:$A$241=AM$216)*($F$215:$AJ$215=""))+IF(AM$216="P6",COUNTIF($F$215:$AJ$215,"P6")*ROWS($A$218:$A$241),0)),"")</f>
        <v>0.89945211640211598</v>
      </c>
      <c r="AN230" s="6" t="str" cm="1">
        <f t="array" ref="AN230">IFERROR((SUMPRODUCT(($A$218:$A$241=AN$216)*($F$215:$AJ$215="")*$F$218:$AJ$241)+IF(AN$216="P6",SUMPRODUCT(($F$215:$AJ$215="P6")*$F$218:$AJ$241),0))/(SUMPRODUCT(($A$218:$A$241=AN$216)*($F$215:$AJ$215=""))+IF(AN$216="P6",COUNTIF($F$215:$AJ$215,"P6")*ROWS($A$218:$A$241),0)),"")</f>
        <v/>
      </c>
      <c r="AO230" s="6" cm="1">
        <f t="array" ref="AO230">IFERROR((SUMPRODUCT(($A$218:$A$241=AO$216)*($F$215:$AJ$215="")*$F$218:$AJ$241)+IF(AO$216="P6",SUMPRODUCT(($F$215:$AJ$215="P6")*$F$218:$AJ$241),0))/(SUMPRODUCT(($A$218:$A$241=AO$216)*($F$215:$AJ$215=""))+IF(AO$216="P6",COUNTIF($F$215:$AJ$215,"P6")*ROWS($A$218:$A$241),0)),"")</f>
        <v>0.90411727891156379</v>
      </c>
      <c r="AP230" s="6" t="str" cm="1">
        <f t="array" ref="AP230">IFERROR((SUMPRODUCT(($A$218:$A$241=AP$216)*($F$215:$AJ$215="")*$F$218:$AJ$241)+IF(AP$216="P6",SUMPRODUCT(($F$215:$AJ$215="P6")*$F$218:$AJ$241),0))/(SUMPRODUCT(($A$218:$A$241=AP$216)*($F$215:$AJ$215=""))+IF(AP$216="P6",COUNTIF($F$215:$AJ$215,"P6")*ROWS($A$218:$A$241),0)),"")</f>
        <v/>
      </c>
      <c r="AQ230" s="6" t="str" cm="1">
        <f t="array" ref="AQ230">IFERROR((SUMPRODUCT(($A$218:$A$241=AQ$216)*($F$215:$AJ$215="")*$F$218:$AJ$241)+IF(AQ$216="P6",SUMPRODUCT(($F$215:$AJ$215="P6")*$F$218:$AJ$241),0))/(SUMPRODUCT(($A$218:$A$241=AQ$216)*($F$215:$AJ$215=""))+IF(AQ$216="P6",COUNTIF($F$215:$AJ$215,"P6")*ROWS($A$218:$A$241),0)),"")</f>
        <v/>
      </c>
      <c r="AR230" s="6" cm="1">
        <f t="array" ref="AR230">IFERROR((SUMPRODUCT(($A$218:$A$241=AR$216)*($F$215:$AJ$215="")*$F$218:$AJ$241)+IF(AR$216="P6",SUMPRODUCT(($F$215:$AJ$215="P6")*$F$218:$AJ$241),0))/(SUMPRODUCT(($A$218:$A$241=AR$216)*($F$215:$AJ$215=""))+IF(AR$216="P6",COUNTIF($F$215:$AJ$215,"P6")*ROWS($A$218:$A$241),0)),"")</f>
        <v>0.94471333333333296</v>
      </c>
    </row>
    <row r="231" spans="1:44" ht="14.25" customHeight="1" x14ac:dyDescent="0.35">
      <c r="A231" s="1" t="s">
        <v>13</v>
      </c>
      <c r="B231" s="1" t="s">
        <v>13</v>
      </c>
      <c r="C231" s="1" t="s">
        <v>13</v>
      </c>
      <c r="D231" s="1" t="s">
        <v>13</v>
      </c>
      <c r="E231" s="1" t="s">
        <v>32</v>
      </c>
      <c r="F231" s="1">
        <v>0.86516000000000004</v>
      </c>
      <c r="G231" s="1">
        <v>0.86263000000000001</v>
      </c>
      <c r="H231" s="1">
        <v>0.85968</v>
      </c>
      <c r="I231" s="1">
        <v>0.87250000000000005</v>
      </c>
      <c r="J231" s="1">
        <v>0.89553000000000005</v>
      </c>
      <c r="K231" s="1">
        <v>0.88680000000000003</v>
      </c>
      <c r="L231" s="1">
        <v>0.86973</v>
      </c>
      <c r="M231" s="1">
        <v>0.86516000000000004</v>
      </c>
      <c r="N231" s="1">
        <v>0.86263000000000001</v>
      </c>
      <c r="O231" s="1">
        <v>0.85968</v>
      </c>
      <c r="P231" s="1">
        <v>0.87250000000000005</v>
      </c>
      <c r="Q231" s="1">
        <v>0.89553000000000005</v>
      </c>
      <c r="R231" s="1">
        <v>0.88680000000000003</v>
      </c>
      <c r="S231" s="1">
        <v>0.86973</v>
      </c>
      <c r="T231" s="1">
        <v>0.86516000000000004</v>
      </c>
      <c r="U231" s="1">
        <v>0.86263000000000001</v>
      </c>
      <c r="V231" s="1">
        <v>0.85968</v>
      </c>
      <c r="W231" s="1">
        <v>0.87250000000000005</v>
      </c>
      <c r="X231" s="1">
        <v>0.89553000000000005</v>
      </c>
      <c r="Y231" s="1">
        <v>0.88680000000000003</v>
      </c>
      <c r="Z231" s="1">
        <v>0.86973</v>
      </c>
      <c r="AA231" s="1">
        <v>0.86516000000000004</v>
      </c>
      <c r="AB231" s="1">
        <v>0.86263000000000001</v>
      </c>
      <c r="AC231" s="1">
        <v>0.85968</v>
      </c>
      <c r="AD231" s="1">
        <v>0.87250000000000005</v>
      </c>
      <c r="AE231" s="1">
        <v>0.89553000000000005</v>
      </c>
      <c r="AF231" s="1">
        <v>0.88680000000000003</v>
      </c>
      <c r="AG231" s="1">
        <v>0.86973</v>
      </c>
      <c r="AH231" s="1">
        <v>0.86516000000000004</v>
      </c>
      <c r="AI231" s="1">
        <v>0.86263000000000001</v>
      </c>
      <c r="AJ231" s="1">
        <v>0.85968</v>
      </c>
      <c r="AL231" s="4" t="s">
        <v>27</v>
      </c>
      <c r="AM231" s="6" cm="1">
        <f t="array" ref="AM231">IFERROR((SUMPRODUCT(($A$218:$A$241=AM$216)*($F$215:$AJ$215="")*$F$218:$AJ$241)+IF(AM$216="P6",SUMPRODUCT(($F$215:$AJ$215="P6")*$F$218:$AJ$241),0))/(SUMPRODUCT(($A$218:$A$241=AM$216)*($F$215:$AJ$215=""))+IF(AM$216="P6",COUNTIF($F$215:$AJ$215,"P6")*ROWS($A$218:$A$241),0)),"")</f>
        <v>0.89945211640211598</v>
      </c>
      <c r="AN231" s="6" t="str" cm="1">
        <f t="array" ref="AN231">IFERROR((SUMPRODUCT(($A$218:$A$241=AN$216)*($F$215:$AJ$215="")*$F$218:$AJ$241)+IF(AN$216="P6",SUMPRODUCT(($F$215:$AJ$215="P6")*$F$218:$AJ$241),0))/(SUMPRODUCT(($A$218:$A$241=AN$216)*($F$215:$AJ$215=""))+IF(AN$216="P6",COUNTIF($F$215:$AJ$215,"P6")*ROWS($A$218:$A$241),0)),"")</f>
        <v/>
      </c>
      <c r="AO231" s="6" cm="1">
        <f t="array" ref="AO231">IFERROR((SUMPRODUCT(($A$218:$A$241=AO$216)*($F$215:$AJ$215="")*$F$218:$AJ$241)+IF(AO$216="P6",SUMPRODUCT(($F$215:$AJ$215="P6")*$F$218:$AJ$241),0))/(SUMPRODUCT(($A$218:$A$241=AO$216)*($F$215:$AJ$215=""))+IF(AO$216="P6",COUNTIF($F$215:$AJ$215,"P6")*ROWS($A$218:$A$241),0)),"")</f>
        <v>0.90411727891156379</v>
      </c>
      <c r="AP231" s="6" t="str" cm="1">
        <f t="array" ref="AP231">IFERROR((SUMPRODUCT(($A$218:$A$241=AP$216)*($F$215:$AJ$215="")*$F$218:$AJ$241)+IF(AP$216="P6",SUMPRODUCT(($F$215:$AJ$215="P6")*$F$218:$AJ$241),0))/(SUMPRODUCT(($A$218:$A$241=AP$216)*($F$215:$AJ$215=""))+IF(AP$216="P6",COUNTIF($F$215:$AJ$215,"P6")*ROWS($A$218:$A$241),0)),"")</f>
        <v/>
      </c>
      <c r="AQ231" s="6" t="str" cm="1">
        <f t="array" ref="AQ231">IFERROR((SUMPRODUCT(($A$218:$A$241=AQ$216)*($F$215:$AJ$215="")*$F$218:$AJ$241)+IF(AQ$216="P6",SUMPRODUCT(($F$215:$AJ$215="P6")*$F$218:$AJ$241),0))/(SUMPRODUCT(($A$218:$A$241=AQ$216)*($F$215:$AJ$215=""))+IF(AQ$216="P6",COUNTIF($F$215:$AJ$215,"P6")*ROWS($A$218:$A$241),0)),"")</f>
        <v/>
      </c>
      <c r="AR231" s="6" cm="1">
        <f t="array" ref="AR231">IFERROR((SUMPRODUCT(($A$218:$A$241=AR$216)*($F$215:$AJ$215="")*$F$218:$AJ$241)+IF(AR$216="P6",SUMPRODUCT(($F$215:$AJ$215="P6")*$F$218:$AJ$241),0))/(SUMPRODUCT(($A$218:$A$241=AR$216)*($F$215:$AJ$215=""))+IF(AR$216="P6",COUNTIF($F$215:$AJ$215,"P6")*ROWS($A$218:$A$241),0)),"")</f>
        <v>0.94471333333333296</v>
      </c>
    </row>
    <row r="232" spans="1:44" ht="14.25" customHeight="1" x14ac:dyDescent="0.35">
      <c r="A232" s="1" t="s">
        <v>13</v>
      </c>
      <c r="B232" s="1" t="s">
        <v>13</v>
      </c>
      <c r="C232" s="1" t="s">
        <v>14</v>
      </c>
      <c r="D232" s="1" t="s">
        <v>14</v>
      </c>
      <c r="E232" s="1" t="s">
        <v>33</v>
      </c>
      <c r="F232" s="1">
        <v>0.85428000000000004</v>
      </c>
      <c r="G232" s="1">
        <v>0.85863999999999996</v>
      </c>
      <c r="H232" s="1">
        <v>0.86258999999999997</v>
      </c>
      <c r="I232" s="1">
        <v>0.86641999999999997</v>
      </c>
      <c r="J232" s="1">
        <v>0.88778000000000001</v>
      </c>
      <c r="K232" s="1">
        <v>0.88954</v>
      </c>
      <c r="L232" s="1">
        <v>0.87431000000000003</v>
      </c>
      <c r="M232" s="1">
        <v>0.85428000000000004</v>
      </c>
      <c r="N232" s="1">
        <v>0.85863999999999996</v>
      </c>
      <c r="O232" s="1">
        <v>0.86258999999999997</v>
      </c>
      <c r="P232" s="1">
        <v>0.86641999999999997</v>
      </c>
      <c r="Q232" s="1">
        <v>0.88778000000000001</v>
      </c>
      <c r="R232" s="1">
        <v>0.88954</v>
      </c>
      <c r="S232" s="1">
        <v>0.87431000000000003</v>
      </c>
      <c r="T232" s="1">
        <v>0.85428000000000004</v>
      </c>
      <c r="U232" s="1">
        <v>0.85863999999999996</v>
      </c>
      <c r="V232" s="1">
        <v>0.86258999999999997</v>
      </c>
      <c r="W232" s="1">
        <v>0.86641999999999997</v>
      </c>
      <c r="X232" s="1">
        <v>0.88778000000000001</v>
      </c>
      <c r="Y232" s="1">
        <v>0.88954</v>
      </c>
      <c r="Z232" s="1">
        <v>0.87431000000000003</v>
      </c>
      <c r="AA232" s="1">
        <v>0.85428000000000004</v>
      </c>
      <c r="AB232" s="1">
        <v>0.85863999999999996</v>
      </c>
      <c r="AC232" s="1">
        <v>0.86258999999999997</v>
      </c>
      <c r="AD232" s="1">
        <v>0.86641999999999997</v>
      </c>
      <c r="AE232" s="1">
        <v>0.88778000000000001</v>
      </c>
      <c r="AF232" s="1">
        <v>0.88954</v>
      </c>
      <c r="AG232" s="1">
        <v>0.87431000000000003</v>
      </c>
      <c r="AH232" s="1">
        <v>0.85428000000000004</v>
      </c>
      <c r="AI232" s="1">
        <v>0.85863999999999996</v>
      </c>
      <c r="AJ232" s="1">
        <v>0.86258999999999997</v>
      </c>
      <c r="AL232" s="4" t="s">
        <v>29</v>
      </c>
      <c r="AM232" s="6" cm="1">
        <f t="array" ref="AM232">IFERROR((SUMPRODUCT(($A$218:$A$241=AM$216)*($F$215:$AJ$215="")*$F$218:$AJ$241)+IF(AM$216="P6",SUMPRODUCT(($F$215:$AJ$215="P6")*$F$218:$AJ$241),0))/(SUMPRODUCT(($A$218:$A$241=AM$216)*($F$215:$AJ$215=""))+IF(AM$216="P6",COUNTIF($F$215:$AJ$215,"P6")*ROWS($A$218:$A$241),0)),"")</f>
        <v>0.89945211640211598</v>
      </c>
      <c r="AN232" s="6" t="str" cm="1">
        <f t="array" ref="AN232">IFERROR((SUMPRODUCT(($A$218:$A$241=AN$216)*($F$215:$AJ$215="")*$F$218:$AJ$241)+IF(AN$216="P6",SUMPRODUCT(($F$215:$AJ$215="P6")*$F$218:$AJ$241),0))/(SUMPRODUCT(($A$218:$A$241=AN$216)*($F$215:$AJ$215=""))+IF(AN$216="P6",COUNTIF($F$215:$AJ$215,"P6")*ROWS($A$218:$A$241),0)),"")</f>
        <v/>
      </c>
      <c r="AO232" s="6" cm="1">
        <f t="array" ref="AO232">IFERROR((SUMPRODUCT(($A$218:$A$241=AO$216)*($F$215:$AJ$215="")*$F$218:$AJ$241)+IF(AO$216="P6",SUMPRODUCT(($F$215:$AJ$215="P6")*$F$218:$AJ$241),0))/(SUMPRODUCT(($A$218:$A$241=AO$216)*($F$215:$AJ$215=""))+IF(AO$216="P6",COUNTIF($F$215:$AJ$215,"P6")*ROWS($A$218:$A$241),0)),"")</f>
        <v>0.90411727891156379</v>
      </c>
      <c r="AP232" s="6" t="str" cm="1">
        <f t="array" ref="AP232">IFERROR((SUMPRODUCT(($A$218:$A$241=AP$216)*($F$215:$AJ$215="")*$F$218:$AJ$241)+IF(AP$216="P6",SUMPRODUCT(($F$215:$AJ$215="P6")*$F$218:$AJ$241),0))/(SUMPRODUCT(($A$218:$A$241=AP$216)*($F$215:$AJ$215=""))+IF(AP$216="P6",COUNTIF($F$215:$AJ$215,"P6")*ROWS($A$218:$A$241),0)),"")</f>
        <v/>
      </c>
      <c r="AQ232" s="6" t="str" cm="1">
        <f t="array" ref="AQ232">IFERROR((SUMPRODUCT(($A$218:$A$241=AQ$216)*($F$215:$AJ$215="")*$F$218:$AJ$241)+IF(AQ$216="P6",SUMPRODUCT(($F$215:$AJ$215="P6")*$F$218:$AJ$241),0))/(SUMPRODUCT(($A$218:$A$241=AQ$216)*($F$215:$AJ$215=""))+IF(AQ$216="P6",COUNTIF($F$215:$AJ$215,"P6")*ROWS($A$218:$A$241),0)),"")</f>
        <v/>
      </c>
      <c r="AR232" s="6" cm="1">
        <f t="array" ref="AR232">IFERROR((SUMPRODUCT(($A$218:$A$241=AR$216)*($F$215:$AJ$215="")*$F$218:$AJ$241)+IF(AR$216="P6",SUMPRODUCT(($F$215:$AJ$215="P6")*$F$218:$AJ$241),0))/(SUMPRODUCT(($A$218:$A$241=AR$216)*($F$215:$AJ$215=""))+IF(AR$216="P6",COUNTIF($F$215:$AJ$215,"P6")*ROWS($A$218:$A$241),0)),"")</f>
        <v>0.94471333333333296</v>
      </c>
    </row>
    <row r="233" spans="1:44" ht="14.25" customHeight="1" x14ac:dyDescent="0.35">
      <c r="A233" s="1" t="s">
        <v>15</v>
      </c>
      <c r="B233" s="1" t="s">
        <v>14</v>
      </c>
      <c r="C233" s="1" t="s">
        <v>14</v>
      </c>
      <c r="D233" s="1" t="s">
        <v>14</v>
      </c>
      <c r="E233" s="1" t="s">
        <v>34</v>
      </c>
      <c r="F233" s="1">
        <v>0.86970999999999998</v>
      </c>
      <c r="G233" s="1">
        <v>0.87602999999999998</v>
      </c>
      <c r="H233" s="1">
        <v>0.87070000000000003</v>
      </c>
      <c r="I233" s="1">
        <v>0.86916000000000004</v>
      </c>
      <c r="J233" s="1">
        <v>0.88429000000000002</v>
      </c>
      <c r="K233" s="1">
        <v>0.88915999999999995</v>
      </c>
      <c r="L233" s="1">
        <v>0.87365000000000004</v>
      </c>
      <c r="M233" s="1">
        <v>0.86970999999999998</v>
      </c>
      <c r="N233" s="1">
        <v>0.87602999999999998</v>
      </c>
      <c r="O233" s="1">
        <v>0.87070000000000003</v>
      </c>
      <c r="P233" s="1">
        <v>0.86916000000000004</v>
      </c>
      <c r="Q233" s="1">
        <v>0.88429000000000002</v>
      </c>
      <c r="R233" s="1">
        <v>0.88915999999999995</v>
      </c>
      <c r="S233" s="1">
        <v>0.87365000000000004</v>
      </c>
      <c r="T233" s="1">
        <v>0.86970999999999998</v>
      </c>
      <c r="U233" s="1">
        <v>0.87602999999999998</v>
      </c>
      <c r="V233" s="1">
        <v>0.87070000000000003</v>
      </c>
      <c r="W233" s="1">
        <v>0.86916000000000004</v>
      </c>
      <c r="X233" s="1">
        <v>0.88429000000000002</v>
      </c>
      <c r="Y233" s="1">
        <v>0.88915999999999995</v>
      </c>
      <c r="Z233" s="1">
        <v>0.87365000000000004</v>
      </c>
      <c r="AA233" s="1">
        <v>0.86970999999999998</v>
      </c>
      <c r="AB233" s="1">
        <v>0.87602999999999998</v>
      </c>
      <c r="AC233" s="1">
        <v>0.87070000000000003</v>
      </c>
      <c r="AD233" s="1">
        <v>0.86916000000000004</v>
      </c>
      <c r="AE233" s="1">
        <v>0.88429000000000002</v>
      </c>
      <c r="AF233" s="1">
        <v>0.88915999999999995</v>
      </c>
      <c r="AG233" s="1">
        <v>0.87365000000000004</v>
      </c>
      <c r="AH233" s="1">
        <v>0.86970999999999998</v>
      </c>
      <c r="AI233" s="1">
        <v>0.87602999999999998</v>
      </c>
      <c r="AJ233" s="1">
        <v>0.87070000000000003</v>
      </c>
      <c r="AL233" s="10"/>
      <c r="AM233" s="10"/>
      <c r="AN233" s="10"/>
      <c r="AO233" s="10"/>
      <c r="AP233" s="10"/>
      <c r="AQ233" s="10"/>
      <c r="AR233" s="10"/>
    </row>
    <row r="234" spans="1:44" ht="14.25" customHeight="1" x14ac:dyDescent="0.35">
      <c r="A234" s="1" t="s">
        <v>15</v>
      </c>
      <c r="B234" s="1" t="s">
        <v>14</v>
      </c>
      <c r="C234" s="1" t="s">
        <v>14</v>
      </c>
      <c r="D234" s="1" t="s">
        <v>14</v>
      </c>
      <c r="E234" s="1" t="s">
        <v>35</v>
      </c>
      <c r="F234" s="1">
        <v>0.87836999999999998</v>
      </c>
      <c r="G234" s="1">
        <v>0.88151999999999997</v>
      </c>
      <c r="H234" s="1">
        <v>0.87687999999999999</v>
      </c>
      <c r="I234" s="1">
        <v>0.87816000000000005</v>
      </c>
      <c r="J234" s="1">
        <v>0.88529999999999998</v>
      </c>
      <c r="K234" s="1">
        <v>0.88875000000000004</v>
      </c>
      <c r="L234" s="1">
        <v>0.87253999999999998</v>
      </c>
      <c r="M234" s="1">
        <v>0.87836999999999998</v>
      </c>
      <c r="N234" s="1">
        <v>0.88151999999999997</v>
      </c>
      <c r="O234" s="1">
        <v>0.87687999999999999</v>
      </c>
      <c r="P234" s="1">
        <v>0.87816000000000005</v>
      </c>
      <c r="Q234" s="1">
        <v>0.88529999999999998</v>
      </c>
      <c r="R234" s="1">
        <v>0.88875000000000004</v>
      </c>
      <c r="S234" s="1">
        <v>0.87253999999999998</v>
      </c>
      <c r="T234" s="1">
        <v>0.87836999999999998</v>
      </c>
      <c r="U234" s="1">
        <v>0.88151999999999997</v>
      </c>
      <c r="V234" s="1">
        <v>0.87687999999999999</v>
      </c>
      <c r="W234" s="1">
        <v>0.87816000000000005</v>
      </c>
      <c r="X234" s="1">
        <v>0.88529999999999998</v>
      </c>
      <c r="Y234" s="1">
        <v>0.88875000000000004</v>
      </c>
      <c r="Z234" s="1">
        <v>0.87253999999999998</v>
      </c>
      <c r="AA234" s="1">
        <v>0.87836999999999998</v>
      </c>
      <c r="AB234" s="1">
        <v>0.88151999999999997</v>
      </c>
      <c r="AC234" s="1">
        <v>0.87687999999999999</v>
      </c>
      <c r="AD234" s="1">
        <v>0.87816000000000005</v>
      </c>
      <c r="AE234" s="1">
        <v>0.88529999999999998</v>
      </c>
      <c r="AF234" s="1">
        <v>0.88875000000000004</v>
      </c>
      <c r="AG234" s="1">
        <v>0.87253999999999998</v>
      </c>
      <c r="AH234" s="1">
        <v>0.87836999999999998</v>
      </c>
      <c r="AI234" s="1">
        <v>0.88151999999999997</v>
      </c>
      <c r="AJ234" s="1">
        <v>0.87687999999999999</v>
      </c>
      <c r="AL234" s="10"/>
      <c r="AM234" s="10"/>
      <c r="AN234" s="10"/>
      <c r="AO234" s="10"/>
      <c r="AP234" s="10"/>
      <c r="AQ234" s="10"/>
      <c r="AR234" s="10"/>
    </row>
    <row r="235" spans="1:44" ht="14.25" customHeight="1" x14ac:dyDescent="0.35">
      <c r="A235" s="1" t="s">
        <v>15</v>
      </c>
      <c r="B235" s="1" t="s">
        <v>14</v>
      </c>
      <c r="C235" s="1" t="s">
        <v>14</v>
      </c>
      <c r="D235" s="1" t="s">
        <v>14</v>
      </c>
      <c r="E235" s="1" t="s">
        <v>36</v>
      </c>
      <c r="F235" s="1">
        <v>0.89000999999999997</v>
      </c>
      <c r="G235" s="1">
        <v>0.87985999999999998</v>
      </c>
      <c r="H235" s="1">
        <v>0.88685999999999998</v>
      </c>
      <c r="I235" s="1">
        <v>0.88580999999999999</v>
      </c>
      <c r="J235" s="1">
        <v>0.88327</v>
      </c>
      <c r="K235" s="1">
        <v>0.88292000000000004</v>
      </c>
      <c r="L235" s="1">
        <v>0.87932999999999995</v>
      </c>
      <c r="M235" s="1">
        <v>0.89000999999999997</v>
      </c>
      <c r="N235" s="1">
        <v>0.87985999999999998</v>
      </c>
      <c r="O235" s="1">
        <v>0.88685999999999998</v>
      </c>
      <c r="P235" s="1">
        <v>0.88580999999999999</v>
      </c>
      <c r="Q235" s="1">
        <v>0.88327</v>
      </c>
      <c r="R235" s="1">
        <v>0.88292000000000004</v>
      </c>
      <c r="S235" s="1">
        <v>0.87932999999999995</v>
      </c>
      <c r="T235" s="1">
        <v>0.89000999999999997</v>
      </c>
      <c r="U235" s="1">
        <v>0.87985999999999998</v>
      </c>
      <c r="V235" s="1">
        <v>0.88685999999999998</v>
      </c>
      <c r="W235" s="1">
        <v>0.88580999999999999</v>
      </c>
      <c r="X235" s="1">
        <v>0.88327</v>
      </c>
      <c r="Y235" s="1">
        <v>0.88292000000000004</v>
      </c>
      <c r="Z235" s="1">
        <v>0.87932999999999995</v>
      </c>
      <c r="AA235" s="1">
        <v>0.89000999999999997</v>
      </c>
      <c r="AB235" s="1">
        <v>0.87985999999999998</v>
      </c>
      <c r="AC235" s="1">
        <v>0.88685999999999998</v>
      </c>
      <c r="AD235" s="1">
        <v>0.88580999999999999</v>
      </c>
      <c r="AE235" s="1">
        <v>0.88327</v>
      </c>
      <c r="AF235" s="1">
        <v>0.88292000000000004</v>
      </c>
      <c r="AG235" s="1">
        <v>0.87932999999999995</v>
      </c>
      <c r="AH235" s="1">
        <v>0.89000999999999997</v>
      </c>
      <c r="AI235" s="1">
        <v>0.87985999999999998</v>
      </c>
      <c r="AJ235" s="1">
        <v>0.88685999999999998</v>
      </c>
      <c r="AL235" s="14" t="s">
        <v>231</v>
      </c>
      <c r="AM235" s="14"/>
      <c r="AN235" s="14"/>
      <c r="AO235" s="14"/>
      <c r="AP235" s="14"/>
      <c r="AQ235" s="14"/>
      <c r="AR235" s="14"/>
    </row>
    <row r="236" spans="1:44" ht="14.25" customHeight="1" x14ac:dyDescent="0.35">
      <c r="A236" s="1" t="s">
        <v>13</v>
      </c>
      <c r="B236" s="1" t="s">
        <v>13</v>
      </c>
      <c r="C236" s="1" t="s">
        <v>13</v>
      </c>
      <c r="D236" s="1" t="s">
        <v>13</v>
      </c>
      <c r="E236" s="1" t="s">
        <v>37</v>
      </c>
      <c r="F236" s="1">
        <v>0.91503000000000001</v>
      </c>
      <c r="G236" s="1">
        <v>0.90871000000000002</v>
      </c>
      <c r="H236" s="1">
        <v>0.88231000000000004</v>
      </c>
      <c r="I236" s="1">
        <v>0.89234000000000002</v>
      </c>
      <c r="J236" s="1">
        <v>0.88143000000000005</v>
      </c>
      <c r="K236" s="1">
        <v>0.89190000000000003</v>
      </c>
      <c r="L236" s="1">
        <v>0.89180999999999999</v>
      </c>
      <c r="M236" s="1">
        <v>0.91503000000000001</v>
      </c>
      <c r="N236" s="1">
        <v>0.90871000000000002</v>
      </c>
      <c r="O236" s="1">
        <v>0.88231000000000004</v>
      </c>
      <c r="P236" s="1">
        <v>0.89234000000000002</v>
      </c>
      <c r="Q236" s="1">
        <v>0.88143000000000005</v>
      </c>
      <c r="R236" s="1">
        <v>0.89190000000000003</v>
      </c>
      <c r="S236" s="1">
        <v>0.89180999999999999</v>
      </c>
      <c r="T236" s="1">
        <v>0.91503000000000001</v>
      </c>
      <c r="U236" s="1">
        <v>0.90871000000000002</v>
      </c>
      <c r="V236" s="1">
        <v>0.88231000000000004</v>
      </c>
      <c r="W236" s="1">
        <v>0.89234000000000002</v>
      </c>
      <c r="X236" s="1">
        <v>0.88143000000000005</v>
      </c>
      <c r="Y236" s="1">
        <v>0.89190000000000003</v>
      </c>
      <c r="Z236" s="1">
        <v>0.89180999999999999</v>
      </c>
      <c r="AA236" s="1">
        <v>0.91503000000000001</v>
      </c>
      <c r="AB236" s="1">
        <v>0.90871000000000002</v>
      </c>
      <c r="AC236" s="1">
        <v>0.88231000000000004</v>
      </c>
      <c r="AD236" s="1">
        <v>0.89234000000000002</v>
      </c>
      <c r="AE236" s="1">
        <v>0.88143000000000005</v>
      </c>
      <c r="AF236" s="1">
        <v>0.89190000000000003</v>
      </c>
      <c r="AG236" s="1">
        <v>0.89180999999999999</v>
      </c>
      <c r="AH236" s="1">
        <v>0.91503000000000001</v>
      </c>
      <c r="AI236" s="1">
        <v>0.90871000000000002</v>
      </c>
      <c r="AJ236" s="1">
        <v>0.88231000000000004</v>
      </c>
      <c r="AL236" s="4"/>
      <c r="AM236" s="4" t="s">
        <v>13</v>
      </c>
      <c r="AN236" s="4" t="s">
        <v>14</v>
      </c>
      <c r="AO236" s="4" t="s">
        <v>15</v>
      </c>
      <c r="AP236" s="4" t="s">
        <v>16</v>
      </c>
      <c r="AQ236" s="4" t="s">
        <v>17</v>
      </c>
      <c r="AR236" s="4" t="s">
        <v>7</v>
      </c>
    </row>
    <row r="237" spans="1:44" ht="14.25" customHeight="1" x14ac:dyDescent="0.35">
      <c r="A237" s="1" t="s">
        <v>13</v>
      </c>
      <c r="B237" s="1" t="s">
        <v>13</v>
      </c>
      <c r="C237" s="1" t="s">
        <v>13</v>
      </c>
      <c r="D237" s="1" t="s">
        <v>13</v>
      </c>
      <c r="E237" s="1" t="s">
        <v>38</v>
      </c>
      <c r="F237" s="1">
        <v>0.96436999999999995</v>
      </c>
      <c r="G237" s="1">
        <v>0.94194999999999995</v>
      </c>
      <c r="H237" s="1">
        <v>0.91315000000000002</v>
      </c>
      <c r="I237" s="1">
        <v>0.92018999999999995</v>
      </c>
      <c r="J237" s="1">
        <v>0.91849000000000003</v>
      </c>
      <c r="K237" s="1">
        <v>0.92530999999999997</v>
      </c>
      <c r="L237" s="1">
        <v>0.93332999999999999</v>
      </c>
      <c r="M237" s="1">
        <v>0.96436999999999995</v>
      </c>
      <c r="N237" s="1">
        <v>0.94194999999999995</v>
      </c>
      <c r="O237" s="1">
        <v>0.91315000000000002</v>
      </c>
      <c r="P237" s="1">
        <v>0.92018999999999995</v>
      </c>
      <c r="Q237" s="1">
        <v>0.91849000000000003</v>
      </c>
      <c r="R237" s="1">
        <v>0.92530999999999997</v>
      </c>
      <c r="S237" s="1">
        <v>0.93332999999999999</v>
      </c>
      <c r="T237" s="1">
        <v>0.96436999999999995</v>
      </c>
      <c r="U237" s="1">
        <v>0.94194999999999995</v>
      </c>
      <c r="V237" s="1">
        <v>0.91315000000000002</v>
      </c>
      <c r="W237" s="1">
        <v>0.92018999999999995</v>
      </c>
      <c r="X237" s="1">
        <v>0.91849000000000003</v>
      </c>
      <c r="Y237" s="1">
        <v>0.92530999999999997</v>
      </c>
      <c r="Z237" s="1">
        <v>0.93332999999999999</v>
      </c>
      <c r="AA237" s="1">
        <v>0.96436999999999995</v>
      </c>
      <c r="AB237" s="1">
        <v>0.94194999999999995</v>
      </c>
      <c r="AC237" s="1">
        <v>0.91315000000000002</v>
      </c>
      <c r="AD237" s="1">
        <v>0.92018999999999995</v>
      </c>
      <c r="AE237" s="1">
        <v>0.91849000000000003</v>
      </c>
      <c r="AF237" s="1">
        <v>0.92530999999999997</v>
      </c>
      <c r="AG237" s="1">
        <v>0.93332999999999999</v>
      </c>
      <c r="AH237" s="1">
        <v>0.96436999999999995</v>
      </c>
      <c r="AI237" s="1">
        <v>0.94194999999999995</v>
      </c>
      <c r="AJ237" s="1">
        <v>0.91315000000000002</v>
      </c>
      <c r="AL237" s="4" t="s">
        <v>19</v>
      </c>
      <c r="AM237" s="6" cm="1">
        <f t="array" ref="AM237">IFERROR((SUMPRODUCT(($C$218:$C$241=AM$216)*($F$214:$AJ$214="")*$F$218:$AJ$241)+IF(AM$216="P3",SUMPRODUCT(($F$214:$AJ$214="P3")*$F$218:$AJ$241),0))/(SUMPRODUCT(($C$218:$C$241=AM$216)*($F$214:$AJ$214=""))+IF(AM$216="P3",COUNTIF($F$214:$AJ$214,"P3")*ROWS($C$218:$C$241),0)),"")</f>
        <v>0.90244821428571442</v>
      </c>
      <c r="AN237" s="6" cm="1">
        <f t="array" ref="AN237">IFERROR((SUMPRODUCT(($C$218:$C$241=AN$216)*($F$214:$AJ$214="")*$F$218:$AJ$241)+IF(AN$216="P3",SUMPRODUCT(($F$214:$AJ$214="P3")*$F$218:$AJ$241),0))/(SUMPRODUCT(($C$218:$C$241=AN$216)*($F$214:$AJ$214=""))+IF(AN$216="P3",COUNTIF($F$214:$AJ$214,"P3")*ROWS($C$218:$C$241),0)),"")</f>
        <v>0.90053803571428492</v>
      </c>
      <c r="AO237" s="6" cm="1">
        <f t="array" ref="AO237">IFERROR((SUMPRODUCT(($C$218:$C$241=AO$216)*($F$214:$AJ$214="")*$F$218:$AJ$241)+IF(AO$216="P3",SUMPRODUCT(($F$214:$AJ$214="P3")*$F$218:$AJ$241),0))/(SUMPRODUCT(($C$218:$C$241=AO$216)*($F$214:$AJ$214=""))+IF(AO$216="P3",COUNTIF($F$214:$AJ$214,"P3")*ROWS($C$218:$C$241),0)),"")</f>
        <v>0.94471333333333296</v>
      </c>
      <c r="AP237" s="6" t="str" cm="1">
        <f t="array" ref="AP237">IFERROR((SUMPRODUCT(($C$218:$C$241=AP$216)*($F$214:$AJ$214="")*$F$218:$AJ$241)+IF(AP$216="P3",SUMPRODUCT(($F$214:$AJ$214="P3")*$F$218:$AJ$241),0))/(SUMPRODUCT(($C$218:$C$241=AP$216)*($F$214:$AJ$214=""))+IF(AP$216="P3",COUNTIF($F$214:$AJ$214,"P3")*ROWS($C$218:$C$241),0)),"")</f>
        <v/>
      </c>
      <c r="AQ237" s="6" t="str" cm="1">
        <f t="array" ref="AQ237">IFERROR((SUMPRODUCT(($C$218:$C$241=AQ$216)*($F$214:$AJ$214="")*$F$218:$AJ$241)+IF(AQ$216="P3",SUMPRODUCT(($F$214:$AJ$214="P3")*$F$218:$AJ$241),0))/(SUMPRODUCT(($C$218:$C$241=AQ$216)*($F$214:$AJ$214=""))+IF(AQ$216="P3",COUNTIF($F$214:$AJ$214,"P3")*ROWS($C$218:$C$241),0)),"")</f>
        <v/>
      </c>
      <c r="AR237" s="6" t="str" cm="1">
        <f t="array" ref="AR237">IFERROR((SUMPRODUCT(($C$218:$C$241=AR$216)*($F$214:$AJ$214="")*$F$218:$AJ$241)+IF(AR$216="P3",SUMPRODUCT(($F$214:$AJ$214="P3")*$F$218:$AJ$241),0))/(SUMPRODUCT(($C$218:$C$241=AR$216)*($F$214:$AJ$214=""))+IF(AR$216="P3",COUNTIF($F$214:$AJ$214,"P3")*ROWS($C$218:$C$241),0)),"")</f>
        <v/>
      </c>
    </row>
    <row r="238" spans="1:44" ht="14.25" customHeight="1" x14ac:dyDescent="0.35">
      <c r="A238" s="1" t="s">
        <v>13</v>
      </c>
      <c r="B238" s="1" t="s">
        <v>13</v>
      </c>
      <c r="C238" s="1" t="s">
        <v>13</v>
      </c>
      <c r="D238" s="1" t="s">
        <v>13</v>
      </c>
      <c r="E238" s="1" t="s">
        <v>39</v>
      </c>
      <c r="F238" s="1">
        <v>1.01284</v>
      </c>
      <c r="G238" s="1">
        <v>0.97580999999999996</v>
      </c>
      <c r="H238" s="1">
        <v>0.94006000000000001</v>
      </c>
      <c r="I238" s="1">
        <v>0.94547999999999999</v>
      </c>
      <c r="J238" s="1">
        <v>0.93996999999999997</v>
      </c>
      <c r="K238" s="1">
        <v>0.95206000000000002</v>
      </c>
      <c r="L238" s="1">
        <v>0.97833999999999999</v>
      </c>
      <c r="M238" s="1">
        <v>1.01284</v>
      </c>
      <c r="N238" s="1">
        <v>0.97580999999999996</v>
      </c>
      <c r="O238" s="1">
        <v>0.94006000000000001</v>
      </c>
      <c r="P238" s="1">
        <v>0.94547999999999999</v>
      </c>
      <c r="Q238" s="1">
        <v>0.93996999999999997</v>
      </c>
      <c r="R238" s="1">
        <v>0.95206000000000002</v>
      </c>
      <c r="S238" s="1">
        <v>0.97833999999999999</v>
      </c>
      <c r="T238" s="1">
        <v>1.01284</v>
      </c>
      <c r="U238" s="1">
        <v>0.97580999999999996</v>
      </c>
      <c r="V238" s="1">
        <v>0.94006000000000001</v>
      </c>
      <c r="W238" s="1">
        <v>0.94547999999999999</v>
      </c>
      <c r="X238" s="1">
        <v>0.93996999999999997</v>
      </c>
      <c r="Y238" s="1">
        <v>0.95206000000000002</v>
      </c>
      <c r="Z238" s="1">
        <v>0.97833999999999999</v>
      </c>
      <c r="AA238" s="1">
        <v>1.01284</v>
      </c>
      <c r="AB238" s="1">
        <v>0.97580999999999996</v>
      </c>
      <c r="AC238" s="1">
        <v>0.94006000000000001</v>
      </c>
      <c r="AD238" s="1">
        <v>0.94547999999999999</v>
      </c>
      <c r="AE238" s="1">
        <v>0.93996999999999997</v>
      </c>
      <c r="AF238" s="1">
        <v>0.95206000000000002</v>
      </c>
      <c r="AG238" s="1">
        <v>0.97833999999999999</v>
      </c>
      <c r="AH238" s="1">
        <v>1.01284</v>
      </c>
      <c r="AI238" s="1">
        <v>0.97580999999999996</v>
      </c>
      <c r="AJ238" s="1">
        <v>0.94006000000000001</v>
      </c>
      <c r="AL238" s="4" t="s">
        <v>21</v>
      </c>
      <c r="AM238" s="6" cm="1">
        <f t="array" ref="AM238">IFERROR((SUMPRODUCT(($B$218:$B$241=AM$216)*($F$215:$AJ$215="")*$F$218:$AJ$241)+IF(AM$216="P6",SUMPRODUCT(($F$215:$AJ$215="P6")*$F$218:$AJ$241),0))/(SUMPRODUCT(($B$218:$B$241=AM$216)*($F$215:$AJ$215=""))+IF(AM$216="P6",COUNTIF($F$215:$AJ$215,"P6")*ROWS($B$218:$B$241),0)),"")</f>
        <v>0.89945211640211598</v>
      </c>
      <c r="AN238" s="6" cm="1">
        <f t="array" ref="AN238">IFERROR((SUMPRODUCT(($B$218:$B$241=AN$216)*($F$215:$AJ$215="")*$F$218:$AJ$241)+IF(AN$216="P6",SUMPRODUCT(($F$215:$AJ$215="P6")*$F$218:$AJ$241),0))/(SUMPRODUCT(($B$218:$B$241=AN$216)*($F$215:$AJ$215=""))+IF(AN$216="P6",COUNTIF($F$215:$AJ$215,"P6")*ROWS($B$218:$B$241),0)),"")</f>
        <v>0.90411727891156379</v>
      </c>
      <c r="AO238" s="6" t="str" cm="1">
        <f t="array" ref="AO238">IFERROR((SUMPRODUCT(($B$218:$B$241=AO$216)*($F$215:$AJ$215="")*$F$218:$AJ$241)+IF(AO$216="P6",SUMPRODUCT(($F$215:$AJ$215="P6")*$F$218:$AJ$241),0))/(SUMPRODUCT(($B$218:$B$241=AO$216)*($F$215:$AJ$215=""))+IF(AO$216="P6",COUNTIF($F$215:$AJ$215,"P6")*ROWS($B$218:$B$241),0)),"")</f>
        <v/>
      </c>
      <c r="AP238" s="6" t="str" cm="1">
        <f t="array" ref="AP238">IFERROR((SUMPRODUCT(($B$218:$B$241=AP$216)*($F$215:$AJ$215="")*$F$218:$AJ$241)+IF(AP$216="P6",SUMPRODUCT(($F$215:$AJ$215="P6")*$F$218:$AJ$241),0))/(SUMPRODUCT(($B$218:$B$241=AP$216)*($F$215:$AJ$215=""))+IF(AP$216="P6",COUNTIF($F$215:$AJ$215,"P6")*ROWS($B$218:$B$241),0)),"")</f>
        <v/>
      </c>
      <c r="AQ238" s="6" t="str" cm="1">
        <f t="array" ref="AQ238">IFERROR((SUMPRODUCT(($B$218:$B$241=AQ$216)*($F$215:$AJ$215="")*$F$218:$AJ$241)+IF(AQ$216="P6",SUMPRODUCT(($F$215:$AJ$215="P6")*$F$218:$AJ$241),0))/(SUMPRODUCT(($B$218:$B$241=AQ$216)*($F$215:$AJ$215=""))+IF(AQ$216="P6",COUNTIF($F$215:$AJ$215,"P6")*ROWS($B$218:$B$241),0)),"")</f>
        <v/>
      </c>
      <c r="AR238" s="6" cm="1">
        <f t="array" ref="AR238">IFERROR((SUMPRODUCT(($B$218:$B$241=AR$216)*($F$215:$AJ$215="")*$F$218:$AJ$241)+IF(AR$216="P6",SUMPRODUCT(($F$215:$AJ$215="P6")*$F$218:$AJ$241),0))/(SUMPRODUCT(($B$218:$B$241=AR$216)*($F$215:$AJ$215=""))+IF(AR$216="P6",COUNTIF($F$215:$AJ$215,"P6")*ROWS($B$218:$B$241),0)),"")</f>
        <v>0.94471333333333296</v>
      </c>
    </row>
    <row r="239" spans="1:44" ht="14.25" customHeight="1" x14ac:dyDescent="0.35">
      <c r="A239" s="1" t="s">
        <v>13</v>
      </c>
      <c r="B239" s="1" t="s">
        <v>13</v>
      </c>
      <c r="C239" s="1" t="s">
        <v>13</v>
      </c>
      <c r="D239" s="1" t="s">
        <v>13</v>
      </c>
      <c r="E239" s="1" t="s">
        <v>40</v>
      </c>
      <c r="F239" s="1">
        <v>1.0260199999999999</v>
      </c>
      <c r="G239" s="1">
        <v>0.97016000000000002</v>
      </c>
      <c r="H239" s="1">
        <v>0.93452999999999997</v>
      </c>
      <c r="I239" s="1">
        <v>0.93942999999999999</v>
      </c>
      <c r="J239" s="1">
        <v>0.92867999999999995</v>
      </c>
      <c r="K239" s="1">
        <v>0.94520000000000004</v>
      </c>
      <c r="L239" s="1">
        <v>0.97616000000000003</v>
      </c>
      <c r="M239" s="1">
        <v>1.0260199999999999</v>
      </c>
      <c r="N239" s="1">
        <v>0.97016000000000002</v>
      </c>
      <c r="O239" s="1">
        <v>0.93452999999999997</v>
      </c>
      <c r="P239" s="1">
        <v>0.93942999999999999</v>
      </c>
      <c r="Q239" s="1">
        <v>0.92867999999999995</v>
      </c>
      <c r="R239" s="1">
        <v>0.94520000000000004</v>
      </c>
      <c r="S239" s="1">
        <v>0.97616000000000003</v>
      </c>
      <c r="T239" s="1">
        <v>1.0260199999999999</v>
      </c>
      <c r="U239" s="1">
        <v>0.97016000000000002</v>
      </c>
      <c r="V239" s="1">
        <v>0.93452999999999997</v>
      </c>
      <c r="W239" s="1">
        <v>0.93942999999999999</v>
      </c>
      <c r="X239" s="1">
        <v>0.92867999999999995</v>
      </c>
      <c r="Y239" s="1">
        <v>0.94520000000000004</v>
      </c>
      <c r="Z239" s="1">
        <v>0.97616000000000003</v>
      </c>
      <c r="AA239" s="1">
        <v>1.0260199999999999</v>
      </c>
      <c r="AB239" s="1">
        <v>0.97016000000000002</v>
      </c>
      <c r="AC239" s="1">
        <v>0.93452999999999997</v>
      </c>
      <c r="AD239" s="1">
        <v>0.93942999999999999</v>
      </c>
      <c r="AE239" s="1">
        <v>0.92867999999999995</v>
      </c>
      <c r="AF239" s="1">
        <v>0.94520000000000004</v>
      </c>
      <c r="AG239" s="1">
        <v>0.97616000000000003</v>
      </c>
      <c r="AH239" s="1">
        <v>1.0260199999999999</v>
      </c>
      <c r="AI239" s="1">
        <v>0.97016000000000002</v>
      </c>
      <c r="AJ239" s="1">
        <v>0.93452999999999997</v>
      </c>
      <c r="AL239" s="4" t="s">
        <v>23</v>
      </c>
      <c r="AM239" s="6" cm="1">
        <f t="array" ref="AM239">IFERROR((SUMPRODUCT(($B$218:$B$241=AM$216)*($F$215:$AJ$215="")*$F$218:$AJ$241)+IF(AM$216="P6",SUMPRODUCT(($F$215:$AJ$215="P6")*$F$218:$AJ$241),0))/(SUMPRODUCT(($B$218:$B$241=AM$216)*($F$215:$AJ$215=""))+IF(AM$216="P6",COUNTIF($F$215:$AJ$215,"P6")*ROWS($B$218:$B$241),0)),"")</f>
        <v>0.89945211640211598</v>
      </c>
      <c r="AN239" s="6" cm="1">
        <f t="array" ref="AN239">IFERROR((SUMPRODUCT(($B$218:$B$241=AN$216)*($F$215:$AJ$215="")*$F$218:$AJ$241)+IF(AN$216="P6",SUMPRODUCT(($F$215:$AJ$215="P6")*$F$218:$AJ$241),0))/(SUMPRODUCT(($B$218:$B$241=AN$216)*($F$215:$AJ$215=""))+IF(AN$216="P6",COUNTIF($F$215:$AJ$215,"P6")*ROWS($B$218:$B$241),0)),"")</f>
        <v>0.90411727891156379</v>
      </c>
      <c r="AO239" s="6" t="str" cm="1">
        <f t="array" ref="AO239">IFERROR((SUMPRODUCT(($B$218:$B$241=AO$216)*($F$215:$AJ$215="")*$F$218:$AJ$241)+IF(AO$216="P6",SUMPRODUCT(($F$215:$AJ$215="P6")*$F$218:$AJ$241),0))/(SUMPRODUCT(($B$218:$B$241=AO$216)*($F$215:$AJ$215=""))+IF(AO$216="P6",COUNTIF($F$215:$AJ$215,"P6")*ROWS($B$218:$B$241),0)),"")</f>
        <v/>
      </c>
      <c r="AP239" s="6" t="str" cm="1">
        <f t="array" ref="AP239">IFERROR((SUMPRODUCT(($B$218:$B$241=AP$216)*($F$215:$AJ$215="")*$F$218:$AJ$241)+IF(AP$216="P6",SUMPRODUCT(($F$215:$AJ$215="P6")*$F$218:$AJ$241),0))/(SUMPRODUCT(($B$218:$B$241=AP$216)*($F$215:$AJ$215=""))+IF(AP$216="P6",COUNTIF($F$215:$AJ$215,"P6")*ROWS($B$218:$B$241),0)),"")</f>
        <v/>
      </c>
      <c r="AQ239" s="6" t="str" cm="1">
        <f t="array" ref="AQ239">IFERROR((SUMPRODUCT(($B$218:$B$241=AQ$216)*($F$215:$AJ$215="")*$F$218:$AJ$241)+IF(AQ$216="P6",SUMPRODUCT(($F$215:$AJ$215="P6")*$F$218:$AJ$241),0))/(SUMPRODUCT(($B$218:$B$241=AQ$216)*($F$215:$AJ$215=""))+IF(AQ$216="P6",COUNTIF($F$215:$AJ$215,"P6")*ROWS($B$218:$B$241),0)),"")</f>
        <v/>
      </c>
      <c r="AR239" s="6" cm="1">
        <f t="array" ref="AR239">IFERROR((SUMPRODUCT(($B$218:$B$241=AR$216)*($F$215:$AJ$215="")*$F$218:$AJ$241)+IF(AR$216="P6",SUMPRODUCT(($F$215:$AJ$215="P6")*$F$218:$AJ$241),0))/(SUMPRODUCT(($B$218:$B$241=AR$216)*($F$215:$AJ$215=""))+IF(AR$216="P6",COUNTIF($F$215:$AJ$215,"P6")*ROWS($B$218:$B$241),0)),"")</f>
        <v>0.94471333333333296</v>
      </c>
    </row>
    <row r="240" spans="1:44" ht="14.25" customHeight="1" x14ac:dyDescent="0.35">
      <c r="A240" s="1" t="s">
        <v>15</v>
      </c>
      <c r="B240" s="1" t="s">
        <v>14</v>
      </c>
      <c r="C240" s="1" t="s">
        <v>14</v>
      </c>
      <c r="D240" s="1" t="s">
        <v>14</v>
      </c>
      <c r="E240" s="1" t="s">
        <v>41</v>
      </c>
      <c r="F240" s="1">
        <v>1.02434</v>
      </c>
      <c r="G240" s="1">
        <v>0.96296000000000004</v>
      </c>
      <c r="H240" s="1">
        <v>0.95869000000000004</v>
      </c>
      <c r="I240" s="1">
        <v>0.96269000000000005</v>
      </c>
      <c r="J240" s="1">
        <v>0.95096000000000003</v>
      </c>
      <c r="K240" s="1">
        <v>0.97114999999999996</v>
      </c>
      <c r="L240" s="1">
        <v>1.01091</v>
      </c>
      <c r="M240" s="1">
        <v>1.02434</v>
      </c>
      <c r="N240" s="1">
        <v>0.96296000000000004</v>
      </c>
      <c r="O240" s="1">
        <v>0.95869000000000004</v>
      </c>
      <c r="P240" s="1">
        <v>0.96269000000000005</v>
      </c>
      <c r="Q240" s="1">
        <v>0.95096000000000003</v>
      </c>
      <c r="R240" s="1">
        <v>0.97114999999999996</v>
      </c>
      <c r="S240" s="1">
        <v>1.01091</v>
      </c>
      <c r="T240" s="1">
        <v>1.02434</v>
      </c>
      <c r="U240" s="1">
        <v>0.96296000000000004</v>
      </c>
      <c r="V240" s="1">
        <v>0.95869000000000004</v>
      </c>
      <c r="W240" s="1">
        <v>0.96269000000000005</v>
      </c>
      <c r="X240" s="1">
        <v>0.95096000000000003</v>
      </c>
      <c r="Y240" s="1">
        <v>0.97114999999999996</v>
      </c>
      <c r="Z240" s="1">
        <v>1.01091</v>
      </c>
      <c r="AA240" s="1">
        <v>1.02434</v>
      </c>
      <c r="AB240" s="1">
        <v>0.96296000000000004</v>
      </c>
      <c r="AC240" s="1">
        <v>0.95869000000000004</v>
      </c>
      <c r="AD240" s="1">
        <v>0.96269000000000005</v>
      </c>
      <c r="AE240" s="1">
        <v>0.95096000000000003</v>
      </c>
      <c r="AF240" s="1">
        <v>0.97114999999999996</v>
      </c>
      <c r="AG240" s="1">
        <v>1.01091</v>
      </c>
      <c r="AH240" s="1">
        <v>1.02434</v>
      </c>
      <c r="AI240" s="1">
        <v>0.96296000000000004</v>
      </c>
      <c r="AJ240" s="1">
        <v>0.95869000000000004</v>
      </c>
      <c r="AL240" s="4" t="s">
        <v>25</v>
      </c>
      <c r="AM240" s="6" cm="1">
        <f t="array" ref="AM240">IFERROR((SUMPRODUCT(($B$218:$B$241=AM$216)*($F$215:$AJ$215="")*$F$218:$AJ$241)+IF(AM$216="P6",SUMPRODUCT(($F$215:$AJ$215="P6")*$F$218:$AJ$241),0))/(SUMPRODUCT(($B$218:$B$241=AM$216)*($F$215:$AJ$215=""))+IF(AM$216="P6",COUNTIF($F$215:$AJ$215,"P6")*ROWS($B$218:$B$241),0)),"")</f>
        <v>0.89945211640211598</v>
      </c>
      <c r="AN240" s="6" cm="1">
        <f t="array" ref="AN240">IFERROR((SUMPRODUCT(($B$218:$B$241=AN$216)*($F$215:$AJ$215="")*$F$218:$AJ$241)+IF(AN$216="P6",SUMPRODUCT(($F$215:$AJ$215="P6")*$F$218:$AJ$241),0))/(SUMPRODUCT(($B$218:$B$241=AN$216)*($F$215:$AJ$215=""))+IF(AN$216="P6",COUNTIF($F$215:$AJ$215,"P6")*ROWS($B$218:$B$241),0)),"")</f>
        <v>0.90411727891156379</v>
      </c>
      <c r="AO240" s="6" t="str" cm="1">
        <f t="array" ref="AO240">IFERROR((SUMPRODUCT(($B$218:$B$241=AO$216)*($F$215:$AJ$215="")*$F$218:$AJ$241)+IF(AO$216="P6",SUMPRODUCT(($F$215:$AJ$215="P6")*$F$218:$AJ$241),0))/(SUMPRODUCT(($B$218:$B$241=AO$216)*($F$215:$AJ$215=""))+IF(AO$216="P6",COUNTIF($F$215:$AJ$215,"P6")*ROWS($B$218:$B$241),0)),"")</f>
        <v/>
      </c>
      <c r="AP240" s="6" t="str" cm="1">
        <f t="array" ref="AP240">IFERROR((SUMPRODUCT(($B$218:$B$241=AP$216)*($F$215:$AJ$215="")*$F$218:$AJ$241)+IF(AP$216="P6",SUMPRODUCT(($F$215:$AJ$215="P6")*$F$218:$AJ$241),0))/(SUMPRODUCT(($B$218:$B$241=AP$216)*($F$215:$AJ$215=""))+IF(AP$216="P6",COUNTIF($F$215:$AJ$215,"P6")*ROWS($B$218:$B$241),0)),"")</f>
        <v/>
      </c>
      <c r="AQ240" s="6" t="str" cm="1">
        <f t="array" ref="AQ240">IFERROR((SUMPRODUCT(($B$218:$B$241=AQ$216)*($F$215:$AJ$215="")*$F$218:$AJ$241)+IF(AQ$216="P6",SUMPRODUCT(($F$215:$AJ$215="P6")*$F$218:$AJ$241),0))/(SUMPRODUCT(($B$218:$B$241=AQ$216)*($F$215:$AJ$215=""))+IF(AQ$216="P6",COUNTIF($F$215:$AJ$215,"P6")*ROWS($B$218:$B$241),0)),"")</f>
        <v/>
      </c>
      <c r="AR240" s="6" cm="1">
        <f t="array" ref="AR240">IFERROR((SUMPRODUCT(($B$218:$B$241=AR$216)*($F$215:$AJ$215="")*$F$218:$AJ$241)+IF(AR$216="P6",SUMPRODUCT(($F$215:$AJ$215="P6")*$F$218:$AJ$241),0))/(SUMPRODUCT(($B$218:$B$241=AR$216)*($F$215:$AJ$215=""))+IF(AR$216="P6",COUNTIF($F$215:$AJ$215,"P6")*ROWS($B$218:$B$241),0)),"")</f>
        <v>0.94471333333333296</v>
      </c>
    </row>
    <row r="241" spans="1:44" ht="14.25" customHeight="1" x14ac:dyDescent="0.35">
      <c r="A241" s="1" t="s">
        <v>15</v>
      </c>
      <c r="B241" s="1" t="s">
        <v>14</v>
      </c>
      <c r="C241" s="1" t="s">
        <v>14</v>
      </c>
      <c r="D241" s="1" t="s">
        <v>14</v>
      </c>
      <c r="E241" s="1" t="s">
        <v>42</v>
      </c>
      <c r="F241" s="1">
        <v>1.0241899999999999</v>
      </c>
      <c r="G241" s="1">
        <v>0.95869000000000004</v>
      </c>
      <c r="H241" s="1">
        <v>0.95613000000000004</v>
      </c>
      <c r="I241" s="1">
        <v>0.96667000000000003</v>
      </c>
      <c r="J241" s="1">
        <v>0.95367000000000002</v>
      </c>
      <c r="K241" s="1">
        <v>0.95831</v>
      </c>
      <c r="L241" s="1">
        <v>1.0028900000000001</v>
      </c>
      <c r="M241" s="1">
        <v>1.0241899999999999</v>
      </c>
      <c r="N241" s="1">
        <v>0.95869000000000004</v>
      </c>
      <c r="O241" s="1">
        <v>0.95613000000000004</v>
      </c>
      <c r="P241" s="1">
        <v>0.96667000000000003</v>
      </c>
      <c r="Q241" s="1">
        <v>0.95367000000000002</v>
      </c>
      <c r="R241" s="1">
        <v>0.95831</v>
      </c>
      <c r="S241" s="1">
        <v>1.0028900000000001</v>
      </c>
      <c r="T241" s="1">
        <v>1.0241899999999999</v>
      </c>
      <c r="U241" s="1">
        <v>0.95869000000000004</v>
      </c>
      <c r="V241" s="1">
        <v>0.95613000000000004</v>
      </c>
      <c r="W241" s="1">
        <v>0.96667000000000003</v>
      </c>
      <c r="X241" s="1">
        <v>0.95367000000000002</v>
      </c>
      <c r="Y241" s="1">
        <v>0.95831</v>
      </c>
      <c r="Z241" s="1">
        <v>1.0028900000000001</v>
      </c>
      <c r="AA241" s="1">
        <v>1.0241899999999999</v>
      </c>
      <c r="AB241" s="1">
        <v>0.95869000000000004</v>
      </c>
      <c r="AC241" s="1">
        <v>0.95613000000000004</v>
      </c>
      <c r="AD241" s="1">
        <v>0.96667000000000003</v>
      </c>
      <c r="AE241" s="1">
        <v>0.95367000000000002</v>
      </c>
      <c r="AF241" s="1">
        <v>0.95831</v>
      </c>
      <c r="AG241" s="1">
        <v>1.0028900000000001</v>
      </c>
      <c r="AH241" s="1">
        <v>1.0241899999999999</v>
      </c>
      <c r="AI241" s="1">
        <v>0.95869000000000004</v>
      </c>
      <c r="AJ241" s="1">
        <v>0.95613000000000004</v>
      </c>
      <c r="AL241" s="4" t="s">
        <v>27</v>
      </c>
      <c r="AM241" s="6" cm="1">
        <f t="array" ref="AM241">IFERROR((SUMPRODUCT(($B$218:$B$241=AM$216)*($F$215:$AJ$215="")*$F$218:$AJ$241)+IF(AM$216="P6",SUMPRODUCT(($F$215:$AJ$215="P6")*$F$218:$AJ$241),0))/(SUMPRODUCT(($B$218:$B$241=AM$216)*($F$215:$AJ$215=""))+IF(AM$216="P6",COUNTIF($F$215:$AJ$215,"P6")*ROWS($B$218:$B$241),0)),"")</f>
        <v>0.89945211640211598</v>
      </c>
      <c r="AN241" s="6" cm="1">
        <f t="array" ref="AN241">IFERROR((SUMPRODUCT(($B$218:$B$241=AN$216)*($F$215:$AJ$215="")*$F$218:$AJ$241)+IF(AN$216="P6",SUMPRODUCT(($F$215:$AJ$215="P6")*$F$218:$AJ$241),0))/(SUMPRODUCT(($B$218:$B$241=AN$216)*($F$215:$AJ$215=""))+IF(AN$216="P6",COUNTIF($F$215:$AJ$215,"P6")*ROWS($B$218:$B$241),0)),"")</f>
        <v>0.90411727891156379</v>
      </c>
      <c r="AO241" s="6" t="str" cm="1">
        <f t="array" ref="AO241">IFERROR((SUMPRODUCT(($B$218:$B$241=AO$216)*($F$215:$AJ$215="")*$F$218:$AJ$241)+IF(AO$216="P6",SUMPRODUCT(($F$215:$AJ$215="P6")*$F$218:$AJ$241),0))/(SUMPRODUCT(($B$218:$B$241=AO$216)*($F$215:$AJ$215=""))+IF(AO$216="P6",COUNTIF($F$215:$AJ$215,"P6")*ROWS($B$218:$B$241),0)),"")</f>
        <v/>
      </c>
      <c r="AP241" s="6" t="str" cm="1">
        <f t="array" ref="AP241">IFERROR((SUMPRODUCT(($B$218:$B$241=AP$216)*($F$215:$AJ$215="")*$F$218:$AJ$241)+IF(AP$216="P6",SUMPRODUCT(($F$215:$AJ$215="P6")*$F$218:$AJ$241),0))/(SUMPRODUCT(($B$218:$B$241=AP$216)*($F$215:$AJ$215=""))+IF(AP$216="P6",COUNTIF($F$215:$AJ$215,"P6")*ROWS($B$218:$B$241),0)),"")</f>
        <v/>
      </c>
      <c r="AQ241" s="6" t="str" cm="1">
        <f t="array" ref="AQ241">IFERROR((SUMPRODUCT(($B$218:$B$241=AQ$216)*($F$215:$AJ$215="")*$F$218:$AJ$241)+IF(AQ$216="P6",SUMPRODUCT(($F$215:$AJ$215="P6")*$F$218:$AJ$241),0))/(SUMPRODUCT(($B$218:$B$241=AQ$216)*($F$215:$AJ$215=""))+IF(AQ$216="P6",COUNTIF($F$215:$AJ$215,"P6")*ROWS($B$218:$B$241),0)),"")</f>
        <v/>
      </c>
      <c r="AR241" s="6" cm="1">
        <f t="array" ref="AR241">IFERROR((SUMPRODUCT(($B$218:$B$241=AR$216)*($F$215:$AJ$215="")*$F$218:$AJ$241)+IF(AR$216="P6",SUMPRODUCT(($F$215:$AJ$215="P6")*$F$218:$AJ$241),0))/(SUMPRODUCT(($B$218:$B$241=AR$216)*($F$215:$AJ$215=""))+IF(AR$216="P6",COUNTIF($F$215:$AJ$215,"P6")*ROWS($B$218:$B$241),0)),"")</f>
        <v>0.94471333333333296</v>
      </c>
    </row>
    <row r="242" spans="1:44" ht="14.25" customHeight="1" x14ac:dyDescent="0.35">
      <c r="AL242" s="4" t="s">
        <v>29</v>
      </c>
      <c r="AM242" s="6" cm="1">
        <f t="array" ref="AM242">IFERROR((SUMPRODUCT(($B$218:$B$241=AM$216)*($F$215:$AJ$215="")*$F$218:$AJ$241)+IF(AM$216="P6",SUMPRODUCT(($F$215:$AJ$215="P6")*$F$218:$AJ$241),0))/(SUMPRODUCT(($B$218:$B$241=AM$216)*($F$215:$AJ$215=""))+IF(AM$216="P6",COUNTIF($F$215:$AJ$215,"P6")*ROWS($B$218:$B$241),0)),"")</f>
        <v>0.89945211640211598</v>
      </c>
      <c r="AN242" s="6" cm="1">
        <f t="array" ref="AN242">IFERROR((SUMPRODUCT(($B$218:$B$241=AN$216)*($F$215:$AJ$215="")*$F$218:$AJ$241)+IF(AN$216="P6",SUMPRODUCT(($F$215:$AJ$215="P6")*$F$218:$AJ$241),0))/(SUMPRODUCT(($B$218:$B$241=AN$216)*($F$215:$AJ$215=""))+IF(AN$216="P6",COUNTIF($F$215:$AJ$215,"P6")*ROWS($B$218:$B$241),0)),"")</f>
        <v>0.90411727891156379</v>
      </c>
      <c r="AO242" s="6" t="str" cm="1">
        <f t="array" ref="AO242">IFERROR((SUMPRODUCT(($B$218:$B$241=AO$216)*($F$215:$AJ$215="")*$F$218:$AJ$241)+IF(AO$216="P6",SUMPRODUCT(($F$215:$AJ$215="P6")*$F$218:$AJ$241),0))/(SUMPRODUCT(($B$218:$B$241=AO$216)*($F$215:$AJ$215=""))+IF(AO$216="P6",COUNTIF($F$215:$AJ$215,"P6")*ROWS($B$218:$B$241),0)),"")</f>
        <v/>
      </c>
      <c r="AP242" s="6" t="str" cm="1">
        <f t="array" ref="AP242">IFERROR((SUMPRODUCT(($B$218:$B$241=AP$216)*($F$215:$AJ$215="")*$F$218:$AJ$241)+IF(AP$216="P6",SUMPRODUCT(($F$215:$AJ$215="P6")*$F$218:$AJ$241),0))/(SUMPRODUCT(($B$218:$B$241=AP$216)*($F$215:$AJ$215=""))+IF(AP$216="P6",COUNTIF($F$215:$AJ$215,"P6")*ROWS($B$218:$B$241),0)),"")</f>
        <v/>
      </c>
      <c r="AQ242" s="6" t="str" cm="1">
        <f t="array" ref="AQ242">IFERROR((SUMPRODUCT(($B$218:$B$241=AQ$216)*($F$215:$AJ$215="")*$F$218:$AJ$241)+IF(AQ$216="P6",SUMPRODUCT(($F$215:$AJ$215="P6")*$F$218:$AJ$241),0))/(SUMPRODUCT(($B$218:$B$241=AQ$216)*($F$215:$AJ$215=""))+IF(AQ$216="P6",COUNTIF($F$215:$AJ$215,"P6")*ROWS($B$218:$B$241),0)),"")</f>
        <v/>
      </c>
      <c r="AR242" s="6" cm="1">
        <f t="array" ref="AR242">IFERROR((SUMPRODUCT(($B$218:$B$241=AR$216)*($F$215:$AJ$215="")*$F$218:$AJ$241)+IF(AR$216="P6",SUMPRODUCT(($F$215:$AJ$215="P6")*$F$218:$AJ$241),0))/(SUMPRODUCT(($B$218:$B$241=AR$216)*($F$215:$AJ$215=""))+IF(AR$216="P6",COUNTIF($F$215:$AJ$215,"P6")*ROWS($B$218:$B$241),0)),"")</f>
        <v>0.94471333333333296</v>
      </c>
    </row>
    <row r="246" spans="1:44" ht="14.25" customHeight="1" x14ac:dyDescent="0.35">
      <c r="A246" s="15" t="s">
        <v>232</v>
      </c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</row>
    <row r="247" spans="1:44" ht="14.25" customHeight="1" x14ac:dyDescent="0.3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</row>
    <row r="248" spans="1:44" ht="14.25" customHeight="1" x14ac:dyDescent="0.35">
      <c r="AL248" s="10"/>
      <c r="AM248" s="10"/>
      <c r="AN248" s="10"/>
      <c r="AO248" s="10"/>
      <c r="AP248" s="10"/>
      <c r="AQ248" s="10"/>
      <c r="AR248" s="10"/>
    </row>
    <row r="249" spans="1:44" ht="14.25" customHeight="1" x14ac:dyDescent="0.35">
      <c r="F249" s="1" t="str">
        <f>IF(OR(F251="S",F251="D",F252=DATE(2023,8,15)),"P3","")</f>
        <v/>
      </c>
      <c r="G249" s="1" t="str">
        <f t="shared" ref="G249:AJ249" si="26">IF(OR(G251="S",G251="D",G252=DATE(2023,8,15)),"P3","")</f>
        <v/>
      </c>
      <c r="H249" s="1" t="str">
        <f t="shared" si="26"/>
        <v/>
      </c>
      <c r="I249" s="1" t="str">
        <f t="shared" si="26"/>
        <v/>
      </c>
      <c r="J249" s="1" t="str">
        <f t="shared" si="26"/>
        <v>P3</v>
      </c>
      <c r="K249" s="1" t="str">
        <f t="shared" si="26"/>
        <v>P3</v>
      </c>
      <c r="L249" s="1" t="str">
        <f t="shared" si="26"/>
        <v/>
      </c>
      <c r="M249" s="1" t="str">
        <f t="shared" si="26"/>
        <v/>
      </c>
      <c r="N249" s="1" t="str">
        <f t="shared" si="26"/>
        <v/>
      </c>
      <c r="O249" s="1" t="str">
        <f t="shared" si="26"/>
        <v/>
      </c>
      <c r="P249" s="1" t="str">
        <f t="shared" si="26"/>
        <v/>
      </c>
      <c r="Q249" s="1" t="str">
        <f t="shared" si="26"/>
        <v>P3</v>
      </c>
      <c r="R249" s="1" t="str">
        <f t="shared" si="26"/>
        <v>P3</v>
      </c>
      <c r="S249" s="1" t="str">
        <f t="shared" si="26"/>
        <v/>
      </c>
      <c r="T249" s="1" t="str">
        <f t="shared" si="26"/>
        <v>P3</v>
      </c>
      <c r="U249" s="1" t="str">
        <f t="shared" si="26"/>
        <v/>
      </c>
      <c r="V249" s="1" t="str">
        <f t="shared" si="26"/>
        <v/>
      </c>
      <c r="W249" s="1" t="str">
        <f t="shared" si="26"/>
        <v/>
      </c>
      <c r="X249" s="1" t="str">
        <f t="shared" si="26"/>
        <v>P3</v>
      </c>
      <c r="Y249" s="1" t="str">
        <f t="shared" si="26"/>
        <v>P3</v>
      </c>
      <c r="Z249" s="1" t="str">
        <f t="shared" si="26"/>
        <v/>
      </c>
      <c r="AA249" s="1" t="str">
        <f t="shared" si="26"/>
        <v/>
      </c>
      <c r="AB249" s="1" t="str">
        <f t="shared" si="26"/>
        <v/>
      </c>
      <c r="AC249" s="1" t="str">
        <f t="shared" si="26"/>
        <v/>
      </c>
      <c r="AD249" s="1" t="str">
        <f t="shared" si="26"/>
        <v/>
      </c>
      <c r="AE249" s="1" t="str">
        <f t="shared" si="26"/>
        <v>P3</v>
      </c>
      <c r="AF249" s="1" t="str">
        <f t="shared" si="26"/>
        <v>P3</v>
      </c>
      <c r="AG249" s="1" t="str">
        <f t="shared" si="26"/>
        <v/>
      </c>
      <c r="AH249" s="1" t="str">
        <f t="shared" si="26"/>
        <v/>
      </c>
      <c r="AI249" s="1" t="str">
        <f t="shared" si="26"/>
        <v/>
      </c>
      <c r="AJ249" s="1" t="str">
        <f t="shared" si="26"/>
        <v/>
      </c>
      <c r="AL249" s="10"/>
      <c r="AM249" s="10"/>
      <c r="AN249" s="10"/>
      <c r="AO249" s="10"/>
      <c r="AP249" s="10"/>
      <c r="AQ249" s="10"/>
      <c r="AR249" s="10"/>
    </row>
    <row r="250" spans="1:44" ht="14.25" customHeight="1" x14ac:dyDescent="0.35">
      <c r="F250" s="1" t="str">
        <f>IF(OR(F251="S",F251="D",F252=DATE(2023,8,15)),"P6","")</f>
        <v/>
      </c>
      <c r="G250" s="1" t="str">
        <f t="shared" ref="G250:AJ250" si="27">IF(OR(G251="S",G251="D",G252=DATE(2023,8,15)),"P6","")</f>
        <v/>
      </c>
      <c r="H250" s="1" t="str">
        <f t="shared" si="27"/>
        <v/>
      </c>
      <c r="I250" s="1" t="str">
        <f t="shared" si="27"/>
        <v/>
      </c>
      <c r="J250" s="1" t="str">
        <f t="shared" si="27"/>
        <v>P6</v>
      </c>
      <c r="K250" s="1" t="str">
        <f t="shared" si="27"/>
        <v>P6</v>
      </c>
      <c r="L250" s="1" t="str">
        <f t="shared" si="27"/>
        <v/>
      </c>
      <c r="M250" s="1" t="str">
        <f t="shared" si="27"/>
        <v/>
      </c>
      <c r="N250" s="1" t="str">
        <f t="shared" si="27"/>
        <v/>
      </c>
      <c r="O250" s="1" t="str">
        <f t="shared" si="27"/>
        <v/>
      </c>
      <c r="P250" s="1" t="str">
        <f t="shared" si="27"/>
        <v/>
      </c>
      <c r="Q250" s="1" t="str">
        <f t="shared" si="27"/>
        <v>P6</v>
      </c>
      <c r="R250" s="1" t="str">
        <f t="shared" si="27"/>
        <v>P6</v>
      </c>
      <c r="S250" s="1" t="str">
        <f t="shared" si="27"/>
        <v/>
      </c>
      <c r="T250" s="1" t="str">
        <f t="shared" si="27"/>
        <v>P6</v>
      </c>
      <c r="U250" s="1" t="str">
        <f t="shared" si="27"/>
        <v/>
      </c>
      <c r="V250" s="1" t="str">
        <f t="shared" si="27"/>
        <v/>
      </c>
      <c r="W250" s="1" t="str">
        <f t="shared" si="27"/>
        <v/>
      </c>
      <c r="X250" s="1" t="str">
        <f t="shared" si="27"/>
        <v>P6</v>
      </c>
      <c r="Y250" s="1" t="str">
        <f t="shared" si="27"/>
        <v>P6</v>
      </c>
      <c r="Z250" s="1" t="str">
        <f t="shared" si="27"/>
        <v/>
      </c>
      <c r="AA250" s="1" t="str">
        <f t="shared" si="27"/>
        <v/>
      </c>
      <c r="AB250" s="1" t="str">
        <f t="shared" si="27"/>
        <v/>
      </c>
      <c r="AC250" s="1" t="str">
        <f t="shared" si="27"/>
        <v/>
      </c>
      <c r="AD250" s="1" t="str">
        <f t="shared" si="27"/>
        <v/>
      </c>
      <c r="AE250" s="1" t="str">
        <f t="shared" si="27"/>
        <v>P6</v>
      </c>
      <c r="AF250" s="1" t="str">
        <f t="shared" si="27"/>
        <v>P6</v>
      </c>
      <c r="AG250" s="1" t="str">
        <f t="shared" si="27"/>
        <v/>
      </c>
      <c r="AH250" s="1" t="str">
        <f t="shared" si="27"/>
        <v/>
      </c>
      <c r="AI250" s="1" t="str">
        <f t="shared" si="27"/>
        <v/>
      </c>
      <c r="AJ250" s="1" t="str">
        <f t="shared" si="27"/>
        <v/>
      </c>
      <c r="AL250" s="14" t="s">
        <v>233</v>
      </c>
      <c r="AM250" s="14"/>
      <c r="AN250" s="14"/>
      <c r="AO250" s="14"/>
      <c r="AP250" s="14"/>
      <c r="AQ250" s="14"/>
      <c r="AR250" s="14"/>
    </row>
    <row r="251" spans="1:44" ht="14.25" customHeight="1" x14ac:dyDescent="0.35">
      <c r="F251" s="1" t="str">
        <f>CHOOSE(WEEKDAY(F252,2),"L","M","X","J","V","S","D")</f>
        <v>M</v>
      </c>
      <c r="G251" s="1" t="str">
        <f t="shared" ref="G251:AJ251" si="28">CHOOSE(WEEKDAY(G252,2),"L","M","X","J","V","S","D")</f>
        <v>X</v>
      </c>
      <c r="H251" s="1" t="str">
        <f t="shared" si="28"/>
        <v>J</v>
      </c>
      <c r="I251" s="1" t="str">
        <f t="shared" si="28"/>
        <v>V</v>
      </c>
      <c r="J251" s="1" t="str">
        <f t="shared" si="28"/>
        <v>S</v>
      </c>
      <c r="K251" s="1" t="str">
        <f t="shared" si="28"/>
        <v>D</v>
      </c>
      <c r="L251" s="1" t="str">
        <f t="shared" si="28"/>
        <v>L</v>
      </c>
      <c r="M251" s="1" t="str">
        <f t="shared" si="28"/>
        <v>M</v>
      </c>
      <c r="N251" s="1" t="str">
        <f t="shared" si="28"/>
        <v>X</v>
      </c>
      <c r="O251" s="1" t="str">
        <f t="shared" si="28"/>
        <v>J</v>
      </c>
      <c r="P251" s="1" t="str">
        <f t="shared" si="28"/>
        <v>V</v>
      </c>
      <c r="Q251" s="1" t="str">
        <f t="shared" si="28"/>
        <v>S</v>
      </c>
      <c r="R251" s="1" t="str">
        <f t="shared" si="28"/>
        <v>D</v>
      </c>
      <c r="S251" s="1" t="str">
        <f t="shared" si="28"/>
        <v>L</v>
      </c>
      <c r="T251" s="1" t="str">
        <f t="shared" si="28"/>
        <v>M</v>
      </c>
      <c r="U251" s="1" t="str">
        <f t="shared" si="28"/>
        <v>X</v>
      </c>
      <c r="V251" s="1" t="str">
        <f t="shared" si="28"/>
        <v>J</v>
      </c>
      <c r="W251" s="1" t="str">
        <f t="shared" si="28"/>
        <v>V</v>
      </c>
      <c r="X251" s="1" t="str">
        <f t="shared" si="28"/>
        <v>S</v>
      </c>
      <c r="Y251" s="1" t="str">
        <f t="shared" si="28"/>
        <v>D</v>
      </c>
      <c r="Z251" s="1" t="str">
        <f t="shared" si="28"/>
        <v>L</v>
      </c>
      <c r="AA251" s="1" t="str">
        <f t="shared" si="28"/>
        <v>M</v>
      </c>
      <c r="AB251" s="1" t="str">
        <f t="shared" si="28"/>
        <v>X</v>
      </c>
      <c r="AC251" s="1" t="str">
        <f t="shared" si="28"/>
        <v>J</v>
      </c>
      <c r="AD251" s="1" t="str">
        <f t="shared" si="28"/>
        <v>V</v>
      </c>
      <c r="AE251" s="1" t="str">
        <f t="shared" si="28"/>
        <v>S</v>
      </c>
      <c r="AF251" s="1" t="str">
        <f t="shared" si="28"/>
        <v>D</v>
      </c>
      <c r="AG251" s="1" t="str">
        <f t="shared" si="28"/>
        <v>L</v>
      </c>
      <c r="AH251" s="1" t="str">
        <f t="shared" si="28"/>
        <v>M</v>
      </c>
      <c r="AI251" s="1" t="str">
        <f t="shared" si="28"/>
        <v>X</v>
      </c>
      <c r="AJ251" s="1" t="str">
        <f t="shared" si="28"/>
        <v>J</v>
      </c>
      <c r="AL251" s="4"/>
      <c r="AM251" s="4" t="s">
        <v>13</v>
      </c>
      <c r="AN251" s="4" t="s">
        <v>14</v>
      </c>
      <c r="AO251" s="4" t="s">
        <v>15</v>
      </c>
      <c r="AP251" s="4" t="s">
        <v>16</v>
      </c>
      <c r="AQ251" s="4" t="s">
        <v>17</v>
      </c>
      <c r="AR251" s="4" t="s">
        <v>7</v>
      </c>
    </row>
    <row r="252" spans="1:44" ht="14.25" customHeight="1" x14ac:dyDescent="0.35">
      <c r="A252" s="3" t="s">
        <v>76</v>
      </c>
      <c r="B252" s="3" t="s">
        <v>77</v>
      </c>
      <c r="C252" s="3" t="s">
        <v>75</v>
      </c>
      <c r="D252" s="3" t="s">
        <v>74</v>
      </c>
      <c r="F252" s="8">
        <v>45139</v>
      </c>
      <c r="G252" s="8">
        <v>45140</v>
      </c>
      <c r="H252" s="8">
        <v>45141</v>
      </c>
      <c r="I252" s="8">
        <v>45142</v>
      </c>
      <c r="J252" s="8">
        <v>45143</v>
      </c>
      <c r="K252" s="8">
        <v>45144</v>
      </c>
      <c r="L252" s="8">
        <v>45145</v>
      </c>
      <c r="M252" s="8">
        <v>45146</v>
      </c>
      <c r="N252" s="8">
        <v>45147</v>
      </c>
      <c r="O252" s="8">
        <v>45148</v>
      </c>
      <c r="P252" s="8">
        <v>45149</v>
      </c>
      <c r="Q252" s="8">
        <v>45150</v>
      </c>
      <c r="R252" s="8">
        <v>45151</v>
      </c>
      <c r="S252" s="8">
        <v>45152</v>
      </c>
      <c r="T252" s="8">
        <v>45153</v>
      </c>
      <c r="U252" s="8">
        <v>45154</v>
      </c>
      <c r="V252" s="8">
        <v>45155</v>
      </c>
      <c r="W252" s="8">
        <v>45156</v>
      </c>
      <c r="X252" s="8">
        <v>45157</v>
      </c>
      <c r="Y252" s="8">
        <v>45158</v>
      </c>
      <c r="Z252" s="8">
        <v>45159</v>
      </c>
      <c r="AA252" s="8">
        <v>45160</v>
      </c>
      <c r="AB252" s="8">
        <v>45161</v>
      </c>
      <c r="AC252" s="8">
        <v>45162</v>
      </c>
      <c r="AD252" s="8">
        <v>45163</v>
      </c>
      <c r="AE252" s="8">
        <v>45164</v>
      </c>
      <c r="AF252" s="8">
        <v>45165</v>
      </c>
      <c r="AG252" s="8">
        <v>45166</v>
      </c>
      <c r="AH252" s="8">
        <v>45167</v>
      </c>
      <c r="AI252" s="8">
        <v>45168</v>
      </c>
      <c r="AJ252" s="8">
        <v>45169</v>
      </c>
      <c r="AL252" s="4" t="s">
        <v>19</v>
      </c>
      <c r="AM252" s="6" cm="1">
        <f t="array" ref="AM252">IFERROR((SUMPRODUCT(($C$253:$C$276=AM$251)*($F$249:$AJ$249="")*$F$253:$AJ$276)+IF(AM$251="P3",SUMPRODUCT(($F$249:$AJ$249="P3")*$F$253:$AJ$276),0))/(SUMPRODUCT(($C$253:$C$276=AM$251)*($F$249:$AJ$249=""))+IF(AM$251="P3",COUNTIF($F$249:$AJ$249,"P3")*ROWS($C$253:$C$276),0)),"")</f>
        <v>0.91079357954545381</v>
      </c>
      <c r="AN252" s="6" cm="1">
        <f t="array" ref="AN252">IFERROR((SUMPRODUCT(($C$253:$C$276=AN$251)*($F$249:$AJ$249="")*$F$253:$AJ$276)+IF(AN$251="P3",SUMPRODUCT(($F$249:$AJ$249="P3")*$F$253:$AJ$276),0))/(SUMPRODUCT(($C$253:$C$276=AN$251)*($F$249:$AJ$249=""))+IF(AN$251="P3",COUNTIF($F$249:$AJ$249,"P3")*ROWS($C$253:$C$276),0)),"")</f>
        <v>0.92925772727272715</v>
      </c>
      <c r="AO252" s="6" cm="1">
        <f t="array" ref="AO252">IFERROR((SUMPRODUCT(($C$253:$C$276=AO$251)*($F$249:$AJ$249="")*$F$253:$AJ$276)+IF(AO$251="P3",SUMPRODUCT(($F$249:$AJ$249="P3")*$F$253:$AJ$276),0))/(SUMPRODUCT(($C$253:$C$276=AO$251)*($F$249:$AJ$249=""))+IF(AO$251="P3",COUNTIF($F$249:$AJ$249,"P3")*ROWS($C$253:$C$276),0)),"")</f>
        <v>0.93621438775510146</v>
      </c>
      <c r="AP252" s="6" t="str" cm="1">
        <f t="array" ref="AP252">IFERROR((SUMPRODUCT(($C$253:$C$276=AP$251)*($F$249:$AJ$249="")*$F$253:$AJ$276)+IF(AP$251="P3",SUMPRODUCT(($F$249:$AJ$249="P3")*$F$253:$AJ$276),0))/(SUMPRODUCT(($C$253:$C$276=AP$251)*($F$249:$AJ$249=""))+IF(AP$251="P3",COUNTIF($F$249:$AJ$249,"P3")*ROWS($C$253:$C$276),0)),"")</f>
        <v/>
      </c>
      <c r="AQ252" s="6" t="str" cm="1">
        <f t="array" ref="AQ252">IFERROR((SUMPRODUCT(($C$253:$C$276=AQ$251)*($F$249:$AJ$249="")*$F$253:$AJ$276)+IF(AQ$251="P3",SUMPRODUCT(($F$249:$AJ$249="P3")*$F$253:$AJ$276),0))/(SUMPRODUCT(($C$253:$C$276=AQ$251)*($F$249:$AJ$249=""))+IF(AQ$251="P3",COUNTIF($F$249:$AJ$249,"P3")*ROWS($C$253:$C$276),0)),"")</f>
        <v/>
      </c>
      <c r="AR252" s="6" t="str" cm="1">
        <f t="array" ref="AR252">IFERROR((SUMPRODUCT(($C$253:$C$276=AR$251)*($F$249:$AJ$249="")*$F$253:$AJ$276)+IF(AR$251="P3",SUMPRODUCT(($F$249:$AJ$249="P3")*$F$253:$AJ$276),0))/(SUMPRODUCT(($C$253:$C$276=AR$251)*($F$249:$AJ$249=""))+IF(AR$251="P3",COUNTIF($F$249:$AJ$249,"P3")*ROWS($C$253:$C$276),0)),"")</f>
        <v/>
      </c>
    </row>
    <row r="253" spans="1:44" ht="14.25" customHeight="1" x14ac:dyDescent="0.35">
      <c r="A253" s="1" t="s">
        <v>7</v>
      </c>
      <c r="B253" s="1" t="s">
        <v>7</v>
      </c>
      <c r="C253" s="1" t="s">
        <v>15</v>
      </c>
      <c r="D253" s="1" t="s">
        <v>7</v>
      </c>
      <c r="E253" s="1" t="s">
        <v>8</v>
      </c>
      <c r="F253" s="1">
        <v>0.93540000000000001</v>
      </c>
      <c r="G253" s="1">
        <v>0.92539000000000005</v>
      </c>
      <c r="H253" s="1">
        <v>0.93252000000000002</v>
      </c>
      <c r="I253" s="1">
        <v>0.95455000000000001</v>
      </c>
      <c r="J253" s="1">
        <v>0.97047000000000005</v>
      </c>
      <c r="K253" s="1">
        <v>0.97699000000000003</v>
      </c>
      <c r="L253" s="1">
        <v>0.94886000000000004</v>
      </c>
      <c r="M253" s="1">
        <v>0.93540000000000001</v>
      </c>
      <c r="N253" s="1">
        <v>0.92539000000000005</v>
      </c>
      <c r="O253" s="1">
        <v>0.93252000000000002</v>
      </c>
      <c r="P253" s="1">
        <v>0.95455000000000001</v>
      </c>
      <c r="Q253" s="1">
        <v>0.97047000000000005</v>
      </c>
      <c r="R253" s="1">
        <v>0.97699000000000003</v>
      </c>
      <c r="S253" s="1">
        <v>0.94886000000000004</v>
      </c>
      <c r="T253" s="1">
        <v>0.96706999999999999</v>
      </c>
      <c r="U253" s="1">
        <v>0.92539000000000005</v>
      </c>
      <c r="V253" s="1">
        <v>0.93252000000000002</v>
      </c>
      <c r="W253" s="1">
        <v>0.95455000000000001</v>
      </c>
      <c r="X253" s="1">
        <v>0.97047000000000005</v>
      </c>
      <c r="Y253" s="1">
        <v>0.97699000000000003</v>
      </c>
      <c r="Z253" s="1">
        <v>0.94886000000000004</v>
      </c>
      <c r="AA253" s="1">
        <v>0.93540000000000001</v>
      </c>
      <c r="AB253" s="1">
        <v>0.92539000000000005</v>
      </c>
      <c r="AC253" s="1">
        <v>0.93252000000000002</v>
      </c>
      <c r="AD253" s="1">
        <v>0.95455000000000001</v>
      </c>
      <c r="AE253" s="1">
        <v>0.97047000000000005</v>
      </c>
      <c r="AF253" s="1">
        <v>0.97699000000000003</v>
      </c>
      <c r="AG253" s="1">
        <v>0.94886000000000004</v>
      </c>
      <c r="AH253" s="1">
        <v>0.93540000000000001</v>
      </c>
      <c r="AI253" s="1">
        <v>0.92539000000000005</v>
      </c>
      <c r="AJ253" s="1">
        <v>0.93252000000000002</v>
      </c>
      <c r="AL253" s="4" t="s">
        <v>21</v>
      </c>
      <c r="AM253" s="6" t="str" cm="1">
        <f t="array" ref="AM253">IFERROR((SUMPRODUCT(($D$253:$D$276=AM$251)*($F$250:$AJ$250="")*$F$253:$AJ$276)+IF(AM$251="P6",SUMPRODUCT(($F$250:$AJ$250="P6")*$F$253:$AJ$276),0))/(SUMPRODUCT(($D$253:$D$276=AM$251)*($F$250:$AJ$250=""))+IF(AM$251="P6",COUNTIF($F$250:$AJ$250,"P6")*ROWS($D$253:$D$276),0)),"")</f>
        <v/>
      </c>
      <c r="AN253" s="6" t="str" cm="1">
        <f t="array" ref="AN253">IFERROR((SUMPRODUCT(($D$253:$D$276=AN$251)*($F$250:$AJ$250="")*$F$253:$AJ$276)+IF(AN$251="P6",SUMPRODUCT(($F$250:$AJ$250="P6")*$F$253:$AJ$276),0))/(SUMPRODUCT(($D$253:$D$276=AN$251)*($F$250:$AJ$250=""))+IF(AN$251="P6",COUNTIF($F$250:$AJ$250,"P6")*ROWS($D$253:$D$276),0)),"")</f>
        <v/>
      </c>
      <c r="AO253" s="6" cm="1">
        <f t="array" ref="AO253">IFERROR((SUMPRODUCT(($D$253:$D$276=AO$251)*($F$250:$AJ$250="")*$F$253:$AJ$276)+IF(AO$251="P6",SUMPRODUCT(($F$250:$AJ$250="P6")*$F$253:$AJ$276),0))/(SUMPRODUCT(($D$253:$D$276=AO$251)*($F$250:$AJ$250=""))+IF(AO$251="P6",COUNTIF($F$250:$AJ$250,"P6")*ROWS($D$253:$D$276),0)),"")</f>
        <v>0.9060140404040391</v>
      </c>
      <c r="AP253" s="6" cm="1">
        <f t="array" ref="AP253">IFERROR((SUMPRODUCT(($D$253:$D$276=AP$251)*($F$250:$AJ$250="")*$F$253:$AJ$276)+IF(AP$251="P6",SUMPRODUCT(($F$250:$AJ$250="P6")*$F$253:$AJ$276),0))/(SUMPRODUCT(($D$253:$D$276=AP$251)*($F$250:$AJ$250=""))+IF(AP$251="P6",COUNTIF($F$250:$AJ$250,"P6")*ROWS($D$253:$D$276),0)),"")</f>
        <v>0.93804058441558513</v>
      </c>
      <c r="AQ253" s="6" t="str" cm="1">
        <f t="array" ref="AQ253">IFERROR((SUMPRODUCT(($D$253:$D$276=AQ$251)*($F$250:$AJ$250="")*$F$253:$AJ$276)+IF(AQ$251="P6",SUMPRODUCT(($F$250:$AJ$250="P6")*$F$253:$AJ$276),0))/(SUMPRODUCT(($D$253:$D$276=AQ$251)*($F$250:$AJ$250=""))+IF(AQ$251="P6",COUNTIF($F$250:$AJ$250,"P6")*ROWS($D$253:$D$276),0)),"")</f>
        <v/>
      </c>
      <c r="AR253" s="6" cm="1">
        <f t="array" ref="AR253">IFERROR((SUMPRODUCT(($D$253:$D$276=AR$251)*($F$250:$AJ$250="")*$F$253:$AJ$276)+IF(AR$251="P6",SUMPRODUCT(($F$250:$AJ$250="P6")*$F$253:$AJ$276),0))/(SUMPRODUCT(($D$253:$D$276=AR$251)*($F$250:$AJ$250=""))+IF(AR$251="P6",COUNTIF($F$250:$AJ$250,"P6")*ROWS($D$253:$D$276),0)),"")</f>
        <v>0.93621438775510146</v>
      </c>
    </row>
    <row r="254" spans="1:44" ht="14.25" customHeight="1" x14ac:dyDescent="0.35">
      <c r="A254" s="1" t="s">
        <v>7</v>
      </c>
      <c r="B254" s="1" t="s">
        <v>7</v>
      </c>
      <c r="C254" s="1" t="s">
        <v>15</v>
      </c>
      <c r="D254" s="1" t="s">
        <v>7</v>
      </c>
      <c r="E254" s="1" t="s">
        <v>9</v>
      </c>
      <c r="F254" s="1">
        <v>0.94789999999999996</v>
      </c>
      <c r="G254" s="1">
        <v>0.94055999999999995</v>
      </c>
      <c r="H254" s="1">
        <v>0.94332000000000005</v>
      </c>
      <c r="I254" s="1">
        <v>0.96365999999999996</v>
      </c>
      <c r="J254" s="1">
        <v>0.97731000000000001</v>
      </c>
      <c r="K254" s="1">
        <v>0.98418000000000005</v>
      </c>
      <c r="L254" s="1">
        <v>0.96423000000000003</v>
      </c>
      <c r="M254" s="1">
        <v>0.94789999999999996</v>
      </c>
      <c r="N254" s="1">
        <v>0.94055999999999995</v>
      </c>
      <c r="O254" s="1">
        <v>0.94332000000000005</v>
      </c>
      <c r="P254" s="1">
        <v>0.96365999999999996</v>
      </c>
      <c r="Q254" s="1">
        <v>0.97731000000000001</v>
      </c>
      <c r="R254" s="1">
        <v>0.98418000000000005</v>
      </c>
      <c r="S254" s="1">
        <v>0.96423000000000003</v>
      </c>
      <c r="T254" s="1">
        <v>0.98107</v>
      </c>
      <c r="U254" s="1">
        <v>0.94055999999999995</v>
      </c>
      <c r="V254" s="1">
        <v>0.94332000000000005</v>
      </c>
      <c r="W254" s="1">
        <v>0.96365999999999996</v>
      </c>
      <c r="X254" s="1">
        <v>0.97731000000000001</v>
      </c>
      <c r="Y254" s="1">
        <v>0.98418000000000005</v>
      </c>
      <c r="Z254" s="1">
        <v>0.96423000000000003</v>
      </c>
      <c r="AA254" s="1">
        <v>0.94789999999999996</v>
      </c>
      <c r="AB254" s="1">
        <v>0.94055999999999995</v>
      </c>
      <c r="AC254" s="1">
        <v>0.94332000000000005</v>
      </c>
      <c r="AD254" s="1">
        <v>0.96365999999999996</v>
      </c>
      <c r="AE254" s="1">
        <v>0.97731000000000001</v>
      </c>
      <c r="AF254" s="1">
        <v>0.98418000000000005</v>
      </c>
      <c r="AG254" s="1">
        <v>0.96423000000000003</v>
      </c>
      <c r="AH254" s="1">
        <v>0.94789999999999996</v>
      </c>
      <c r="AI254" s="1">
        <v>0.94055999999999995</v>
      </c>
      <c r="AJ254" s="1">
        <v>0.94332000000000005</v>
      </c>
      <c r="AL254" s="4" t="s">
        <v>23</v>
      </c>
      <c r="AM254" s="6" t="str" cm="1">
        <f t="array" ref="AM254">IFERROR((SUMPRODUCT(($D$253:$D$276=AM$251)*($F$250:$AJ$250="")*$F$253:$AJ$276)+IF(AM$251="P6",SUMPRODUCT(($F$250:$AJ$250="P6")*$F$253:$AJ$276),0))/(SUMPRODUCT(($D$253:$D$276=AM$251)*($F$250:$AJ$250=""))+IF(AM$251="P6",COUNTIF($F$250:$AJ$250,"P6")*ROWS($D$253:$D$276),0)),"")</f>
        <v/>
      </c>
      <c r="AN254" s="6" t="str" cm="1">
        <f t="array" ref="AN254">IFERROR((SUMPRODUCT(($D$253:$D$276=AN$251)*($F$250:$AJ$250="")*$F$253:$AJ$276)+IF(AN$251="P6",SUMPRODUCT(($F$250:$AJ$250="P6")*$F$253:$AJ$276),0))/(SUMPRODUCT(($D$253:$D$276=AN$251)*($F$250:$AJ$250=""))+IF(AN$251="P6",COUNTIF($F$250:$AJ$250,"P6")*ROWS($D$253:$D$276),0)),"")</f>
        <v/>
      </c>
      <c r="AO254" s="5" cm="1">
        <f t="array" ref="AO254">IFERROR((SUMPRODUCT(($D$253:$D$276=AO$251)*($F$250:$AJ$250="")*$F$253:$AJ$276)+IF(AO$251="P6",SUMPRODUCT(($F$250:$AJ$250="P6")*$F$253:$AJ$276),0))/(SUMPRODUCT(($D$253:$D$276=AO$251)*($F$250:$AJ$250=""))+IF(AO$251="P6",COUNTIF($F$250:$AJ$250,"P6")*ROWS($D$253:$D$276),0)),"")</f>
        <v>0.9060140404040391</v>
      </c>
      <c r="AP254" s="5" cm="1">
        <f t="array" ref="AP254">IFERROR((SUMPRODUCT(($D$253:$D$276=AP$251)*($F$250:$AJ$250="")*$F$253:$AJ$276)+IF(AP$251="P6",SUMPRODUCT(($F$250:$AJ$250="P6")*$F$253:$AJ$276),0))/(SUMPRODUCT(($D$253:$D$276=AP$251)*($F$250:$AJ$250=""))+IF(AP$251="P6",COUNTIF($F$250:$AJ$250,"P6")*ROWS($D$253:$D$276),0)),"")</f>
        <v>0.93804058441558513</v>
      </c>
      <c r="AQ254" s="5" t="str" cm="1">
        <f t="array" ref="AQ254">IFERROR((SUMPRODUCT(($D$253:$D$276=AQ$251)*($F$250:$AJ$250="")*$F$253:$AJ$276)+IF(AQ$251="P6",SUMPRODUCT(($F$250:$AJ$250="P6")*$F$253:$AJ$276),0))/(SUMPRODUCT(($D$253:$D$276=AQ$251)*($F$250:$AJ$250=""))+IF(AQ$251="P6",COUNTIF($F$250:$AJ$250,"P6")*ROWS($D$253:$D$276),0)),"")</f>
        <v/>
      </c>
      <c r="AR254" s="6" cm="1">
        <f t="array" ref="AR254">IFERROR((SUMPRODUCT(($D$253:$D$276=AR$251)*($F$250:$AJ$250="")*$F$253:$AJ$276)+IF(AR$251="P6",SUMPRODUCT(($F$250:$AJ$250="P6")*$F$253:$AJ$276),0))/(SUMPRODUCT(($D$253:$D$276=AR$251)*($F$250:$AJ$250=""))+IF(AR$251="P6",COUNTIF($F$250:$AJ$250,"P6")*ROWS($D$253:$D$276),0)),"")</f>
        <v>0.93621438775510146</v>
      </c>
    </row>
    <row r="255" spans="1:44" ht="14.25" customHeight="1" x14ac:dyDescent="0.35">
      <c r="A255" s="1" t="s">
        <v>7</v>
      </c>
      <c r="B255" s="1" t="s">
        <v>7</v>
      </c>
      <c r="C255" s="1" t="s">
        <v>15</v>
      </c>
      <c r="D255" s="1" t="s">
        <v>7</v>
      </c>
      <c r="E255" s="1" t="s">
        <v>10</v>
      </c>
      <c r="F255" s="1">
        <v>0.95308999999999999</v>
      </c>
      <c r="G255" s="1">
        <v>0.94603000000000004</v>
      </c>
      <c r="H255" s="1">
        <v>0.94557000000000002</v>
      </c>
      <c r="I255" s="1">
        <v>0.96967999999999999</v>
      </c>
      <c r="J255" s="1">
        <v>0.98748999999999998</v>
      </c>
      <c r="K255" s="1">
        <v>0.98790999999999995</v>
      </c>
      <c r="L255" s="1">
        <v>0.97555999999999998</v>
      </c>
      <c r="M255" s="1">
        <v>0.95308999999999999</v>
      </c>
      <c r="N255" s="1">
        <v>0.94603000000000004</v>
      </c>
      <c r="O255" s="1">
        <v>0.94557000000000002</v>
      </c>
      <c r="P255" s="1">
        <v>0.96967999999999999</v>
      </c>
      <c r="Q255" s="1">
        <v>0.98748999999999998</v>
      </c>
      <c r="R255" s="1">
        <v>0.98790999999999995</v>
      </c>
      <c r="S255" s="1">
        <v>0.97555999999999998</v>
      </c>
      <c r="T255" s="1">
        <v>0.98429999999999995</v>
      </c>
      <c r="U255" s="1">
        <v>0.94603000000000004</v>
      </c>
      <c r="V255" s="1">
        <v>0.94557000000000002</v>
      </c>
      <c r="W255" s="1">
        <v>0.96967999999999999</v>
      </c>
      <c r="X255" s="1">
        <v>0.98748999999999998</v>
      </c>
      <c r="Y255" s="1">
        <v>0.98790999999999995</v>
      </c>
      <c r="Z255" s="1">
        <v>0.97555999999999998</v>
      </c>
      <c r="AA255" s="1">
        <v>0.95308999999999999</v>
      </c>
      <c r="AB255" s="1">
        <v>0.94603000000000004</v>
      </c>
      <c r="AC255" s="1">
        <v>0.94557000000000002</v>
      </c>
      <c r="AD255" s="1">
        <v>0.96967999999999999</v>
      </c>
      <c r="AE255" s="1">
        <v>0.98748999999999998</v>
      </c>
      <c r="AF255" s="1">
        <v>0.98790999999999995</v>
      </c>
      <c r="AG255" s="1">
        <v>0.97555999999999998</v>
      </c>
      <c r="AH255" s="1">
        <v>0.95308999999999999</v>
      </c>
      <c r="AI255" s="1">
        <v>0.94603000000000004</v>
      </c>
      <c r="AJ255" s="1">
        <v>0.94557000000000002</v>
      </c>
      <c r="AL255" s="4" t="s">
        <v>25</v>
      </c>
      <c r="AM255" s="6" t="str" cm="1">
        <f t="array" ref="AM255">IFERROR((SUMPRODUCT(($D$253:$D$276=AM$251)*($F$250:$AJ$250="")*$F$253:$AJ$276)+IF(AM$251="P6",SUMPRODUCT(($F$250:$AJ$250="P6")*$F$253:$AJ$276),0))/(SUMPRODUCT(($D$253:$D$276=AM$251)*($F$250:$AJ$250=""))+IF(AM$251="P6",COUNTIF($F$250:$AJ$250,"P6")*ROWS($D$253:$D$276),0)),"")</f>
        <v/>
      </c>
      <c r="AN255" s="6" t="str" cm="1">
        <f t="array" ref="AN255">IFERROR((SUMPRODUCT(($D$253:$D$276=AN$251)*($F$250:$AJ$250="")*$F$253:$AJ$276)+IF(AN$251="P6",SUMPRODUCT(($F$250:$AJ$250="P6")*$F$253:$AJ$276),0))/(SUMPRODUCT(($D$253:$D$276=AN$251)*($F$250:$AJ$250=""))+IF(AN$251="P6",COUNTIF($F$250:$AJ$250,"P6")*ROWS($D$253:$D$276),0)),"")</f>
        <v/>
      </c>
      <c r="AO255" s="5" cm="1">
        <f t="array" ref="AO255">IFERROR((SUMPRODUCT(($D$253:$D$276=AO$251)*($F$250:$AJ$250="")*$F$253:$AJ$276)+IF(AO$251="P6",SUMPRODUCT(($F$250:$AJ$250="P6")*$F$253:$AJ$276),0))/(SUMPRODUCT(($D$253:$D$276=AO$251)*($F$250:$AJ$250=""))+IF(AO$251="P6",COUNTIF($F$250:$AJ$250,"P6")*ROWS($D$253:$D$276),0)),"")</f>
        <v>0.9060140404040391</v>
      </c>
      <c r="AP255" s="5" cm="1">
        <f t="array" ref="AP255">IFERROR((SUMPRODUCT(($D$253:$D$276=AP$251)*($F$250:$AJ$250="")*$F$253:$AJ$276)+IF(AP$251="P6",SUMPRODUCT(($F$250:$AJ$250="P6")*$F$253:$AJ$276),0))/(SUMPRODUCT(($D$253:$D$276=AP$251)*($F$250:$AJ$250=""))+IF(AP$251="P6",COUNTIF($F$250:$AJ$250,"P6")*ROWS($D$253:$D$276),0)),"")</f>
        <v>0.93804058441558513</v>
      </c>
      <c r="AQ255" s="5" t="str" cm="1">
        <f t="array" ref="AQ255">IFERROR((SUMPRODUCT(($D$253:$D$276=AQ$251)*($F$250:$AJ$250="")*$F$253:$AJ$276)+IF(AQ$251="P6",SUMPRODUCT(($F$250:$AJ$250="P6")*$F$253:$AJ$276),0))/(SUMPRODUCT(($D$253:$D$276=AQ$251)*($F$250:$AJ$250=""))+IF(AQ$251="P6",COUNTIF($F$250:$AJ$250,"P6")*ROWS($D$253:$D$276),0)),"")</f>
        <v/>
      </c>
      <c r="AR255" s="6" cm="1">
        <f t="array" ref="AR255">IFERROR((SUMPRODUCT(($D$253:$D$276=AR$251)*($F$250:$AJ$250="")*$F$253:$AJ$276)+IF(AR$251="P6",SUMPRODUCT(($F$250:$AJ$250="P6")*$F$253:$AJ$276),0))/(SUMPRODUCT(($D$253:$D$276=AR$251)*($F$250:$AJ$250=""))+IF(AR$251="P6",COUNTIF($F$250:$AJ$250,"P6")*ROWS($D$253:$D$276),0)),"")</f>
        <v>0.93621438775510146</v>
      </c>
    </row>
    <row r="256" spans="1:44" ht="14.25" customHeight="1" x14ac:dyDescent="0.35">
      <c r="A256" s="1" t="s">
        <v>7</v>
      </c>
      <c r="B256" s="1" t="s">
        <v>7</v>
      </c>
      <c r="C256" s="1" t="s">
        <v>15</v>
      </c>
      <c r="D256" s="1" t="s">
        <v>7</v>
      </c>
      <c r="E256" s="1" t="s">
        <v>11</v>
      </c>
      <c r="F256" s="1">
        <v>0.95682999999999996</v>
      </c>
      <c r="G256" s="1">
        <v>0.94623999999999997</v>
      </c>
      <c r="H256" s="1">
        <v>0.95006000000000002</v>
      </c>
      <c r="I256" s="1">
        <v>0.96921000000000002</v>
      </c>
      <c r="J256" s="1">
        <v>0.98858000000000001</v>
      </c>
      <c r="K256" s="1">
        <v>0.98670999999999998</v>
      </c>
      <c r="L256" s="1">
        <v>0.97492999999999996</v>
      </c>
      <c r="M256" s="1">
        <v>0.95682999999999996</v>
      </c>
      <c r="N256" s="1">
        <v>0.94623999999999997</v>
      </c>
      <c r="O256" s="1">
        <v>0.95006000000000002</v>
      </c>
      <c r="P256" s="1">
        <v>0.96921000000000002</v>
      </c>
      <c r="Q256" s="1">
        <v>0.98858000000000001</v>
      </c>
      <c r="R256" s="1">
        <v>0.98670999999999998</v>
      </c>
      <c r="S256" s="1">
        <v>0.97492999999999996</v>
      </c>
      <c r="T256" s="1">
        <v>0.98451</v>
      </c>
      <c r="U256" s="1">
        <v>0.94623999999999997</v>
      </c>
      <c r="V256" s="1">
        <v>0.95006000000000002</v>
      </c>
      <c r="W256" s="1">
        <v>0.96921000000000002</v>
      </c>
      <c r="X256" s="1">
        <v>0.98858000000000001</v>
      </c>
      <c r="Y256" s="1">
        <v>0.98670999999999998</v>
      </c>
      <c r="Z256" s="1">
        <v>0.97492999999999996</v>
      </c>
      <c r="AA256" s="1">
        <v>0.95682999999999996</v>
      </c>
      <c r="AB256" s="1">
        <v>0.94623999999999997</v>
      </c>
      <c r="AC256" s="1">
        <v>0.95006000000000002</v>
      </c>
      <c r="AD256" s="1">
        <v>0.96921000000000002</v>
      </c>
      <c r="AE256" s="1">
        <v>0.98858000000000001</v>
      </c>
      <c r="AF256" s="1">
        <v>0.98670999999999998</v>
      </c>
      <c r="AG256" s="1">
        <v>0.97492999999999996</v>
      </c>
      <c r="AH256" s="1">
        <v>0.95682999999999996</v>
      </c>
      <c r="AI256" s="1">
        <v>0.94623999999999997</v>
      </c>
      <c r="AJ256" s="1">
        <v>0.95006000000000002</v>
      </c>
      <c r="AL256" s="4" t="s">
        <v>27</v>
      </c>
      <c r="AM256" s="6" t="str" cm="1">
        <f t="array" ref="AM256">IFERROR((SUMPRODUCT(($D$253:$D$276=AM$251)*($F$250:$AJ$250="")*$F$253:$AJ$276)+IF(AM$251="P6",SUMPRODUCT(($F$250:$AJ$250="P6")*$F$253:$AJ$276),0))/(SUMPRODUCT(($D$253:$D$276=AM$251)*($F$250:$AJ$250=""))+IF(AM$251="P6",COUNTIF($F$250:$AJ$250,"P6")*ROWS($D$253:$D$276),0)),"")</f>
        <v/>
      </c>
      <c r="AN256" s="6" t="str" cm="1">
        <f t="array" ref="AN256">IFERROR((SUMPRODUCT(($D$253:$D$276=AN$251)*($F$250:$AJ$250="")*$F$253:$AJ$276)+IF(AN$251="P6",SUMPRODUCT(($F$250:$AJ$250="P6")*$F$253:$AJ$276),0))/(SUMPRODUCT(($D$253:$D$276=AN$251)*($F$250:$AJ$250=""))+IF(AN$251="P6",COUNTIF($F$250:$AJ$250,"P6")*ROWS($D$253:$D$276),0)),"")</f>
        <v/>
      </c>
      <c r="AO256" s="5" cm="1">
        <f t="array" ref="AO256">IFERROR((SUMPRODUCT(($D$253:$D$276=AO$251)*($F$250:$AJ$250="")*$F$253:$AJ$276)+IF(AO$251="P6",SUMPRODUCT(($F$250:$AJ$250="P6")*$F$253:$AJ$276),0))/(SUMPRODUCT(($D$253:$D$276=AO$251)*($F$250:$AJ$250=""))+IF(AO$251="P6",COUNTIF($F$250:$AJ$250,"P6")*ROWS($D$253:$D$276),0)),"")</f>
        <v>0.9060140404040391</v>
      </c>
      <c r="AP256" s="5" cm="1">
        <f t="array" ref="AP256">IFERROR((SUMPRODUCT(($D$253:$D$276=AP$251)*($F$250:$AJ$250="")*$F$253:$AJ$276)+IF(AP$251="P6",SUMPRODUCT(($F$250:$AJ$250="P6")*$F$253:$AJ$276),0))/(SUMPRODUCT(($D$253:$D$276=AP$251)*($F$250:$AJ$250=""))+IF(AP$251="P6",COUNTIF($F$250:$AJ$250,"P6")*ROWS($D$253:$D$276),0)),"")</f>
        <v>0.93804058441558513</v>
      </c>
      <c r="AQ256" s="5" t="str" cm="1">
        <f t="array" ref="AQ256">IFERROR((SUMPRODUCT(($D$253:$D$276=AQ$251)*($F$250:$AJ$250="")*$F$253:$AJ$276)+IF(AQ$251="P6",SUMPRODUCT(($F$250:$AJ$250="P6")*$F$253:$AJ$276),0))/(SUMPRODUCT(($D$253:$D$276=AQ$251)*($F$250:$AJ$250=""))+IF(AQ$251="P6",COUNTIF($F$250:$AJ$250,"P6")*ROWS($D$253:$D$276),0)),"")</f>
        <v/>
      </c>
      <c r="AR256" s="6" cm="1">
        <f t="array" ref="AR256">IFERROR((SUMPRODUCT(($D$253:$D$276=AR$251)*($F$250:$AJ$250="")*$F$253:$AJ$276)+IF(AR$251="P6",SUMPRODUCT(($F$250:$AJ$250="P6")*$F$253:$AJ$276),0))/(SUMPRODUCT(($D$253:$D$276=AR$251)*($F$250:$AJ$250=""))+IF(AR$251="P6",COUNTIF($F$250:$AJ$250,"P6")*ROWS($D$253:$D$276),0)),"")</f>
        <v>0.93621438775510146</v>
      </c>
    </row>
    <row r="257" spans="1:44" ht="14.25" customHeight="1" x14ac:dyDescent="0.35">
      <c r="A257" s="1" t="s">
        <v>7</v>
      </c>
      <c r="B257" s="1" t="s">
        <v>7</v>
      </c>
      <c r="C257" s="1" t="s">
        <v>15</v>
      </c>
      <c r="D257" s="1" t="s">
        <v>7</v>
      </c>
      <c r="E257" s="1" t="s">
        <v>12</v>
      </c>
      <c r="F257" s="1">
        <v>0.95928000000000002</v>
      </c>
      <c r="G257" s="1">
        <v>0.94869000000000003</v>
      </c>
      <c r="H257" s="1">
        <v>0.95416000000000001</v>
      </c>
      <c r="I257" s="1">
        <v>0.96587999999999996</v>
      </c>
      <c r="J257" s="1">
        <v>0.99482000000000004</v>
      </c>
      <c r="K257" s="1">
        <v>0.98831999999999998</v>
      </c>
      <c r="L257" s="1">
        <v>0.97394000000000003</v>
      </c>
      <c r="M257" s="1">
        <v>0.95928000000000002</v>
      </c>
      <c r="N257" s="1">
        <v>0.94869000000000003</v>
      </c>
      <c r="O257" s="1">
        <v>0.95416000000000001</v>
      </c>
      <c r="P257" s="1">
        <v>0.96587999999999996</v>
      </c>
      <c r="Q257" s="1">
        <v>0.99482000000000004</v>
      </c>
      <c r="R257" s="1">
        <v>0.98831999999999998</v>
      </c>
      <c r="S257" s="1">
        <v>0.97394000000000003</v>
      </c>
      <c r="T257" s="1">
        <v>0.99214999999999998</v>
      </c>
      <c r="U257" s="1">
        <v>0.94869000000000003</v>
      </c>
      <c r="V257" s="1">
        <v>0.95416000000000001</v>
      </c>
      <c r="W257" s="1">
        <v>0.96587999999999996</v>
      </c>
      <c r="X257" s="1">
        <v>0.99482000000000004</v>
      </c>
      <c r="Y257" s="1">
        <v>0.98831999999999998</v>
      </c>
      <c r="Z257" s="1">
        <v>0.97394000000000003</v>
      </c>
      <c r="AA257" s="1">
        <v>0.95928000000000002</v>
      </c>
      <c r="AB257" s="1">
        <v>0.94869000000000003</v>
      </c>
      <c r="AC257" s="1">
        <v>0.95416000000000001</v>
      </c>
      <c r="AD257" s="1">
        <v>0.96587999999999996</v>
      </c>
      <c r="AE257" s="1">
        <v>0.99482000000000004</v>
      </c>
      <c r="AF257" s="1">
        <v>0.98831999999999998</v>
      </c>
      <c r="AG257" s="1">
        <v>0.97394000000000003</v>
      </c>
      <c r="AH257" s="1">
        <v>0.95928000000000002</v>
      </c>
      <c r="AI257" s="1">
        <v>0.94869000000000003</v>
      </c>
      <c r="AJ257" s="1">
        <v>0.95416000000000001</v>
      </c>
      <c r="AL257" s="4" t="s">
        <v>29</v>
      </c>
      <c r="AM257" s="6" t="str" cm="1">
        <f t="array" ref="AM257">IFERROR((SUMPRODUCT(($D$253:$D$276=AM$251)*($F$250:$AJ$250="")*$F$253:$AJ$276)+IF(AM$251="P6",SUMPRODUCT(($F$250:$AJ$250="P6")*$F$253:$AJ$276),0))/(SUMPRODUCT(($D$253:$D$276=AM$251)*($F$250:$AJ$250=""))+IF(AM$251="P6",COUNTIF($F$250:$AJ$250,"P6")*ROWS($D$253:$D$276),0)),"")</f>
        <v/>
      </c>
      <c r="AN257" s="6" t="str" cm="1">
        <f t="array" ref="AN257">IFERROR((SUMPRODUCT(($D$253:$D$276=AN$251)*($F$250:$AJ$250="")*$F$253:$AJ$276)+IF(AN$251="P6",SUMPRODUCT(($F$250:$AJ$250="P6")*$F$253:$AJ$276),0))/(SUMPRODUCT(($D$253:$D$276=AN$251)*($F$250:$AJ$250=""))+IF(AN$251="P6",COUNTIF($F$250:$AJ$250,"P6")*ROWS($D$253:$D$276),0)),"")</f>
        <v/>
      </c>
      <c r="AO257" s="5" cm="1">
        <f t="array" ref="AO257">IFERROR((SUMPRODUCT(($D$253:$D$276=AO$251)*($F$250:$AJ$250="")*$F$253:$AJ$276)+IF(AO$251="P6",SUMPRODUCT(($F$250:$AJ$250="P6")*$F$253:$AJ$276),0))/(SUMPRODUCT(($D$253:$D$276=AO$251)*($F$250:$AJ$250=""))+IF(AO$251="P6",COUNTIF($F$250:$AJ$250,"P6")*ROWS($D$253:$D$276),0)),"")</f>
        <v>0.9060140404040391</v>
      </c>
      <c r="AP257" s="5" cm="1">
        <f t="array" ref="AP257">IFERROR((SUMPRODUCT(($D$253:$D$276=AP$251)*($F$250:$AJ$250="")*$F$253:$AJ$276)+IF(AP$251="P6",SUMPRODUCT(($F$250:$AJ$250="P6")*$F$253:$AJ$276),0))/(SUMPRODUCT(($D$253:$D$276=AP$251)*($F$250:$AJ$250=""))+IF(AP$251="P6",COUNTIF($F$250:$AJ$250,"P6")*ROWS($D$253:$D$276),0)),"")</f>
        <v>0.93804058441558513</v>
      </c>
      <c r="AQ257" s="5" t="str" cm="1">
        <f t="array" ref="AQ257">IFERROR((SUMPRODUCT(($D$253:$D$276=AQ$251)*($F$250:$AJ$250="")*$F$253:$AJ$276)+IF(AQ$251="P6",SUMPRODUCT(($F$250:$AJ$250="P6")*$F$253:$AJ$276),0))/(SUMPRODUCT(($D$253:$D$276=AQ$251)*($F$250:$AJ$250=""))+IF(AQ$251="P6",COUNTIF($F$250:$AJ$250,"P6")*ROWS($D$253:$D$276),0)),"")</f>
        <v/>
      </c>
      <c r="AR257" s="6" cm="1">
        <f t="array" ref="AR257">IFERROR((SUMPRODUCT(($D$253:$D$276=AR$251)*($F$250:$AJ$250="")*$F$253:$AJ$276)+IF(AR$251="P6",SUMPRODUCT(($F$250:$AJ$250="P6")*$F$253:$AJ$276),0))/(SUMPRODUCT(($D$253:$D$276=AR$251)*($F$250:$AJ$250=""))+IF(AR$251="P6",COUNTIF($F$250:$AJ$250,"P6")*ROWS($D$253:$D$276),0)),"")</f>
        <v>0.93621438775510146</v>
      </c>
    </row>
    <row r="258" spans="1:44" ht="14.25" customHeight="1" x14ac:dyDescent="0.35">
      <c r="A258" s="1" t="s">
        <v>7</v>
      </c>
      <c r="B258" s="1" t="s">
        <v>7</v>
      </c>
      <c r="C258" s="1" t="s">
        <v>15</v>
      </c>
      <c r="D258" s="1" t="s">
        <v>7</v>
      </c>
      <c r="E258" s="1" t="s">
        <v>18</v>
      </c>
      <c r="F258" s="1">
        <v>0.94699999999999995</v>
      </c>
      <c r="G258" s="1">
        <v>0.94355</v>
      </c>
      <c r="H258" s="1">
        <v>0.94542000000000004</v>
      </c>
      <c r="I258" s="1">
        <v>0.95369000000000004</v>
      </c>
      <c r="J258" s="1">
        <v>0.99683999999999995</v>
      </c>
      <c r="K258" s="1">
        <v>0.98792999999999997</v>
      </c>
      <c r="L258" s="1">
        <v>0.96109</v>
      </c>
      <c r="M258" s="1">
        <v>0.94699999999999995</v>
      </c>
      <c r="N258" s="1">
        <v>0.94355</v>
      </c>
      <c r="O258" s="1">
        <v>0.94542000000000004</v>
      </c>
      <c r="P258" s="1">
        <v>0.95369000000000004</v>
      </c>
      <c r="Q258" s="1">
        <v>0.99683999999999995</v>
      </c>
      <c r="R258" s="1">
        <v>0.98792999999999997</v>
      </c>
      <c r="S258" s="1">
        <v>0.96109</v>
      </c>
      <c r="T258" s="1">
        <v>0.98407</v>
      </c>
      <c r="U258" s="1">
        <v>0.94355</v>
      </c>
      <c r="V258" s="1">
        <v>0.94542000000000004</v>
      </c>
      <c r="W258" s="1">
        <v>0.95369000000000004</v>
      </c>
      <c r="X258" s="1">
        <v>0.99683999999999995</v>
      </c>
      <c r="Y258" s="1">
        <v>0.98792999999999997</v>
      </c>
      <c r="Z258" s="1">
        <v>0.96109</v>
      </c>
      <c r="AA258" s="1">
        <v>0.94699999999999995</v>
      </c>
      <c r="AB258" s="1">
        <v>0.94355</v>
      </c>
      <c r="AC258" s="1">
        <v>0.94542000000000004</v>
      </c>
      <c r="AD258" s="1">
        <v>0.95369000000000004</v>
      </c>
      <c r="AE258" s="1">
        <v>0.99683999999999995</v>
      </c>
      <c r="AF258" s="1">
        <v>0.98792999999999997</v>
      </c>
      <c r="AG258" s="1">
        <v>0.96109</v>
      </c>
      <c r="AH258" s="1">
        <v>0.94699999999999995</v>
      </c>
      <c r="AI258" s="1">
        <v>0.94355</v>
      </c>
      <c r="AJ258" s="1">
        <v>0.94542000000000004</v>
      </c>
      <c r="AL258" s="10"/>
      <c r="AM258" s="10"/>
      <c r="AN258" s="10"/>
      <c r="AO258" s="10"/>
      <c r="AP258" s="10"/>
      <c r="AQ258" s="10"/>
      <c r="AR258" s="10"/>
    </row>
    <row r="259" spans="1:44" ht="14.25" customHeight="1" x14ac:dyDescent="0.35">
      <c r="A259" s="1" t="s">
        <v>7</v>
      </c>
      <c r="B259" s="1" t="s">
        <v>7</v>
      </c>
      <c r="C259" s="1" t="s">
        <v>15</v>
      </c>
      <c r="D259" s="1" t="s">
        <v>7</v>
      </c>
      <c r="E259" s="1" t="s">
        <v>20</v>
      </c>
      <c r="F259" s="1">
        <v>0.92191999999999996</v>
      </c>
      <c r="G259" s="1">
        <v>0.91993999999999998</v>
      </c>
      <c r="H259" s="1">
        <v>0.91810999999999998</v>
      </c>
      <c r="I259" s="1">
        <v>0.92312000000000005</v>
      </c>
      <c r="J259" s="1">
        <v>0.98355999999999999</v>
      </c>
      <c r="K259" s="1">
        <v>0.97245000000000004</v>
      </c>
      <c r="L259" s="1">
        <v>0.91727000000000003</v>
      </c>
      <c r="M259" s="1">
        <v>0.92191999999999996</v>
      </c>
      <c r="N259" s="1">
        <v>0.91993999999999998</v>
      </c>
      <c r="O259" s="1">
        <v>0.91810999999999998</v>
      </c>
      <c r="P259" s="1">
        <v>0.92312000000000005</v>
      </c>
      <c r="Q259" s="1">
        <v>0.98355999999999999</v>
      </c>
      <c r="R259" s="1">
        <v>0.97245000000000004</v>
      </c>
      <c r="S259" s="1">
        <v>0.91727000000000003</v>
      </c>
      <c r="T259" s="1">
        <v>0.96782000000000001</v>
      </c>
      <c r="U259" s="1">
        <v>0.91993999999999998</v>
      </c>
      <c r="V259" s="1">
        <v>0.91810999999999998</v>
      </c>
      <c r="W259" s="1">
        <v>0.92312000000000005</v>
      </c>
      <c r="X259" s="1">
        <v>0.98355999999999999</v>
      </c>
      <c r="Y259" s="1">
        <v>0.97245000000000004</v>
      </c>
      <c r="Z259" s="1">
        <v>0.91727000000000003</v>
      </c>
      <c r="AA259" s="1">
        <v>0.92191999999999996</v>
      </c>
      <c r="AB259" s="1">
        <v>0.91993999999999998</v>
      </c>
      <c r="AC259" s="1">
        <v>0.91810999999999998</v>
      </c>
      <c r="AD259" s="1">
        <v>0.92312000000000005</v>
      </c>
      <c r="AE259" s="1">
        <v>0.98355999999999999</v>
      </c>
      <c r="AF259" s="1">
        <v>0.97245000000000004</v>
      </c>
      <c r="AG259" s="1">
        <v>0.91727000000000003</v>
      </c>
      <c r="AH259" s="1">
        <v>0.92191999999999996</v>
      </c>
      <c r="AI259" s="1">
        <v>0.91993999999999998</v>
      </c>
      <c r="AJ259" s="1">
        <v>0.91810999999999998</v>
      </c>
      <c r="AL259" s="10"/>
      <c r="AM259" s="10"/>
      <c r="AN259" s="10"/>
      <c r="AO259" s="10"/>
      <c r="AP259" s="10"/>
      <c r="AQ259" s="10"/>
      <c r="AR259" s="10"/>
    </row>
    <row r="260" spans="1:44" ht="14.25" customHeight="1" x14ac:dyDescent="0.35">
      <c r="A260" s="1" t="s">
        <v>7</v>
      </c>
      <c r="B260" s="1" t="s">
        <v>7</v>
      </c>
      <c r="C260" s="1" t="s">
        <v>15</v>
      </c>
      <c r="D260" s="1" t="s">
        <v>7</v>
      </c>
      <c r="E260" s="1" t="s">
        <v>22</v>
      </c>
      <c r="F260" s="1">
        <v>0.90842000000000001</v>
      </c>
      <c r="G260" s="1">
        <v>0.90076000000000001</v>
      </c>
      <c r="H260" s="1">
        <v>0.90310000000000001</v>
      </c>
      <c r="I260" s="1">
        <v>0.90375000000000005</v>
      </c>
      <c r="J260" s="1">
        <v>0.96616000000000002</v>
      </c>
      <c r="K260" s="1">
        <v>0.96923000000000004</v>
      </c>
      <c r="L260" s="1">
        <v>0.89914000000000005</v>
      </c>
      <c r="M260" s="1">
        <v>0.90842000000000001</v>
      </c>
      <c r="N260" s="1">
        <v>0.90076000000000001</v>
      </c>
      <c r="O260" s="1">
        <v>0.90310000000000001</v>
      </c>
      <c r="P260" s="1">
        <v>0.90375000000000005</v>
      </c>
      <c r="Q260" s="1">
        <v>0.96616000000000002</v>
      </c>
      <c r="R260" s="1">
        <v>0.96923000000000004</v>
      </c>
      <c r="S260" s="1">
        <v>0.89914000000000005</v>
      </c>
      <c r="T260" s="1">
        <v>0.97213000000000005</v>
      </c>
      <c r="U260" s="1">
        <v>0.90076000000000001</v>
      </c>
      <c r="V260" s="1">
        <v>0.90310000000000001</v>
      </c>
      <c r="W260" s="1">
        <v>0.90375000000000005</v>
      </c>
      <c r="X260" s="1">
        <v>0.96616000000000002</v>
      </c>
      <c r="Y260" s="1">
        <v>0.96923000000000004</v>
      </c>
      <c r="Z260" s="1">
        <v>0.89914000000000005</v>
      </c>
      <c r="AA260" s="1">
        <v>0.90842000000000001</v>
      </c>
      <c r="AB260" s="1">
        <v>0.90076000000000001</v>
      </c>
      <c r="AC260" s="1">
        <v>0.90310000000000001</v>
      </c>
      <c r="AD260" s="1">
        <v>0.90375000000000005</v>
      </c>
      <c r="AE260" s="1">
        <v>0.96616000000000002</v>
      </c>
      <c r="AF260" s="1">
        <v>0.96923000000000004</v>
      </c>
      <c r="AG260" s="1">
        <v>0.89914000000000005</v>
      </c>
      <c r="AH260" s="1">
        <v>0.90842000000000001</v>
      </c>
      <c r="AI260" s="1">
        <v>0.90076000000000001</v>
      </c>
      <c r="AJ260" s="1">
        <v>0.90310000000000001</v>
      </c>
      <c r="AL260" s="14" t="s">
        <v>234</v>
      </c>
      <c r="AM260" s="14"/>
      <c r="AN260" s="14"/>
      <c r="AO260" s="14"/>
      <c r="AP260" s="14"/>
      <c r="AQ260" s="14"/>
      <c r="AR260" s="14"/>
    </row>
    <row r="261" spans="1:44" ht="14.25" customHeight="1" x14ac:dyDescent="0.35">
      <c r="A261" s="1" t="s">
        <v>15</v>
      </c>
      <c r="B261" s="1" t="s">
        <v>14</v>
      </c>
      <c r="C261" s="1" t="s">
        <v>14</v>
      </c>
      <c r="D261" s="1" t="s">
        <v>16</v>
      </c>
      <c r="E261" s="1" t="s">
        <v>24</v>
      </c>
      <c r="F261" s="1">
        <v>0.92791999999999997</v>
      </c>
      <c r="G261" s="1">
        <v>0.91857</v>
      </c>
      <c r="H261" s="1">
        <v>0.91313</v>
      </c>
      <c r="I261" s="1">
        <v>0.93320999999999998</v>
      </c>
      <c r="J261" s="1">
        <v>0.92213000000000001</v>
      </c>
      <c r="K261" s="1">
        <v>0.91759000000000002</v>
      </c>
      <c r="L261" s="1">
        <v>0.92483000000000004</v>
      </c>
      <c r="M261" s="1">
        <v>0.92791999999999997</v>
      </c>
      <c r="N261" s="1">
        <v>0.91857</v>
      </c>
      <c r="O261" s="1">
        <v>0.91313</v>
      </c>
      <c r="P261" s="1">
        <v>0.93320999999999998</v>
      </c>
      <c r="Q261" s="1">
        <v>0.92213000000000001</v>
      </c>
      <c r="R261" s="1">
        <v>0.91759000000000002</v>
      </c>
      <c r="S261" s="1">
        <v>0.92483000000000004</v>
      </c>
      <c r="T261" s="1">
        <v>0.93200000000000005</v>
      </c>
      <c r="U261" s="1">
        <v>0.91857</v>
      </c>
      <c r="V261" s="1">
        <v>0.91313</v>
      </c>
      <c r="W261" s="1">
        <v>0.93320999999999998</v>
      </c>
      <c r="X261" s="1">
        <v>0.92213000000000001</v>
      </c>
      <c r="Y261" s="1">
        <v>0.91759000000000002</v>
      </c>
      <c r="Z261" s="1">
        <v>0.92483000000000004</v>
      </c>
      <c r="AA261" s="1">
        <v>0.92791999999999997</v>
      </c>
      <c r="AB261" s="1">
        <v>0.91857</v>
      </c>
      <c r="AC261" s="1">
        <v>0.91313</v>
      </c>
      <c r="AD261" s="1">
        <v>0.93320999999999998</v>
      </c>
      <c r="AE261" s="1">
        <v>0.92213000000000001</v>
      </c>
      <c r="AF261" s="1">
        <v>0.91759000000000002</v>
      </c>
      <c r="AG261" s="1">
        <v>0.92483000000000004</v>
      </c>
      <c r="AH261" s="1">
        <v>0.92791999999999997</v>
      </c>
      <c r="AI261" s="1">
        <v>0.91857</v>
      </c>
      <c r="AJ261" s="1">
        <v>0.91313</v>
      </c>
      <c r="AL261" s="4"/>
      <c r="AM261" s="4" t="s">
        <v>13</v>
      </c>
      <c r="AN261" s="4" t="s">
        <v>14</v>
      </c>
      <c r="AO261" s="4" t="s">
        <v>15</v>
      </c>
      <c r="AP261" s="4" t="s">
        <v>16</v>
      </c>
      <c r="AQ261" s="4" t="s">
        <v>17</v>
      </c>
      <c r="AR261" s="4" t="s">
        <v>7</v>
      </c>
    </row>
    <row r="262" spans="1:44" ht="14.25" customHeight="1" x14ac:dyDescent="0.35">
      <c r="A262" s="1" t="s">
        <v>15</v>
      </c>
      <c r="B262" s="1" t="s">
        <v>14</v>
      </c>
      <c r="C262" s="1" t="s">
        <v>14</v>
      </c>
      <c r="D262" s="1" t="s">
        <v>15</v>
      </c>
      <c r="E262" s="1" t="s">
        <v>26</v>
      </c>
      <c r="F262" s="1">
        <v>0.88092999999999999</v>
      </c>
      <c r="G262" s="1">
        <v>0.85736000000000001</v>
      </c>
      <c r="H262" s="1">
        <v>0.84999000000000002</v>
      </c>
      <c r="I262" s="1">
        <v>0.87731999999999999</v>
      </c>
      <c r="J262" s="1">
        <v>0.88468000000000002</v>
      </c>
      <c r="K262" s="1">
        <v>0.86951999999999996</v>
      </c>
      <c r="L262" s="1">
        <v>0.88034000000000001</v>
      </c>
      <c r="M262" s="1">
        <v>0.88092999999999999</v>
      </c>
      <c r="N262" s="1">
        <v>0.85736000000000001</v>
      </c>
      <c r="O262" s="1">
        <v>0.84999000000000002</v>
      </c>
      <c r="P262" s="1">
        <v>0.87731999999999999</v>
      </c>
      <c r="Q262" s="1">
        <v>0.88468000000000002</v>
      </c>
      <c r="R262" s="1">
        <v>0.86951999999999996</v>
      </c>
      <c r="S262" s="1">
        <v>0.88034000000000001</v>
      </c>
      <c r="T262" s="1">
        <v>0.87233000000000005</v>
      </c>
      <c r="U262" s="1">
        <v>0.85736000000000001</v>
      </c>
      <c r="V262" s="1">
        <v>0.84999000000000002</v>
      </c>
      <c r="W262" s="1">
        <v>0.87731999999999999</v>
      </c>
      <c r="X262" s="1">
        <v>0.88468000000000002</v>
      </c>
      <c r="Y262" s="1">
        <v>0.86951999999999996</v>
      </c>
      <c r="Z262" s="1">
        <v>0.88034000000000001</v>
      </c>
      <c r="AA262" s="1">
        <v>0.88092999999999999</v>
      </c>
      <c r="AB262" s="1">
        <v>0.85736000000000001</v>
      </c>
      <c r="AC262" s="1">
        <v>0.84999000000000002</v>
      </c>
      <c r="AD262" s="1">
        <v>0.87731999999999999</v>
      </c>
      <c r="AE262" s="1">
        <v>0.88468000000000002</v>
      </c>
      <c r="AF262" s="1">
        <v>0.86951999999999996</v>
      </c>
      <c r="AG262" s="1">
        <v>0.88034000000000001</v>
      </c>
      <c r="AH262" s="1">
        <v>0.88092999999999999</v>
      </c>
      <c r="AI262" s="1">
        <v>0.85736000000000001</v>
      </c>
      <c r="AJ262" s="1">
        <v>0.84999000000000002</v>
      </c>
      <c r="AL262" s="4" t="s">
        <v>19</v>
      </c>
      <c r="AM262" s="6" cm="1">
        <f t="array" ref="AM262">IFERROR((SUMPRODUCT(($C$253:$C$276=AM$251)*($F$249:$AJ$249="")*$F$253:$AJ$276)+IF(AM$251="P3",SUMPRODUCT(($F$249:$AJ$249="P3")*$F$253:$AJ$276),0))/(SUMPRODUCT(($C$253:$C$276=AM$251)*($F$249:$AJ$249=""))+IF(AM$251="P3",COUNTIF($F$249:$AJ$249,"P3")*ROWS($C$253:$C$276),0)),"")</f>
        <v>0.91079357954545381</v>
      </c>
      <c r="AN262" s="6" cm="1">
        <f t="array" ref="AN262">IFERROR((SUMPRODUCT(($C$253:$C$276=AN$251)*($F$249:$AJ$249="")*$F$253:$AJ$276)+IF(AN$251="P3",SUMPRODUCT(($F$249:$AJ$249="P3")*$F$253:$AJ$276),0))/(SUMPRODUCT(($C$253:$C$276=AN$251)*($F$249:$AJ$249=""))+IF(AN$251="P3",COUNTIF($F$249:$AJ$249,"P3")*ROWS($C$253:$C$276),0)),"")</f>
        <v>0.92925772727272715</v>
      </c>
      <c r="AO262" s="6" cm="1">
        <f t="array" ref="AO262">IFERROR((SUMPRODUCT(($C$253:$C$276=AO$251)*($F$249:$AJ$249="")*$F$253:$AJ$276)+IF(AO$251="P3",SUMPRODUCT(($F$249:$AJ$249="P3")*$F$253:$AJ$276),0))/(SUMPRODUCT(($C$253:$C$276=AO$251)*($F$249:$AJ$249=""))+IF(AO$251="P3",COUNTIF($F$249:$AJ$249,"P3")*ROWS($C$253:$C$276),0)),"")</f>
        <v>0.93621438775510146</v>
      </c>
      <c r="AP262" s="6" t="str" cm="1">
        <f t="array" ref="AP262">IFERROR((SUMPRODUCT(($C$253:$C$276=AP$251)*($F$249:$AJ$249="")*$F$253:$AJ$276)+IF(AP$251="P3",SUMPRODUCT(($F$249:$AJ$249="P3")*$F$253:$AJ$276),0))/(SUMPRODUCT(($C$253:$C$276=AP$251)*($F$249:$AJ$249=""))+IF(AP$251="P3",COUNTIF($F$249:$AJ$249,"P3")*ROWS($C$253:$C$276),0)),"")</f>
        <v/>
      </c>
      <c r="AQ262" s="6" t="str" cm="1">
        <f t="array" ref="AQ262">IFERROR((SUMPRODUCT(($C$253:$C$276=AQ$251)*($F$249:$AJ$249="")*$F$253:$AJ$276)+IF(AQ$251="P3",SUMPRODUCT(($F$249:$AJ$249="P3")*$F$253:$AJ$276),0))/(SUMPRODUCT(($C$253:$C$276=AQ$251)*($F$249:$AJ$249=""))+IF(AQ$251="P3",COUNTIF($F$249:$AJ$249,"P3")*ROWS($C$253:$C$276),0)),"")</f>
        <v/>
      </c>
      <c r="AR262" s="6" t="str" cm="1">
        <f t="array" ref="AR262">IFERROR((SUMPRODUCT(($C$253:$C$276=AR$251)*($F$249:$AJ$249="")*$F$253:$AJ$276)+IF(AR$251="P3",SUMPRODUCT(($F$249:$AJ$249="P3")*$F$253:$AJ$276),0))/(SUMPRODUCT(($C$253:$C$276=AR$251)*($F$249:$AJ$249=""))+IF(AR$251="P3",COUNTIF($F$249:$AJ$249,"P3")*ROWS($C$253:$C$276),0)),"")</f>
        <v/>
      </c>
    </row>
    <row r="263" spans="1:44" ht="14.25" customHeight="1" x14ac:dyDescent="0.35">
      <c r="A263" s="1" t="s">
        <v>13</v>
      </c>
      <c r="B263" s="1" t="s">
        <v>13</v>
      </c>
      <c r="C263" s="1" t="s">
        <v>13</v>
      </c>
      <c r="D263" s="1" t="s">
        <v>15</v>
      </c>
      <c r="E263" s="1" t="s">
        <v>28</v>
      </c>
      <c r="F263" s="1">
        <v>0.88056999999999996</v>
      </c>
      <c r="G263" s="1">
        <v>0.86197999999999997</v>
      </c>
      <c r="H263" s="1">
        <v>0.83996000000000004</v>
      </c>
      <c r="I263" s="1">
        <v>0.86243999999999998</v>
      </c>
      <c r="J263" s="1">
        <v>0.87792000000000003</v>
      </c>
      <c r="K263" s="1">
        <v>0.85106999999999999</v>
      </c>
      <c r="L263" s="1">
        <v>0.87183999999999995</v>
      </c>
      <c r="M263" s="1">
        <v>0.88056999999999996</v>
      </c>
      <c r="N263" s="1">
        <v>0.86197999999999997</v>
      </c>
      <c r="O263" s="1">
        <v>0.83996000000000004</v>
      </c>
      <c r="P263" s="1">
        <v>0.86243999999999998</v>
      </c>
      <c r="Q263" s="1">
        <v>0.87792000000000003</v>
      </c>
      <c r="R263" s="1">
        <v>0.85106999999999999</v>
      </c>
      <c r="S263" s="1">
        <v>0.87183999999999995</v>
      </c>
      <c r="T263" s="1">
        <v>0.84709999999999996</v>
      </c>
      <c r="U263" s="1">
        <v>0.86197999999999997</v>
      </c>
      <c r="V263" s="1">
        <v>0.83996000000000004</v>
      </c>
      <c r="W263" s="1">
        <v>0.86243999999999998</v>
      </c>
      <c r="X263" s="1">
        <v>0.87792000000000003</v>
      </c>
      <c r="Y263" s="1">
        <v>0.85106999999999999</v>
      </c>
      <c r="Z263" s="1">
        <v>0.87183999999999995</v>
      </c>
      <c r="AA263" s="1">
        <v>0.88056999999999996</v>
      </c>
      <c r="AB263" s="1">
        <v>0.86197999999999997</v>
      </c>
      <c r="AC263" s="1">
        <v>0.83996000000000004</v>
      </c>
      <c r="AD263" s="1">
        <v>0.86243999999999998</v>
      </c>
      <c r="AE263" s="1">
        <v>0.87792000000000003</v>
      </c>
      <c r="AF263" s="1">
        <v>0.85106999999999999</v>
      </c>
      <c r="AG263" s="1">
        <v>0.87183999999999995</v>
      </c>
      <c r="AH263" s="1">
        <v>0.88056999999999996</v>
      </c>
      <c r="AI263" s="1">
        <v>0.86197999999999997</v>
      </c>
      <c r="AJ263" s="1">
        <v>0.83996000000000004</v>
      </c>
      <c r="AL263" s="4" t="s">
        <v>21</v>
      </c>
      <c r="AM263" s="6" cm="1">
        <f t="array" ref="AM263">IFERROR((SUMPRODUCT(($A$253:$A$276=AM$251)*($F$250:$AJ$250="")*$F$253:$AJ$276)+IF(AM$251="P6",SUMPRODUCT(($F$250:$AJ$250="P6")*$F$253:$AJ$276),0))/(SUMPRODUCT(($A$253:$A$276=AM$251)*($F$250:$AJ$250=""))+IF(AM$251="P6",COUNTIF($F$250:$AJ$250,"P6")*ROWS($A$253:$A$276),0)),"")</f>
        <v>0.90969979797979694</v>
      </c>
      <c r="AN263" s="6" t="str" cm="1">
        <f t="array" ref="AN263">IFERROR((SUMPRODUCT(($A$253:$A$276=AN$251)*($F$250:$AJ$250="")*$F$253:$AJ$276)+IF(AN$251="P6",SUMPRODUCT(($F$250:$AJ$250="P6")*$F$253:$AJ$276),0))/(SUMPRODUCT(($A$253:$A$276=AN$251)*($F$250:$AJ$250=""))+IF(AN$251="P6",COUNTIF($F$250:$AJ$250,"P6")*ROWS($A$253:$A$276),0)),"")</f>
        <v/>
      </c>
      <c r="AO263" s="6" cm="1">
        <f t="array" ref="AO263">IFERROR((SUMPRODUCT(($A$253:$A$276=AO$251)*($F$250:$AJ$250="")*$F$253:$AJ$276)+IF(AO$251="P6",SUMPRODUCT(($F$250:$AJ$250="P6")*$F$253:$AJ$276),0))/(SUMPRODUCT(($A$253:$A$276=AO$251)*($F$250:$AJ$250=""))+IF(AO$251="P6",COUNTIF($F$250:$AJ$250,"P6")*ROWS($A$253:$A$276),0)),"")</f>
        <v>0.93330175324675391</v>
      </c>
      <c r="AP263" s="6" t="str" cm="1">
        <f t="array" ref="AP263">IFERROR((SUMPRODUCT(($A$253:$A$276=AP$251)*($F$250:$AJ$250="")*$F$253:$AJ$276)+IF(AP$251="P6",SUMPRODUCT(($F$250:$AJ$250="P6")*$F$253:$AJ$276),0))/(SUMPRODUCT(($A$253:$A$276=AP$251)*($F$250:$AJ$250=""))+IF(AP$251="P6",COUNTIF($F$250:$AJ$250,"P6")*ROWS($A$253:$A$276),0)),"")</f>
        <v/>
      </c>
      <c r="AQ263" s="6" t="str" cm="1">
        <f t="array" ref="AQ263">IFERROR((SUMPRODUCT(($A$253:$A$276=AQ$251)*($F$250:$AJ$250="")*$F$253:$AJ$276)+IF(AQ$251="P6",SUMPRODUCT(($F$250:$AJ$250="P6")*$F$253:$AJ$276),0))/(SUMPRODUCT(($A$253:$A$276=AQ$251)*($F$250:$AJ$250=""))+IF(AQ$251="P6",COUNTIF($F$250:$AJ$250,"P6")*ROWS($A$253:$A$276),0)),"")</f>
        <v/>
      </c>
      <c r="AR263" s="6" cm="1">
        <f t="array" ref="AR263">IFERROR((SUMPRODUCT(($A$253:$A$276=AR$251)*($F$250:$AJ$250="")*$F$253:$AJ$276)+IF(AR$251="P6",SUMPRODUCT(($F$250:$AJ$250="P6")*$F$253:$AJ$276),0))/(SUMPRODUCT(($A$253:$A$276=AR$251)*($F$250:$AJ$250=""))+IF(AR$251="P6",COUNTIF($F$250:$AJ$250,"P6")*ROWS($A$253:$A$276),0)),"")</f>
        <v>0.93621438775510146</v>
      </c>
    </row>
    <row r="264" spans="1:44" ht="14.25" customHeight="1" x14ac:dyDescent="0.35">
      <c r="A264" s="1" t="s">
        <v>13</v>
      </c>
      <c r="B264" s="1" t="s">
        <v>13</v>
      </c>
      <c r="C264" s="1" t="s">
        <v>13</v>
      </c>
      <c r="D264" s="1" t="s">
        <v>15</v>
      </c>
      <c r="E264" s="1" t="s">
        <v>30</v>
      </c>
      <c r="F264" s="1">
        <v>0.87724999999999997</v>
      </c>
      <c r="G264" s="1">
        <v>0.86948999999999999</v>
      </c>
      <c r="H264" s="1">
        <v>0.84362999999999999</v>
      </c>
      <c r="I264" s="1">
        <v>0.86550000000000005</v>
      </c>
      <c r="J264" s="1">
        <v>0.87370999999999999</v>
      </c>
      <c r="K264" s="1">
        <v>0.84619</v>
      </c>
      <c r="L264" s="1">
        <v>0.87446000000000002</v>
      </c>
      <c r="M264" s="1">
        <v>0.87724999999999997</v>
      </c>
      <c r="N264" s="1">
        <v>0.86948999999999999</v>
      </c>
      <c r="O264" s="1">
        <v>0.84362999999999999</v>
      </c>
      <c r="P264" s="1">
        <v>0.86550000000000005</v>
      </c>
      <c r="Q264" s="1">
        <v>0.87370999999999999</v>
      </c>
      <c r="R264" s="1">
        <v>0.84619</v>
      </c>
      <c r="S264" s="1">
        <v>0.87446000000000002</v>
      </c>
      <c r="T264" s="1">
        <v>0.85474000000000006</v>
      </c>
      <c r="U264" s="1">
        <v>0.86948999999999999</v>
      </c>
      <c r="V264" s="1">
        <v>0.84362999999999999</v>
      </c>
      <c r="W264" s="1">
        <v>0.86550000000000005</v>
      </c>
      <c r="X264" s="1">
        <v>0.87370999999999999</v>
      </c>
      <c r="Y264" s="1">
        <v>0.84619</v>
      </c>
      <c r="Z264" s="1">
        <v>0.87446000000000002</v>
      </c>
      <c r="AA264" s="1">
        <v>0.87724999999999997</v>
      </c>
      <c r="AB264" s="1">
        <v>0.86948999999999999</v>
      </c>
      <c r="AC264" s="1">
        <v>0.84362999999999999</v>
      </c>
      <c r="AD264" s="1">
        <v>0.86550000000000005</v>
      </c>
      <c r="AE264" s="1">
        <v>0.87370999999999999</v>
      </c>
      <c r="AF264" s="1">
        <v>0.84619</v>
      </c>
      <c r="AG264" s="1">
        <v>0.87446000000000002</v>
      </c>
      <c r="AH264" s="1">
        <v>0.87724999999999997</v>
      </c>
      <c r="AI264" s="1">
        <v>0.86948999999999999</v>
      </c>
      <c r="AJ264" s="1">
        <v>0.84362999999999999</v>
      </c>
      <c r="AL264" s="4" t="s">
        <v>23</v>
      </c>
      <c r="AM264" s="6" cm="1">
        <f t="array" ref="AM264">IFERROR((SUMPRODUCT(($A$253:$A$276=AM$251)*($F$250:$AJ$250="")*$F$253:$AJ$276)+IF(AM$251="P6",SUMPRODUCT(($F$250:$AJ$250="P6")*$F$253:$AJ$276),0))/(SUMPRODUCT(($A$253:$A$276=AM$251)*($F$250:$AJ$250=""))+IF(AM$251="P6",COUNTIF($F$250:$AJ$250,"P6")*ROWS($A$253:$A$276),0)),"")</f>
        <v>0.90969979797979694</v>
      </c>
      <c r="AN264" s="6" t="str" cm="1">
        <f t="array" ref="AN264">IFERROR((SUMPRODUCT(($A$253:$A$276=AN$251)*($F$250:$AJ$250="")*$F$253:$AJ$276)+IF(AN$251="P6",SUMPRODUCT(($F$250:$AJ$250="P6")*$F$253:$AJ$276),0))/(SUMPRODUCT(($A$253:$A$276=AN$251)*($F$250:$AJ$250=""))+IF(AN$251="P6",COUNTIF($F$250:$AJ$250,"P6")*ROWS($A$253:$A$276),0)),"")</f>
        <v/>
      </c>
      <c r="AO264" s="6" cm="1">
        <f t="array" ref="AO264">IFERROR((SUMPRODUCT(($A$253:$A$276=AO$251)*($F$250:$AJ$250="")*$F$253:$AJ$276)+IF(AO$251="P6",SUMPRODUCT(($F$250:$AJ$250="P6")*$F$253:$AJ$276),0))/(SUMPRODUCT(($A$253:$A$276=AO$251)*($F$250:$AJ$250=""))+IF(AO$251="P6",COUNTIF($F$250:$AJ$250,"P6")*ROWS($A$253:$A$276),0)),"")</f>
        <v>0.93330175324675391</v>
      </c>
      <c r="AP264" s="6" t="str" cm="1">
        <f t="array" ref="AP264">IFERROR((SUMPRODUCT(($A$253:$A$276=AP$251)*($F$250:$AJ$250="")*$F$253:$AJ$276)+IF(AP$251="P6",SUMPRODUCT(($F$250:$AJ$250="P6")*$F$253:$AJ$276),0))/(SUMPRODUCT(($A$253:$A$276=AP$251)*($F$250:$AJ$250=""))+IF(AP$251="P6",COUNTIF($F$250:$AJ$250,"P6")*ROWS($A$253:$A$276),0)),"")</f>
        <v/>
      </c>
      <c r="AQ264" s="6" t="str" cm="1">
        <f t="array" ref="AQ264">IFERROR((SUMPRODUCT(($A$253:$A$276=AQ$251)*($F$250:$AJ$250="")*$F$253:$AJ$276)+IF(AQ$251="P6",SUMPRODUCT(($F$250:$AJ$250="P6")*$F$253:$AJ$276),0))/(SUMPRODUCT(($A$253:$A$276=AQ$251)*($F$250:$AJ$250=""))+IF(AQ$251="P6",COUNTIF($F$250:$AJ$250,"P6")*ROWS($A$253:$A$276),0)),"")</f>
        <v/>
      </c>
      <c r="AR264" s="6" cm="1">
        <f t="array" ref="AR264">IFERROR((SUMPRODUCT(($A$253:$A$276=AR$251)*($F$250:$AJ$250="")*$F$253:$AJ$276)+IF(AR$251="P6",SUMPRODUCT(($F$250:$AJ$250="P6")*$F$253:$AJ$276),0))/(SUMPRODUCT(($A$253:$A$276=AR$251)*($F$250:$AJ$250=""))+IF(AR$251="P6",COUNTIF($F$250:$AJ$250,"P6")*ROWS($A$253:$A$276),0)),"")</f>
        <v>0.93621438775510146</v>
      </c>
    </row>
    <row r="265" spans="1:44" ht="14.25" customHeight="1" x14ac:dyDescent="0.35">
      <c r="A265" s="1" t="s">
        <v>13</v>
      </c>
      <c r="B265" s="1" t="s">
        <v>13</v>
      </c>
      <c r="C265" s="1" t="s">
        <v>13</v>
      </c>
      <c r="D265" s="1" t="s">
        <v>15</v>
      </c>
      <c r="E265" s="1" t="s">
        <v>31</v>
      </c>
      <c r="F265" s="1">
        <v>0.88963000000000003</v>
      </c>
      <c r="G265" s="1">
        <v>0.88043000000000005</v>
      </c>
      <c r="H265" s="1">
        <v>0.85641</v>
      </c>
      <c r="I265" s="1">
        <v>0.87207000000000001</v>
      </c>
      <c r="J265" s="1">
        <v>0.8851</v>
      </c>
      <c r="K265" s="1">
        <v>0.85723000000000005</v>
      </c>
      <c r="L265" s="1">
        <v>0.88421000000000005</v>
      </c>
      <c r="M265" s="1">
        <v>0.88963000000000003</v>
      </c>
      <c r="N265" s="1">
        <v>0.88043000000000005</v>
      </c>
      <c r="O265" s="1">
        <v>0.85641</v>
      </c>
      <c r="P265" s="1">
        <v>0.87207000000000001</v>
      </c>
      <c r="Q265" s="1">
        <v>0.8851</v>
      </c>
      <c r="R265" s="1">
        <v>0.85723000000000005</v>
      </c>
      <c r="S265" s="1">
        <v>0.88421000000000005</v>
      </c>
      <c r="T265" s="1">
        <v>0.86606000000000005</v>
      </c>
      <c r="U265" s="1">
        <v>0.88043000000000005</v>
      </c>
      <c r="V265" s="1">
        <v>0.85641</v>
      </c>
      <c r="W265" s="1">
        <v>0.87207000000000001</v>
      </c>
      <c r="X265" s="1">
        <v>0.8851</v>
      </c>
      <c r="Y265" s="1">
        <v>0.85723000000000005</v>
      </c>
      <c r="Z265" s="1">
        <v>0.88421000000000005</v>
      </c>
      <c r="AA265" s="1">
        <v>0.88963000000000003</v>
      </c>
      <c r="AB265" s="1">
        <v>0.88043000000000005</v>
      </c>
      <c r="AC265" s="1">
        <v>0.85641</v>
      </c>
      <c r="AD265" s="1">
        <v>0.87207000000000001</v>
      </c>
      <c r="AE265" s="1">
        <v>0.8851</v>
      </c>
      <c r="AF265" s="1">
        <v>0.85723000000000005</v>
      </c>
      <c r="AG265" s="1">
        <v>0.88421000000000005</v>
      </c>
      <c r="AH265" s="1">
        <v>0.88963000000000003</v>
      </c>
      <c r="AI265" s="1">
        <v>0.88043000000000005</v>
      </c>
      <c r="AJ265" s="1">
        <v>0.85641</v>
      </c>
      <c r="AL265" s="4" t="s">
        <v>25</v>
      </c>
      <c r="AM265" s="6" cm="1">
        <f t="array" ref="AM265">IFERROR((SUMPRODUCT(($A$253:$A$276=AM$251)*($F$250:$AJ$250="")*$F$253:$AJ$276)+IF(AM$251="P6",SUMPRODUCT(($F$250:$AJ$250="P6")*$F$253:$AJ$276),0))/(SUMPRODUCT(($A$253:$A$276=AM$251)*($F$250:$AJ$250=""))+IF(AM$251="P6",COUNTIF($F$250:$AJ$250,"P6")*ROWS($A$253:$A$276),0)),"")</f>
        <v>0.90969979797979694</v>
      </c>
      <c r="AN265" s="6" t="str" cm="1">
        <f t="array" ref="AN265">IFERROR((SUMPRODUCT(($A$253:$A$276=AN$251)*($F$250:$AJ$250="")*$F$253:$AJ$276)+IF(AN$251="P6",SUMPRODUCT(($F$250:$AJ$250="P6")*$F$253:$AJ$276),0))/(SUMPRODUCT(($A$253:$A$276=AN$251)*($F$250:$AJ$250=""))+IF(AN$251="P6",COUNTIF($F$250:$AJ$250,"P6")*ROWS($A$253:$A$276),0)),"")</f>
        <v/>
      </c>
      <c r="AO265" s="6" cm="1">
        <f t="array" ref="AO265">IFERROR((SUMPRODUCT(($A$253:$A$276=AO$251)*($F$250:$AJ$250="")*$F$253:$AJ$276)+IF(AO$251="P6",SUMPRODUCT(($F$250:$AJ$250="P6")*$F$253:$AJ$276),0))/(SUMPRODUCT(($A$253:$A$276=AO$251)*($F$250:$AJ$250=""))+IF(AO$251="P6",COUNTIF($F$250:$AJ$250,"P6")*ROWS($A$253:$A$276),0)),"")</f>
        <v>0.93330175324675391</v>
      </c>
      <c r="AP265" s="6" t="str" cm="1">
        <f t="array" ref="AP265">IFERROR((SUMPRODUCT(($A$253:$A$276=AP$251)*($F$250:$AJ$250="")*$F$253:$AJ$276)+IF(AP$251="P6",SUMPRODUCT(($F$250:$AJ$250="P6")*$F$253:$AJ$276),0))/(SUMPRODUCT(($A$253:$A$276=AP$251)*($F$250:$AJ$250=""))+IF(AP$251="P6",COUNTIF($F$250:$AJ$250,"P6")*ROWS($A$253:$A$276),0)),"")</f>
        <v/>
      </c>
      <c r="AQ265" s="6" t="str" cm="1">
        <f t="array" ref="AQ265">IFERROR((SUMPRODUCT(($A$253:$A$276=AQ$251)*($F$250:$AJ$250="")*$F$253:$AJ$276)+IF(AQ$251="P6",SUMPRODUCT(($F$250:$AJ$250="P6")*$F$253:$AJ$276),0))/(SUMPRODUCT(($A$253:$A$276=AQ$251)*($F$250:$AJ$250=""))+IF(AQ$251="P6",COUNTIF($F$250:$AJ$250,"P6")*ROWS($A$253:$A$276),0)),"")</f>
        <v/>
      </c>
      <c r="AR265" s="6" cm="1">
        <f t="array" ref="AR265">IFERROR((SUMPRODUCT(($A$253:$A$276=AR$251)*($F$250:$AJ$250="")*$F$253:$AJ$276)+IF(AR$251="P6",SUMPRODUCT(($F$250:$AJ$250="P6")*$F$253:$AJ$276),0))/(SUMPRODUCT(($A$253:$A$276=AR$251)*($F$250:$AJ$250=""))+IF(AR$251="P6",COUNTIF($F$250:$AJ$250,"P6")*ROWS($A$253:$A$276),0)),"")</f>
        <v>0.93621438775510146</v>
      </c>
    </row>
    <row r="266" spans="1:44" ht="14.25" customHeight="1" x14ac:dyDescent="0.35">
      <c r="A266" s="1" t="s">
        <v>13</v>
      </c>
      <c r="B266" s="1" t="s">
        <v>13</v>
      </c>
      <c r="C266" s="1" t="s">
        <v>13</v>
      </c>
      <c r="D266" s="1" t="s">
        <v>15</v>
      </c>
      <c r="E266" s="1" t="s">
        <v>32</v>
      </c>
      <c r="F266" s="1">
        <v>0.88710999999999995</v>
      </c>
      <c r="G266" s="1">
        <v>0.87316000000000005</v>
      </c>
      <c r="H266" s="1">
        <v>0.86338999999999999</v>
      </c>
      <c r="I266" s="1">
        <v>0.87404999999999999</v>
      </c>
      <c r="J266" s="1">
        <v>0.88229000000000002</v>
      </c>
      <c r="K266" s="1">
        <v>0.84760999999999997</v>
      </c>
      <c r="L266" s="1">
        <v>0.87527999999999995</v>
      </c>
      <c r="M266" s="1">
        <v>0.88710999999999995</v>
      </c>
      <c r="N266" s="1">
        <v>0.87316000000000005</v>
      </c>
      <c r="O266" s="1">
        <v>0.86338999999999999</v>
      </c>
      <c r="P266" s="1">
        <v>0.87404999999999999</v>
      </c>
      <c r="Q266" s="1">
        <v>0.88229000000000002</v>
      </c>
      <c r="R266" s="1">
        <v>0.84760999999999997</v>
      </c>
      <c r="S266" s="1">
        <v>0.87527999999999995</v>
      </c>
      <c r="T266" s="1">
        <v>0.86395999999999995</v>
      </c>
      <c r="U266" s="1">
        <v>0.87316000000000005</v>
      </c>
      <c r="V266" s="1">
        <v>0.86338999999999999</v>
      </c>
      <c r="W266" s="1">
        <v>0.87404999999999999</v>
      </c>
      <c r="X266" s="1">
        <v>0.88229000000000002</v>
      </c>
      <c r="Y266" s="1">
        <v>0.84760999999999997</v>
      </c>
      <c r="Z266" s="1">
        <v>0.87527999999999995</v>
      </c>
      <c r="AA266" s="1">
        <v>0.88710999999999995</v>
      </c>
      <c r="AB266" s="1">
        <v>0.87316000000000005</v>
      </c>
      <c r="AC266" s="1">
        <v>0.86338999999999999</v>
      </c>
      <c r="AD266" s="1">
        <v>0.87404999999999999</v>
      </c>
      <c r="AE266" s="1">
        <v>0.88229000000000002</v>
      </c>
      <c r="AF266" s="1">
        <v>0.84760999999999997</v>
      </c>
      <c r="AG266" s="1">
        <v>0.87527999999999995</v>
      </c>
      <c r="AH266" s="1">
        <v>0.88710999999999995</v>
      </c>
      <c r="AI266" s="1">
        <v>0.87316000000000005</v>
      </c>
      <c r="AJ266" s="1">
        <v>0.86338999999999999</v>
      </c>
      <c r="AL266" s="4" t="s">
        <v>27</v>
      </c>
      <c r="AM266" s="6" cm="1">
        <f t="array" ref="AM266">IFERROR((SUMPRODUCT(($A$253:$A$276=AM$251)*($F$250:$AJ$250="")*$F$253:$AJ$276)+IF(AM$251="P6",SUMPRODUCT(($F$250:$AJ$250="P6")*$F$253:$AJ$276),0))/(SUMPRODUCT(($A$253:$A$276=AM$251)*($F$250:$AJ$250=""))+IF(AM$251="P6",COUNTIF($F$250:$AJ$250,"P6")*ROWS($A$253:$A$276),0)),"")</f>
        <v>0.90969979797979694</v>
      </c>
      <c r="AN266" s="6" t="str" cm="1">
        <f t="array" ref="AN266">IFERROR((SUMPRODUCT(($A$253:$A$276=AN$251)*($F$250:$AJ$250="")*$F$253:$AJ$276)+IF(AN$251="P6",SUMPRODUCT(($F$250:$AJ$250="P6")*$F$253:$AJ$276),0))/(SUMPRODUCT(($A$253:$A$276=AN$251)*($F$250:$AJ$250=""))+IF(AN$251="P6",COUNTIF($F$250:$AJ$250,"P6")*ROWS($A$253:$A$276),0)),"")</f>
        <v/>
      </c>
      <c r="AO266" s="6" cm="1">
        <f t="array" ref="AO266">IFERROR((SUMPRODUCT(($A$253:$A$276=AO$251)*($F$250:$AJ$250="")*$F$253:$AJ$276)+IF(AO$251="P6",SUMPRODUCT(($F$250:$AJ$250="P6")*$F$253:$AJ$276),0))/(SUMPRODUCT(($A$253:$A$276=AO$251)*($F$250:$AJ$250=""))+IF(AO$251="P6",COUNTIF($F$250:$AJ$250,"P6")*ROWS($A$253:$A$276),0)),"")</f>
        <v>0.93330175324675391</v>
      </c>
      <c r="AP266" s="6" t="str" cm="1">
        <f t="array" ref="AP266">IFERROR((SUMPRODUCT(($A$253:$A$276=AP$251)*($F$250:$AJ$250="")*$F$253:$AJ$276)+IF(AP$251="P6",SUMPRODUCT(($F$250:$AJ$250="P6")*$F$253:$AJ$276),0))/(SUMPRODUCT(($A$253:$A$276=AP$251)*($F$250:$AJ$250=""))+IF(AP$251="P6",COUNTIF($F$250:$AJ$250,"P6")*ROWS($A$253:$A$276),0)),"")</f>
        <v/>
      </c>
      <c r="AQ266" s="6" t="str" cm="1">
        <f t="array" ref="AQ266">IFERROR((SUMPRODUCT(($A$253:$A$276=AQ$251)*($F$250:$AJ$250="")*$F$253:$AJ$276)+IF(AQ$251="P6",SUMPRODUCT(($F$250:$AJ$250="P6")*$F$253:$AJ$276),0))/(SUMPRODUCT(($A$253:$A$276=AQ$251)*($F$250:$AJ$250=""))+IF(AQ$251="P6",COUNTIF($F$250:$AJ$250,"P6")*ROWS($A$253:$A$276),0)),"")</f>
        <v/>
      </c>
      <c r="AR266" s="6" cm="1">
        <f t="array" ref="AR266">IFERROR((SUMPRODUCT(($A$253:$A$276=AR$251)*($F$250:$AJ$250="")*$F$253:$AJ$276)+IF(AR$251="P6",SUMPRODUCT(($F$250:$AJ$250="P6")*$F$253:$AJ$276),0))/(SUMPRODUCT(($A$253:$A$276=AR$251)*($F$250:$AJ$250=""))+IF(AR$251="P6",COUNTIF($F$250:$AJ$250,"P6")*ROWS($A$253:$A$276),0)),"")</f>
        <v>0.93621438775510146</v>
      </c>
    </row>
    <row r="267" spans="1:44" ht="14.25" customHeight="1" x14ac:dyDescent="0.35">
      <c r="A267" s="1" t="s">
        <v>13</v>
      </c>
      <c r="B267" s="1" t="s">
        <v>13</v>
      </c>
      <c r="C267" s="1" t="s">
        <v>14</v>
      </c>
      <c r="D267" s="1" t="s">
        <v>16</v>
      </c>
      <c r="E267" s="1" t="s">
        <v>33</v>
      </c>
      <c r="F267" s="1">
        <v>0.91171000000000002</v>
      </c>
      <c r="G267" s="1">
        <v>0.90044000000000002</v>
      </c>
      <c r="H267" s="1">
        <v>0.89461000000000002</v>
      </c>
      <c r="I267" s="1">
        <v>0.90349999999999997</v>
      </c>
      <c r="J267" s="1">
        <v>0.86597999999999997</v>
      </c>
      <c r="K267" s="1">
        <v>0.82498000000000005</v>
      </c>
      <c r="L267" s="1">
        <v>0.8962</v>
      </c>
      <c r="M267" s="1">
        <v>0.91171000000000002</v>
      </c>
      <c r="N267" s="1">
        <v>0.90044000000000002</v>
      </c>
      <c r="O267" s="1">
        <v>0.89461000000000002</v>
      </c>
      <c r="P267" s="1">
        <v>0.90349999999999997</v>
      </c>
      <c r="Q267" s="1">
        <v>0.86597999999999997</v>
      </c>
      <c r="R267" s="1">
        <v>0.82498000000000005</v>
      </c>
      <c r="S267" s="1">
        <v>0.8962</v>
      </c>
      <c r="T267" s="1">
        <v>0.86238999999999999</v>
      </c>
      <c r="U267" s="1">
        <v>0.90044000000000002</v>
      </c>
      <c r="V267" s="1">
        <v>0.89461000000000002</v>
      </c>
      <c r="W267" s="1">
        <v>0.90349999999999997</v>
      </c>
      <c r="X267" s="1">
        <v>0.86597999999999997</v>
      </c>
      <c r="Y267" s="1">
        <v>0.82498000000000005</v>
      </c>
      <c r="Z267" s="1">
        <v>0.8962</v>
      </c>
      <c r="AA267" s="1">
        <v>0.91171000000000002</v>
      </c>
      <c r="AB267" s="1">
        <v>0.90044000000000002</v>
      </c>
      <c r="AC267" s="1">
        <v>0.89461000000000002</v>
      </c>
      <c r="AD267" s="1">
        <v>0.90349999999999997</v>
      </c>
      <c r="AE267" s="1">
        <v>0.86597999999999997</v>
      </c>
      <c r="AF267" s="1">
        <v>0.82498000000000005</v>
      </c>
      <c r="AG267" s="1">
        <v>0.8962</v>
      </c>
      <c r="AH267" s="1">
        <v>0.91171000000000002</v>
      </c>
      <c r="AI267" s="1">
        <v>0.90044000000000002</v>
      </c>
      <c r="AJ267" s="1">
        <v>0.89461000000000002</v>
      </c>
      <c r="AL267" s="4" t="s">
        <v>29</v>
      </c>
      <c r="AM267" s="6" cm="1">
        <f t="array" ref="AM267">IFERROR((SUMPRODUCT(($A$253:$A$276=AM$251)*($F$250:$AJ$250="")*$F$253:$AJ$276)+IF(AM$251="P6",SUMPRODUCT(($F$250:$AJ$250="P6")*$F$253:$AJ$276),0))/(SUMPRODUCT(($A$253:$A$276=AM$251)*($F$250:$AJ$250=""))+IF(AM$251="P6",COUNTIF($F$250:$AJ$250,"P6")*ROWS($A$253:$A$276),0)),"")</f>
        <v>0.90969979797979694</v>
      </c>
      <c r="AN267" s="6" t="str" cm="1">
        <f t="array" ref="AN267">IFERROR((SUMPRODUCT(($A$253:$A$276=AN$251)*($F$250:$AJ$250="")*$F$253:$AJ$276)+IF(AN$251="P6",SUMPRODUCT(($F$250:$AJ$250="P6")*$F$253:$AJ$276),0))/(SUMPRODUCT(($A$253:$A$276=AN$251)*($F$250:$AJ$250=""))+IF(AN$251="P6",COUNTIF($F$250:$AJ$250,"P6")*ROWS($A$253:$A$276),0)),"")</f>
        <v/>
      </c>
      <c r="AO267" s="6" cm="1">
        <f t="array" ref="AO267">IFERROR((SUMPRODUCT(($A$253:$A$276=AO$251)*($F$250:$AJ$250="")*$F$253:$AJ$276)+IF(AO$251="P6",SUMPRODUCT(($F$250:$AJ$250="P6")*$F$253:$AJ$276),0))/(SUMPRODUCT(($A$253:$A$276=AO$251)*($F$250:$AJ$250=""))+IF(AO$251="P6",COUNTIF($F$250:$AJ$250,"P6")*ROWS($A$253:$A$276),0)),"")</f>
        <v>0.93330175324675391</v>
      </c>
      <c r="AP267" s="6" t="str" cm="1">
        <f t="array" ref="AP267">IFERROR((SUMPRODUCT(($A$253:$A$276=AP$251)*($F$250:$AJ$250="")*$F$253:$AJ$276)+IF(AP$251="P6",SUMPRODUCT(($F$250:$AJ$250="P6")*$F$253:$AJ$276),0))/(SUMPRODUCT(($A$253:$A$276=AP$251)*($F$250:$AJ$250=""))+IF(AP$251="P6",COUNTIF($F$250:$AJ$250,"P6")*ROWS($A$253:$A$276),0)),"")</f>
        <v/>
      </c>
      <c r="AQ267" s="6" t="str" cm="1">
        <f t="array" ref="AQ267">IFERROR((SUMPRODUCT(($A$253:$A$276=AQ$251)*($F$250:$AJ$250="")*$F$253:$AJ$276)+IF(AQ$251="P6",SUMPRODUCT(($F$250:$AJ$250="P6")*$F$253:$AJ$276),0))/(SUMPRODUCT(($A$253:$A$276=AQ$251)*($F$250:$AJ$250=""))+IF(AQ$251="P6",COUNTIF($F$250:$AJ$250,"P6")*ROWS($A$253:$A$276),0)),"")</f>
        <v/>
      </c>
      <c r="AR267" s="6" cm="1">
        <f t="array" ref="AR267">IFERROR((SUMPRODUCT(($A$253:$A$276=AR$251)*($F$250:$AJ$250="")*$F$253:$AJ$276)+IF(AR$251="P6",SUMPRODUCT(($F$250:$AJ$250="P6")*$F$253:$AJ$276),0))/(SUMPRODUCT(($A$253:$A$276=AR$251)*($F$250:$AJ$250=""))+IF(AR$251="P6",COUNTIF($F$250:$AJ$250,"P6")*ROWS($A$253:$A$276),0)),"")</f>
        <v>0.93621438775510146</v>
      </c>
    </row>
    <row r="268" spans="1:44" ht="14.25" customHeight="1" x14ac:dyDescent="0.35">
      <c r="A268" s="1" t="s">
        <v>15</v>
      </c>
      <c r="B268" s="1" t="s">
        <v>14</v>
      </c>
      <c r="C268" s="1" t="s">
        <v>14</v>
      </c>
      <c r="D268" s="1" t="s">
        <v>16</v>
      </c>
      <c r="E268" s="1" t="s">
        <v>34</v>
      </c>
      <c r="F268" s="1">
        <v>0.90954000000000002</v>
      </c>
      <c r="G268" s="1">
        <v>0.90300000000000002</v>
      </c>
      <c r="H268" s="1">
        <v>0.89683000000000002</v>
      </c>
      <c r="I268" s="1">
        <v>0.91491999999999996</v>
      </c>
      <c r="J268" s="1">
        <v>0.88141000000000003</v>
      </c>
      <c r="K268" s="1">
        <v>0.83750999999999998</v>
      </c>
      <c r="L268" s="1">
        <v>0.89293999999999996</v>
      </c>
      <c r="M268" s="1">
        <v>0.90954000000000002</v>
      </c>
      <c r="N268" s="1">
        <v>0.90300000000000002</v>
      </c>
      <c r="O268" s="1">
        <v>0.89683000000000002</v>
      </c>
      <c r="P268" s="1">
        <v>0.91491999999999996</v>
      </c>
      <c r="Q268" s="1">
        <v>0.88141000000000003</v>
      </c>
      <c r="R268" s="1">
        <v>0.83750999999999998</v>
      </c>
      <c r="S268" s="1">
        <v>0.89293999999999996</v>
      </c>
      <c r="T268" s="1">
        <v>0.88222</v>
      </c>
      <c r="U268" s="1">
        <v>0.90300000000000002</v>
      </c>
      <c r="V268" s="1">
        <v>0.89683000000000002</v>
      </c>
      <c r="W268" s="1">
        <v>0.91491999999999996</v>
      </c>
      <c r="X268" s="1">
        <v>0.88141000000000003</v>
      </c>
      <c r="Y268" s="1">
        <v>0.83750999999999998</v>
      </c>
      <c r="Z268" s="1">
        <v>0.89293999999999996</v>
      </c>
      <c r="AA268" s="1">
        <v>0.90954000000000002</v>
      </c>
      <c r="AB268" s="1">
        <v>0.90300000000000002</v>
      </c>
      <c r="AC268" s="1">
        <v>0.89683000000000002</v>
      </c>
      <c r="AD268" s="1">
        <v>0.91491999999999996</v>
      </c>
      <c r="AE268" s="1">
        <v>0.88141000000000003</v>
      </c>
      <c r="AF268" s="1">
        <v>0.83750999999999998</v>
      </c>
      <c r="AG268" s="1">
        <v>0.89293999999999996</v>
      </c>
      <c r="AH268" s="1">
        <v>0.90954000000000002</v>
      </c>
      <c r="AI268" s="1">
        <v>0.90300000000000002</v>
      </c>
      <c r="AJ268" s="1">
        <v>0.89683000000000002</v>
      </c>
      <c r="AL268" s="10"/>
      <c r="AM268" s="10"/>
      <c r="AN268" s="10"/>
      <c r="AO268" s="10"/>
      <c r="AP268" s="10"/>
      <c r="AQ268" s="10"/>
      <c r="AR268" s="10"/>
    </row>
    <row r="269" spans="1:44" ht="14.25" customHeight="1" x14ac:dyDescent="0.35">
      <c r="A269" s="1" t="s">
        <v>15</v>
      </c>
      <c r="B269" s="1" t="s">
        <v>14</v>
      </c>
      <c r="C269" s="1" t="s">
        <v>14</v>
      </c>
      <c r="D269" s="1" t="s">
        <v>16</v>
      </c>
      <c r="E269" s="1" t="s">
        <v>35</v>
      </c>
      <c r="F269" s="1">
        <v>0.92284999999999995</v>
      </c>
      <c r="G269" s="1">
        <v>0.90878999999999999</v>
      </c>
      <c r="H269" s="1">
        <v>0.90241000000000005</v>
      </c>
      <c r="I269" s="1">
        <v>0.92108999999999996</v>
      </c>
      <c r="J269" s="1">
        <v>0.89141000000000004</v>
      </c>
      <c r="K269" s="1">
        <v>0.85475999999999996</v>
      </c>
      <c r="L269" s="1">
        <v>0.89863999999999999</v>
      </c>
      <c r="M269" s="1">
        <v>0.92284999999999995</v>
      </c>
      <c r="N269" s="1">
        <v>0.90878999999999999</v>
      </c>
      <c r="O269" s="1">
        <v>0.90241000000000005</v>
      </c>
      <c r="P269" s="1">
        <v>0.92108999999999996</v>
      </c>
      <c r="Q269" s="1">
        <v>0.89141000000000004</v>
      </c>
      <c r="R269" s="1">
        <v>0.85475999999999996</v>
      </c>
      <c r="S269" s="1">
        <v>0.89863999999999999</v>
      </c>
      <c r="T269" s="1">
        <v>0.90364</v>
      </c>
      <c r="U269" s="1">
        <v>0.90878999999999999</v>
      </c>
      <c r="V269" s="1">
        <v>0.90241000000000005</v>
      </c>
      <c r="W269" s="1">
        <v>0.92108999999999996</v>
      </c>
      <c r="X269" s="1">
        <v>0.89141000000000004</v>
      </c>
      <c r="Y269" s="1">
        <v>0.85475999999999996</v>
      </c>
      <c r="Z269" s="1">
        <v>0.89863999999999999</v>
      </c>
      <c r="AA269" s="1">
        <v>0.92284999999999995</v>
      </c>
      <c r="AB269" s="1">
        <v>0.90878999999999999</v>
      </c>
      <c r="AC269" s="1">
        <v>0.90241000000000005</v>
      </c>
      <c r="AD269" s="1">
        <v>0.92108999999999996</v>
      </c>
      <c r="AE269" s="1">
        <v>0.89141000000000004</v>
      </c>
      <c r="AF269" s="1">
        <v>0.85475999999999996</v>
      </c>
      <c r="AG269" s="1">
        <v>0.89863999999999999</v>
      </c>
      <c r="AH269" s="1">
        <v>0.92284999999999995</v>
      </c>
      <c r="AI269" s="1">
        <v>0.90878999999999999</v>
      </c>
      <c r="AJ269" s="1">
        <v>0.90241000000000005</v>
      </c>
      <c r="AL269" s="10"/>
      <c r="AM269" s="10"/>
      <c r="AN269" s="10"/>
      <c r="AO269" s="10"/>
      <c r="AP269" s="10"/>
      <c r="AQ269" s="10"/>
      <c r="AR269" s="10"/>
    </row>
    <row r="270" spans="1:44" ht="14.25" customHeight="1" x14ac:dyDescent="0.35">
      <c r="A270" s="1" t="s">
        <v>15</v>
      </c>
      <c r="B270" s="1" t="s">
        <v>14</v>
      </c>
      <c r="C270" s="1" t="s">
        <v>14</v>
      </c>
      <c r="D270" s="1" t="s">
        <v>16</v>
      </c>
      <c r="E270" s="1" t="s">
        <v>36</v>
      </c>
      <c r="F270" s="1">
        <v>0.92967</v>
      </c>
      <c r="G270" s="1">
        <v>0.91446000000000005</v>
      </c>
      <c r="H270" s="1">
        <v>0.91642000000000001</v>
      </c>
      <c r="I270" s="1">
        <v>0.93330000000000002</v>
      </c>
      <c r="J270" s="1">
        <v>0.90459999999999996</v>
      </c>
      <c r="K270" s="1">
        <v>0.87373000000000001</v>
      </c>
      <c r="L270" s="1">
        <v>0.91708000000000001</v>
      </c>
      <c r="M270" s="1">
        <v>0.92967</v>
      </c>
      <c r="N270" s="1">
        <v>0.91446000000000005</v>
      </c>
      <c r="O270" s="1">
        <v>0.91642000000000001</v>
      </c>
      <c r="P270" s="1">
        <v>0.93330000000000002</v>
      </c>
      <c r="Q270" s="1">
        <v>0.90459999999999996</v>
      </c>
      <c r="R270" s="1">
        <v>0.87373000000000001</v>
      </c>
      <c r="S270" s="1">
        <v>0.91708000000000001</v>
      </c>
      <c r="T270" s="1">
        <v>0.92562</v>
      </c>
      <c r="U270" s="1">
        <v>0.91446000000000005</v>
      </c>
      <c r="V270" s="1">
        <v>0.91642000000000001</v>
      </c>
      <c r="W270" s="1">
        <v>0.93330000000000002</v>
      </c>
      <c r="X270" s="1">
        <v>0.90459999999999996</v>
      </c>
      <c r="Y270" s="1">
        <v>0.87373000000000001</v>
      </c>
      <c r="Z270" s="1">
        <v>0.91708000000000001</v>
      </c>
      <c r="AA270" s="1">
        <v>0.92967</v>
      </c>
      <c r="AB270" s="1">
        <v>0.91446000000000005</v>
      </c>
      <c r="AC270" s="1">
        <v>0.91642000000000001</v>
      </c>
      <c r="AD270" s="1">
        <v>0.93330000000000002</v>
      </c>
      <c r="AE270" s="1">
        <v>0.90459999999999996</v>
      </c>
      <c r="AF270" s="1">
        <v>0.87373000000000001</v>
      </c>
      <c r="AG270" s="1">
        <v>0.91708000000000001</v>
      </c>
      <c r="AH270" s="1">
        <v>0.92967</v>
      </c>
      <c r="AI270" s="1">
        <v>0.91446000000000005</v>
      </c>
      <c r="AJ270" s="1">
        <v>0.91642000000000001</v>
      </c>
      <c r="AL270" s="14" t="s">
        <v>235</v>
      </c>
      <c r="AM270" s="14"/>
      <c r="AN270" s="14"/>
      <c r="AO270" s="14"/>
      <c r="AP270" s="14"/>
      <c r="AQ270" s="14"/>
      <c r="AR270" s="14"/>
    </row>
    <row r="271" spans="1:44" ht="14.25" customHeight="1" x14ac:dyDescent="0.35">
      <c r="A271" s="1" t="s">
        <v>13</v>
      </c>
      <c r="B271" s="1" t="s">
        <v>13</v>
      </c>
      <c r="C271" s="1" t="s">
        <v>13</v>
      </c>
      <c r="D271" s="1" t="s">
        <v>15</v>
      </c>
      <c r="E271" s="1" t="s">
        <v>37</v>
      </c>
      <c r="F271" s="1">
        <v>0.92388000000000003</v>
      </c>
      <c r="G271" s="1">
        <v>0.89576</v>
      </c>
      <c r="H271" s="1">
        <v>0.91032999999999997</v>
      </c>
      <c r="I271" s="1">
        <v>0.91922999999999999</v>
      </c>
      <c r="J271" s="1">
        <v>0.93049999999999999</v>
      </c>
      <c r="K271" s="1">
        <v>0.90424000000000004</v>
      </c>
      <c r="L271" s="1">
        <v>0.91105000000000003</v>
      </c>
      <c r="M271" s="1">
        <v>0.92388000000000003</v>
      </c>
      <c r="N271" s="1">
        <v>0.89576</v>
      </c>
      <c r="O271" s="1">
        <v>0.91032999999999997</v>
      </c>
      <c r="P271" s="1">
        <v>0.91922999999999999</v>
      </c>
      <c r="Q271" s="1">
        <v>0.93049999999999999</v>
      </c>
      <c r="R271" s="1">
        <v>0.90424000000000004</v>
      </c>
      <c r="S271" s="1">
        <v>0.91105000000000003</v>
      </c>
      <c r="T271" s="1">
        <v>0.94455</v>
      </c>
      <c r="U271" s="1">
        <v>0.89576</v>
      </c>
      <c r="V271" s="1">
        <v>0.91032999999999997</v>
      </c>
      <c r="W271" s="1">
        <v>0.91922999999999999</v>
      </c>
      <c r="X271" s="1">
        <v>0.93049999999999999</v>
      </c>
      <c r="Y271" s="1">
        <v>0.90424000000000004</v>
      </c>
      <c r="Z271" s="1">
        <v>0.91105000000000003</v>
      </c>
      <c r="AA271" s="1">
        <v>0.92388000000000003</v>
      </c>
      <c r="AB271" s="1">
        <v>0.89576</v>
      </c>
      <c r="AC271" s="1">
        <v>0.91032999999999997</v>
      </c>
      <c r="AD271" s="1">
        <v>0.91922999999999999</v>
      </c>
      <c r="AE271" s="1">
        <v>0.93049999999999999</v>
      </c>
      <c r="AF271" s="1">
        <v>0.90424000000000004</v>
      </c>
      <c r="AG271" s="1">
        <v>0.91105000000000003</v>
      </c>
      <c r="AH271" s="1">
        <v>0.92388000000000003</v>
      </c>
      <c r="AI271" s="1">
        <v>0.89576</v>
      </c>
      <c r="AJ271" s="1">
        <v>0.91032999999999997</v>
      </c>
      <c r="AL271" s="4"/>
      <c r="AM271" s="4" t="s">
        <v>13</v>
      </c>
      <c r="AN271" s="4" t="s">
        <v>14</v>
      </c>
      <c r="AO271" s="4" t="s">
        <v>15</v>
      </c>
      <c r="AP271" s="4" t="s">
        <v>16</v>
      </c>
      <c r="AQ271" s="4" t="s">
        <v>17</v>
      </c>
      <c r="AR271" s="4" t="s">
        <v>7</v>
      </c>
    </row>
    <row r="272" spans="1:44" ht="14.25" customHeight="1" x14ac:dyDescent="0.35">
      <c r="A272" s="1" t="s">
        <v>13</v>
      </c>
      <c r="B272" s="1" t="s">
        <v>13</v>
      </c>
      <c r="C272" s="1" t="s">
        <v>13</v>
      </c>
      <c r="D272" s="1" t="s">
        <v>15</v>
      </c>
      <c r="E272" s="1" t="s">
        <v>38</v>
      </c>
      <c r="F272" s="1">
        <v>0.95126999999999995</v>
      </c>
      <c r="G272" s="1">
        <v>0.92745</v>
      </c>
      <c r="H272" s="1">
        <v>0.95823999999999998</v>
      </c>
      <c r="I272" s="1">
        <v>0.96513000000000004</v>
      </c>
      <c r="J272" s="1">
        <v>0.97143000000000002</v>
      </c>
      <c r="K272" s="1">
        <v>0.94599</v>
      </c>
      <c r="L272" s="1">
        <v>0.93879000000000001</v>
      </c>
      <c r="M272" s="1">
        <v>0.95126999999999995</v>
      </c>
      <c r="N272" s="1">
        <v>0.92745</v>
      </c>
      <c r="O272" s="1">
        <v>0.95823999999999998</v>
      </c>
      <c r="P272" s="1">
        <v>0.96513000000000004</v>
      </c>
      <c r="Q272" s="1">
        <v>0.97143000000000002</v>
      </c>
      <c r="R272" s="1">
        <v>0.94599</v>
      </c>
      <c r="S272" s="1">
        <v>0.93879000000000001</v>
      </c>
      <c r="T272" s="1">
        <v>0.98972000000000004</v>
      </c>
      <c r="U272" s="1">
        <v>0.92745</v>
      </c>
      <c r="V272" s="1">
        <v>0.95823999999999998</v>
      </c>
      <c r="W272" s="1">
        <v>0.96513000000000004</v>
      </c>
      <c r="X272" s="1">
        <v>0.97143000000000002</v>
      </c>
      <c r="Y272" s="1">
        <v>0.94599</v>
      </c>
      <c r="Z272" s="1">
        <v>0.93879000000000001</v>
      </c>
      <c r="AA272" s="1">
        <v>0.95126999999999995</v>
      </c>
      <c r="AB272" s="1">
        <v>0.92745</v>
      </c>
      <c r="AC272" s="1">
        <v>0.95823999999999998</v>
      </c>
      <c r="AD272" s="1">
        <v>0.96513000000000004</v>
      </c>
      <c r="AE272" s="1">
        <v>0.97143000000000002</v>
      </c>
      <c r="AF272" s="1">
        <v>0.94599</v>
      </c>
      <c r="AG272" s="1">
        <v>0.93879000000000001</v>
      </c>
      <c r="AH272" s="1">
        <v>0.95126999999999995</v>
      </c>
      <c r="AI272" s="1">
        <v>0.92745</v>
      </c>
      <c r="AJ272" s="1">
        <v>0.95823999999999998</v>
      </c>
      <c r="AL272" s="4" t="s">
        <v>19</v>
      </c>
      <c r="AM272" s="6" cm="1">
        <f t="array" ref="AM272">IFERROR((SUMPRODUCT(($C$253:$C$276=AM$251)*($F$249:$AJ$249="")*$F$253:$AJ$276)+IF(AM$251="P3",SUMPRODUCT(($F$249:$AJ$249="P3")*$F$253:$AJ$276),0))/(SUMPRODUCT(($C$253:$C$276=AM$251)*($F$249:$AJ$249=""))+IF(AM$251="P3",COUNTIF($F$249:$AJ$249,"P3")*ROWS($C$253:$C$276),0)),"")</f>
        <v>0.91079357954545381</v>
      </c>
      <c r="AN272" s="6" cm="1">
        <f t="array" ref="AN272">IFERROR((SUMPRODUCT(($C$253:$C$276=AN$251)*($F$249:$AJ$249="")*$F$253:$AJ$276)+IF(AN$251="P3",SUMPRODUCT(($F$249:$AJ$249="P3")*$F$253:$AJ$276),0))/(SUMPRODUCT(($C$253:$C$276=AN$251)*($F$249:$AJ$249=""))+IF(AN$251="P3",COUNTIF($F$249:$AJ$249,"P3")*ROWS($C$253:$C$276),0)),"")</f>
        <v>0.92925772727272715</v>
      </c>
      <c r="AO272" s="6" cm="1">
        <f t="array" ref="AO272">IFERROR((SUMPRODUCT(($C$253:$C$276=AO$251)*($F$249:$AJ$249="")*$F$253:$AJ$276)+IF(AO$251="P3",SUMPRODUCT(($F$249:$AJ$249="P3")*$F$253:$AJ$276),0))/(SUMPRODUCT(($C$253:$C$276=AO$251)*($F$249:$AJ$249=""))+IF(AO$251="P3",COUNTIF($F$249:$AJ$249,"P3")*ROWS($C$253:$C$276),0)),"")</f>
        <v>0.93621438775510146</v>
      </c>
      <c r="AP272" s="6" t="str" cm="1">
        <f t="array" ref="AP272">IFERROR((SUMPRODUCT(($C$253:$C$276=AP$251)*($F$249:$AJ$249="")*$F$253:$AJ$276)+IF(AP$251="P3",SUMPRODUCT(($F$249:$AJ$249="P3")*$F$253:$AJ$276),0))/(SUMPRODUCT(($C$253:$C$276=AP$251)*($F$249:$AJ$249=""))+IF(AP$251="P3",COUNTIF($F$249:$AJ$249,"P3")*ROWS($C$253:$C$276),0)),"")</f>
        <v/>
      </c>
      <c r="AQ272" s="6" t="str" cm="1">
        <f t="array" ref="AQ272">IFERROR((SUMPRODUCT(($C$253:$C$276=AQ$251)*($F$249:$AJ$249="")*$F$253:$AJ$276)+IF(AQ$251="P3",SUMPRODUCT(($F$249:$AJ$249="P3")*$F$253:$AJ$276),0))/(SUMPRODUCT(($C$253:$C$276=AQ$251)*($F$249:$AJ$249=""))+IF(AQ$251="P3",COUNTIF($F$249:$AJ$249,"P3")*ROWS($C$253:$C$276),0)),"")</f>
        <v/>
      </c>
      <c r="AR272" s="6" t="str" cm="1">
        <f t="array" ref="AR272">IFERROR((SUMPRODUCT(($C$253:$C$276=AR$251)*($F$249:$AJ$249="")*$F$253:$AJ$276)+IF(AR$251="P3",SUMPRODUCT(($F$249:$AJ$249="P3")*$F$253:$AJ$276),0))/(SUMPRODUCT(($C$253:$C$276=AR$251)*($F$249:$AJ$249=""))+IF(AR$251="P3",COUNTIF($F$249:$AJ$249,"P3")*ROWS($C$253:$C$276),0)),"")</f>
        <v/>
      </c>
    </row>
    <row r="273" spans="1:44" ht="14.25" customHeight="1" x14ac:dyDescent="0.35">
      <c r="A273" s="1" t="s">
        <v>13</v>
      </c>
      <c r="B273" s="1" t="s">
        <v>13</v>
      </c>
      <c r="C273" s="1" t="s">
        <v>13</v>
      </c>
      <c r="D273" s="1" t="s">
        <v>15</v>
      </c>
      <c r="E273" s="1" t="s">
        <v>39</v>
      </c>
      <c r="F273" s="1">
        <v>0.97204000000000002</v>
      </c>
      <c r="G273" s="1">
        <v>0.95470999999999995</v>
      </c>
      <c r="H273" s="1">
        <v>1.00366</v>
      </c>
      <c r="I273" s="1">
        <v>1.0109699999999999</v>
      </c>
      <c r="J273" s="1">
        <v>0.99634999999999996</v>
      </c>
      <c r="K273" s="1">
        <v>0.97292000000000001</v>
      </c>
      <c r="L273" s="1">
        <v>0.96426999999999996</v>
      </c>
      <c r="M273" s="1">
        <v>0.97204000000000002</v>
      </c>
      <c r="N273" s="1">
        <v>0.95470999999999995</v>
      </c>
      <c r="O273" s="1">
        <v>1.00366</v>
      </c>
      <c r="P273" s="1">
        <v>1.0109699999999999</v>
      </c>
      <c r="Q273" s="1">
        <v>0.99634999999999996</v>
      </c>
      <c r="R273" s="1">
        <v>0.97292000000000001</v>
      </c>
      <c r="S273" s="1">
        <v>0.96426999999999996</v>
      </c>
      <c r="T273" s="1">
        <v>1.01332</v>
      </c>
      <c r="U273" s="1">
        <v>0.95470999999999995</v>
      </c>
      <c r="V273" s="1">
        <v>1.00366</v>
      </c>
      <c r="W273" s="1">
        <v>1.0109699999999999</v>
      </c>
      <c r="X273" s="1">
        <v>0.99634999999999996</v>
      </c>
      <c r="Y273" s="1">
        <v>0.97292000000000001</v>
      </c>
      <c r="Z273" s="1">
        <v>0.96426999999999996</v>
      </c>
      <c r="AA273" s="1">
        <v>0.97204000000000002</v>
      </c>
      <c r="AB273" s="1">
        <v>0.95470999999999995</v>
      </c>
      <c r="AC273" s="1">
        <v>1.00366</v>
      </c>
      <c r="AD273" s="1">
        <v>1.0109699999999999</v>
      </c>
      <c r="AE273" s="1">
        <v>0.99634999999999996</v>
      </c>
      <c r="AF273" s="1">
        <v>0.97292000000000001</v>
      </c>
      <c r="AG273" s="1">
        <v>0.96426999999999996</v>
      </c>
      <c r="AH273" s="1">
        <v>0.97204000000000002</v>
      </c>
      <c r="AI273" s="1">
        <v>0.95470999999999995</v>
      </c>
      <c r="AJ273" s="1">
        <v>1.00366</v>
      </c>
      <c r="AL273" s="4" t="s">
        <v>21</v>
      </c>
      <c r="AM273" s="6" cm="1">
        <f t="array" ref="AM273">IFERROR((SUMPRODUCT(($B$253:$B$276=AM$251)*($F$250:$AJ$250="")*$F$253:$AJ$276)+IF(AM$251="P6",SUMPRODUCT(($F$250:$AJ$250="P6")*$F$253:$AJ$276),0))/(SUMPRODUCT(($B$253:$B$276=AM$251)*($F$250:$AJ$250=""))+IF(AM$251="P6",COUNTIF($F$250:$AJ$250,"P6")*ROWS($B$253:$B$276),0)),"")</f>
        <v>0.90969979797979694</v>
      </c>
      <c r="AN273" s="6" cm="1">
        <f t="array" ref="AN273">IFERROR((SUMPRODUCT(($B$253:$B$276=AN$251)*($F$250:$AJ$250="")*$F$253:$AJ$276)+IF(AN$251="P6",SUMPRODUCT(($F$250:$AJ$250="P6")*$F$253:$AJ$276),0))/(SUMPRODUCT(($B$253:$B$276=AN$251)*($F$250:$AJ$250=""))+IF(AN$251="P6",COUNTIF($F$250:$AJ$250,"P6")*ROWS($B$253:$B$276),0)),"")</f>
        <v>0.93330175324675391</v>
      </c>
      <c r="AO273" s="6" t="str" cm="1">
        <f t="array" ref="AO273">IFERROR((SUMPRODUCT(($B$253:$B$276=AO$251)*($F$250:$AJ$250="")*$F$253:$AJ$276)+IF(AO$251="P6",SUMPRODUCT(($F$250:$AJ$250="P6")*$F$253:$AJ$276),0))/(SUMPRODUCT(($B$253:$B$276=AO$251)*($F$250:$AJ$250=""))+IF(AO$251="P6",COUNTIF($F$250:$AJ$250,"P6")*ROWS($B$253:$B$276),0)),"")</f>
        <v/>
      </c>
      <c r="AP273" s="6" t="str" cm="1">
        <f t="array" ref="AP273">IFERROR((SUMPRODUCT(($B$253:$B$276=AP$251)*($F$250:$AJ$250="")*$F$253:$AJ$276)+IF(AP$251="P6",SUMPRODUCT(($F$250:$AJ$250="P6")*$F$253:$AJ$276),0))/(SUMPRODUCT(($B$253:$B$276=AP$251)*($F$250:$AJ$250=""))+IF(AP$251="P6",COUNTIF($F$250:$AJ$250,"P6")*ROWS($B$253:$B$276),0)),"")</f>
        <v/>
      </c>
      <c r="AQ273" s="6" t="str" cm="1">
        <f t="array" ref="AQ273">IFERROR((SUMPRODUCT(($B$253:$B$276=AQ$251)*($F$250:$AJ$250="")*$F$253:$AJ$276)+IF(AQ$251="P6",SUMPRODUCT(($F$250:$AJ$250="P6")*$F$253:$AJ$276),0))/(SUMPRODUCT(($B$253:$B$276=AQ$251)*($F$250:$AJ$250=""))+IF(AQ$251="P6",COUNTIF($F$250:$AJ$250,"P6")*ROWS($B$253:$B$276),0)),"")</f>
        <v/>
      </c>
      <c r="AR273" s="6" cm="1">
        <f t="array" ref="AR273">IFERROR((SUMPRODUCT(($B$253:$B$276=AR$251)*($F$250:$AJ$250="")*$F$253:$AJ$276)+IF(AR$251="P6",SUMPRODUCT(($F$250:$AJ$250="P6")*$F$253:$AJ$276),0))/(SUMPRODUCT(($B$253:$B$276=AR$251)*($F$250:$AJ$250=""))+IF(AR$251="P6",COUNTIF($F$250:$AJ$250,"P6")*ROWS($B$253:$B$276),0)),"")</f>
        <v>0.93621438775510146</v>
      </c>
    </row>
    <row r="274" spans="1:44" ht="14.25" customHeight="1" x14ac:dyDescent="0.35">
      <c r="A274" s="1" t="s">
        <v>13</v>
      </c>
      <c r="B274" s="1" t="s">
        <v>13</v>
      </c>
      <c r="C274" s="1" t="s">
        <v>13</v>
      </c>
      <c r="D274" s="1" t="s">
        <v>15</v>
      </c>
      <c r="E274" s="1" t="s">
        <v>40</v>
      </c>
      <c r="F274" s="1">
        <v>0.95316000000000001</v>
      </c>
      <c r="G274" s="1">
        <v>0.94227000000000005</v>
      </c>
      <c r="H274" s="1">
        <v>0.99443999999999999</v>
      </c>
      <c r="I274" s="1">
        <v>1.00922</v>
      </c>
      <c r="J274" s="1">
        <v>0.98641000000000001</v>
      </c>
      <c r="K274" s="1">
        <v>0.94213999999999998</v>
      </c>
      <c r="L274" s="1">
        <v>0.94735999999999998</v>
      </c>
      <c r="M274" s="1">
        <v>0.95316000000000001</v>
      </c>
      <c r="N274" s="1">
        <v>0.94227000000000005</v>
      </c>
      <c r="O274" s="1">
        <v>0.99443999999999999</v>
      </c>
      <c r="P274" s="1">
        <v>1.00922</v>
      </c>
      <c r="Q274" s="1">
        <v>0.98641000000000001</v>
      </c>
      <c r="R274" s="1">
        <v>0.94213999999999998</v>
      </c>
      <c r="S274" s="1">
        <v>0.94735999999999998</v>
      </c>
      <c r="T274" s="1">
        <v>0.99973000000000001</v>
      </c>
      <c r="U274" s="1">
        <v>0.94227000000000005</v>
      </c>
      <c r="V274" s="1">
        <v>0.99443999999999999</v>
      </c>
      <c r="W274" s="1">
        <v>1.00922</v>
      </c>
      <c r="X274" s="1">
        <v>0.98641000000000001</v>
      </c>
      <c r="Y274" s="1">
        <v>0.94213999999999998</v>
      </c>
      <c r="Z274" s="1">
        <v>0.94735999999999998</v>
      </c>
      <c r="AA274" s="1">
        <v>0.95316000000000001</v>
      </c>
      <c r="AB274" s="1">
        <v>0.94227000000000005</v>
      </c>
      <c r="AC274" s="1">
        <v>0.99443999999999999</v>
      </c>
      <c r="AD274" s="1">
        <v>1.00922</v>
      </c>
      <c r="AE274" s="1">
        <v>0.98641000000000001</v>
      </c>
      <c r="AF274" s="1">
        <v>0.94213999999999998</v>
      </c>
      <c r="AG274" s="1">
        <v>0.94735999999999998</v>
      </c>
      <c r="AH274" s="1">
        <v>0.95316000000000001</v>
      </c>
      <c r="AI274" s="1">
        <v>0.94227000000000005</v>
      </c>
      <c r="AJ274" s="1">
        <v>0.99443999999999999</v>
      </c>
      <c r="AL274" s="4" t="s">
        <v>23</v>
      </c>
      <c r="AM274" s="6" cm="1">
        <f t="array" ref="AM274">IFERROR((SUMPRODUCT(($B$253:$B$276=AM$251)*($F$250:$AJ$250="")*$F$253:$AJ$276)+IF(AM$251="P6",SUMPRODUCT(($F$250:$AJ$250="P6")*$F$253:$AJ$276),0))/(SUMPRODUCT(($B$253:$B$276=AM$251)*($F$250:$AJ$250=""))+IF(AM$251="P6",COUNTIF($F$250:$AJ$250,"P6")*ROWS($B$253:$B$276),0)),"")</f>
        <v>0.90969979797979694</v>
      </c>
      <c r="AN274" s="6" cm="1">
        <f t="array" ref="AN274">IFERROR((SUMPRODUCT(($B$253:$B$276=AN$251)*($F$250:$AJ$250="")*$F$253:$AJ$276)+IF(AN$251="P6",SUMPRODUCT(($F$250:$AJ$250="P6")*$F$253:$AJ$276),0))/(SUMPRODUCT(($B$253:$B$276=AN$251)*($F$250:$AJ$250=""))+IF(AN$251="P6",COUNTIF($F$250:$AJ$250,"P6")*ROWS($B$253:$B$276),0)),"")</f>
        <v>0.93330175324675391</v>
      </c>
      <c r="AO274" s="6" t="str" cm="1">
        <f t="array" ref="AO274">IFERROR((SUMPRODUCT(($B$253:$B$276=AO$251)*($F$250:$AJ$250="")*$F$253:$AJ$276)+IF(AO$251="P6",SUMPRODUCT(($F$250:$AJ$250="P6")*$F$253:$AJ$276),0))/(SUMPRODUCT(($B$253:$B$276=AO$251)*($F$250:$AJ$250=""))+IF(AO$251="P6",COUNTIF($F$250:$AJ$250,"P6")*ROWS($B$253:$B$276),0)),"")</f>
        <v/>
      </c>
      <c r="AP274" s="6" t="str" cm="1">
        <f t="array" ref="AP274">IFERROR((SUMPRODUCT(($B$253:$B$276=AP$251)*($F$250:$AJ$250="")*$F$253:$AJ$276)+IF(AP$251="P6",SUMPRODUCT(($F$250:$AJ$250="P6")*$F$253:$AJ$276),0))/(SUMPRODUCT(($B$253:$B$276=AP$251)*($F$250:$AJ$250=""))+IF(AP$251="P6",COUNTIF($F$250:$AJ$250,"P6")*ROWS($B$253:$B$276),0)),"")</f>
        <v/>
      </c>
      <c r="AQ274" s="6" t="str" cm="1">
        <f t="array" ref="AQ274">IFERROR((SUMPRODUCT(($B$253:$B$276=AQ$251)*($F$250:$AJ$250="")*$F$253:$AJ$276)+IF(AQ$251="P6",SUMPRODUCT(($F$250:$AJ$250="P6")*$F$253:$AJ$276),0))/(SUMPRODUCT(($B$253:$B$276=AQ$251)*($F$250:$AJ$250=""))+IF(AQ$251="P6",COUNTIF($F$250:$AJ$250,"P6")*ROWS($B$253:$B$276),0)),"")</f>
        <v/>
      </c>
      <c r="AR274" s="6" cm="1">
        <f t="array" ref="AR274">IFERROR((SUMPRODUCT(($B$253:$B$276=AR$251)*($F$250:$AJ$250="")*$F$253:$AJ$276)+IF(AR$251="P6",SUMPRODUCT(($F$250:$AJ$250="P6")*$F$253:$AJ$276),0))/(SUMPRODUCT(($B$253:$B$276=AR$251)*($F$250:$AJ$250=""))+IF(AR$251="P6",COUNTIF($F$250:$AJ$250,"P6")*ROWS($B$253:$B$276),0)),"")</f>
        <v>0.93621438775510146</v>
      </c>
    </row>
    <row r="275" spans="1:44" ht="14.25" customHeight="1" x14ac:dyDescent="0.35">
      <c r="A275" s="1" t="s">
        <v>15</v>
      </c>
      <c r="B275" s="1" t="s">
        <v>14</v>
      </c>
      <c r="C275" s="1" t="s">
        <v>14</v>
      </c>
      <c r="D275" s="1" t="s">
        <v>16</v>
      </c>
      <c r="E275" s="1" t="s">
        <v>41</v>
      </c>
      <c r="F275" s="1">
        <v>0.99082999999999999</v>
      </c>
      <c r="G275" s="1">
        <v>0.97535000000000005</v>
      </c>
      <c r="H275" s="1">
        <v>1.0384199999999999</v>
      </c>
      <c r="I275" s="1">
        <v>1.05427</v>
      </c>
      <c r="J275" s="1">
        <v>0.98401000000000005</v>
      </c>
      <c r="K275" s="1">
        <v>0.93647999999999998</v>
      </c>
      <c r="L275" s="1">
        <v>0.98692000000000002</v>
      </c>
      <c r="M275" s="1">
        <v>0.99082999999999999</v>
      </c>
      <c r="N275" s="1">
        <v>0.97535000000000005</v>
      </c>
      <c r="O275" s="1">
        <v>1.0384199999999999</v>
      </c>
      <c r="P275" s="1">
        <v>1.05427</v>
      </c>
      <c r="Q275" s="1">
        <v>0.98401000000000005</v>
      </c>
      <c r="R275" s="1">
        <v>0.93647999999999998</v>
      </c>
      <c r="S275" s="1">
        <v>0.98692000000000002</v>
      </c>
      <c r="T275" s="1">
        <v>1.00017</v>
      </c>
      <c r="U275" s="1">
        <v>0.97535000000000005</v>
      </c>
      <c r="V275" s="1">
        <v>1.0384199999999999</v>
      </c>
      <c r="W275" s="1">
        <v>1.05427</v>
      </c>
      <c r="X275" s="1">
        <v>0.98401000000000005</v>
      </c>
      <c r="Y275" s="1">
        <v>0.93647999999999998</v>
      </c>
      <c r="Z275" s="1">
        <v>0.98692000000000002</v>
      </c>
      <c r="AA275" s="1">
        <v>0.99082999999999999</v>
      </c>
      <c r="AB275" s="1">
        <v>0.97535000000000005</v>
      </c>
      <c r="AC275" s="1">
        <v>1.0384199999999999</v>
      </c>
      <c r="AD275" s="1">
        <v>1.05427</v>
      </c>
      <c r="AE275" s="1">
        <v>0.98401000000000005</v>
      </c>
      <c r="AF275" s="1">
        <v>0.93647999999999998</v>
      </c>
      <c r="AG275" s="1">
        <v>0.98692000000000002</v>
      </c>
      <c r="AH275" s="1">
        <v>0.99082999999999999</v>
      </c>
      <c r="AI275" s="1">
        <v>0.97535000000000005</v>
      </c>
      <c r="AJ275" s="1">
        <v>1.0384199999999999</v>
      </c>
      <c r="AL275" s="4" t="s">
        <v>25</v>
      </c>
      <c r="AM275" s="6" cm="1">
        <f t="array" ref="AM275">IFERROR((SUMPRODUCT(($B$253:$B$276=AM$251)*($F$250:$AJ$250="")*$F$253:$AJ$276)+IF(AM$251="P6",SUMPRODUCT(($F$250:$AJ$250="P6")*$F$253:$AJ$276),0))/(SUMPRODUCT(($B$253:$B$276=AM$251)*($F$250:$AJ$250=""))+IF(AM$251="P6",COUNTIF($F$250:$AJ$250,"P6")*ROWS($B$253:$B$276),0)),"")</f>
        <v>0.90969979797979694</v>
      </c>
      <c r="AN275" s="6" cm="1">
        <f t="array" ref="AN275">IFERROR((SUMPRODUCT(($B$253:$B$276=AN$251)*($F$250:$AJ$250="")*$F$253:$AJ$276)+IF(AN$251="P6",SUMPRODUCT(($F$250:$AJ$250="P6")*$F$253:$AJ$276),0))/(SUMPRODUCT(($B$253:$B$276=AN$251)*($F$250:$AJ$250=""))+IF(AN$251="P6",COUNTIF($F$250:$AJ$250,"P6")*ROWS($B$253:$B$276),0)),"")</f>
        <v>0.93330175324675391</v>
      </c>
      <c r="AO275" s="6" t="str" cm="1">
        <f t="array" ref="AO275">IFERROR((SUMPRODUCT(($B$253:$B$276=AO$251)*($F$250:$AJ$250="")*$F$253:$AJ$276)+IF(AO$251="P6",SUMPRODUCT(($F$250:$AJ$250="P6")*$F$253:$AJ$276),0))/(SUMPRODUCT(($B$253:$B$276=AO$251)*($F$250:$AJ$250=""))+IF(AO$251="P6",COUNTIF($F$250:$AJ$250,"P6")*ROWS($B$253:$B$276),0)),"")</f>
        <v/>
      </c>
      <c r="AP275" s="6" t="str" cm="1">
        <f t="array" ref="AP275">IFERROR((SUMPRODUCT(($B$253:$B$276=AP$251)*($F$250:$AJ$250="")*$F$253:$AJ$276)+IF(AP$251="P6",SUMPRODUCT(($F$250:$AJ$250="P6")*$F$253:$AJ$276),0))/(SUMPRODUCT(($B$253:$B$276=AP$251)*($F$250:$AJ$250=""))+IF(AP$251="P6",COUNTIF($F$250:$AJ$250,"P6")*ROWS($B$253:$B$276),0)),"")</f>
        <v/>
      </c>
      <c r="AQ275" s="6" t="str" cm="1">
        <f t="array" ref="AQ275">IFERROR((SUMPRODUCT(($B$253:$B$276=AQ$251)*($F$250:$AJ$250="")*$F$253:$AJ$276)+IF(AQ$251="P6",SUMPRODUCT(($F$250:$AJ$250="P6")*$F$253:$AJ$276),0))/(SUMPRODUCT(($B$253:$B$276=AQ$251)*($F$250:$AJ$250=""))+IF(AQ$251="P6",COUNTIF($F$250:$AJ$250,"P6")*ROWS($B$253:$B$276),0)),"")</f>
        <v/>
      </c>
      <c r="AR275" s="6" cm="1">
        <f t="array" ref="AR275">IFERROR((SUMPRODUCT(($B$253:$B$276=AR$251)*($F$250:$AJ$250="")*$F$253:$AJ$276)+IF(AR$251="P6",SUMPRODUCT(($F$250:$AJ$250="P6")*$F$253:$AJ$276),0))/(SUMPRODUCT(($B$253:$B$276=AR$251)*($F$250:$AJ$250=""))+IF(AR$251="P6",COUNTIF($F$250:$AJ$250,"P6")*ROWS($B$253:$B$276),0)),"")</f>
        <v>0.93621438775510146</v>
      </c>
    </row>
    <row r="276" spans="1:44" ht="14.25" customHeight="1" x14ac:dyDescent="0.35">
      <c r="A276" s="1" t="s">
        <v>15</v>
      </c>
      <c r="B276" s="1" t="s">
        <v>14</v>
      </c>
      <c r="C276" s="1" t="s">
        <v>14</v>
      </c>
      <c r="D276" s="1" t="s">
        <v>16</v>
      </c>
      <c r="E276" s="1" t="s">
        <v>42</v>
      </c>
      <c r="F276" s="1">
        <v>0.98197999999999996</v>
      </c>
      <c r="G276" s="1">
        <v>0.96648000000000001</v>
      </c>
      <c r="H276" s="1">
        <v>1.0257400000000001</v>
      </c>
      <c r="I276" s="1">
        <v>1.03626</v>
      </c>
      <c r="J276" s="1">
        <v>0.97867000000000004</v>
      </c>
      <c r="K276" s="1">
        <v>0.93067999999999995</v>
      </c>
      <c r="L276" s="1">
        <v>0.98358999999999996</v>
      </c>
      <c r="M276" s="1">
        <v>0.98197999999999996</v>
      </c>
      <c r="N276" s="1">
        <v>0.96648000000000001</v>
      </c>
      <c r="O276" s="1">
        <v>1.0257400000000001</v>
      </c>
      <c r="P276" s="1">
        <v>1.03626</v>
      </c>
      <c r="Q276" s="1">
        <v>0.97867000000000004</v>
      </c>
      <c r="R276" s="1">
        <v>0.93067999999999995</v>
      </c>
      <c r="S276" s="1">
        <v>0.98358999999999996</v>
      </c>
      <c r="T276" s="1">
        <v>1.0019100000000001</v>
      </c>
      <c r="U276" s="1">
        <v>0.96648000000000001</v>
      </c>
      <c r="V276" s="1">
        <v>1.0257400000000001</v>
      </c>
      <c r="W276" s="1">
        <v>1.03626</v>
      </c>
      <c r="X276" s="1">
        <v>0.97867000000000004</v>
      </c>
      <c r="Y276" s="1">
        <v>0.93067999999999995</v>
      </c>
      <c r="Z276" s="1">
        <v>0.98358999999999996</v>
      </c>
      <c r="AA276" s="1">
        <v>0.98197999999999996</v>
      </c>
      <c r="AB276" s="1">
        <v>0.96648000000000001</v>
      </c>
      <c r="AC276" s="1">
        <v>1.0257400000000001</v>
      </c>
      <c r="AD276" s="1">
        <v>1.03626</v>
      </c>
      <c r="AE276" s="1">
        <v>0.97867000000000004</v>
      </c>
      <c r="AF276" s="1">
        <v>0.93067999999999995</v>
      </c>
      <c r="AG276" s="1">
        <v>0.98358999999999996</v>
      </c>
      <c r="AH276" s="1">
        <v>0.98197999999999996</v>
      </c>
      <c r="AI276" s="1">
        <v>0.96648000000000001</v>
      </c>
      <c r="AJ276" s="1">
        <v>1.0257400000000001</v>
      </c>
      <c r="AL276" s="4" t="s">
        <v>27</v>
      </c>
      <c r="AM276" s="6" cm="1">
        <f t="array" ref="AM276">IFERROR((SUMPRODUCT(($B$253:$B$276=AM$251)*($F$250:$AJ$250="")*$F$253:$AJ$276)+IF(AM$251="P6",SUMPRODUCT(($F$250:$AJ$250="P6")*$F$253:$AJ$276),0))/(SUMPRODUCT(($B$253:$B$276=AM$251)*($F$250:$AJ$250=""))+IF(AM$251="P6",COUNTIF($F$250:$AJ$250,"P6")*ROWS($B$253:$B$276),0)),"")</f>
        <v>0.90969979797979694</v>
      </c>
      <c r="AN276" s="6" cm="1">
        <f t="array" ref="AN276">IFERROR((SUMPRODUCT(($B$253:$B$276=AN$251)*($F$250:$AJ$250="")*$F$253:$AJ$276)+IF(AN$251="P6",SUMPRODUCT(($F$250:$AJ$250="P6")*$F$253:$AJ$276),0))/(SUMPRODUCT(($B$253:$B$276=AN$251)*($F$250:$AJ$250=""))+IF(AN$251="P6",COUNTIF($F$250:$AJ$250,"P6")*ROWS($B$253:$B$276),0)),"")</f>
        <v>0.93330175324675391</v>
      </c>
      <c r="AO276" s="6" t="str" cm="1">
        <f t="array" ref="AO276">IFERROR((SUMPRODUCT(($B$253:$B$276=AO$251)*($F$250:$AJ$250="")*$F$253:$AJ$276)+IF(AO$251="P6",SUMPRODUCT(($F$250:$AJ$250="P6")*$F$253:$AJ$276),0))/(SUMPRODUCT(($B$253:$B$276=AO$251)*($F$250:$AJ$250=""))+IF(AO$251="P6",COUNTIF($F$250:$AJ$250,"P6")*ROWS($B$253:$B$276),0)),"")</f>
        <v/>
      </c>
      <c r="AP276" s="6" t="str" cm="1">
        <f t="array" ref="AP276">IFERROR((SUMPRODUCT(($B$253:$B$276=AP$251)*($F$250:$AJ$250="")*$F$253:$AJ$276)+IF(AP$251="P6",SUMPRODUCT(($F$250:$AJ$250="P6")*$F$253:$AJ$276),0))/(SUMPRODUCT(($B$253:$B$276=AP$251)*($F$250:$AJ$250=""))+IF(AP$251="P6",COUNTIF($F$250:$AJ$250,"P6")*ROWS($B$253:$B$276),0)),"")</f>
        <v/>
      </c>
      <c r="AQ276" s="6" t="str" cm="1">
        <f t="array" ref="AQ276">IFERROR((SUMPRODUCT(($B$253:$B$276=AQ$251)*($F$250:$AJ$250="")*$F$253:$AJ$276)+IF(AQ$251="P6",SUMPRODUCT(($F$250:$AJ$250="P6")*$F$253:$AJ$276),0))/(SUMPRODUCT(($B$253:$B$276=AQ$251)*($F$250:$AJ$250=""))+IF(AQ$251="P6",COUNTIF($F$250:$AJ$250,"P6")*ROWS($B$253:$B$276),0)),"")</f>
        <v/>
      </c>
      <c r="AR276" s="6" cm="1">
        <f t="array" ref="AR276">IFERROR((SUMPRODUCT(($B$253:$B$276=AR$251)*($F$250:$AJ$250="")*$F$253:$AJ$276)+IF(AR$251="P6",SUMPRODUCT(($F$250:$AJ$250="P6")*$F$253:$AJ$276),0))/(SUMPRODUCT(($B$253:$B$276=AR$251)*($F$250:$AJ$250=""))+IF(AR$251="P6",COUNTIF($F$250:$AJ$250,"P6")*ROWS($B$253:$B$276),0)),"")</f>
        <v>0.93621438775510146</v>
      </c>
    </row>
    <row r="277" spans="1:44" ht="14.25" customHeight="1" x14ac:dyDescent="0.35">
      <c r="AL277" s="4" t="s">
        <v>29</v>
      </c>
      <c r="AM277" s="6" cm="1">
        <f t="array" ref="AM277">IFERROR((SUMPRODUCT(($B$253:$B$276=AM$251)*($F$250:$AJ$250="")*$F$253:$AJ$276)+IF(AM$251="P6",SUMPRODUCT(($F$250:$AJ$250="P6")*$F$253:$AJ$276),0))/(SUMPRODUCT(($B$253:$B$276=AM$251)*($F$250:$AJ$250=""))+IF(AM$251="P6",COUNTIF($F$250:$AJ$250,"P6")*ROWS($B$253:$B$276),0)),"")</f>
        <v>0.90969979797979694</v>
      </c>
      <c r="AN277" s="6" cm="1">
        <f t="array" ref="AN277">IFERROR((SUMPRODUCT(($B$253:$B$276=AN$251)*($F$250:$AJ$250="")*$F$253:$AJ$276)+IF(AN$251="P6",SUMPRODUCT(($F$250:$AJ$250="P6")*$F$253:$AJ$276),0))/(SUMPRODUCT(($B$253:$B$276=AN$251)*($F$250:$AJ$250=""))+IF(AN$251="P6",COUNTIF($F$250:$AJ$250,"P6")*ROWS($B$253:$B$276),0)),"")</f>
        <v>0.93330175324675391</v>
      </c>
      <c r="AO277" s="6" t="str" cm="1">
        <f t="array" ref="AO277">IFERROR((SUMPRODUCT(($B$253:$B$276=AO$251)*($F$250:$AJ$250="")*$F$253:$AJ$276)+IF(AO$251="P6",SUMPRODUCT(($F$250:$AJ$250="P6")*$F$253:$AJ$276),0))/(SUMPRODUCT(($B$253:$B$276=AO$251)*($F$250:$AJ$250=""))+IF(AO$251="P6",COUNTIF($F$250:$AJ$250,"P6")*ROWS($B$253:$B$276),0)),"")</f>
        <v/>
      </c>
      <c r="AP277" s="6" t="str" cm="1">
        <f t="array" ref="AP277">IFERROR((SUMPRODUCT(($B$253:$B$276=AP$251)*($F$250:$AJ$250="")*$F$253:$AJ$276)+IF(AP$251="P6",SUMPRODUCT(($F$250:$AJ$250="P6")*$F$253:$AJ$276),0))/(SUMPRODUCT(($B$253:$B$276=AP$251)*($F$250:$AJ$250=""))+IF(AP$251="P6",COUNTIF($F$250:$AJ$250,"P6")*ROWS($B$253:$B$276),0)),"")</f>
        <v/>
      </c>
      <c r="AQ277" s="6" t="str" cm="1">
        <f t="array" ref="AQ277">IFERROR((SUMPRODUCT(($B$253:$B$276=AQ$251)*($F$250:$AJ$250="")*$F$253:$AJ$276)+IF(AQ$251="P6",SUMPRODUCT(($F$250:$AJ$250="P6")*$F$253:$AJ$276),0))/(SUMPRODUCT(($B$253:$B$276=AQ$251)*($F$250:$AJ$250=""))+IF(AQ$251="P6",COUNTIF($F$250:$AJ$250,"P6")*ROWS($B$253:$B$276),0)),"")</f>
        <v/>
      </c>
      <c r="AR277" s="6" cm="1">
        <f t="array" ref="AR277">IFERROR((SUMPRODUCT(($B$253:$B$276=AR$251)*($F$250:$AJ$250="")*$F$253:$AJ$276)+IF(AR$251="P6",SUMPRODUCT(($F$250:$AJ$250="P6")*$F$253:$AJ$276),0))/(SUMPRODUCT(($B$253:$B$276=AR$251)*($F$250:$AJ$250=""))+IF(AR$251="P6",COUNTIF($F$250:$AJ$250,"P6")*ROWS($B$253:$B$276),0)),"")</f>
        <v>0.93621438775510146</v>
      </c>
    </row>
    <row r="280" spans="1:44" ht="14" customHeight="1" x14ac:dyDescent="0.35"/>
    <row r="281" spans="1:44" ht="14.25" customHeight="1" x14ac:dyDescent="0.35">
      <c r="A281" s="15" t="s">
        <v>236</v>
      </c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</row>
    <row r="282" spans="1:44" ht="14.25" customHeight="1" x14ac:dyDescent="0.3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</row>
    <row r="283" spans="1:44" ht="14.25" customHeight="1" x14ac:dyDescent="0.35">
      <c r="AL283" s="10"/>
      <c r="AM283" s="10"/>
      <c r="AN283" s="10"/>
      <c r="AO283" s="10"/>
      <c r="AP283" s="10"/>
      <c r="AQ283" s="10"/>
      <c r="AR283" s="10"/>
    </row>
    <row r="284" spans="1:44" ht="14.25" customHeight="1" x14ac:dyDescent="0.35">
      <c r="F284" s="1" t="str">
        <f>IF(OR(F286="S",F286="D"),"P3","")</f>
        <v/>
      </c>
      <c r="G284" s="1" t="str">
        <f t="shared" ref="G284:AI284" si="29">IF(OR(G286="S",G286="D"),"P3","")</f>
        <v>P3</v>
      </c>
      <c r="H284" s="1" t="str">
        <f t="shared" si="29"/>
        <v>P3</v>
      </c>
      <c r="I284" s="1" t="str">
        <f t="shared" si="29"/>
        <v/>
      </c>
      <c r="J284" s="1" t="str">
        <f t="shared" si="29"/>
        <v/>
      </c>
      <c r="K284" s="1" t="str">
        <f t="shared" si="29"/>
        <v/>
      </c>
      <c r="L284" s="1" t="str">
        <f t="shared" si="29"/>
        <v/>
      </c>
      <c r="M284" s="1" t="str">
        <f t="shared" si="29"/>
        <v/>
      </c>
      <c r="N284" s="1" t="str">
        <f t="shared" si="29"/>
        <v>P3</v>
      </c>
      <c r="O284" s="1" t="str">
        <f t="shared" si="29"/>
        <v>P3</v>
      </c>
      <c r="P284" s="1" t="str">
        <f t="shared" si="29"/>
        <v/>
      </c>
      <c r="Q284" s="1" t="str">
        <f t="shared" si="29"/>
        <v/>
      </c>
      <c r="R284" s="1" t="str">
        <f t="shared" si="29"/>
        <v/>
      </c>
      <c r="S284" s="1" t="str">
        <f t="shared" si="29"/>
        <v/>
      </c>
      <c r="T284" s="1" t="str">
        <f t="shared" si="29"/>
        <v/>
      </c>
      <c r="U284" s="1" t="str">
        <f t="shared" si="29"/>
        <v>P3</v>
      </c>
      <c r="V284" s="1" t="str">
        <f t="shared" si="29"/>
        <v>P3</v>
      </c>
      <c r="W284" s="1" t="str">
        <f t="shared" si="29"/>
        <v/>
      </c>
      <c r="X284" s="1" t="str">
        <f t="shared" si="29"/>
        <v/>
      </c>
      <c r="Y284" s="1" t="str">
        <f t="shared" si="29"/>
        <v/>
      </c>
      <c r="Z284" s="1" t="str">
        <f t="shared" si="29"/>
        <v/>
      </c>
      <c r="AA284" s="1" t="str">
        <f t="shared" si="29"/>
        <v/>
      </c>
      <c r="AB284" s="1" t="str">
        <f t="shared" si="29"/>
        <v>P3</v>
      </c>
      <c r="AC284" s="1" t="str">
        <f t="shared" si="29"/>
        <v>P3</v>
      </c>
      <c r="AD284" s="1" t="str">
        <f t="shared" si="29"/>
        <v/>
      </c>
      <c r="AE284" s="1" t="str">
        <f t="shared" si="29"/>
        <v/>
      </c>
      <c r="AF284" s="1" t="str">
        <f t="shared" si="29"/>
        <v/>
      </c>
      <c r="AG284" s="1" t="str">
        <f t="shared" si="29"/>
        <v/>
      </c>
      <c r="AH284" s="1" t="str">
        <f t="shared" si="29"/>
        <v/>
      </c>
      <c r="AI284" s="1" t="str">
        <f t="shared" si="29"/>
        <v>P3</v>
      </c>
      <c r="AL284" s="10"/>
      <c r="AM284" s="10"/>
      <c r="AN284" s="10"/>
      <c r="AO284" s="10"/>
      <c r="AP284" s="10"/>
      <c r="AQ284" s="10"/>
      <c r="AR284" s="10"/>
    </row>
    <row r="285" spans="1:44" ht="14.25" customHeight="1" x14ac:dyDescent="0.35">
      <c r="F285" s="1" t="str">
        <f>IF(OR(F286="S",F286="D"),"P6","")</f>
        <v/>
      </c>
      <c r="G285" s="1" t="str">
        <f t="shared" ref="G285:AI285" si="30">IF(OR(G286="S",G286="D"),"P6","")</f>
        <v>P6</v>
      </c>
      <c r="H285" s="1" t="str">
        <f t="shared" si="30"/>
        <v>P6</v>
      </c>
      <c r="I285" s="1" t="str">
        <f t="shared" si="30"/>
        <v/>
      </c>
      <c r="J285" s="1" t="str">
        <f t="shared" si="30"/>
        <v/>
      </c>
      <c r="K285" s="1" t="str">
        <f t="shared" si="30"/>
        <v/>
      </c>
      <c r="L285" s="1" t="str">
        <f t="shared" si="30"/>
        <v/>
      </c>
      <c r="M285" s="1" t="str">
        <f t="shared" si="30"/>
        <v/>
      </c>
      <c r="N285" s="1" t="str">
        <f t="shared" si="30"/>
        <v>P6</v>
      </c>
      <c r="O285" s="1" t="str">
        <f t="shared" si="30"/>
        <v>P6</v>
      </c>
      <c r="P285" s="1" t="str">
        <f t="shared" si="30"/>
        <v/>
      </c>
      <c r="Q285" s="1" t="str">
        <f t="shared" si="30"/>
        <v/>
      </c>
      <c r="R285" s="1" t="str">
        <f t="shared" si="30"/>
        <v/>
      </c>
      <c r="S285" s="1" t="str">
        <f t="shared" si="30"/>
        <v/>
      </c>
      <c r="T285" s="1" t="str">
        <f t="shared" si="30"/>
        <v/>
      </c>
      <c r="U285" s="1" t="str">
        <f t="shared" si="30"/>
        <v>P6</v>
      </c>
      <c r="V285" s="1" t="str">
        <f t="shared" si="30"/>
        <v>P6</v>
      </c>
      <c r="W285" s="1" t="str">
        <f t="shared" si="30"/>
        <v/>
      </c>
      <c r="X285" s="1" t="str">
        <f t="shared" si="30"/>
        <v/>
      </c>
      <c r="Y285" s="1" t="str">
        <f t="shared" si="30"/>
        <v/>
      </c>
      <c r="Z285" s="1" t="str">
        <f t="shared" si="30"/>
        <v/>
      </c>
      <c r="AA285" s="1" t="str">
        <f t="shared" si="30"/>
        <v/>
      </c>
      <c r="AB285" s="1" t="str">
        <f t="shared" si="30"/>
        <v>P6</v>
      </c>
      <c r="AC285" s="1" t="str">
        <f t="shared" si="30"/>
        <v>P6</v>
      </c>
      <c r="AD285" s="1" t="str">
        <f t="shared" si="30"/>
        <v/>
      </c>
      <c r="AE285" s="1" t="str">
        <f t="shared" si="30"/>
        <v/>
      </c>
      <c r="AF285" s="1" t="str">
        <f t="shared" si="30"/>
        <v/>
      </c>
      <c r="AG285" s="1" t="str">
        <f t="shared" si="30"/>
        <v/>
      </c>
      <c r="AH285" s="1" t="str">
        <f t="shared" si="30"/>
        <v/>
      </c>
      <c r="AI285" s="1" t="str">
        <f t="shared" si="30"/>
        <v>P6</v>
      </c>
      <c r="AL285" s="14" t="s">
        <v>237</v>
      </c>
      <c r="AM285" s="14"/>
      <c r="AN285" s="14"/>
      <c r="AO285" s="14"/>
      <c r="AP285" s="14"/>
      <c r="AQ285" s="14"/>
      <c r="AR285" s="14"/>
    </row>
    <row r="286" spans="1:44" ht="14.25" customHeight="1" x14ac:dyDescent="0.35">
      <c r="F286" s="1" t="str">
        <f>CHOOSE(WEEKDAY(F287,2),"L","M","X","J","V","S","D")</f>
        <v>V</v>
      </c>
      <c r="G286" s="1" t="str">
        <f t="shared" ref="G286:AI286" si="31">CHOOSE(WEEKDAY(G287,2),"L","M","X","J","V","S","D")</f>
        <v>S</v>
      </c>
      <c r="H286" s="1" t="str">
        <f t="shared" si="31"/>
        <v>D</v>
      </c>
      <c r="I286" s="1" t="str">
        <f t="shared" si="31"/>
        <v>L</v>
      </c>
      <c r="J286" s="1" t="str">
        <f t="shared" si="31"/>
        <v>M</v>
      </c>
      <c r="K286" s="1" t="str">
        <f t="shared" si="31"/>
        <v>X</v>
      </c>
      <c r="L286" s="1" t="str">
        <f t="shared" si="31"/>
        <v>J</v>
      </c>
      <c r="M286" s="1" t="str">
        <f t="shared" si="31"/>
        <v>V</v>
      </c>
      <c r="N286" s="1" t="str">
        <f t="shared" si="31"/>
        <v>S</v>
      </c>
      <c r="O286" s="1" t="str">
        <f t="shared" si="31"/>
        <v>D</v>
      </c>
      <c r="P286" s="1" t="str">
        <f t="shared" si="31"/>
        <v>L</v>
      </c>
      <c r="Q286" s="1" t="str">
        <f t="shared" si="31"/>
        <v>M</v>
      </c>
      <c r="R286" s="1" t="str">
        <f t="shared" si="31"/>
        <v>X</v>
      </c>
      <c r="S286" s="1" t="str">
        <f t="shared" si="31"/>
        <v>J</v>
      </c>
      <c r="T286" s="1" t="str">
        <f t="shared" si="31"/>
        <v>V</v>
      </c>
      <c r="U286" s="1" t="str">
        <f t="shared" si="31"/>
        <v>S</v>
      </c>
      <c r="V286" s="1" t="str">
        <f t="shared" si="31"/>
        <v>D</v>
      </c>
      <c r="W286" s="1" t="str">
        <f t="shared" si="31"/>
        <v>L</v>
      </c>
      <c r="X286" s="1" t="str">
        <f t="shared" si="31"/>
        <v>M</v>
      </c>
      <c r="Y286" s="1" t="str">
        <f t="shared" si="31"/>
        <v>X</v>
      </c>
      <c r="Z286" s="1" t="str">
        <f t="shared" si="31"/>
        <v>J</v>
      </c>
      <c r="AA286" s="1" t="str">
        <f t="shared" si="31"/>
        <v>V</v>
      </c>
      <c r="AB286" s="1" t="str">
        <f t="shared" si="31"/>
        <v>S</v>
      </c>
      <c r="AC286" s="1" t="str">
        <f t="shared" si="31"/>
        <v>D</v>
      </c>
      <c r="AD286" s="1" t="str">
        <f t="shared" si="31"/>
        <v>L</v>
      </c>
      <c r="AE286" s="1" t="str">
        <f t="shared" si="31"/>
        <v>M</v>
      </c>
      <c r="AF286" s="1" t="str">
        <f t="shared" si="31"/>
        <v>X</v>
      </c>
      <c r="AG286" s="1" t="str">
        <f t="shared" si="31"/>
        <v>J</v>
      </c>
      <c r="AH286" s="1" t="str">
        <f t="shared" si="31"/>
        <v>V</v>
      </c>
      <c r="AI286" s="1" t="str">
        <f t="shared" si="31"/>
        <v>S</v>
      </c>
      <c r="AL286" s="4"/>
      <c r="AM286" s="4" t="s">
        <v>13</v>
      </c>
      <c r="AN286" s="4" t="s">
        <v>14</v>
      </c>
      <c r="AO286" s="4" t="s">
        <v>15</v>
      </c>
      <c r="AP286" s="4" t="s">
        <v>16</v>
      </c>
      <c r="AQ286" s="4" t="s">
        <v>17</v>
      </c>
      <c r="AR286" s="4" t="s">
        <v>7</v>
      </c>
    </row>
    <row r="287" spans="1:44" ht="14.25" customHeight="1" x14ac:dyDescent="0.35">
      <c r="A287" s="3" t="s">
        <v>76</v>
      </c>
      <c r="B287" s="3" t="s">
        <v>77</v>
      </c>
      <c r="C287" s="3" t="s">
        <v>75</v>
      </c>
      <c r="D287" s="3" t="s">
        <v>74</v>
      </c>
      <c r="F287" s="8">
        <v>45170</v>
      </c>
      <c r="G287" s="8">
        <v>45171</v>
      </c>
      <c r="H287" s="8">
        <v>45172</v>
      </c>
      <c r="I287" s="8">
        <v>45173</v>
      </c>
      <c r="J287" s="8">
        <v>45174</v>
      </c>
      <c r="K287" s="8">
        <v>45175</v>
      </c>
      <c r="L287" s="8">
        <v>45176</v>
      </c>
      <c r="M287" s="8">
        <v>45177</v>
      </c>
      <c r="N287" s="8">
        <v>45178</v>
      </c>
      <c r="O287" s="8">
        <v>45179</v>
      </c>
      <c r="P287" s="8">
        <v>45180</v>
      </c>
      <c r="Q287" s="8">
        <v>45181</v>
      </c>
      <c r="R287" s="8">
        <v>45182</v>
      </c>
      <c r="S287" s="8">
        <v>45183</v>
      </c>
      <c r="T287" s="8">
        <v>45184</v>
      </c>
      <c r="U287" s="8">
        <v>45185</v>
      </c>
      <c r="V287" s="8">
        <v>45186</v>
      </c>
      <c r="W287" s="8">
        <v>45187</v>
      </c>
      <c r="X287" s="8">
        <v>45188</v>
      </c>
      <c r="Y287" s="8">
        <v>45189</v>
      </c>
      <c r="Z287" s="8">
        <v>45190</v>
      </c>
      <c r="AA287" s="8">
        <v>45191</v>
      </c>
      <c r="AB287" s="8">
        <v>45192</v>
      </c>
      <c r="AC287" s="8">
        <v>45193</v>
      </c>
      <c r="AD287" s="8">
        <v>45194</v>
      </c>
      <c r="AE287" s="8">
        <v>45195</v>
      </c>
      <c r="AF287" s="8">
        <v>45196</v>
      </c>
      <c r="AG287" s="8">
        <v>45197</v>
      </c>
      <c r="AH287" s="8">
        <v>45198</v>
      </c>
      <c r="AI287" s="8">
        <v>45199</v>
      </c>
      <c r="AL287" s="4" t="s">
        <v>19</v>
      </c>
      <c r="AM287" s="6" cm="1">
        <f t="array" ref="AM287">IFERROR((SUMPRODUCT(($C$288:$C$311=AM$286)*($F$284:$AI$284="")*$F$288:$AI$311)+IF(AM$286="P3",SUMPRODUCT(($F$284:$AI$284="P3")*$F$288:$AI$311),0))/(SUMPRODUCT(($C$288:$C$311=AM$286)*($F$284:$AI$284=""))+IF(AM$286="P3",COUNTIF($F$284:$AI$284,"P3")*ROWS($C$288:$C$311),0)),"")</f>
        <v>0.87713875000000008</v>
      </c>
      <c r="AN287" s="6" cm="1">
        <f t="array" ref="AN287">IFERROR((SUMPRODUCT(($C$288:$C$311=AN$286)*($F$284:$AI$284="")*$F$288:$AI$311)+IF(AN$286="P3",SUMPRODUCT(($F$284:$AI$284="P3")*$F$288:$AI$311),0))/(SUMPRODUCT(($C$288:$C$311=AN$286)*($F$284:$AI$284=""))+IF(AN$286="P3",COUNTIF($F$284:$AI$284,"P3")*ROWS($C$288:$C$311),0)),"")</f>
        <v>0.90490928571428464</v>
      </c>
      <c r="AO287" s="6" cm="1">
        <f t="array" ref="AO287">IFERROR((SUMPRODUCT(($C$288:$C$311=AO$286)*($F$284:$AI$284="")*$F$288:$AI$311)+IF(AO$286="P3",SUMPRODUCT(($F$284:$AI$284="P3")*$F$288:$AI$311),0))/(SUMPRODUCT(($C$288:$C$311=AO$286)*($F$284:$AI$284=""))+IF(AO$286="P3",COUNTIF($F$284:$AI$284,"P3")*ROWS($C$288:$C$311),0)),"")</f>
        <v>0.93696283854166695</v>
      </c>
      <c r="AP287" s="6" t="str" cm="1">
        <f t="array" ref="AP287">IFERROR((SUMPRODUCT(($C$288:$C$311=AP$286)*($F$284:$AI$284="")*$F$288:$AI$311)+IF(AP$286="P3",SUMPRODUCT(($F$284:$AI$284="P3")*$F$288:$AI$311),0))/(SUMPRODUCT(($C$288:$C$311=AP$286)*($F$284:$AI$284=""))+IF(AP$286="P3",COUNTIF($F$284:$AI$284,"P3")*ROWS($C$288:$C$311),0)),"")</f>
        <v/>
      </c>
      <c r="AQ287" s="6" t="str" cm="1">
        <f t="array" ref="AQ287">IFERROR((SUMPRODUCT(($C$288:$C$311=AQ$286)*($F$284:$AI$284="")*$F$288:$AI$311)+IF(AQ$286="P3",SUMPRODUCT(($F$284:$AI$284="P3")*$F$288:$AI$311),0))/(SUMPRODUCT(($C$288:$C$311=AQ$286)*($F$284:$AI$284=""))+IF(AQ$286="P3",COUNTIF($F$284:$AI$284,"P3")*ROWS($C$288:$C$311),0)),"")</f>
        <v/>
      </c>
      <c r="AR287" s="6" t="str" cm="1">
        <f t="array" ref="AR287">IFERROR((SUMPRODUCT(($C$288:$C$311=AR$286)*($F$284:$AI$284="")*$F$288:$AI$311)+IF(AR$286="P3",SUMPRODUCT(($F$284:$AI$284="P3")*$F$288:$AI$311),0))/(SUMPRODUCT(($C$288:$C$311=AR$286)*($F$284:$AI$284=""))+IF(AR$286="P3",COUNTIF($F$284:$AI$284,"P3")*ROWS($C$288:$C$311),0)),"")</f>
        <v/>
      </c>
    </row>
    <row r="288" spans="1:44" ht="14.25" customHeight="1" x14ac:dyDescent="0.35">
      <c r="A288" s="1" t="s">
        <v>7</v>
      </c>
      <c r="B288" s="1" t="s">
        <v>7</v>
      </c>
      <c r="C288" s="1" t="s">
        <v>15</v>
      </c>
      <c r="D288" s="1" t="s">
        <v>7</v>
      </c>
      <c r="E288" s="1" t="s">
        <v>8</v>
      </c>
      <c r="F288" s="1">
        <v>0.93603000000000003</v>
      </c>
      <c r="G288" s="1">
        <v>0.97326000000000001</v>
      </c>
      <c r="H288" s="1">
        <v>0.98533999999999999</v>
      </c>
      <c r="I288" s="1">
        <v>0.96235000000000004</v>
      </c>
      <c r="J288" s="1">
        <v>0.90361000000000002</v>
      </c>
      <c r="K288" s="1">
        <v>0.90285000000000004</v>
      </c>
      <c r="L288" s="1">
        <v>0.90278999999999998</v>
      </c>
      <c r="M288" s="1">
        <v>0.93603000000000003</v>
      </c>
      <c r="N288" s="1">
        <v>0.97326000000000001</v>
      </c>
      <c r="O288" s="1">
        <v>0.98533999999999999</v>
      </c>
      <c r="P288" s="1">
        <v>0.96235000000000004</v>
      </c>
      <c r="Q288" s="1">
        <v>0.90361000000000002</v>
      </c>
      <c r="R288" s="1">
        <v>0.90285000000000004</v>
      </c>
      <c r="S288" s="1">
        <v>0.90278999999999998</v>
      </c>
      <c r="T288" s="1">
        <v>0.93603000000000003</v>
      </c>
      <c r="U288" s="1">
        <v>0.97326000000000001</v>
      </c>
      <c r="V288" s="1">
        <v>0.98533999999999999</v>
      </c>
      <c r="W288" s="1">
        <v>0.96235000000000004</v>
      </c>
      <c r="X288" s="1">
        <v>0.90361000000000002</v>
      </c>
      <c r="Y288" s="1">
        <v>0.90285000000000004</v>
      </c>
      <c r="Z288" s="1">
        <v>0.90278999999999998</v>
      </c>
      <c r="AA288" s="1">
        <v>0.93603000000000003</v>
      </c>
      <c r="AB288" s="1">
        <v>0.97326000000000001</v>
      </c>
      <c r="AC288" s="1">
        <v>0.98533999999999999</v>
      </c>
      <c r="AD288" s="1">
        <v>0.96235000000000004</v>
      </c>
      <c r="AE288" s="1">
        <v>0.90361000000000002</v>
      </c>
      <c r="AF288" s="1">
        <v>0.90285000000000004</v>
      </c>
      <c r="AG288" s="1">
        <v>0.90278999999999998</v>
      </c>
      <c r="AH288" s="1">
        <v>0.93603000000000003</v>
      </c>
      <c r="AI288" s="1">
        <v>0.97326000000000001</v>
      </c>
      <c r="AL288" s="4" t="s">
        <v>21</v>
      </c>
      <c r="AM288" s="6" t="str" cm="1">
        <f t="array" ref="AM288">IFERROR((SUMPRODUCT(($D$288:$D$311=AM$286)*($F$285:$AI$285="")*$F$288:$AI$311)+IF(AM$286="P6",SUMPRODUCT(($F$285:$AI$285="P6")*$F$288:$AI$311),0))/(SUMPRODUCT(($D$288:$D$311=AM$286)*($F$285:$AI$285=""))+IF(AM$286="P6",COUNTIF($F$285:$AI$285,"P6")*ROWS($D$288:$D$311),0)),"")</f>
        <v/>
      </c>
      <c r="AN288" s="6" t="str" cm="1">
        <f t="array" ref="AN288">IFERROR((SUMPRODUCT(($D$288:$D$311=AN$286)*($F$285:$AI$285="")*$F$288:$AI$311)+IF(AN$286="P6",SUMPRODUCT(($F$285:$AI$285="P6")*$F$288:$AI$311),0))/(SUMPRODUCT(($D$288:$D$311=AN$286)*($F$285:$AI$285=""))+IF(AN$286="P6",COUNTIF($F$285:$AI$285,"P6")*ROWS($D$288:$D$311),0)),"")</f>
        <v/>
      </c>
      <c r="AO288" s="6" cm="1">
        <f t="array" ref="AO288">IFERROR((SUMPRODUCT(($D$288:$D$311=AO$286)*($F$285:$AI$285="")*$F$288:$AI$311)+IF(AO$286="P6",SUMPRODUCT(($F$285:$AI$285="P6")*$F$288:$AI$311),0))/(SUMPRODUCT(($D$288:$D$311=AO$286)*($F$285:$AI$285=""))+IF(AO$286="P6",COUNTIF($F$285:$AI$285,"P6")*ROWS($D$288:$D$311),0)),"")</f>
        <v>0.87588619047619043</v>
      </c>
      <c r="AP288" s="6" cm="1">
        <f t="array" ref="AP288">IFERROR((SUMPRODUCT(($D$288:$D$311=AP$286)*($F$285:$AI$285="")*$F$288:$AI$311)+IF(AP$286="P6",SUMPRODUCT(($F$285:$AI$285="P6")*$F$288:$AI$311),0))/(SUMPRODUCT(($D$288:$D$311=AP$286)*($F$285:$AI$285=""))+IF(AP$286="P6",COUNTIF($F$285:$AI$285,"P6")*ROWS($D$288:$D$311),0)),"")</f>
        <v>0.91048693877551035</v>
      </c>
      <c r="AQ288" s="6" t="str" cm="1">
        <f t="array" ref="AQ288">IFERROR((SUMPRODUCT(($D$288:$D$311=AQ$286)*($F$285:$AI$285="")*$F$288:$AI$311)+IF(AQ$286="P6",SUMPRODUCT(($F$285:$AI$285="P6")*$F$288:$AI$311),0))/(SUMPRODUCT(($D$288:$D$311=AQ$286)*($F$285:$AI$285=""))+IF(AQ$286="P6",COUNTIF($F$285:$AI$285,"P6")*ROWS($D$288:$D$311),0)),"")</f>
        <v/>
      </c>
      <c r="AR288" s="6" cm="1">
        <f t="array" ref="AR288">IFERROR((SUMPRODUCT(($D$288:$D$311=AR$286)*($F$285:$AI$285="")*$F$288:$AI$311)+IF(AR$286="P6",SUMPRODUCT(($F$285:$AI$285="P6")*$F$288:$AI$311),0))/(SUMPRODUCT(($D$288:$D$311=AR$286)*($F$285:$AI$285=""))+IF(AR$286="P6",COUNTIF($F$285:$AI$285,"P6")*ROWS($D$288:$D$311),0)),"")</f>
        <v>0.93696283854166695</v>
      </c>
    </row>
    <row r="289" spans="1:44" ht="14.25" customHeight="1" x14ac:dyDescent="0.35">
      <c r="A289" s="1" t="s">
        <v>7</v>
      </c>
      <c r="B289" s="1" t="s">
        <v>7</v>
      </c>
      <c r="C289" s="1" t="s">
        <v>15</v>
      </c>
      <c r="D289" s="1" t="s">
        <v>7</v>
      </c>
      <c r="E289" s="1" t="s">
        <v>9</v>
      </c>
      <c r="F289" s="1">
        <v>0.96394000000000002</v>
      </c>
      <c r="G289" s="1">
        <v>0.99817999999999996</v>
      </c>
      <c r="H289" s="1">
        <v>1.00918</v>
      </c>
      <c r="I289" s="1">
        <v>1.0053399999999999</v>
      </c>
      <c r="J289" s="1">
        <v>0.94274999999999998</v>
      </c>
      <c r="K289" s="1">
        <v>0.94659000000000004</v>
      </c>
      <c r="L289" s="1">
        <v>0.93501999999999996</v>
      </c>
      <c r="M289" s="1">
        <v>0.96394000000000002</v>
      </c>
      <c r="N289" s="1">
        <v>0.99817999999999996</v>
      </c>
      <c r="O289" s="1">
        <v>1.00918</v>
      </c>
      <c r="P289" s="1">
        <v>1.0053399999999999</v>
      </c>
      <c r="Q289" s="1">
        <v>0.94274999999999998</v>
      </c>
      <c r="R289" s="1">
        <v>0.94659000000000004</v>
      </c>
      <c r="S289" s="1">
        <v>0.93501999999999996</v>
      </c>
      <c r="T289" s="1">
        <v>0.96394000000000002</v>
      </c>
      <c r="U289" s="1">
        <v>0.99817999999999996</v>
      </c>
      <c r="V289" s="1">
        <v>1.00918</v>
      </c>
      <c r="W289" s="1">
        <v>1.0053399999999999</v>
      </c>
      <c r="X289" s="1">
        <v>0.94274999999999998</v>
      </c>
      <c r="Y289" s="1">
        <v>0.94659000000000004</v>
      </c>
      <c r="Z289" s="1">
        <v>0.93501999999999996</v>
      </c>
      <c r="AA289" s="1">
        <v>0.96394000000000002</v>
      </c>
      <c r="AB289" s="1">
        <v>0.99817999999999996</v>
      </c>
      <c r="AC289" s="1">
        <v>1.00918</v>
      </c>
      <c r="AD289" s="1">
        <v>1.0053399999999999</v>
      </c>
      <c r="AE289" s="1">
        <v>0.94274999999999998</v>
      </c>
      <c r="AF289" s="1">
        <v>0.94659000000000004</v>
      </c>
      <c r="AG289" s="1">
        <v>0.93501999999999996</v>
      </c>
      <c r="AH289" s="1">
        <v>0.96394000000000002</v>
      </c>
      <c r="AI289" s="1">
        <v>0.99817999999999996</v>
      </c>
      <c r="AL289" s="4" t="s">
        <v>23</v>
      </c>
      <c r="AM289" s="6" t="str" cm="1">
        <f t="array" ref="AM289">IFERROR((SUMPRODUCT(($D$288:$D$311=AM$286)*($F$285:$AI$285="")*$F$288:$AI$311)+IF(AM$286="P6",SUMPRODUCT(($F$285:$AI$285="P6")*$F$288:$AI$311),0))/(SUMPRODUCT(($D$288:$D$311=AM$286)*($F$285:$AI$285=""))+IF(AM$286="P6",COUNTIF($F$285:$AI$285,"P6")*ROWS($D$288:$D$311),0)),"")</f>
        <v/>
      </c>
      <c r="AN289" s="6" t="str" cm="1">
        <f t="array" ref="AN289">IFERROR((SUMPRODUCT(($D$288:$D$311=AN$286)*($F$285:$AI$285="")*$F$288:$AI$311)+IF(AN$286="P6",SUMPRODUCT(($F$285:$AI$285="P6")*$F$288:$AI$311),0))/(SUMPRODUCT(($D$288:$D$311=AN$286)*($F$285:$AI$285=""))+IF(AN$286="P6",COUNTIF($F$285:$AI$285,"P6")*ROWS($D$288:$D$311),0)),"")</f>
        <v/>
      </c>
      <c r="AO289" s="5" cm="1">
        <f t="array" ref="AO289">IFERROR((SUMPRODUCT(($D$288:$D$311=AO$286)*($F$285:$AI$285="")*$F$288:$AI$311)+IF(AO$286="P6",SUMPRODUCT(($F$285:$AI$285="P6")*$F$288:$AI$311),0))/(SUMPRODUCT(($D$288:$D$311=AO$286)*($F$285:$AI$285=""))+IF(AO$286="P6",COUNTIF($F$285:$AI$285,"P6")*ROWS($D$288:$D$311),0)),"")</f>
        <v>0.87588619047619043</v>
      </c>
      <c r="AP289" s="5" cm="1">
        <f t="array" ref="AP289">IFERROR((SUMPRODUCT(($D$288:$D$311=AP$286)*($F$285:$AI$285="")*$F$288:$AI$311)+IF(AP$286="P6",SUMPRODUCT(($F$285:$AI$285="P6")*$F$288:$AI$311),0))/(SUMPRODUCT(($D$288:$D$311=AP$286)*($F$285:$AI$285=""))+IF(AP$286="P6",COUNTIF($F$285:$AI$285,"P6")*ROWS($D$288:$D$311),0)),"")</f>
        <v>0.91048693877551035</v>
      </c>
      <c r="AQ289" s="5" t="str" cm="1">
        <f t="array" ref="AQ289">IFERROR((SUMPRODUCT(($D$288:$D$311=AQ$286)*($F$285:$AI$285="")*$F$288:$AI$311)+IF(AQ$286="P6",SUMPRODUCT(($F$285:$AI$285="P6")*$F$288:$AI$311),0))/(SUMPRODUCT(($D$288:$D$311=AQ$286)*($F$285:$AI$285=""))+IF(AQ$286="P6",COUNTIF($F$285:$AI$285,"P6")*ROWS($D$288:$D$311),0)),"")</f>
        <v/>
      </c>
      <c r="AR289" s="6" cm="1">
        <f t="array" ref="AR289">IFERROR((SUMPRODUCT(($D$288:$D$311=AR$286)*($F$285:$AI$285="")*$F$288:$AI$311)+IF(AR$286="P6",SUMPRODUCT(($F$285:$AI$285="P6")*$F$288:$AI$311),0))/(SUMPRODUCT(($D$288:$D$311=AR$286)*($F$285:$AI$285=""))+IF(AR$286="P6",COUNTIF($F$285:$AI$285,"P6")*ROWS($D$288:$D$311),0)),"")</f>
        <v>0.93696283854166695</v>
      </c>
    </row>
    <row r="290" spans="1:44" ht="14.25" customHeight="1" x14ac:dyDescent="0.35">
      <c r="A290" s="1" t="s">
        <v>7</v>
      </c>
      <c r="B290" s="1" t="s">
        <v>7</v>
      </c>
      <c r="C290" s="1" t="s">
        <v>15</v>
      </c>
      <c r="D290" s="1" t="s">
        <v>7</v>
      </c>
      <c r="E290" s="1" t="s">
        <v>10</v>
      </c>
      <c r="F290" s="1">
        <v>0.97858000000000001</v>
      </c>
      <c r="G290" s="1">
        <v>1.0025999999999999</v>
      </c>
      <c r="H290" s="1">
        <v>1.0328900000000001</v>
      </c>
      <c r="I290" s="1">
        <v>1.01217</v>
      </c>
      <c r="J290" s="1">
        <v>0.96428999999999998</v>
      </c>
      <c r="K290" s="1">
        <v>0.95928999999999998</v>
      </c>
      <c r="L290" s="1">
        <v>0.95157999999999998</v>
      </c>
      <c r="M290" s="1">
        <v>0.97858000000000001</v>
      </c>
      <c r="N290" s="1">
        <v>1.0025999999999999</v>
      </c>
      <c r="O290" s="1">
        <v>1.0328900000000001</v>
      </c>
      <c r="P290" s="1">
        <v>1.01217</v>
      </c>
      <c r="Q290" s="1">
        <v>0.96428999999999998</v>
      </c>
      <c r="R290" s="1">
        <v>0.95928999999999998</v>
      </c>
      <c r="S290" s="1">
        <v>0.95157999999999998</v>
      </c>
      <c r="T290" s="1">
        <v>0.97858000000000001</v>
      </c>
      <c r="U290" s="1">
        <v>1.0025999999999999</v>
      </c>
      <c r="V290" s="1">
        <v>1.0328900000000001</v>
      </c>
      <c r="W290" s="1">
        <v>1.01217</v>
      </c>
      <c r="X290" s="1">
        <v>0.96428999999999998</v>
      </c>
      <c r="Y290" s="1">
        <v>0.95928999999999998</v>
      </c>
      <c r="Z290" s="1">
        <v>0.95157999999999998</v>
      </c>
      <c r="AA290" s="1">
        <v>0.97858000000000001</v>
      </c>
      <c r="AB290" s="1">
        <v>1.0025999999999999</v>
      </c>
      <c r="AC290" s="1">
        <v>1.0328900000000001</v>
      </c>
      <c r="AD290" s="1">
        <v>1.01217</v>
      </c>
      <c r="AE290" s="1">
        <v>0.96428999999999998</v>
      </c>
      <c r="AF290" s="1">
        <v>0.95928999999999998</v>
      </c>
      <c r="AG290" s="1">
        <v>0.95157999999999998</v>
      </c>
      <c r="AH290" s="1">
        <v>0.97858000000000001</v>
      </c>
      <c r="AI290" s="1">
        <v>1.0025999999999999</v>
      </c>
      <c r="AL290" s="4" t="s">
        <v>25</v>
      </c>
      <c r="AM290" s="6" t="str" cm="1">
        <f t="array" ref="AM290">IFERROR((SUMPRODUCT(($D$288:$D$311=AM$286)*($F$285:$AI$285="")*$F$288:$AI$311)+IF(AM$286="P6",SUMPRODUCT(($F$285:$AI$285="P6")*$F$288:$AI$311),0))/(SUMPRODUCT(($D$288:$D$311=AM$286)*($F$285:$AI$285=""))+IF(AM$286="P6",COUNTIF($F$285:$AI$285,"P6")*ROWS($D$288:$D$311),0)),"")</f>
        <v/>
      </c>
      <c r="AN290" s="6" t="str" cm="1">
        <f t="array" ref="AN290">IFERROR((SUMPRODUCT(($D$288:$D$311=AN$286)*($F$285:$AI$285="")*$F$288:$AI$311)+IF(AN$286="P6",SUMPRODUCT(($F$285:$AI$285="P6")*$F$288:$AI$311),0))/(SUMPRODUCT(($D$288:$D$311=AN$286)*($F$285:$AI$285=""))+IF(AN$286="P6",COUNTIF($F$285:$AI$285,"P6")*ROWS($D$288:$D$311),0)),"")</f>
        <v/>
      </c>
      <c r="AO290" s="5" cm="1">
        <f t="array" ref="AO290">IFERROR((SUMPRODUCT(($D$288:$D$311=AO$286)*($F$285:$AI$285="")*$F$288:$AI$311)+IF(AO$286="P6",SUMPRODUCT(($F$285:$AI$285="P6")*$F$288:$AI$311),0))/(SUMPRODUCT(($D$288:$D$311=AO$286)*($F$285:$AI$285=""))+IF(AO$286="P6",COUNTIF($F$285:$AI$285,"P6")*ROWS($D$288:$D$311),0)),"")</f>
        <v>0.87588619047619043</v>
      </c>
      <c r="AP290" s="5" cm="1">
        <f t="array" ref="AP290">IFERROR((SUMPRODUCT(($D$288:$D$311=AP$286)*($F$285:$AI$285="")*$F$288:$AI$311)+IF(AP$286="P6",SUMPRODUCT(($F$285:$AI$285="P6")*$F$288:$AI$311),0))/(SUMPRODUCT(($D$288:$D$311=AP$286)*($F$285:$AI$285=""))+IF(AP$286="P6",COUNTIF($F$285:$AI$285,"P6")*ROWS($D$288:$D$311),0)),"")</f>
        <v>0.91048693877551035</v>
      </c>
      <c r="AQ290" s="5" t="str" cm="1">
        <f t="array" ref="AQ290">IFERROR((SUMPRODUCT(($D$288:$D$311=AQ$286)*($F$285:$AI$285="")*$F$288:$AI$311)+IF(AQ$286="P6",SUMPRODUCT(($F$285:$AI$285="P6")*$F$288:$AI$311),0))/(SUMPRODUCT(($D$288:$D$311=AQ$286)*($F$285:$AI$285=""))+IF(AQ$286="P6",COUNTIF($F$285:$AI$285,"P6")*ROWS($D$288:$D$311),0)),"")</f>
        <v/>
      </c>
      <c r="AR290" s="6" cm="1">
        <f t="array" ref="AR290">IFERROR((SUMPRODUCT(($D$288:$D$311=AR$286)*($F$285:$AI$285="")*$F$288:$AI$311)+IF(AR$286="P6",SUMPRODUCT(($F$285:$AI$285="P6")*$F$288:$AI$311),0))/(SUMPRODUCT(($D$288:$D$311=AR$286)*($F$285:$AI$285=""))+IF(AR$286="P6",COUNTIF($F$285:$AI$285,"P6")*ROWS($D$288:$D$311),0)),"")</f>
        <v>0.93696283854166695</v>
      </c>
    </row>
    <row r="291" spans="1:44" ht="14.25" customHeight="1" x14ac:dyDescent="0.35">
      <c r="A291" s="1" t="s">
        <v>7</v>
      </c>
      <c r="B291" s="1" t="s">
        <v>7</v>
      </c>
      <c r="C291" s="1" t="s">
        <v>15</v>
      </c>
      <c r="D291" s="1" t="s">
        <v>7</v>
      </c>
      <c r="E291" s="1" t="s">
        <v>11</v>
      </c>
      <c r="F291" s="1">
        <v>0.98456999999999995</v>
      </c>
      <c r="G291" s="1">
        <v>1.0178700000000001</v>
      </c>
      <c r="H291" s="1">
        <v>1.03854</v>
      </c>
      <c r="I291" s="1">
        <v>1.0172000000000001</v>
      </c>
      <c r="J291" s="1">
        <v>0.96960000000000002</v>
      </c>
      <c r="K291" s="1">
        <v>0.96614999999999995</v>
      </c>
      <c r="L291" s="1">
        <v>0.95881000000000005</v>
      </c>
      <c r="M291" s="1">
        <v>0.98456999999999995</v>
      </c>
      <c r="N291" s="1">
        <v>1.0178700000000001</v>
      </c>
      <c r="O291" s="1">
        <v>1.03854</v>
      </c>
      <c r="P291" s="1">
        <v>1.0172000000000001</v>
      </c>
      <c r="Q291" s="1">
        <v>0.96960000000000002</v>
      </c>
      <c r="R291" s="1">
        <v>0.96614999999999995</v>
      </c>
      <c r="S291" s="1">
        <v>0.95881000000000005</v>
      </c>
      <c r="T291" s="1">
        <v>0.98456999999999995</v>
      </c>
      <c r="U291" s="1">
        <v>1.0178700000000001</v>
      </c>
      <c r="V291" s="1">
        <v>1.03854</v>
      </c>
      <c r="W291" s="1">
        <v>1.0172000000000001</v>
      </c>
      <c r="X291" s="1">
        <v>0.96960000000000002</v>
      </c>
      <c r="Y291" s="1">
        <v>0.96614999999999995</v>
      </c>
      <c r="Z291" s="1">
        <v>0.95881000000000005</v>
      </c>
      <c r="AA291" s="1">
        <v>0.98456999999999995</v>
      </c>
      <c r="AB291" s="1">
        <v>1.0178700000000001</v>
      </c>
      <c r="AC291" s="1">
        <v>1.03854</v>
      </c>
      <c r="AD291" s="1">
        <v>1.0172000000000001</v>
      </c>
      <c r="AE291" s="1">
        <v>0.96960000000000002</v>
      </c>
      <c r="AF291" s="1">
        <v>0.96614999999999995</v>
      </c>
      <c r="AG291" s="1">
        <v>0.95881000000000005</v>
      </c>
      <c r="AH291" s="1">
        <v>0.98456999999999995</v>
      </c>
      <c r="AI291" s="1">
        <v>1.0178700000000001</v>
      </c>
      <c r="AL291" s="4" t="s">
        <v>27</v>
      </c>
      <c r="AM291" s="6" t="str" cm="1">
        <f t="array" ref="AM291">IFERROR((SUMPRODUCT(($D$288:$D$311=AM$286)*($F$285:$AI$285="")*$F$288:$AI$311)+IF(AM$286="P6",SUMPRODUCT(($F$285:$AI$285="P6")*$F$288:$AI$311),0))/(SUMPRODUCT(($D$288:$D$311=AM$286)*($F$285:$AI$285=""))+IF(AM$286="P6",COUNTIF($F$285:$AI$285,"P6")*ROWS($D$288:$D$311),0)),"")</f>
        <v/>
      </c>
      <c r="AN291" s="6" t="str" cm="1">
        <f t="array" ref="AN291">IFERROR((SUMPRODUCT(($D$288:$D$311=AN$286)*($F$285:$AI$285="")*$F$288:$AI$311)+IF(AN$286="P6",SUMPRODUCT(($F$285:$AI$285="P6")*$F$288:$AI$311),0))/(SUMPRODUCT(($D$288:$D$311=AN$286)*($F$285:$AI$285=""))+IF(AN$286="P6",COUNTIF($F$285:$AI$285,"P6")*ROWS($D$288:$D$311),0)),"")</f>
        <v/>
      </c>
      <c r="AO291" s="5" cm="1">
        <f t="array" ref="AO291">IFERROR((SUMPRODUCT(($D$288:$D$311=AO$286)*($F$285:$AI$285="")*$F$288:$AI$311)+IF(AO$286="P6",SUMPRODUCT(($F$285:$AI$285="P6")*$F$288:$AI$311),0))/(SUMPRODUCT(($D$288:$D$311=AO$286)*($F$285:$AI$285=""))+IF(AO$286="P6",COUNTIF($F$285:$AI$285,"P6")*ROWS($D$288:$D$311),0)),"")</f>
        <v>0.87588619047619043</v>
      </c>
      <c r="AP291" s="5" cm="1">
        <f t="array" ref="AP291">IFERROR((SUMPRODUCT(($D$288:$D$311=AP$286)*($F$285:$AI$285="")*$F$288:$AI$311)+IF(AP$286="P6",SUMPRODUCT(($F$285:$AI$285="P6")*$F$288:$AI$311),0))/(SUMPRODUCT(($D$288:$D$311=AP$286)*($F$285:$AI$285=""))+IF(AP$286="P6",COUNTIF($F$285:$AI$285,"P6")*ROWS($D$288:$D$311),0)),"")</f>
        <v>0.91048693877551035</v>
      </c>
      <c r="AQ291" s="5" t="str" cm="1">
        <f t="array" ref="AQ291">IFERROR((SUMPRODUCT(($D$288:$D$311=AQ$286)*($F$285:$AI$285="")*$F$288:$AI$311)+IF(AQ$286="P6",SUMPRODUCT(($F$285:$AI$285="P6")*$F$288:$AI$311),0))/(SUMPRODUCT(($D$288:$D$311=AQ$286)*($F$285:$AI$285=""))+IF(AQ$286="P6",COUNTIF($F$285:$AI$285,"P6")*ROWS($D$288:$D$311),0)),"")</f>
        <v/>
      </c>
      <c r="AR291" s="6" cm="1">
        <f t="array" ref="AR291">IFERROR((SUMPRODUCT(($D$288:$D$311=AR$286)*($F$285:$AI$285="")*$F$288:$AI$311)+IF(AR$286="P6",SUMPRODUCT(($F$285:$AI$285="P6")*$F$288:$AI$311),0))/(SUMPRODUCT(($D$288:$D$311=AR$286)*($F$285:$AI$285=""))+IF(AR$286="P6",COUNTIF($F$285:$AI$285,"P6")*ROWS($D$288:$D$311),0)),"")</f>
        <v>0.93696283854166695</v>
      </c>
    </row>
    <row r="292" spans="1:44" ht="14.25" customHeight="1" x14ac:dyDescent="0.35">
      <c r="A292" s="1" t="s">
        <v>7</v>
      </c>
      <c r="B292" s="1" t="s">
        <v>7</v>
      </c>
      <c r="C292" s="1" t="s">
        <v>15</v>
      </c>
      <c r="D292" s="1" t="s">
        <v>7</v>
      </c>
      <c r="E292" s="1" t="s">
        <v>12</v>
      </c>
      <c r="F292" s="1">
        <v>0.98470000000000002</v>
      </c>
      <c r="G292" s="1">
        <v>1.0226299999999999</v>
      </c>
      <c r="H292" s="1">
        <v>1.0433600000000001</v>
      </c>
      <c r="I292" s="1">
        <v>1.0173399999999999</v>
      </c>
      <c r="J292" s="1">
        <v>0.97362000000000004</v>
      </c>
      <c r="K292" s="1">
        <v>0.96708000000000005</v>
      </c>
      <c r="L292" s="1">
        <v>0.95967000000000002</v>
      </c>
      <c r="M292" s="1">
        <v>0.98470000000000002</v>
      </c>
      <c r="N292" s="1">
        <v>1.0226299999999999</v>
      </c>
      <c r="O292" s="1">
        <v>1.0433600000000001</v>
      </c>
      <c r="P292" s="1">
        <v>1.0173399999999999</v>
      </c>
      <c r="Q292" s="1">
        <v>0.97362000000000004</v>
      </c>
      <c r="R292" s="1">
        <v>0.96708000000000005</v>
      </c>
      <c r="S292" s="1">
        <v>0.95967000000000002</v>
      </c>
      <c r="T292" s="1">
        <v>0.98470000000000002</v>
      </c>
      <c r="U292" s="1">
        <v>1.0226299999999999</v>
      </c>
      <c r="V292" s="1">
        <v>1.0433600000000001</v>
      </c>
      <c r="W292" s="1">
        <v>1.0173399999999999</v>
      </c>
      <c r="X292" s="1">
        <v>0.97362000000000004</v>
      </c>
      <c r="Y292" s="1">
        <v>0.96708000000000005</v>
      </c>
      <c r="Z292" s="1">
        <v>0.95967000000000002</v>
      </c>
      <c r="AA292" s="1">
        <v>0.98470000000000002</v>
      </c>
      <c r="AB292" s="1">
        <v>1.0226299999999999</v>
      </c>
      <c r="AC292" s="1">
        <v>1.0433600000000001</v>
      </c>
      <c r="AD292" s="1">
        <v>1.0173399999999999</v>
      </c>
      <c r="AE292" s="1">
        <v>0.97362000000000004</v>
      </c>
      <c r="AF292" s="1">
        <v>0.96708000000000005</v>
      </c>
      <c r="AG292" s="1">
        <v>0.95967000000000002</v>
      </c>
      <c r="AH292" s="1">
        <v>0.98470000000000002</v>
      </c>
      <c r="AI292" s="1">
        <v>1.0226299999999999</v>
      </c>
      <c r="AL292" s="4" t="s">
        <v>29</v>
      </c>
      <c r="AM292" s="6" t="str" cm="1">
        <f t="array" ref="AM292">IFERROR((SUMPRODUCT(($D$288:$D$311=AM$286)*($F$285:$AI$285="")*$F$288:$AI$311)+IF(AM$286="P6",SUMPRODUCT(($F$285:$AI$285="P6")*$F$288:$AI$311),0))/(SUMPRODUCT(($D$288:$D$311=AM$286)*($F$285:$AI$285=""))+IF(AM$286="P6",COUNTIF($F$285:$AI$285,"P6")*ROWS($D$288:$D$311),0)),"")</f>
        <v/>
      </c>
      <c r="AN292" s="6" t="str" cm="1">
        <f t="array" ref="AN292">IFERROR((SUMPRODUCT(($D$288:$D$311=AN$286)*($F$285:$AI$285="")*$F$288:$AI$311)+IF(AN$286="P6",SUMPRODUCT(($F$285:$AI$285="P6")*$F$288:$AI$311),0))/(SUMPRODUCT(($D$288:$D$311=AN$286)*($F$285:$AI$285=""))+IF(AN$286="P6",COUNTIF($F$285:$AI$285,"P6")*ROWS($D$288:$D$311),0)),"")</f>
        <v/>
      </c>
      <c r="AO292" s="5" cm="1">
        <f t="array" ref="AO292">IFERROR((SUMPRODUCT(($D$288:$D$311=AO$286)*($F$285:$AI$285="")*$F$288:$AI$311)+IF(AO$286="P6",SUMPRODUCT(($F$285:$AI$285="P6")*$F$288:$AI$311),0))/(SUMPRODUCT(($D$288:$D$311=AO$286)*($F$285:$AI$285=""))+IF(AO$286="P6",COUNTIF($F$285:$AI$285,"P6")*ROWS($D$288:$D$311),0)),"")</f>
        <v>0.87588619047619043</v>
      </c>
      <c r="AP292" s="5" cm="1">
        <f t="array" ref="AP292">IFERROR((SUMPRODUCT(($D$288:$D$311=AP$286)*($F$285:$AI$285="")*$F$288:$AI$311)+IF(AP$286="P6",SUMPRODUCT(($F$285:$AI$285="P6")*$F$288:$AI$311),0))/(SUMPRODUCT(($D$288:$D$311=AP$286)*($F$285:$AI$285=""))+IF(AP$286="P6",COUNTIF($F$285:$AI$285,"P6")*ROWS($D$288:$D$311),0)),"")</f>
        <v>0.91048693877551035</v>
      </c>
      <c r="AQ292" s="5" t="str" cm="1">
        <f t="array" ref="AQ292">IFERROR((SUMPRODUCT(($D$288:$D$311=AQ$286)*($F$285:$AI$285="")*$F$288:$AI$311)+IF(AQ$286="P6",SUMPRODUCT(($F$285:$AI$285="P6")*$F$288:$AI$311),0))/(SUMPRODUCT(($D$288:$D$311=AQ$286)*($F$285:$AI$285=""))+IF(AQ$286="P6",COUNTIF($F$285:$AI$285,"P6")*ROWS($D$288:$D$311),0)),"")</f>
        <v/>
      </c>
      <c r="AR292" s="6" cm="1">
        <f t="array" ref="AR292">IFERROR((SUMPRODUCT(($D$288:$D$311=AR$286)*($F$285:$AI$285="")*$F$288:$AI$311)+IF(AR$286="P6",SUMPRODUCT(($F$285:$AI$285="P6")*$F$288:$AI$311),0))/(SUMPRODUCT(($D$288:$D$311=AR$286)*($F$285:$AI$285=""))+IF(AR$286="P6",COUNTIF($F$285:$AI$285,"P6")*ROWS($D$288:$D$311),0)),"")</f>
        <v>0.93696283854166695</v>
      </c>
    </row>
    <row r="293" spans="1:44" ht="14.25" customHeight="1" x14ac:dyDescent="0.35">
      <c r="A293" s="1" t="s">
        <v>7</v>
      </c>
      <c r="B293" s="1" t="s">
        <v>7</v>
      </c>
      <c r="C293" s="1" t="s">
        <v>15</v>
      </c>
      <c r="D293" s="1" t="s">
        <v>7</v>
      </c>
      <c r="E293" s="1" t="s">
        <v>18</v>
      </c>
      <c r="F293" s="1">
        <v>0.97365000000000002</v>
      </c>
      <c r="G293" s="1">
        <v>1.0170300000000001</v>
      </c>
      <c r="H293" s="1">
        <v>1.0344500000000001</v>
      </c>
      <c r="I293" s="1">
        <v>0.99916000000000005</v>
      </c>
      <c r="J293" s="1">
        <v>0.96762999999999999</v>
      </c>
      <c r="K293" s="1">
        <v>0.95547000000000004</v>
      </c>
      <c r="L293" s="1">
        <v>0.95345999999999997</v>
      </c>
      <c r="M293" s="1">
        <v>0.97365000000000002</v>
      </c>
      <c r="N293" s="1">
        <v>1.0170300000000001</v>
      </c>
      <c r="O293" s="1">
        <v>1.0344500000000001</v>
      </c>
      <c r="P293" s="1">
        <v>0.99916000000000005</v>
      </c>
      <c r="Q293" s="1">
        <v>0.96762999999999999</v>
      </c>
      <c r="R293" s="1">
        <v>0.95547000000000004</v>
      </c>
      <c r="S293" s="1">
        <v>0.95345999999999997</v>
      </c>
      <c r="T293" s="1">
        <v>0.97365000000000002</v>
      </c>
      <c r="U293" s="1">
        <v>1.0170300000000001</v>
      </c>
      <c r="V293" s="1">
        <v>1.0344500000000001</v>
      </c>
      <c r="W293" s="1">
        <v>0.99916000000000005</v>
      </c>
      <c r="X293" s="1">
        <v>0.96762999999999999</v>
      </c>
      <c r="Y293" s="1">
        <v>0.95547000000000004</v>
      </c>
      <c r="Z293" s="1">
        <v>0.95345999999999997</v>
      </c>
      <c r="AA293" s="1">
        <v>0.97365000000000002</v>
      </c>
      <c r="AB293" s="1">
        <v>1.0170300000000001</v>
      </c>
      <c r="AC293" s="1">
        <v>1.0344500000000001</v>
      </c>
      <c r="AD293" s="1">
        <v>0.99916000000000005</v>
      </c>
      <c r="AE293" s="1">
        <v>0.96762999999999999</v>
      </c>
      <c r="AF293" s="1">
        <v>0.95547000000000004</v>
      </c>
      <c r="AG293" s="1">
        <v>0.95345999999999997</v>
      </c>
      <c r="AH293" s="1">
        <v>0.97365000000000002</v>
      </c>
      <c r="AI293" s="1">
        <v>1.0170300000000001</v>
      </c>
      <c r="AL293" s="10"/>
      <c r="AM293" s="10"/>
      <c r="AN293" s="10"/>
      <c r="AO293" s="10"/>
      <c r="AP293" s="10"/>
      <c r="AQ293" s="10"/>
      <c r="AR293" s="10"/>
    </row>
    <row r="294" spans="1:44" ht="14.25" customHeight="1" x14ac:dyDescent="0.35">
      <c r="A294" s="1" t="s">
        <v>7</v>
      </c>
      <c r="B294" s="1" t="s">
        <v>7</v>
      </c>
      <c r="C294" s="1" t="s">
        <v>15</v>
      </c>
      <c r="D294" s="1" t="s">
        <v>7</v>
      </c>
      <c r="E294" s="1" t="s">
        <v>20</v>
      </c>
      <c r="F294" s="1">
        <v>0.92279999999999995</v>
      </c>
      <c r="G294" s="1">
        <v>0.99690999999999996</v>
      </c>
      <c r="H294" s="1">
        <v>1.01658</v>
      </c>
      <c r="I294" s="1">
        <v>0.93271999999999999</v>
      </c>
      <c r="J294" s="1">
        <v>0.93222000000000005</v>
      </c>
      <c r="K294" s="1">
        <v>0.91591</v>
      </c>
      <c r="L294" s="1">
        <v>0.90222000000000002</v>
      </c>
      <c r="M294" s="1">
        <v>0.92279999999999995</v>
      </c>
      <c r="N294" s="1">
        <v>0.99690999999999996</v>
      </c>
      <c r="O294" s="1">
        <v>1.01658</v>
      </c>
      <c r="P294" s="1">
        <v>0.93271999999999999</v>
      </c>
      <c r="Q294" s="1">
        <v>0.93222000000000005</v>
      </c>
      <c r="R294" s="1">
        <v>0.91591</v>
      </c>
      <c r="S294" s="1">
        <v>0.90222000000000002</v>
      </c>
      <c r="T294" s="1">
        <v>0.92279999999999995</v>
      </c>
      <c r="U294" s="1">
        <v>0.99690999999999996</v>
      </c>
      <c r="V294" s="1">
        <v>1.01658</v>
      </c>
      <c r="W294" s="1">
        <v>0.93271999999999999</v>
      </c>
      <c r="X294" s="1">
        <v>0.93222000000000005</v>
      </c>
      <c r="Y294" s="1">
        <v>0.91591</v>
      </c>
      <c r="Z294" s="1">
        <v>0.90222000000000002</v>
      </c>
      <c r="AA294" s="1">
        <v>0.92279999999999995</v>
      </c>
      <c r="AB294" s="1">
        <v>0.99690999999999996</v>
      </c>
      <c r="AC294" s="1">
        <v>1.01658</v>
      </c>
      <c r="AD294" s="1">
        <v>0.93271999999999999</v>
      </c>
      <c r="AE294" s="1">
        <v>0.93222000000000005</v>
      </c>
      <c r="AF294" s="1">
        <v>0.91591</v>
      </c>
      <c r="AG294" s="1">
        <v>0.90222000000000002</v>
      </c>
      <c r="AH294" s="1">
        <v>0.92279999999999995</v>
      </c>
      <c r="AI294" s="1">
        <v>0.99690999999999996</v>
      </c>
      <c r="AL294" s="10"/>
      <c r="AM294" s="10"/>
      <c r="AN294" s="10"/>
      <c r="AO294" s="10"/>
      <c r="AP294" s="10"/>
      <c r="AQ294" s="10"/>
      <c r="AR294" s="10"/>
    </row>
    <row r="295" spans="1:44" ht="14.25" customHeight="1" x14ac:dyDescent="0.35">
      <c r="A295" s="1" t="s">
        <v>7</v>
      </c>
      <c r="B295" s="1" t="s">
        <v>7</v>
      </c>
      <c r="C295" s="1" t="s">
        <v>15</v>
      </c>
      <c r="D295" s="1" t="s">
        <v>7</v>
      </c>
      <c r="E295" s="1" t="s">
        <v>22</v>
      </c>
      <c r="F295" s="1">
        <v>0.87936000000000003</v>
      </c>
      <c r="G295" s="1">
        <v>0.9617</v>
      </c>
      <c r="H295" s="1">
        <v>0.99756999999999996</v>
      </c>
      <c r="I295" s="1">
        <v>0.88131000000000004</v>
      </c>
      <c r="J295" s="1">
        <v>0.88595999999999997</v>
      </c>
      <c r="K295" s="1">
        <v>0.87344999999999995</v>
      </c>
      <c r="L295" s="1">
        <v>0.86250000000000004</v>
      </c>
      <c r="M295" s="1">
        <v>0.87936000000000003</v>
      </c>
      <c r="N295" s="1">
        <v>0.9617</v>
      </c>
      <c r="O295" s="1">
        <v>0.99756999999999996</v>
      </c>
      <c r="P295" s="1">
        <v>0.88131000000000004</v>
      </c>
      <c r="Q295" s="1">
        <v>0.88595999999999997</v>
      </c>
      <c r="R295" s="1">
        <v>0.87344999999999995</v>
      </c>
      <c r="S295" s="1">
        <v>0.86250000000000004</v>
      </c>
      <c r="T295" s="1">
        <v>0.87936000000000003</v>
      </c>
      <c r="U295" s="1">
        <v>0.9617</v>
      </c>
      <c r="V295" s="1">
        <v>0.99756999999999996</v>
      </c>
      <c r="W295" s="1">
        <v>0.88131000000000004</v>
      </c>
      <c r="X295" s="1">
        <v>0.88595999999999997</v>
      </c>
      <c r="Y295" s="1">
        <v>0.87344999999999995</v>
      </c>
      <c r="Z295" s="1">
        <v>0.86250000000000004</v>
      </c>
      <c r="AA295" s="1">
        <v>0.87936000000000003</v>
      </c>
      <c r="AB295" s="1">
        <v>0.9617</v>
      </c>
      <c r="AC295" s="1">
        <v>0.99756999999999996</v>
      </c>
      <c r="AD295" s="1">
        <v>0.88131000000000004</v>
      </c>
      <c r="AE295" s="1">
        <v>0.88595999999999997</v>
      </c>
      <c r="AF295" s="1">
        <v>0.87344999999999995</v>
      </c>
      <c r="AG295" s="1">
        <v>0.86250000000000004</v>
      </c>
      <c r="AH295" s="1">
        <v>0.87936000000000003</v>
      </c>
      <c r="AI295" s="1">
        <v>0.9617</v>
      </c>
      <c r="AL295" s="14" t="s">
        <v>238</v>
      </c>
      <c r="AM295" s="14"/>
      <c r="AN295" s="14"/>
      <c r="AO295" s="14"/>
      <c r="AP295" s="14"/>
      <c r="AQ295" s="14"/>
      <c r="AR295" s="14"/>
    </row>
    <row r="296" spans="1:44" ht="14.25" customHeight="1" x14ac:dyDescent="0.35">
      <c r="A296" s="1" t="s">
        <v>15</v>
      </c>
      <c r="B296" s="1" t="s">
        <v>14</v>
      </c>
      <c r="C296" s="1" t="s">
        <v>14</v>
      </c>
      <c r="D296" s="1" t="s">
        <v>16</v>
      </c>
      <c r="E296" s="1" t="s">
        <v>24</v>
      </c>
      <c r="F296" s="1">
        <v>0.91378000000000004</v>
      </c>
      <c r="G296" s="1">
        <v>0.90929000000000004</v>
      </c>
      <c r="H296" s="1">
        <v>0.94932000000000005</v>
      </c>
      <c r="I296" s="1">
        <v>0.91063000000000005</v>
      </c>
      <c r="J296" s="1">
        <v>0.91810000000000003</v>
      </c>
      <c r="K296" s="1">
        <v>0.92047000000000001</v>
      </c>
      <c r="L296" s="1">
        <v>0.89776999999999996</v>
      </c>
      <c r="M296" s="1">
        <v>0.91378000000000004</v>
      </c>
      <c r="N296" s="1">
        <v>0.90929000000000004</v>
      </c>
      <c r="O296" s="1">
        <v>0.94932000000000005</v>
      </c>
      <c r="P296" s="1">
        <v>0.91063000000000005</v>
      </c>
      <c r="Q296" s="1">
        <v>0.91810000000000003</v>
      </c>
      <c r="R296" s="1">
        <v>0.92047000000000001</v>
      </c>
      <c r="S296" s="1">
        <v>0.89776999999999996</v>
      </c>
      <c r="T296" s="1">
        <v>0.91378000000000004</v>
      </c>
      <c r="U296" s="1">
        <v>0.90929000000000004</v>
      </c>
      <c r="V296" s="1">
        <v>0.94932000000000005</v>
      </c>
      <c r="W296" s="1">
        <v>0.91063000000000005</v>
      </c>
      <c r="X296" s="1">
        <v>0.91810000000000003</v>
      </c>
      <c r="Y296" s="1">
        <v>0.92047000000000001</v>
      </c>
      <c r="Z296" s="1">
        <v>0.89776999999999996</v>
      </c>
      <c r="AA296" s="1">
        <v>0.91378000000000004</v>
      </c>
      <c r="AB296" s="1">
        <v>0.90929000000000004</v>
      </c>
      <c r="AC296" s="1">
        <v>0.94932000000000005</v>
      </c>
      <c r="AD296" s="1">
        <v>0.91063000000000005</v>
      </c>
      <c r="AE296" s="1">
        <v>0.91810000000000003</v>
      </c>
      <c r="AF296" s="1">
        <v>0.92047000000000001</v>
      </c>
      <c r="AG296" s="1">
        <v>0.89776999999999996</v>
      </c>
      <c r="AH296" s="1">
        <v>0.91378000000000004</v>
      </c>
      <c r="AI296" s="1">
        <v>0.90929000000000004</v>
      </c>
      <c r="AL296" s="4"/>
      <c r="AM296" s="4" t="s">
        <v>13</v>
      </c>
      <c r="AN296" s="4" t="s">
        <v>14</v>
      </c>
      <c r="AO296" s="4" t="s">
        <v>15</v>
      </c>
      <c r="AP296" s="4" t="s">
        <v>16</v>
      </c>
      <c r="AQ296" s="4" t="s">
        <v>17</v>
      </c>
      <c r="AR296" s="4" t="s">
        <v>7</v>
      </c>
    </row>
    <row r="297" spans="1:44" ht="14.25" customHeight="1" x14ac:dyDescent="0.35">
      <c r="A297" s="1" t="s">
        <v>15</v>
      </c>
      <c r="B297" s="1" t="s">
        <v>14</v>
      </c>
      <c r="C297" s="1" t="s">
        <v>14</v>
      </c>
      <c r="D297" s="1" t="s">
        <v>15</v>
      </c>
      <c r="E297" s="1" t="s">
        <v>26</v>
      </c>
      <c r="F297" s="1">
        <v>0.86758000000000002</v>
      </c>
      <c r="G297" s="1">
        <v>0.85609000000000002</v>
      </c>
      <c r="H297" s="1">
        <v>0.87092999999999998</v>
      </c>
      <c r="I297" s="1">
        <v>0.86038999999999999</v>
      </c>
      <c r="J297" s="1">
        <v>0.87407000000000001</v>
      </c>
      <c r="K297" s="1">
        <v>0.87580999999999998</v>
      </c>
      <c r="L297" s="1">
        <v>0.85104999999999997</v>
      </c>
      <c r="M297" s="1">
        <v>0.86758000000000002</v>
      </c>
      <c r="N297" s="1">
        <v>0.85609000000000002</v>
      </c>
      <c r="O297" s="1">
        <v>0.87092999999999998</v>
      </c>
      <c r="P297" s="1">
        <v>0.86038999999999999</v>
      </c>
      <c r="Q297" s="1">
        <v>0.87407000000000001</v>
      </c>
      <c r="R297" s="1">
        <v>0.87580999999999998</v>
      </c>
      <c r="S297" s="1">
        <v>0.85104999999999997</v>
      </c>
      <c r="T297" s="1">
        <v>0.86758000000000002</v>
      </c>
      <c r="U297" s="1">
        <v>0.85609000000000002</v>
      </c>
      <c r="V297" s="1">
        <v>0.87092999999999998</v>
      </c>
      <c r="W297" s="1">
        <v>0.86038999999999999</v>
      </c>
      <c r="X297" s="1">
        <v>0.87407000000000001</v>
      </c>
      <c r="Y297" s="1">
        <v>0.87580999999999998</v>
      </c>
      <c r="Z297" s="1">
        <v>0.85104999999999997</v>
      </c>
      <c r="AA297" s="1">
        <v>0.86758000000000002</v>
      </c>
      <c r="AB297" s="1">
        <v>0.85609000000000002</v>
      </c>
      <c r="AC297" s="1">
        <v>0.87092999999999998</v>
      </c>
      <c r="AD297" s="1">
        <v>0.86038999999999999</v>
      </c>
      <c r="AE297" s="1">
        <v>0.87407000000000001</v>
      </c>
      <c r="AF297" s="1">
        <v>0.87580999999999998</v>
      </c>
      <c r="AG297" s="1">
        <v>0.85104999999999997</v>
      </c>
      <c r="AH297" s="1">
        <v>0.86758000000000002</v>
      </c>
      <c r="AI297" s="1">
        <v>0.85609000000000002</v>
      </c>
      <c r="AL297" s="4" t="s">
        <v>19</v>
      </c>
      <c r="AM297" s="6" cm="1">
        <f t="array" ref="AM297">IFERROR((SUMPRODUCT(($C$288:$C$311=AM$286)*($F$284:$AI$284="")*$F$288:$AI$311)+IF(AM$286="P3",SUMPRODUCT(($F$284:$AI$284="P3")*$F$288:$AI$311),0))/(SUMPRODUCT(($C$288:$C$311=AM$286)*($F$284:$AI$284=""))+IF(AM$286="P3",COUNTIF($F$284:$AI$284,"P3")*ROWS($C$288:$C$311),0)),"")</f>
        <v>0.87713875000000008</v>
      </c>
      <c r="AN297" s="6" cm="1">
        <f t="array" ref="AN297">IFERROR((SUMPRODUCT(($C$288:$C$311=AN$286)*($F$284:$AI$284="")*$F$288:$AI$311)+IF(AN$286="P3",SUMPRODUCT(($F$284:$AI$284="P3")*$F$288:$AI$311),0))/(SUMPRODUCT(($C$288:$C$311=AN$286)*($F$284:$AI$284=""))+IF(AN$286="P3",COUNTIF($F$284:$AI$284,"P3")*ROWS($C$288:$C$311),0)),"")</f>
        <v>0.90490928571428464</v>
      </c>
      <c r="AO297" s="6" cm="1">
        <f t="array" ref="AO297">IFERROR((SUMPRODUCT(($C$288:$C$311=AO$286)*($F$284:$AI$284="")*$F$288:$AI$311)+IF(AO$286="P3",SUMPRODUCT(($F$284:$AI$284="P3")*$F$288:$AI$311),0))/(SUMPRODUCT(($C$288:$C$311=AO$286)*($F$284:$AI$284=""))+IF(AO$286="P3",COUNTIF($F$284:$AI$284,"P3")*ROWS($C$288:$C$311),0)),"")</f>
        <v>0.93696283854166695</v>
      </c>
      <c r="AP297" s="6" t="str" cm="1">
        <f t="array" ref="AP297">IFERROR((SUMPRODUCT(($C$288:$C$311=AP$286)*($F$284:$AI$284="")*$F$288:$AI$311)+IF(AP$286="P3",SUMPRODUCT(($F$284:$AI$284="P3")*$F$288:$AI$311),0))/(SUMPRODUCT(($C$288:$C$311=AP$286)*($F$284:$AI$284=""))+IF(AP$286="P3",COUNTIF($F$284:$AI$284,"P3")*ROWS($C$288:$C$311),0)),"")</f>
        <v/>
      </c>
      <c r="AQ297" s="6" t="str" cm="1">
        <f t="array" ref="AQ297">IFERROR((SUMPRODUCT(($C$288:$C$311=AQ$286)*($F$284:$AI$284="")*$F$288:$AI$311)+IF(AQ$286="P3",SUMPRODUCT(($F$284:$AI$284="P3")*$F$288:$AI$311),0))/(SUMPRODUCT(($C$288:$C$311=AQ$286)*($F$284:$AI$284=""))+IF(AQ$286="P3",COUNTIF($F$284:$AI$284,"P3")*ROWS($C$288:$C$311),0)),"")</f>
        <v/>
      </c>
      <c r="AR297" s="6" t="str" cm="1">
        <f t="array" ref="AR297">IFERROR((SUMPRODUCT(($C$288:$C$311=AR$286)*($F$284:$AI$284="")*$F$288:$AI$311)+IF(AR$286="P3",SUMPRODUCT(($F$284:$AI$284="P3")*$F$288:$AI$311),0))/(SUMPRODUCT(($C$288:$C$311=AR$286)*($F$284:$AI$284=""))+IF(AR$286="P3",COUNTIF($F$284:$AI$284,"P3")*ROWS($C$288:$C$311),0)),"")</f>
        <v/>
      </c>
    </row>
    <row r="298" spans="1:44" ht="14.25" customHeight="1" x14ac:dyDescent="0.35">
      <c r="A298" s="1" t="s">
        <v>13</v>
      </c>
      <c r="B298" s="1" t="s">
        <v>13</v>
      </c>
      <c r="C298" s="1" t="s">
        <v>13</v>
      </c>
      <c r="D298" s="1" t="s">
        <v>15</v>
      </c>
      <c r="E298" s="1" t="s">
        <v>28</v>
      </c>
      <c r="F298" s="1">
        <v>0.87531999999999999</v>
      </c>
      <c r="G298" s="1">
        <v>0.83270999999999995</v>
      </c>
      <c r="H298" s="1">
        <v>0.85226999999999997</v>
      </c>
      <c r="I298" s="1">
        <v>0.83781000000000005</v>
      </c>
      <c r="J298" s="1">
        <v>0.86343999999999999</v>
      </c>
      <c r="K298" s="1">
        <v>0.86009000000000002</v>
      </c>
      <c r="L298" s="1">
        <v>0.84592999999999996</v>
      </c>
      <c r="M298" s="1">
        <v>0.87531999999999999</v>
      </c>
      <c r="N298" s="1">
        <v>0.83270999999999995</v>
      </c>
      <c r="O298" s="1">
        <v>0.85226999999999997</v>
      </c>
      <c r="P298" s="1">
        <v>0.83781000000000005</v>
      </c>
      <c r="Q298" s="1">
        <v>0.86343999999999999</v>
      </c>
      <c r="R298" s="1">
        <v>0.86009000000000002</v>
      </c>
      <c r="S298" s="1">
        <v>0.84592999999999996</v>
      </c>
      <c r="T298" s="1">
        <v>0.87531999999999999</v>
      </c>
      <c r="U298" s="1">
        <v>0.83270999999999995</v>
      </c>
      <c r="V298" s="1">
        <v>0.85226999999999997</v>
      </c>
      <c r="W298" s="1">
        <v>0.83781000000000005</v>
      </c>
      <c r="X298" s="1">
        <v>0.86343999999999999</v>
      </c>
      <c r="Y298" s="1">
        <v>0.86009000000000002</v>
      </c>
      <c r="Z298" s="1">
        <v>0.84592999999999996</v>
      </c>
      <c r="AA298" s="1">
        <v>0.87531999999999999</v>
      </c>
      <c r="AB298" s="1">
        <v>0.83270999999999995</v>
      </c>
      <c r="AC298" s="1">
        <v>0.85226999999999997</v>
      </c>
      <c r="AD298" s="1">
        <v>0.83781000000000005</v>
      </c>
      <c r="AE298" s="1">
        <v>0.86343999999999999</v>
      </c>
      <c r="AF298" s="1">
        <v>0.86009000000000002</v>
      </c>
      <c r="AG298" s="1">
        <v>0.84592999999999996</v>
      </c>
      <c r="AH298" s="1">
        <v>0.87531999999999999</v>
      </c>
      <c r="AI298" s="1">
        <v>0.83270999999999995</v>
      </c>
      <c r="AL298" s="4" t="s">
        <v>21</v>
      </c>
      <c r="AM298" s="6" cm="1">
        <f t="array" ref="AM298">IFERROR((SUMPRODUCT(($A$288:$A$311=AM$286)*($F$285:$AI$285="")*$F$288:$AI$311)+IF(AM$286="P6",SUMPRODUCT(($F$285:$AI$285="P6")*$F$288:$AI$311),0))/(SUMPRODUCT(($A$288:$A$311=AM$286)*($F$285:$AI$285=""))+IF(AM$286="P6",COUNTIF($F$285:$AI$285,"P6")*ROWS($A$288:$A$311),0)),"")</f>
        <v>0.87654280423280395</v>
      </c>
      <c r="AN298" s="6" t="str" cm="1">
        <f t="array" ref="AN298">IFERROR((SUMPRODUCT(($A$288:$A$311=AN$286)*($F$285:$AI$285="")*$F$288:$AI$311)+IF(AN$286="P6",SUMPRODUCT(($F$285:$AI$285="P6")*$F$288:$AI$311),0))/(SUMPRODUCT(($A$288:$A$311=AN$286)*($F$285:$AI$285=""))+IF(AN$286="P6",COUNTIF($F$285:$AI$285,"P6")*ROWS($A$288:$A$311),0)),"")</f>
        <v/>
      </c>
      <c r="AO298" s="6" cm="1">
        <f t="array" ref="AO298">IFERROR((SUMPRODUCT(($A$288:$A$311=AO$286)*($F$285:$AI$285="")*$F$288:$AI$311)+IF(AO$286="P6",SUMPRODUCT(($F$285:$AI$285="P6")*$F$288:$AI$311),0))/(SUMPRODUCT(($A$288:$A$311=AO$286)*($F$285:$AI$285=""))+IF(AO$286="P6",COUNTIF($F$285:$AI$285,"P6")*ROWS($A$288:$A$311),0)),"")</f>
        <v>0.90964272108843558</v>
      </c>
      <c r="AP298" s="6" t="str" cm="1">
        <f t="array" ref="AP298">IFERROR((SUMPRODUCT(($A$288:$A$311=AP$286)*($F$285:$AI$285="")*$F$288:$AI$311)+IF(AP$286="P6",SUMPRODUCT(($F$285:$AI$285="P6")*$F$288:$AI$311),0))/(SUMPRODUCT(($A$288:$A$311=AP$286)*($F$285:$AI$285=""))+IF(AP$286="P6",COUNTIF($F$285:$AI$285,"P6")*ROWS($A$288:$A$311),0)),"")</f>
        <v/>
      </c>
      <c r="AQ298" s="6" t="str" cm="1">
        <f t="array" ref="AQ298">IFERROR((SUMPRODUCT(($A$288:$A$311=AQ$286)*($F$285:$AI$285="")*$F$288:$AI$311)+IF(AQ$286="P6",SUMPRODUCT(($F$285:$AI$285="P6")*$F$288:$AI$311),0))/(SUMPRODUCT(($A$288:$A$311=AQ$286)*($F$285:$AI$285=""))+IF(AQ$286="P6",COUNTIF($F$285:$AI$285,"P6")*ROWS($A$288:$A$311),0)),"")</f>
        <v/>
      </c>
      <c r="AR298" s="6" cm="1">
        <f t="array" ref="AR298">IFERROR((SUMPRODUCT(($A$288:$A$311=AR$286)*($F$285:$AI$285="")*$F$288:$AI$311)+IF(AR$286="P6",SUMPRODUCT(($F$285:$AI$285="P6")*$F$288:$AI$311),0))/(SUMPRODUCT(($A$288:$A$311=AR$286)*($F$285:$AI$285=""))+IF(AR$286="P6",COUNTIF($F$285:$AI$285,"P6")*ROWS($A$288:$A$311),0)),"")</f>
        <v>0.93696283854166695</v>
      </c>
    </row>
    <row r="299" spans="1:44" ht="14.25" customHeight="1" x14ac:dyDescent="0.35">
      <c r="A299" s="1" t="s">
        <v>13</v>
      </c>
      <c r="B299" s="1" t="s">
        <v>13</v>
      </c>
      <c r="C299" s="1" t="s">
        <v>13</v>
      </c>
      <c r="D299" s="1" t="s">
        <v>15</v>
      </c>
      <c r="E299" s="1" t="s">
        <v>30</v>
      </c>
      <c r="F299" s="1">
        <v>0.89700999999999997</v>
      </c>
      <c r="G299" s="1">
        <v>0.84147000000000005</v>
      </c>
      <c r="H299" s="1">
        <v>0.83586000000000005</v>
      </c>
      <c r="I299" s="1">
        <v>0.83599999999999997</v>
      </c>
      <c r="J299" s="1">
        <v>0.86521000000000003</v>
      </c>
      <c r="K299" s="1">
        <v>0.85024</v>
      </c>
      <c r="L299" s="1">
        <v>0.84550999999999998</v>
      </c>
      <c r="M299" s="1">
        <v>0.89700999999999997</v>
      </c>
      <c r="N299" s="1">
        <v>0.84147000000000005</v>
      </c>
      <c r="O299" s="1">
        <v>0.83586000000000005</v>
      </c>
      <c r="P299" s="1">
        <v>0.83599999999999997</v>
      </c>
      <c r="Q299" s="1">
        <v>0.86521000000000003</v>
      </c>
      <c r="R299" s="1">
        <v>0.85024</v>
      </c>
      <c r="S299" s="1">
        <v>0.84550999999999998</v>
      </c>
      <c r="T299" s="1">
        <v>0.89700999999999997</v>
      </c>
      <c r="U299" s="1">
        <v>0.84147000000000005</v>
      </c>
      <c r="V299" s="1">
        <v>0.83586000000000005</v>
      </c>
      <c r="W299" s="1">
        <v>0.83599999999999997</v>
      </c>
      <c r="X299" s="1">
        <v>0.86521000000000003</v>
      </c>
      <c r="Y299" s="1">
        <v>0.85024</v>
      </c>
      <c r="Z299" s="1">
        <v>0.84550999999999998</v>
      </c>
      <c r="AA299" s="1">
        <v>0.89700999999999997</v>
      </c>
      <c r="AB299" s="1">
        <v>0.84147000000000005</v>
      </c>
      <c r="AC299" s="1">
        <v>0.83586000000000005</v>
      </c>
      <c r="AD299" s="1">
        <v>0.83599999999999997</v>
      </c>
      <c r="AE299" s="1">
        <v>0.86521000000000003</v>
      </c>
      <c r="AF299" s="1">
        <v>0.85024</v>
      </c>
      <c r="AG299" s="1">
        <v>0.84550999999999998</v>
      </c>
      <c r="AH299" s="1">
        <v>0.89700999999999997</v>
      </c>
      <c r="AI299" s="1">
        <v>0.84147000000000005</v>
      </c>
      <c r="AL299" s="4" t="s">
        <v>23</v>
      </c>
      <c r="AM299" s="6" cm="1">
        <f t="array" ref="AM299">IFERROR((SUMPRODUCT(($A$288:$A$311=AM$286)*($F$285:$AI$285="")*$F$288:$AI$311)+IF(AM$286="P6",SUMPRODUCT(($F$285:$AI$285="P6")*$F$288:$AI$311),0))/(SUMPRODUCT(($A$288:$A$311=AM$286)*($F$285:$AI$285=""))+IF(AM$286="P6",COUNTIF($F$285:$AI$285,"P6")*ROWS($A$288:$A$311),0)),"")</f>
        <v>0.87654280423280395</v>
      </c>
      <c r="AN299" s="6" t="str" cm="1">
        <f t="array" ref="AN299">IFERROR((SUMPRODUCT(($A$288:$A$311=AN$286)*($F$285:$AI$285="")*$F$288:$AI$311)+IF(AN$286="P6",SUMPRODUCT(($F$285:$AI$285="P6")*$F$288:$AI$311),0))/(SUMPRODUCT(($A$288:$A$311=AN$286)*($F$285:$AI$285=""))+IF(AN$286="P6",COUNTIF($F$285:$AI$285,"P6")*ROWS($A$288:$A$311),0)),"")</f>
        <v/>
      </c>
      <c r="AO299" s="6" cm="1">
        <f t="array" ref="AO299">IFERROR((SUMPRODUCT(($A$288:$A$311=AO$286)*($F$285:$AI$285="")*$F$288:$AI$311)+IF(AO$286="P6",SUMPRODUCT(($F$285:$AI$285="P6")*$F$288:$AI$311),0))/(SUMPRODUCT(($A$288:$A$311=AO$286)*($F$285:$AI$285=""))+IF(AO$286="P6",COUNTIF($F$285:$AI$285,"P6")*ROWS($A$288:$A$311),0)),"")</f>
        <v>0.90964272108843558</v>
      </c>
      <c r="AP299" s="6" t="str" cm="1">
        <f t="array" ref="AP299">IFERROR((SUMPRODUCT(($A$288:$A$311=AP$286)*($F$285:$AI$285="")*$F$288:$AI$311)+IF(AP$286="P6",SUMPRODUCT(($F$285:$AI$285="P6")*$F$288:$AI$311),0))/(SUMPRODUCT(($A$288:$A$311=AP$286)*($F$285:$AI$285=""))+IF(AP$286="P6",COUNTIF($F$285:$AI$285,"P6")*ROWS($A$288:$A$311),0)),"")</f>
        <v/>
      </c>
      <c r="AQ299" s="6" t="str" cm="1">
        <f t="array" ref="AQ299">IFERROR((SUMPRODUCT(($A$288:$A$311=AQ$286)*($F$285:$AI$285="")*$F$288:$AI$311)+IF(AQ$286="P6",SUMPRODUCT(($F$285:$AI$285="P6")*$F$288:$AI$311),0))/(SUMPRODUCT(($A$288:$A$311=AQ$286)*($F$285:$AI$285=""))+IF(AQ$286="P6",COUNTIF($F$285:$AI$285,"P6")*ROWS($A$288:$A$311),0)),"")</f>
        <v/>
      </c>
      <c r="AR299" s="6" cm="1">
        <f t="array" ref="AR299">IFERROR((SUMPRODUCT(($A$288:$A$311=AR$286)*($F$285:$AI$285="")*$F$288:$AI$311)+IF(AR$286="P6",SUMPRODUCT(($F$285:$AI$285="P6")*$F$288:$AI$311),0))/(SUMPRODUCT(($A$288:$A$311=AR$286)*($F$285:$AI$285=""))+IF(AR$286="P6",COUNTIF($F$285:$AI$285,"P6")*ROWS($A$288:$A$311),0)),"")</f>
        <v>0.93696283854166695</v>
      </c>
    </row>
    <row r="300" spans="1:44" ht="14.25" customHeight="1" x14ac:dyDescent="0.35">
      <c r="A300" s="1" t="s">
        <v>13</v>
      </c>
      <c r="B300" s="1" t="s">
        <v>13</v>
      </c>
      <c r="C300" s="1" t="s">
        <v>13</v>
      </c>
      <c r="D300" s="1" t="s">
        <v>15</v>
      </c>
      <c r="E300" s="1" t="s">
        <v>31</v>
      </c>
      <c r="F300" s="1">
        <v>0.90778000000000003</v>
      </c>
      <c r="G300" s="1">
        <v>0.84719999999999995</v>
      </c>
      <c r="H300" s="1">
        <v>0.83499000000000001</v>
      </c>
      <c r="I300" s="1">
        <v>0.84013000000000004</v>
      </c>
      <c r="J300" s="1">
        <v>0.86419000000000001</v>
      </c>
      <c r="K300" s="1">
        <v>0.84162000000000003</v>
      </c>
      <c r="L300" s="1">
        <v>0.84282999999999997</v>
      </c>
      <c r="M300" s="1">
        <v>0.90778000000000003</v>
      </c>
      <c r="N300" s="1">
        <v>0.84719999999999995</v>
      </c>
      <c r="O300" s="1">
        <v>0.83499000000000001</v>
      </c>
      <c r="P300" s="1">
        <v>0.84013000000000004</v>
      </c>
      <c r="Q300" s="1">
        <v>0.86419000000000001</v>
      </c>
      <c r="R300" s="1">
        <v>0.84162000000000003</v>
      </c>
      <c r="S300" s="1">
        <v>0.84282999999999997</v>
      </c>
      <c r="T300" s="1">
        <v>0.90778000000000003</v>
      </c>
      <c r="U300" s="1">
        <v>0.84719999999999995</v>
      </c>
      <c r="V300" s="1">
        <v>0.83499000000000001</v>
      </c>
      <c r="W300" s="1">
        <v>0.84013000000000004</v>
      </c>
      <c r="X300" s="1">
        <v>0.86419000000000001</v>
      </c>
      <c r="Y300" s="1">
        <v>0.84162000000000003</v>
      </c>
      <c r="Z300" s="1">
        <v>0.84282999999999997</v>
      </c>
      <c r="AA300" s="1">
        <v>0.90778000000000003</v>
      </c>
      <c r="AB300" s="1">
        <v>0.84719999999999995</v>
      </c>
      <c r="AC300" s="1">
        <v>0.83499000000000001</v>
      </c>
      <c r="AD300" s="1">
        <v>0.84013000000000004</v>
      </c>
      <c r="AE300" s="1">
        <v>0.86419000000000001</v>
      </c>
      <c r="AF300" s="1">
        <v>0.84162000000000003</v>
      </c>
      <c r="AG300" s="1">
        <v>0.84282999999999997</v>
      </c>
      <c r="AH300" s="1">
        <v>0.90778000000000003</v>
      </c>
      <c r="AI300" s="1">
        <v>0.84719999999999995</v>
      </c>
      <c r="AL300" s="4" t="s">
        <v>25</v>
      </c>
      <c r="AM300" s="6" cm="1">
        <f t="array" ref="AM300">IFERROR((SUMPRODUCT(($A$288:$A$311=AM$286)*($F$285:$AI$285="")*$F$288:$AI$311)+IF(AM$286="P6",SUMPRODUCT(($F$285:$AI$285="P6")*$F$288:$AI$311),0))/(SUMPRODUCT(($A$288:$A$311=AM$286)*($F$285:$AI$285=""))+IF(AM$286="P6",COUNTIF($F$285:$AI$285,"P6")*ROWS($A$288:$A$311),0)),"")</f>
        <v>0.87654280423280395</v>
      </c>
      <c r="AN300" s="6" t="str" cm="1">
        <f t="array" ref="AN300">IFERROR((SUMPRODUCT(($A$288:$A$311=AN$286)*($F$285:$AI$285="")*$F$288:$AI$311)+IF(AN$286="P6",SUMPRODUCT(($F$285:$AI$285="P6")*$F$288:$AI$311),0))/(SUMPRODUCT(($A$288:$A$311=AN$286)*($F$285:$AI$285=""))+IF(AN$286="P6",COUNTIF($F$285:$AI$285,"P6")*ROWS($A$288:$A$311),0)),"")</f>
        <v/>
      </c>
      <c r="AO300" s="6" cm="1">
        <f t="array" ref="AO300">IFERROR((SUMPRODUCT(($A$288:$A$311=AO$286)*($F$285:$AI$285="")*$F$288:$AI$311)+IF(AO$286="P6",SUMPRODUCT(($F$285:$AI$285="P6")*$F$288:$AI$311),0))/(SUMPRODUCT(($A$288:$A$311=AO$286)*($F$285:$AI$285=""))+IF(AO$286="P6",COUNTIF($F$285:$AI$285,"P6")*ROWS($A$288:$A$311),0)),"")</f>
        <v>0.90964272108843558</v>
      </c>
      <c r="AP300" s="6" t="str" cm="1">
        <f t="array" ref="AP300">IFERROR((SUMPRODUCT(($A$288:$A$311=AP$286)*($F$285:$AI$285="")*$F$288:$AI$311)+IF(AP$286="P6",SUMPRODUCT(($F$285:$AI$285="P6")*$F$288:$AI$311),0))/(SUMPRODUCT(($A$288:$A$311=AP$286)*($F$285:$AI$285=""))+IF(AP$286="P6",COUNTIF($F$285:$AI$285,"P6")*ROWS($A$288:$A$311),0)),"")</f>
        <v/>
      </c>
      <c r="AQ300" s="6" t="str" cm="1">
        <f t="array" ref="AQ300">IFERROR((SUMPRODUCT(($A$288:$A$311=AQ$286)*($F$285:$AI$285="")*$F$288:$AI$311)+IF(AQ$286="P6",SUMPRODUCT(($F$285:$AI$285="P6")*$F$288:$AI$311),0))/(SUMPRODUCT(($A$288:$A$311=AQ$286)*($F$285:$AI$285=""))+IF(AQ$286="P6",COUNTIF($F$285:$AI$285,"P6")*ROWS($A$288:$A$311),0)),"")</f>
        <v/>
      </c>
      <c r="AR300" s="6" cm="1">
        <f t="array" ref="AR300">IFERROR((SUMPRODUCT(($A$288:$A$311=AR$286)*($F$285:$AI$285="")*$F$288:$AI$311)+IF(AR$286="P6",SUMPRODUCT(($F$285:$AI$285="P6")*$F$288:$AI$311),0))/(SUMPRODUCT(($A$288:$A$311=AR$286)*($F$285:$AI$285=""))+IF(AR$286="P6",COUNTIF($F$285:$AI$285,"P6")*ROWS($A$288:$A$311),0)),"")</f>
        <v>0.93696283854166695</v>
      </c>
    </row>
    <row r="301" spans="1:44" ht="14.25" customHeight="1" x14ac:dyDescent="0.35">
      <c r="A301" s="1" t="s">
        <v>13</v>
      </c>
      <c r="B301" s="1" t="s">
        <v>13</v>
      </c>
      <c r="C301" s="1" t="s">
        <v>13</v>
      </c>
      <c r="D301" s="1" t="s">
        <v>15</v>
      </c>
      <c r="E301" s="1" t="s">
        <v>32</v>
      </c>
      <c r="F301" s="1">
        <v>0.89036000000000004</v>
      </c>
      <c r="G301" s="1">
        <v>0.83008000000000004</v>
      </c>
      <c r="H301" s="1">
        <v>0.81477999999999995</v>
      </c>
      <c r="I301" s="1">
        <v>0.83421000000000001</v>
      </c>
      <c r="J301" s="1">
        <v>0.85058999999999996</v>
      </c>
      <c r="K301" s="1">
        <v>0.83092999999999995</v>
      </c>
      <c r="L301" s="1">
        <v>0.82994999999999997</v>
      </c>
      <c r="M301" s="1">
        <v>0.89036000000000004</v>
      </c>
      <c r="N301" s="1">
        <v>0.83008000000000004</v>
      </c>
      <c r="O301" s="1">
        <v>0.81477999999999995</v>
      </c>
      <c r="P301" s="1">
        <v>0.83421000000000001</v>
      </c>
      <c r="Q301" s="1">
        <v>0.85058999999999996</v>
      </c>
      <c r="R301" s="1">
        <v>0.83092999999999995</v>
      </c>
      <c r="S301" s="1">
        <v>0.82994999999999997</v>
      </c>
      <c r="T301" s="1">
        <v>0.89036000000000004</v>
      </c>
      <c r="U301" s="1">
        <v>0.83008000000000004</v>
      </c>
      <c r="V301" s="1">
        <v>0.81477999999999995</v>
      </c>
      <c r="W301" s="1">
        <v>0.83421000000000001</v>
      </c>
      <c r="X301" s="1">
        <v>0.85058999999999996</v>
      </c>
      <c r="Y301" s="1">
        <v>0.83092999999999995</v>
      </c>
      <c r="Z301" s="1">
        <v>0.82994999999999997</v>
      </c>
      <c r="AA301" s="1">
        <v>0.89036000000000004</v>
      </c>
      <c r="AB301" s="1">
        <v>0.83008000000000004</v>
      </c>
      <c r="AC301" s="1">
        <v>0.81477999999999995</v>
      </c>
      <c r="AD301" s="1">
        <v>0.83421000000000001</v>
      </c>
      <c r="AE301" s="1">
        <v>0.85058999999999996</v>
      </c>
      <c r="AF301" s="1">
        <v>0.83092999999999995</v>
      </c>
      <c r="AG301" s="1">
        <v>0.82994999999999997</v>
      </c>
      <c r="AH301" s="1">
        <v>0.89036000000000004</v>
      </c>
      <c r="AI301" s="1">
        <v>0.83008000000000004</v>
      </c>
      <c r="AL301" s="4" t="s">
        <v>27</v>
      </c>
      <c r="AM301" s="6" cm="1">
        <f t="array" ref="AM301">IFERROR((SUMPRODUCT(($A$288:$A$311=AM$286)*($F$285:$AI$285="")*$F$288:$AI$311)+IF(AM$286="P6",SUMPRODUCT(($F$285:$AI$285="P6")*$F$288:$AI$311),0))/(SUMPRODUCT(($A$288:$A$311=AM$286)*($F$285:$AI$285=""))+IF(AM$286="P6",COUNTIF($F$285:$AI$285,"P6")*ROWS($A$288:$A$311),0)),"")</f>
        <v>0.87654280423280395</v>
      </c>
      <c r="AN301" s="6" t="str" cm="1">
        <f t="array" ref="AN301">IFERROR((SUMPRODUCT(($A$288:$A$311=AN$286)*($F$285:$AI$285="")*$F$288:$AI$311)+IF(AN$286="P6",SUMPRODUCT(($F$285:$AI$285="P6")*$F$288:$AI$311),0))/(SUMPRODUCT(($A$288:$A$311=AN$286)*($F$285:$AI$285=""))+IF(AN$286="P6",COUNTIF($F$285:$AI$285,"P6")*ROWS($A$288:$A$311),0)),"")</f>
        <v/>
      </c>
      <c r="AO301" s="6" cm="1">
        <f t="array" ref="AO301">IFERROR((SUMPRODUCT(($A$288:$A$311=AO$286)*($F$285:$AI$285="")*$F$288:$AI$311)+IF(AO$286="P6",SUMPRODUCT(($F$285:$AI$285="P6")*$F$288:$AI$311),0))/(SUMPRODUCT(($A$288:$A$311=AO$286)*($F$285:$AI$285=""))+IF(AO$286="P6",COUNTIF($F$285:$AI$285,"P6")*ROWS($A$288:$A$311),0)),"")</f>
        <v>0.90964272108843558</v>
      </c>
      <c r="AP301" s="6" t="str" cm="1">
        <f t="array" ref="AP301">IFERROR((SUMPRODUCT(($A$288:$A$311=AP$286)*($F$285:$AI$285="")*$F$288:$AI$311)+IF(AP$286="P6",SUMPRODUCT(($F$285:$AI$285="P6")*$F$288:$AI$311),0))/(SUMPRODUCT(($A$288:$A$311=AP$286)*($F$285:$AI$285=""))+IF(AP$286="P6",COUNTIF($F$285:$AI$285,"P6")*ROWS($A$288:$A$311),0)),"")</f>
        <v/>
      </c>
      <c r="AQ301" s="6" t="str" cm="1">
        <f t="array" ref="AQ301">IFERROR((SUMPRODUCT(($A$288:$A$311=AQ$286)*($F$285:$AI$285="")*$F$288:$AI$311)+IF(AQ$286="P6",SUMPRODUCT(($F$285:$AI$285="P6")*$F$288:$AI$311),0))/(SUMPRODUCT(($A$288:$A$311=AQ$286)*($F$285:$AI$285=""))+IF(AQ$286="P6",COUNTIF($F$285:$AI$285,"P6")*ROWS($A$288:$A$311),0)),"")</f>
        <v/>
      </c>
      <c r="AR301" s="6" cm="1">
        <f t="array" ref="AR301">IFERROR((SUMPRODUCT(($A$288:$A$311=AR$286)*($F$285:$AI$285="")*$F$288:$AI$311)+IF(AR$286="P6",SUMPRODUCT(($F$285:$AI$285="P6")*$F$288:$AI$311),0))/(SUMPRODUCT(($A$288:$A$311=AR$286)*($F$285:$AI$285=""))+IF(AR$286="P6",COUNTIF($F$285:$AI$285,"P6")*ROWS($A$288:$A$311),0)),"")</f>
        <v>0.93696283854166695</v>
      </c>
    </row>
    <row r="302" spans="1:44" ht="14.25" customHeight="1" x14ac:dyDescent="0.35">
      <c r="A302" s="1" t="s">
        <v>13</v>
      </c>
      <c r="B302" s="1" t="s">
        <v>13</v>
      </c>
      <c r="C302" s="1" t="s">
        <v>14</v>
      </c>
      <c r="D302" s="1" t="s">
        <v>16</v>
      </c>
      <c r="E302" s="1" t="s">
        <v>33</v>
      </c>
      <c r="F302" s="1">
        <v>0.91008</v>
      </c>
      <c r="G302" s="1">
        <v>0.82665</v>
      </c>
      <c r="H302" s="1">
        <v>0.80547999999999997</v>
      </c>
      <c r="I302" s="1">
        <v>0.85557000000000005</v>
      </c>
      <c r="J302" s="1">
        <v>0.88249999999999995</v>
      </c>
      <c r="K302" s="1">
        <v>0.85011000000000003</v>
      </c>
      <c r="L302" s="1">
        <v>0.85104000000000002</v>
      </c>
      <c r="M302" s="1">
        <v>0.91008</v>
      </c>
      <c r="N302" s="1">
        <v>0.82665</v>
      </c>
      <c r="O302" s="1">
        <v>0.80547999999999997</v>
      </c>
      <c r="P302" s="1">
        <v>0.85557000000000005</v>
      </c>
      <c r="Q302" s="1">
        <v>0.88249999999999995</v>
      </c>
      <c r="R302" s="1">
        <v>0.85011000000000003</v>
      </c>
      <c r="S302" s="1">
        <v>0.85104000000000002</v>
      </c>
      <c r="T302" s="1">
        <v>0.91008</v>
      </c>
      <c r="U302" s="1">
        <v>0.82665</v>
      </c>
      <c r="V302" s="1">
        <v>0.80547999999999997</v>
      </c>
      <c r="W302" s="1">
        <v>0.85557000000000005</v>
      </c>
      <c r="X302" s="1">
        <v>0.88249999999999995</v>
      </c>
      <c r="Y302" s="1">
        <v>0.85011000000000003</v>
      </c>
      <c r="Z302" s="1">
        <v>0.85104000000000002</v>
      </c>
      <c r="AA302" s="1">
        <v>0.91008</v>
      </c>
      <c r="AB302" s="1">
        <v>0.82665</v>
      </c>
      <c r="AC302" s="1">
        <v>0.80547999999999997</v>
      </c>
      <c r="AD302" s="1">
        <v>0.85557000000000005</v>
      </c>
      <c r="AE302" s="1">
        <v>0.88249999999999995</v>
      </c>
      <c r="AF302" s="1">
        <v>0.85011000000000003</v>
      </c>
      <c r="AG302" s="1">
        <v>0.85104000000000002</v>
      </c>
      <c r="AH302" s="1">
        <v>0.91008</v>
      </c>
      <c r="AI302" s="1">
        <v>0.82665</v>
      </c>
      <c r="AL302" s="4" t="s">
        <v>29</v>
      </c>
      <c r="AM302" s="6" cm="1">
        <f t="array" ref="AM302">IFERROR((SUMPRODUCT(($A$288:$A$311=AM$286)*($F$285:$AI$285="")*$F$288:$AI$311)+IF(AM$286="P6",SUMPRODUCT(($F$285:$AI$285="P6")*$F$288:$AI$311),0))/(SUMPRODUCT(($A$288:$A$311=AM$286)*($F$285:$AI$285=""))+IF(AM$286="P6",COUNTIF($F$285:$AI$285,"P6")*ROWS($A$288:$A$311),0)),"")</f>
        <v>0.87654280423280395</v>
      </c>
      <c r="AN302" s="6" t="str" cm="1">
        <f t="array" ref="AN302">IFERROR((SUMPRODUCT(($A$288:$A$311=AN$286)*($F$285:$AI$285="")*$F$288:$AI$311)+IF(AN$286="P6",SUMPRODUCT(($F$285:$AI$285="P6")*$F$288:$AI$311),0))/(SUMPRODUCT(($A$288:$A$311=AN$286)*($F$285:$AI$285=""))+IF(AN$286="P6",COUNTIF($F$285:$AI$285,"P6")*ROWS($A$288:$A$311),0)),"")</f>
        <v/>
      </c>
      <c r="AO302" s="6" cm="1">
        <f t="array" ref="AO302">IFERROR((SUMPRODUCT(($A$288:$A$311=AO$286)*($F$285:$AI$285="")*$F$288:$AI$311)+IF(AO$286="P6",SUMPRODUCT(($F$285:$AI$285="P6")*$F$288:$AI$311),0))/(SUMPRODUCT(($A$288:$A$311=AO$286)*($F$285:$AI$285=""))+IF(AO$286="P6",COUNTIF($F$285:$AI$285,"P6")*ROWS($A$288:$A$311),0)),"")</f>
        <v>0.90964272108843558</v>
      </c>
      <c r="AP302" s="6" t="str" cm="1">
        <f t="array" ref="AP302">IFERROR((SUMPRODUCT(($A$288:$A$311=AP$286)*($F$285:$AI$285="")*$F$288:$AI$311)+IF(AP$286="P6",SUMPRODUCT(($F$285:$AI$285="P6")*$F$288:$AI$311),0))/(SUMPRODUCT(($A$288:$A$311=AP$286)*($F$285:$AI$285=""))+IF(AP$286="P6",COUNTIF($F$285:$AI$285,"P6")*ROWS($A$288:$A$311),0)),"")</f>
        <v/>
      </c>
      <c r="AQ302" s="6" t="str" cm="1">
        <f t="array" ref="AQ302">IFERROR((SUMPRODUCT(($A$288:$A$311=AQ$286)*($F$285:$AI$285="")*$F$288:$AI$311)+IF(AQ$286="P6",SUMPRODUCT(($F$285:$AI$285="P6")*$F$288:$AI$311),0))/(SUMPRODUCT(($A$288:$A$311=AQ$286)*($F$285:$AI$285=""))+IF(AQ$286="P6",COUNTIF($F$285:$AI$285,"P6")*ROWS($A$288:$A$311),0)),"")</f>
        <v/>
      </c>
      <c r="AR302" s="6" cm="1">
        <f t="array" ref="AR302">IFERROR((SUMPRODUCT(($A$288:$A$311=AR$286)*($F$285:$AI$285="")*$F$288:$AI$311)+IF(AR$286="P6",SUMPRODUCT(($F$285:$AI$285="P6")*$F$288:$AI$311),0))/(SUMPRODUCT(($A$288:$A$311=AR$286)*($F$285:$AI$285=""))+IF(AR$286="P6",COUNTIF($F$285:$AI$285,"P6")*ROWS($A$288:$A$311),0)),"")</f>
        <v>0.93696283854166695</v>
      </c>
    </row>
    <row r="303" spans="1:44" ht="14.25" customHeight="1" x14ac:dyDescent="0.35">
      <c r="A303" s="1" t="s">
        <v>15</v>
      </c>
      <c r="B303" s="1" t="s">
        <v>14</v>
      </c>
      <c r="C303" s="1" t="s">
        <v>14</v>
      </c>
      <c r="D303" s="1" t="s">
        <v>16</v>
      </c>
      <c r="E303" s="1" t="s">
        <v>34</v>
      </c>
      <c r="F303" s="1">
        <v>0.93072999999999995</v>
      </c>
      <c r="G303" s="1">
        <v>0.86236999999999997</v>
      </c>
      <c r="H303" s="1">
        <v>0.82926999999999995</v>
      </c>
      <c r="I303" s="1">
        <v>0.86960999999999999</v>
      </c>
      <c r="J303" s="1">
        <v>0.90397000000000005</v>
      </c>
      <c r="K303" s="1">
        <v>0.85890999999999995</v>
      </c>
      <c r="L303" s="1">
        <v>0.87248000000000003</v>
      </c>
      <c r="M303" s="1">
        <v>0.93072999999999995</v>
      </c>
      <c r="N303" s="1">
        <v>0.86236999999999997</v>
      </c>
      <c r="O303" s="1">
        <v>0.82926999999999995</v>
      </c>
      <c r="P303" s="1">
        <v>0.86960999999999999</v>
      </c>
      <c r="Q303" s="1">
        <v>0.90397000000000005</v>
      </c>
      <c r="R303" s="1">
        <v>0.85890999999999995</v>
      </c>
      <c r="S303" s="1">
        <v>0.87248000000000003</v>
      </c>
      <c r="T303" s="1">
        <v>0.93072999999999995</v>
      </c>
      <c r="U303" s="1">
        <v>0.86236999999999997</v>
      </c>
      <c r="V303" s="1">
        <v>0.82926999999999995</v>
      </c>
      <c r="W303" s="1">
        <v>0.86960999999999999</v>
      </c>
      <c r="X303" s="1">
        <v>0.90397000000000005</v>
      </c>
      <c r="Y303" s="1">
        <v>0.85890999999999995</v>
      </c>
      <c r="Z303" s="1">
        <v>0.87248000000000003</v>
      </c>
      <c r="AA303" s="1">
        <v>0.93072999999999995</v>
      </c>
      <c r="AB303" s="1">
        <v>0.86236999999999997</v>
      </c>
      <c r="AC303" s="1">
        <v>0.82926999999999995</v>
      </c>
      <c r="AD303" s="1">
        <v>0.86960999999999999</v>
      </c>
      <c r="AE303" s="1">
        <v>0.90397000000000005</v>
      </c>
      <c r="AF303" s="1">
        <v>0.85890999999999995</v>
      </c>
      <c r="AG303" s="1">
        <v>0.87248000000000003</v>
      </c>
      <c r="AH303" s="1">
        <v>0.93072999999999995</v>
      </c>
      <c r="AI303" s="1">
        <v>0.86236999999999997</v>
      </c>
      <c r="AL303" s="10"/>
      <c r="AM303" s="10"/>
      <c r="AN303" s="10"/>
      <c r="AO303" s="10"/>
      <c r="AP303" s="10"/>
      <c r="AQ303" s="10"/>
      <c r="AR303" s="10"/>
    </row>
    <row r="304" spans="1:44" ht="14.25" customHeight="1" x14ac:dyDescent="0.35">
      <c r="A304" s="1" t="s">
        <v>15</v>
      </c>
      <c r="B304" s="1" t="s">
        <v>14</v>
      </c>
      <c r="C304" s="1" t="s">
        <v>14</v>
      </c>
      <c r="D304" s="1" t="s">
        <v>16</v>
      </c>
      <c r="E304" s="1" t="s">
        <v>35</v>
      </c>
      <c r="F304" s="1">
        <v>0.94503000000000004</v>
      </c>
      <c r="G304" s="1">
        <v>0.89185999999999999</v>
      </c>
      <c r="H304" s="1">
        <v>0.86207</v>
      </c>
      <c r="I304" s="1">
        <v>0.88338000000000005</v>
      </c>
      <c r="J304" s="1">
        <v>0.91683999999999999</v>
      </c>
      <c r="K304" s="1">
        <v>0.87809000000000004</v>
      </c>
      <c r="L304" s="1">
        <v>0.88919000000000004</v>
      </c>
      <c r="M304" s="1">
        <v>0.94503000000000004</v>
      </c>
      <c r="N304" s="1">
        <v>0.89185999999999999</v>
      </c>
      <c r="O304" s="1">
        <v>0.86207</v>
      </c>
      <c r="P304" s="1">
        <v>0.88338000000000005</v>
      </c>
      <c r="Q304" s="1">
        <v>0.91683999999999999</v>
      </c>
      <c r="R304" s="1">
        <v>0.87809000000000004</v>
      </c>
      <c r="S304" s="1">
        <v>0.88919000000000004</v>
      </c>
      <c r="T304" s="1">
        <v>0.94503000000000004</v>
      </c>
      <c r="U304" s="1">
        <v>0.89185999999999999</v>
      </c>
      <c r="V304" s="1">
        <v>0.86207</v>
      </c>
      <c r="W304" s="1">
        <v>0.88338000000000005</v>
      </c>
      <c r="X304" s="1">
        <v>0.91683999999999999</v>
      </c>
      <c r="Y304" s="1">
        <v>0.87809000000000004</v>
      </c>
      <c r="Z304" s="1">
        <v>0.88919000000000004</v>
      </c>
      <c r="AA304" s="1">
        <v>0.94503000000000004</v>
      </c>
      <c r="AB304" s="1">
        <v>0.89185999999999999</v>
      </c>
      <c r="AC304" s="1">
        <v>0.86207</v>
      </c>
      <c r="AD304" s="1">
        <v>0.88338000000000005</v>
      </c>
      <c r="AE304" s="1">
        <v>0.91683999999999999</v>
      </c>
      <c r="AF304" s="1">
        <v>0.87809000000000004</v>
      </c>
      <c r="AG304" s="1">
        <v>0.88919000000000004</v>
      </c>
      <c r="AH304" s="1">
        <v>0.94503000000000004</v>
      </c>
      <c r="AI304" s="1">
        <v>0.89185999999999999</v>
      </c>
      <c r="AL304" s="10"/>
      <c r="AM304" s="10"/>
      <c r="AN304" s="10"/>
      <c r="AO304" s="10"/>
      <c r="AP304" s="10"/>
      <c r="AQ304" s="10"/>
      <c r="AR304" s="10"/>
    </row>
    <row r="305" spans="1:44" ht="14.25" customHeight="1" x14ac:dyDescent="0.35">
      <c r="A305" s="1" t="s">
        <v>15</v>
      </c>
      <c r="B305" s="1" t="s">
        <v>14</v>
      </c>
      <c r="C305" s="1" t="s">
        <v>14</v>
      </c>
      <c r="D305" s="1" t="s">
        <v>16</v>
      </c>
      <c r="E305" s="1" t="s">
        <v>36</v>
      </c>
      <c r="F305" s="1">
        <v>0.95316000000000001</v>
      </c>
      <c r="G305" s="1">
        <v>0.92013</v>
      </c>
      <c r="H305" s="1">
        <v>0.89124999999999999</v>
      </c>
      <c r="I305" s="1">
        <v>0.89685999999999999</v>
      </c>
      <c r="J305" s="1">
        <v>0.91918</v>
      </c>
      <c r="K305" s="1">
        <v>0.88680999999999999</v>
      </c>
      <c r="L305" s="1">
        <v>0.89883000000000002</v>
      </c>
      <c r="M305" s="1">
        <v>0.95316000000000001</v>
      </c>
      <c r="N305" s="1">
        <v>0.92013</v>
      </c>
      <c r="O305" s="1">
        <v>0.89124999999999999</v>
      </c>
      <c r="P305" s="1">
        <v>0.89685999999999999</v>
      </c>
      <c r="Q305" s="1">
        <v>0.91918</v>
      </c>
      <c r="R305" s="1">
        <v>0.88680999999999999</v>
      </c>
      <c r="S305" s="1">
        <v>0.89883000000000002</v>
      </c>
      <c r="T305" s="1">
        <v>0.95316000000000001</v>
      </c>
      <c r="U305" s="1">
        <v>0.92013</v>
      </c>
      <c r="V305" s="1">
        <v>0.89124999999999999</v>
      </c>
      <c r="W305" s="1">
        <v>0.89685999999999999</v>
      </c>
      <c r="X305" s="1">
        <v>0.91918</v>
      </c>
      <c r="Y305" s="1">
        <v>0.88680999999999999</v>
      </c>
      <c r="Z305" s="1">
        <v>0.89883000000000002</v>
      </c>
      <c r="AA305" s="1">
        <v>0.95316000000000001</v>
      </c>
      <c r="AB305" s="1">
        <v>0.92013</v>
      </c>
      <c r="AC305" s="1">
        <v>0.89124999999999999</v>
      </c>
      <c r="AD305" s="1">
        <v>0.89685999999999999</v>
      </c>
      <c r="AE305" s="1">
        <v>0.91918</v>
      </c>
      <c r="AF305" s="1">
        <v>0.88680999999999999</v>
      </c>
      <c r="AG305" s="1">
        <v>0.89883000000000002</v>
      </c>
      <c r="AH305" s="1">
        <v>0.95316000000000001</v>
      </c>
      <c r="AI305" s="1">
        <v>0.92013</v>
      </c>
      <c r="AL305" s="14" t="s">
        <v>239</v>
      </c>
      <c r="AM305" s="14"/>
      <c r="AN305" s="14"/>
      <c r="AO305" s="14"/>
      <c r="AP305" s="14"/>
      <c r="AQ305" s="14"/>
      <c r="AR305" s="14"/>
    </row>
    <row r="306" spans="1:44" ht="14.25" customHeight="1" x14ac:dyDescent="0.35">
      <c r="A306" s="1" t="s">
        <v>13</v>
      </c>
      <c r="B306" s="1" t="s">
        <v>13</v>
      </c>
      <c r="C306" s="1" t="s">
        <v>13</v>
      </c>
      <c r="D306" s="1" t="s">
        <v>15</v>
      </c>
      <c r="E306" s="1" t="s">
        <v>37</v>
      </c>
      <c r="F306" s="1">
        <v>0.92805000000000004</v>
      </c>
      <c r="G306" s="1">
        <v>0.93937999999999999</v>
      </c>
      <c r="H306" s="1">
        <v>0.90666999999999998</v>
      </c>
      <c r="I306" s="1">
        <v>0.88258999999999999</v>
      </c>
      <c r="J306" s="1">
        <v>0.89231000000000005</v>
      </c>
      <c r="K306" s="1">
        <v>0.86451999999999996</v>
      </c>
      <c r="L306" s="1">
        <v>0.88315999999999995</v>
      </c>
      <c r="M306" s="1">
        <v>0.92805000000000004</v>
      </c>
      <c r="N306" s="1">
        <v>0.93937999999999999</v>
      </c>
      <c r="O306" s="1">
        <v>0.90666999999999998</v>
      </c>
      <c r="P306" s="1">
        <v>0.88258999999999999</v>
      </c>
      <c r="Q306" s="1">
        <v>0.89231000000000005</v>
      </c>
      <c r="R306" s="1">
        <v>0.86451999999999996</v>
      </c>
      <c r="S306" s="1">
        <v>0.88315999999999995</v>
      </c>
      <c r="T306" s="1">
        <v>0.92805000000000004</v>
      </c>
      <c r="U306" s="1">
        <v>0.93937999999999999</v>
      </c>
      <c r="V306" s="1">
        <v>0.90666999999999998</v>
      </c>
      <c r="W306" s="1">
        <v>0.88258999999999999</v>
      </c>
      <c r="X306" s="1">
        <v>0.89231000000000005</v>
      </c>
      <c r="Y306" s="1">
        <v>0.86451999999999996</v>
      </c>
      <c r="Z306" s="1">
        <v>0.88315999999999995</v>
      </c>
      <c r="AA306" s="1">
        <v>0.92805000000000004</v>
      </c>
      <c r="AB306" s="1">
        <v>0.93937999999999999</v>
      </c>
      <c r="AC306" s="1">
        <v>0.90666999999999998</v>
      </c>
      <c r="AD306" s="1">
        <v>0.88258999999999999</v>
      </c>
      <c r="AE306" s="1">
        <v>0.89231000000000005</v>
      </c>
      <c r="AF306" s="1">
        <v>0.86451999999999996</v>
      </c>
      <c r="AG306" s="1">
        <v>0.88315999999999995</v>
      </c>
      <c r="AH306" s="1">
        <v>0.92805000000000004</v>
      </c>
      <c r="AI306" s="1">
        <v>0.93937999999999999</v>
      </c>
      <c r="AL306" s="4"/>
      <c r="AM306" s="4" t="s">
        <v>13</v>
      </c>
      <c r="AN306" s="4" t="s">
        <v>14</v>
      </c>
      <c r="AO306" s="4" t="s">
        <v>15</v>
      </c>
      <c r="AP306" s="4" t="s">
        <v>16</v>
      </c>
      <c r="AQ306" s="4" t="s">
        <v>17</v>
      </c>
      <c r="AR306" s="4" t="s">
        <v>7</v>
      </c>
    </row>
    <row r="307" spans="1:44" ht="14.25" customHeight="1" x14ac:dyDescent="0.35">
      <c r="A307" s="1" t="s">
        <v>13</v>
      </c>
      <c r="B307" s="1" t="s">
        <v>13</v>
      </c>
      <c r="C307" s="1" t="s">
        <v>13</v>
      </c>
      <c r="D307" s="1" t="s">
        <v>15</v>
      </c>
      <c r="E307" s="1" t="s">
        <v>38</v>
      </c>
      <c r="F307" s="1">
        <v>0.92847999999999997</v>
      </c>
      <c r="G307" s="1">
        <v>0.95601000000000003</v>
      </c>
      <c r="H307" s="1">
        <v>0.93362000000000001</v>
      </c>
      <c r="I307" s="1">
        <v>0.89822999999999997</v>
      </c>
      <c r="J307" s="1">
        <v>0.89756000000000002</v>
      </c>
      <c r="K307" s="1">
        <v>0.88509000000000004</v>
      </c>
      <c r="L307" s="1">
        <v>0.90447</v>
      </c>
      <c r="M307" s="1">
        <v>0.92847999999999997</v>
      </c>
      <c r="N307" s="1">
        <v>0.95601000000000003</v>
      </c>
      <c r="O307" s="1">
        <v>0.93362000000000001</v>
      </c>
      <c r="P307" s="1">
        <v>0.89822999999999997</v>
      </c>
      <c r="Q307" s="1">
        <v>0.89756000000000002</v>
      </c>
      <c r="R307" s="1">
        <v>0.88509000000000004</v>
      </c>
      <c r="S307" s="1">
        <v>0.90447</v>
      </c>
      <c r="T307" s="1">
        <v>0.92847999999999997</v>
      </c>
      <c r="U307" s="1">
        <v>0.95601000000000003</v>
      </c>
      <c r="V307" s="1">
        <v>0.93362000000000001</v>
      </c>
      <c r="W307" s="1">
        <v>0.89822999999999997</v>
      </c>
      <c r="X307" s="1">
        <v>0.89756000000000002</v>
      </c>
      <c r="Y307" s="1">
        <v>0.88509000000000004</v>
      </c>
      <c r="Z307" s="1">
        <v>0.90447</v>
      </c>
      <c r="AA307" s="1">
        <v>0.92847999999999997</v>
      </c>
      <c r="AB307" s="1">
        <v>0.95601000000000003</v>
      </c>
      <c r="AC307" s="1">
        <v>0.93362000000000001</v>
      </c>
      <c r="AD307" s="1">
        <v>0.89822999999999997</v>
      </c>
      <c r="AE307" s="1">
        <v>0.89756000000000002</v>
      </c>
      <c r="AF307" s="1">
        <v>0.88509000000000004</v>
      </c>
      <c r="AG307" s="1">
        <v>0.90447</v>
      </c>
      <c r="AH307" s="1">
        <v>0.92847999999999997</v>
      </c>
      <c r="AI307" s="1">
        <v>0.95601000000000003</v>
      </c>
      <c r="AL307" s="4" t="s">
        <v>19</v>
      </c>
      <c r="AM307" s="6" cm="1">
        <f t="array" ref="AM307">IFERROR((SUMPRODUCT(($C$288:$C$311=AM$286)*($F$284:$AI$284="")*$F$288:$AI$311)+IF(AM$286="P3",SUMPRODUCT(($F$284:$AI$284="P3")*$F$288:$AI$311),0))/(SUMPRODUCT(($C$288:$C$311=AM$286)*($F$284:$AI$284=""))+IF(AM$286="P3",COUNTIF($F$284:$AI$284,"P3")*ROWS($C$288:$C$311),0)),"")</f>
        <v>0.87713875000000008</v>
      </c>
      <c r="AN307" s="6" cm="1">
        <f t="array" ref="AN307">IFERROR((SUMPRODUCT(($C$288:$C$311=AN$286)*($F$284:$AI$284="")*$F$288:$AI$311)+IF(AN$286="P3",SUMPRODUCT(($F$284:$AI$284="P3")*$F$288:$AI$311),0))/(SUMPRODUCT(($C$288:$C$311=AN$286)*($F$284:$AI$284=""))+IF(AN$286="P3",COUNTIF($F$284:$AI$284,"P3")*ROWS($C$288:$C$311),0)),"")</f>
        <v>0.90490928571428464</v>
      </c>
      <c r="AO307" s="6" cm="1">
        <f t="array" ref="AO307">IFERROR((SUMPRODUCT(($C$288:$C$311=AO$286)*($F$284:$AI$284="")*$F$288:$AI$311)+IF(AO$286="P3",SUMPRODUCT(($F$284:$AI$284="P3")*$F$288:$AI$311),0))/(SUMPRODUCT(($C$288:$C$311=AO$286)*($F$284:$AI$284=""))+IF(AO$286="P3",COUNTIF($F$284:$AI$284,"P3")*ROWS($C$288:$C$311),0)),"")</f>
        <v>0.93696283854166695</v>
      </c>
      <c r="AP307" s="6" t="str" cm="1">
        <f t="array" ref="AP307">IFERROR((SUMPRODUCT(($C$288:$C$311=AP$286)*($F$284:$AI$284="")*$F$288:$AI$311)+IF(AP$286="P3",SUMPRODUCT(($F$284:$AI$284="P3")*$F$288:$AI$311),0))/(SUMPRODUCT(($C$288:$C$311=AP$286)*($F$284:$AI$284=""))+IF(AP$286="P3",COUNTIF($F$284:$AI$284,"P3")*ROWS($C$288:$C$311),0)),"")</f>
        <v/>
      </c>
      <c r="AQ307" s="6" t="str" cm="1">
        <f t="array" ref="AQ307">IFERROR((SUMPRODUCT(($C$288:$C$311=AQ$286)*($F$284:$AI$284="")*$F$288:$AI$311)+IF(AQ$286="P3",SUMPRODUCT(($F$284:$AI$284="P3")*$F$288:$AI$311),0))/(SUMPRODUCT(($C$288:$C$311=AQ$286)*($F$284:$AI$284=""))+IF(AQ$286="P3",COUNTIF($F$284:$AI$284,"P3")*ROWS($C$288:$C$311),0)),"")</f>
        <v/>
      </c>
      <c r="AR307" s="6" t="str" cm="1">
        <f t="array" ref="AR307">IFERROR((SUMPRODUCT(($C$288:$C$311=AR$286)*($F$284:$AI$284="")*$F$288:$AI$311)+IF(AR$286="P3",SUMPRODUCT(($F$284:$AI$284="P3")*$F$288:$AI$311),0))/(SUMPRODUCT(($C$288:$C$311=AR$286)*($F$284:$AI$284=""))+IF(AR$286="P3",COUNTIF($F$284:$AI$284,"P3")*ROWS($C$288:$C$311),0)),"")</f>
        <v/>
      </c>
    </row>
    <row r="308" spans="1:44" ht="14.25" customHeight="1" x14ac:dyDescent="0.35">
      <c r="A308" s="1" t="s">
        <v>13</v>
      </c>
      <c r="B308" s="1" t="s">
        <v>13</v>
      </c>
      <c r="C308" s="1" t="s">
        <v>13</v>
      </c>
      <c r="D308" s="1" t="s">
        <v>15</v>
      </c>
      <c r="E308" s="1" t="s">
        <v>39</v>
      </c>
      <c r="F308" s="1">
        <v>0.94581999999999999</v>
      </c>
      <c r="G308" s="1">
        <v>0.96218999999999999</v>
      </c>
      <c r="H308" s="1">
        <v>0.92798999999999998</v>
      </c>
      <c r="I308" s="1">
        <v>0.89126000000000005</v>
      </c>
      <c r="J308" s="1">
        <v>0.89139999999999997</v>
      </c>
      <c r="K308" s="1">
        <v>0.88900000000000001</v>
      </c>
      <c r="L308" s="1">
        <v>0.89810000000000001</v>
      </c>
      <c r="M308" s="1">
        <v>0.94581999999999999</v>
      </c>
      <c r="N308" s="1">
        <v>0.96218999999999999</v>
      </c>
      <c r="O308" s="1">
        <v>0.92798999999999998</v>
      </c>
      <c r="P308" s="1">
        <v>0.89126000000000005</v>
      </c>
      <c r="Q308" s="1">
        <v>0.89139999999999997</v>
      </c>
      <c r="R308" s="1">
        <v>0.88900000000000001</v>
      </c>
      <c r="S308" s="1">
        <v>0.89810000000000001</v>
      </c>
      <c r="T308" s="1">
        <v>0.94581999999999999</v>
      </c>
      <c r="U308" s="1">
        <v>0.96218999999999999</v>
      </c>
      <c r="V308" s="1">
        <v>0.92798999999999998</v>
      </c>
      <c r="W308" s="1">
        <v>0.89126000000000005</v>
      </c>
      <c r="X308" s="1">
        <v>0.89139999999999997</v>
      </c>
      <c r="Y308" s="1">
        <v>0.88900000000000001</v>
      </c>
      <c r="Z308" s="1">
        <v>0.89810000000000001</v>
      </c>
      <c r="AA308" s="1">
        <v>0.94581999999999999</v>
      </c>
      <c r="AB308" s="1">
        <v>0.96218999999999999</v>
      </c>
      <c r="AC308" s="1">
        <v>0.92798999999999998</v>
      </c>
      <c r="AD308" s="1">
        <v>0.89126000000000005</v>
      </c>
      <c r="AE308" s="1">
        <v>0.89139999999999997</v>
      </c>
      <c r="AF308" s="1">
        <v>0.88900000000000001</v>
      </c>
      <c r="AG308" s="1">
        <v>0.89810000000000001</v>
      </c>
      <c r="AH308" s="1">
        <v>0.94581999999999999</v>
      </c>
      <c r="AI308" s="1">
        <v>0.96218999999999999</v>
      </c>
      <c r="AL308" s="4" t="s">
        <v>21</v>
      </c>
      <c r="AM308" s="6" cm="1">
        <f t="array" ref="AM308">IFERROR((SUMPRODUCT(($B$288:$B$311=AM$286)*($F$285:$AI$285="")*$F$288:$AI$311)+IF(AM$286="P6",SUMPRODUCT(($F$285:$AI$285="P6")*$F$288:$AI$311),0))/(SUMPRODUCT(($B$288:$B$311=AM$286)*($F$285:$AI$285=""))+IF(AM$286="P6",COUNTIF($F$285:$AI$285,"P6")*ROWS($B$288:$B$311),0)),"")</f>
        <v>0.87654280423280395</v>
      </c>
      <c r="AN308" s="6" cm="1">
        <f t="array" ref="AN308">IFERROR((SUMPRODUCT(($B$288:$B$311=AN$286)*($F$285:$AI$285="")*$F$288:$AI$311)+IF(AN$286="P6",SUMPRODUCT(($F$285:$AI$285="P6")*$F$288:$AI$311),0))/(SUMPRODUCT(($B$288:$B$311=AN$286)*($F$285:$AI$285=""))+IF(AN$286="P6",COUNTIF($F$285:$AI$285,"P6")*ROWS($B$288:$B$311),0)),"")</f>
        <v>0.90964272108843558</v>
      </c>
      <c r="AO308" s="6" t="str" cm="1">
        <f t="array" ref="AO308">IFERROR((SUMPRODUCT(($B$288:$B$311=AO$286)*($F$285:$AI$285="")*$F$288:$AI$311)+IF(AO$286="P6",SUMPRODUCT(($F$285:$AI$285="P6")*$F$288:$AI$311),0))/(SUMPRODUCT(($B$288:$B$311=AO$286)*($F$285:$AI$285=""))+IF(AO$286="P6",COUNTIF($F$285:$AI$285,"P6")*ROWS($B$288:$B$311),0)),"")</f>
        <v/>
      </c>
      <c r="AP308" s="6" t="str" cm="1">
        <f t="array" ref="AP308">IFERROR((SUMPRODUCT(($B$288:$B$311=AP$286)*($F$285:$AI$285="")*$F$288:$AI$311)+IF(AP$286="P6",SUMPRODUCT(($F$285:$AI$285="P6")*$F$288:$AI$311),0))/(SUMPRODUCT(($B$288:$B$311=AP$286)*($F$285:$AI$285=""))+IF(AP$286="P6",COUNTIF($F$285:$AI$285,"P6")*ROWS($B$288:$B$311),0)),"")</f>
        <v/>
      </c>
      <c r="AQ308" s="6" t="str" cm="1">
        <f t="array" ref="AQ308">IFERROR((SUMPRODUCT(($B$288:$B$311=AQ$286)*($F$285:$AI$285="")*$F$288:$AI$311)+IF(AQ$286="P6",SUMPRODUCT(($F$285:$AI$285="P6")*$F$288:$AI$311),0))/(SUMPRODUCT(($B$288:$B$311=AQ$286)*($F$285:$AI$285=""))+IF(AQ$286="P6",COUNTIF($F$285:$AI$285,"P6")*ROWS($B$288:$B$311),0)),"")</f>
        <v/>
      </c>
      <c r="AR308" s="6" cm="1">
        <f t="array" ref="AR308">IFERROR((SUMPRODUCT(($B$288:$B$311=AR$286)*($F$285:$AI$285="")*$F$288:$AI$311)+IF(AR$286="P6",SUMPRODUCT(($F$285:$AI$285="P6")*$F$288:$AI$311),0))/(SUMPRODUCT(($B$288:$B$311=AR$286)*($F$285:$AI$285=""))+IF(AR$286="P6",COUNTIF($F$285:$AI$285,"P6")*ROWS($B$288:$B$311),0)),"")</f>
        <v>0.93696283854166695</v>
      </c>
    </row>
    <row r="309" spans="1:44" ht="14.25" customHeight="1" x14ac:dyDescent="0.35">
      <c r="A309" s="1" t="s">
        <v>13</v>
      </c>
      <c r="B309" s="1" t="s">
        <v>13</v>
      </c>
      <c r="C309" s="1" t="s">
        <v>13</v>
      </c>
      <c r="D309" s="1" t="s">
        <v>15</v>
      </c>
      <c r="E309" s="1" t="s">
        <v>40</v>
      </c>
      <c r="F309" s="1">
        <v>0.93537000000000003</v>
      </c>
      <c r="G309" s="1">
        <v>0.94508000000000003</v>
      </c>
      <c r="H309" s="1">
        <v>0.90429000000000004</v>
      </c>
      <c r="I309" s="1">
        <v>0.87078999999999995</v>
      </c>
      <c r="J309" s="1">
        <v>0.87126000000000003</v>
      </c>
      <c r="K309" s="1">
        <v>0.86384000000000005</v>
      </c>
      <c r="L309" s="1">
        <v>0.88232999999999995</v>
      </c>
      <c r="M309" s="1">
        <v>0.93537000000000003</v>
      </c>
      <c r="N309" s="1">
        <v>0.94508000000000003</v>
      </c>
      <c r="O309" s="1">
        <v>0.90429000000000004</v>
      </c>
      <c r="P309" s="1">
        <v>0.87078999999999995</v>
      </c>
      <c r="Q309" s="1">
        <v>0.87126000000000003</v>
      </c>
      <c r="R309" s="1">
        <v>0.86384000000000005</v>
      </c>
      <c r="S309" s="1">
        <v>0.88232999999999995</v>
      </c>
      <c r="T309" s="1">
        <v>0.93537000000000003</v>
      </c>
      <c r="U309" s="1">
        <v>0.94508000000000003</v>
      </c>
      <c r="V309" s="1">
        <v>0.90429000000000004</v>
      </c>
      <c r="W309" s="1">
        <v>0.87078999999999995</v>
      </c>
      <c r="X309" s="1">
        <v>0.87126000000000003</v>
      </c>
      <c r="Y309" s="1">
        <v>0.86384000000000005</v>
      </c>
      <c r="Z309" s="1">
        <v>0.88232999999999995</v>
      </c>
      <c r="AA309" s="1">
        <v>0.93537000000000003</v>
      </c>
      <c r="AB309" s="1">
        <v>0.94508000000000003</v>
      </c>
      <c r="AC309" s="1">
        <v>0.90429000000000004</v>
      </c>
      <c r="AD309" s="1">
        <v>0.87078999999999995</v>
      </c>
      <c r="AE309" s="1">
        <v>0.87126000000000003</v>
      </c>
      <c r="AF309" s="1">
        <v>0.86384000000000005</v>
      </c>
      <c r="AG309" s="1">
        <v>0.88232999999999995</v>
      </c>
      <c r="AH309" s="1">
        <v>0.93537000000000003</v>
      </c>
      <c r="AI309" s="1">
        <v>0.94508000000000003</v>
      </c>
      <c r="AL309" s="4" t="s">
        <v>23</v>
      </c>
      <c r="AM309" s="6" cm="1">
        <f t="array" ref="AM309">IFERROR((SUMPRODUCT(($B$288:$B$311=AM$286)*($F$285:$AI$285="")*$F$288:$AI$311)+IF(AM$286="P6",SUMPRODUCT(($F$285:$AI$285="P6")*$F$288:$AI$311),0))/(SUMPRODUCT(($B$288:$B$311=AM$286)*($F$285:$AI$285=""))+IF(AM$286="P6",COUNTIF($F$285:$AI$285,"P6")*ROWS($B$288:$B$311),0)),"")</f>
        <v>0.87654280423280395</v>
      </c>
      <c r="AN309" s="6" cm="1">
        <f t="array" ref="AN309">IFERROR((SUMPRODUCT(($B$288:$B$311=AN$286)*($F$285:$AI$285="")*$F$288:$AI$311)+IF(AN$286="P6",SUMPRODUCT(($F$285:$AI$285="P6")*$F$288:$AI$311),0))/(SUMPRODUCT(($B$288:$B$311=AN$286)*($F$285:$AI$285=""))+IF(AN$286="P6",COUNTIF($F$285:$AI$285,"P6")*ROWS($B$288:$B$311),0)),"")</f>
        <v>0.90964272108843558</v>
      </c>
      <c r="AO309" s="6" t="str" cm="1">
        <f t="array" ref="AO309">IFERROR((SUMPRODUCT(($B$288:$B$311=AO$286)*($F$285:$AI$285="")*$F$288:$AI$311)+IF(AO$286="P6",SUMPRODUCT(($F$285:$AI$285="P6")*$F$288:$AI$311),0))/(SUMPRODUCT(($B$288:$B$311=AO$286)*($F$285:$AI$285=""))+IF(AO$286="P6",COUNTIF($F$285:$AI$285,"P6")*ROWS($B$288:$B$311),0)),"")</f>
        <v/>
      </c>
      <c r="AP309" s="6" t="str" cm="1">
        <f t="array" ref="AP309">IFERROR((SUMPRODUCT(($B$288:$B$311=AP$286)*($F$285:$AI$285="")*$F$288:$AI$311)+IF(AP$286="P6",SUMPRODUCT(($F$285:$AI$285="P6")*$F$288:$AI$311),0))/(SUMPRODUCT(($B$288:$B$311=AP$286)*($F$285:$AI$285=""))+IF(AP$286="P6",COUNTIF($F$285:$AI$285,"P6")*ROWS($B$288:$B$311),0)),"")</f>
        <v/>
      </c>
      <c r="AQ309" s="6" t="str" cm="1">
        <f t="array" ref="AQ309">IFERROR((SUMPRODUCT(($B$288:$B$311=AQ$286)*($F$285:$AI$285="")*$F$288:$AI$311)+IF(AQ$286="P6",SUMPRODUCT(($F$285:$AI$285="P6")*$F$288:$AI$311),0))/(SUMPRODUCT(($B$288:$B$311=AQ$286)*($F$285:$AI$285=""))+IF(AQ$286="P6",COUNTIF($F$285:$AI$285,"P6")*ROWS($B$288:$B$311),0)),"")</f>
        <v/>
      </c>
      <c r="AR309" s="6" cm="1">
        <f t="array" ref="AR309">IFERROR((SUMPRODUCT(($B$288:$B$311=AR$286)*($F$285:$AI$285="")*$F$288:$AI$311)+IF(AR$286="P6",SUMPRODUCT(($F$285:$AI$285="P6")*$F$288:$AI$311),0))/(SUMPRODUCT(($B$288:$B$311=AR$286)*($F$285:$AI$285=""))+IF(AR$286="P6",COUNTIF($F$285:$AI$285,"P6")*ROWS($B$288:$B$311),0)),"")</f>
        <v>0.93696283854166695</v>
      </c>
    </row>
    <row r="310" spans="1:44" ht="14.25" customHeight="1" x14ac:dyDescent="0.35">
      <c r="A310" s="1" t="s">
        <v>15</v>
      </c>
      <c r="B310" s="1" t="s">
        <v>14</v>
      </c>
      <c r="C310" s="1" t="s">
        <v>14</v>
      </c>
      <c r="D310" s="1" t="s">
        <v>16</v>
      </c>
      <c r="E310" s="1" t="s">
        <v>41</v>
      </c>
      <c r="F310" s="1">
        <v>0.99641999999999997</v>
      </c>
      <c r="G310" s="1">
        <v>0.95948</v>
      </c>
      <c r="H310" s="1">
        <v>0.91191999999999995</v>
      </c>
      <c r="I310" s="1">
        <v>0.91842999999999997</v>
      </c>
      <c r="J310" s="1">
        <v>0.91727999999999998</v>
      </c>
      <c r="K310" s="1">
        <v>0.90278999999999998</v>
      </c>
      <c r="L310" s="1">
        <v>0.93530999999999997</v>
      </c>
      <c r="M310" s="1">
        <v>0.99641999999999997</v>
      </c>
      <c r="N310" s="1">
        <v>0.95948</v>
      </c>
      <c r="O310" s="1">
        <v>0.91191999999999995</v>
      </c>
      <c r="P310" s="1">
        <v>0.91842999999999997</v>
      </c>
      <c r="Q310" s="1">
        <v>0.91727999999999998</v>
      </c>
      <c r="R310" s="1">
        <v>0.90278999999999998</v>
      </c>
      <c r="S310" s="1">
        <v>0.93530999999999997</v>
      </c>
      <c r="T310" s="1">
        <v>0.99641999999999997</v>
      </c>
      <c r="U310" s="1">
        <v>0.95948</v>
      </c>
      <c r="V310" s="1">
        <v>0.91191999999999995</v>
      </c>
      <c r="W310" s="1">
        <v>0.91842999999999997</v>
      </c>
      <c r="X310" s="1">
        <v>0.91727999999999998</v>
      </c>
      <c r="Y310" s="1">
        <v>0.90278999999999998</v>
      </c>
      <c r="Z310" s="1">
        <v>0.93530999999999997</v>
      </c>
      <c r="AA310" s="1">
        <v>0.99641999999999997</v>
      </c>
      <c r="AB310" s="1">
        <v>0.95948</v>
      </c>
      <c r="AC310" s="1">
        <v>0.91191999999999995</v>
      </c>
      <c r="AD310" s="1">
        <v>0.91842999999999997</v>
      </c>
      <c r="AE310" s="1">
        <v>0.91727999999999998</v>
      </c>
      <c r="AF310" s="1">
        <v>0.90278999999999998</v>
      </c>
      <c r="AG310" s="1">
        <v>0.93530999999999997</v>
      </c>
      <c r="AH310" s="1">
        <v>0.99641999999999997</v>
      </c>
      <c r="AI310" s="1">
        <v>0.95948</v>
      </c>
      <c r="AL310" s="4" t="s">
        <v>25</v>
      </c>
      <c r="AM310" s="6" cm="1">
        <f t="array" ref="AM310">IFERROR((SUMPRODUCT(($B$288:$B$311=AM$286)*($F$285:$AI$285="")*$F$288:$AI$311)+IF(AM$286="P6",SUMPRODUCT(($F$285:$AI$285="P6")*$F$288:$AI$311),0))/(SUMPRODUCT(($B$288:$B$311=AM$286)*($F$285:$AI$285=""))+IF(AM$286="P6",COUNTIF($F$285:$AI$285,"P6")*ROWS($B$288:$B$311),0)),"")</f>
        <v>0.87654280423280395</v>
      </c>
      <c r="AN310" s="6" cm="1">
        <f t="array" ref="AN310">IFERROR((SUMPRODUCT(($B$288:$B$311=AN$286)*($F$285:$AI$285="")*$F$288:$AI$311)+IF(AN$286="P6",SUMPRODUCT(($F$285:$AI$285="P6")*$F$288:$AI$311),0))/(SUMPRODUCT(($B$288:$B$311=AN$286)*($F$285:$AI$285=""))+IF(AN$286="P6",COUNTIF($F$285:$AI$285,"P6")*ROWS($B$288:$B$311),0)),"")</f>
        <v>0.90964272108843558</v>
      </c>
      <c r="AO310" s="6" t="str" cm="1">
        <f t="array" ref="AO310">IFERROR((SUMPRODUCT(($B$288:$B$311=AO$286)*($F$285:$AI$285="")*$F$288:$AI$311)+IF(AO$286="P6",SUMPRODUCT(($F$285:$AI$285="P6")*$F$288:$AI$311),0))/(SUMPRODUCT(($B$288:$B$311=AO$286)*($F$285:$AI$285=""))+IF(AO$286="P6",COUNTIF($F$285:$AI$285,"P6")*ROWS($B$288:$B$311),0)),"")</f>
        <v/>
      </c>
      <c r="AP310" s="6" t="str" cm="1">
        <f t="array" ref="AP310">IFERROR((SUMPRODUCT(($B$288:$B$311=AP$286)*($F$285:$AI$285="")*$F$288:$AI$311)+IF(AP$286="P6",SUMPRODUCT(($F$285:$AI$285="P6")*$F$288:$AI$311),0))/(SUMPRODUCT(($B$288:$B$311=AP$286)*($F$285:$AI$285=""))+IF(AP$286="P6",COUNTIF($F$285:$AI$285,"P6")*ROWS($B$288:$B$311),0)),"")</f>
        <v/>
      </c>
      <c r="AQ310" s="6" t="str" cm="1">
        <f t="array" ref="AQ310">IFERROR((SUMPRODUCT(($B$288:$B$311=AQ$286)*($F$285:$AI$285="")*$F$288:$AI$311)+IF(AQ$286="P6",SUMPRODUCT(($F$285:$AI$285="P6")*$F$288:$AI$311),0))/(SUMPRODUCT(($B$288:$B$311=AQ$286)*($F$285:$AI$285=""))+IF(AQ$286="P6",COUNTIF($F$285:$AI$285,"P6")*ROWS($B$288:$B$311),0)),"")</f>
        <v/>
      </c>
      <c r="AR310" s="6" cm="1">
        <f t="array" ref="AR310">IFERROR((SUMPRODUCT(($B$288:$B$311=AR$286)*($F$285:$AI$285="")*$F$288:$AI$311)+IF(AR$286="P6",SUMPRODUCT(($F$285:$AI$285="P6")*$F$288:$AI$311),0))/(SUMPRODUCT(($B$288:$B$311=AR$286)*($F$285:$AI$285=""))+IF(AR$286="P6",COUNTIF($F$285:$AI$285,"P6")*ROWS($B$288:$B$311),0)),"")</f>
        <v>0.93696283854166695</v>
      </c>
    </row>
    <row r="311" spans="1:44" ht="14.25" customHeight="1" x14ac:dyDescent="0.35">
      <c r="A311" s="1" t="s">
        <v>15</v>
      </c>
      <c r="B311" s="1" t="s">
        <v>14</v>
      </c>
      <c r="C311" s="1" t="s">
        <v>14</v>
      </c>
      <c r="D311" s="1" t="s">
        <v>16</v>
      </c>
      <c r="E311" s="1" t="s">
        <v>42</v>
      </c>
      <c r="F311" s="1">
        <v>1.01054</v>
      </c>
      <c r="G311" s="1">
        <v>0.96948999999999996</v>
      </c>
      <c r="H311" s="1">
        <v>0.92559000000000002</v>
      </c>
      <c r="I311" s="1">
        <v>0.92354000000000003</v>
      </c>
      <c r="J311" s="1">
        <v>0.92232999999999998</v>
      </c>
      <c r="K311" s="1">
        <v>0.90793000000000001</v>
      </c>
      <c r="L311" s="1">
        <v>0.94777</v>
      </c>
      <c r="M311" s="1">
        <v>1.01054</v>
      </c>
      <c r="N311" s="1">
        <v>0.96948999999999996</v>
      </c>
      <c r="O311" s="1">
        <v>0.92559000000000002</v>
      </c>
      <c r="P311" s="1">
        <v>0.92354000000000003</v>
      </c>
      <c r="Q311" s="1">
        <v>0.92232999999999998</v>
      </c>
      <c r="R311" s="1">
        <v>0.90793000000000001</v>
      </c>
      <c r="S311" s="1">
        <v>0.94777</v>
      </c>
      <c r="T311" s="1">
        <v>1.01054</v>
      </c>
      <c r="U311" s="1">
        <v>0.96948999999999996</v>
      </c>
      <c r="V311" s="1">
        <v>0.92559000000000002</v>
      </c>
      <c r="W311" s="1">
        <v>0.92354000000000003</v>
      </c>
      <c r="X311" s="1">
        <v>0.92232999999999998</v>
      </c>
      <c r="Y311" s="1">
        <v>0.90793000000000001</v>
      </c>
      <c r="Z311" s="1">
        <v>0.94777</v>
      </c>
      <c r="AA311" s="1">
        <v>1.01054</v>
      </c>
      <c r="AB311" s="1">
        <v>0.96948999999999996</v>
      </c>
      <c r="AC311" s="1">
        <v>0.92559000000000002</v>
      </c>
      <c r="AD311" s="1">
        <v>0.92354000000000003</v>
      </c>
      <c r="AE311" s="1">
        <v>0.92232999999999998</v>
      </c>
      <c r="AF311" s="1">
        <v>0.90793000000000001</v>
      </c>
      <c r="AG311" s="1">
        <v>0.94777</v>
      </c>
      <c r="AH311" s="1">
        <v>1.01054</v>
      </c>
      <c r="AI311" s="1">
        <v>0.96948999999999996</v>
      </c>
      <c r="AL311" s="4" t="s">
        <v>27</v>
      </c>
      <c r="AM311" s="6" cm="1">
        <f t="array" ref="AM311">IFERROR((SUMPRODUCT(($B$288:$B$311=AM$286)*($F$285:$AI$285="")*$F$288:$AI$311)+IF(AM$286="P6",SUMPRODUCT(($F$285:$AI$285="P6")*$F$288:$AI$311),0))/(SUMPRODUCT(($B$288:$B$311=AM$286)*($F$285:$AI$285=""))+IF(AM$286="P6",COUNTIF($F$285:$AI$285,"P6")*ROWS($B$288:$B$311),0)),"")</f>
        <v>0.87654280423280395</v>
      </c>
      <c r="AN311" s="6" cm="1">
        <f t="array" ref="AN311">IFERROR((SUMPRODUCT(($B$288:$B$311=AN$286)*($F$285:$AI$285="")*$F$288:$AI$311)+IF(AN$286="P6",SUMPRODUCT(($F$285:$AI$285="P6")*$F$288:$AI$311),0))/(SUMPRODUCT(($B$288:$B$311=AN$286)*($F$285:$AI$285=""))+IF(AN$286="P6",COUNTIF($F$285:$AI$285,"P6")*ROWS($B$288:$B$311),0)),"")</f>
        <v>0.90964272108843558</v>
      </c>
      <c r="AO311" s="6" t="str" cm="1">
        <f t="array" ref="AO311">IFERROR((SUMPRODUCT(($B$288:$B$311=AO$286)*($F$285:$AI$285="")*$F$288:$AI$311)+IF(AO$286="P6",SUMPRODUCT(($F$285:$AI$285="P6")*$F$288:$AI$311),0))/(SUMPRODUCT(($B$288:$B$311=AO$286)*($F$285:$AI$285=""))+IF(AO$286="P6",COUNTIF($F$285:$AI$285,"P6")*ROWS($B$288:$B$311),0)),"")</f>
        <v/>
      </c>
      <c r="AP311" s="6" t="str" cm="1">
        <f t="array" ref="AP311">IFERROR((SUMPRODUCT(($B$288:$B$311=AP$286)*($F$285:$AI$285="")*$F$288:$AI$311)+IF(AP$286="P6",SUMPRODUCT(($F$285:$AI$285="P6")*$F$288:$AI$311),0))/(SUMPRODUCT(($B$288:$B$311=AP$286)*($F$285:$AI$285=""))+IF(AP$286="P6",COUNTIF($F$285:$AI$285,"P6")*ROWS($B$288:$B$311),0)),"")</f>
        <v/>
      </c>
      <c r="AQ311" s="6" t="str" cm="1">
        <f t="array" ref="AQ311">IFERROR((SUMPRODUCT(($B$288:$B$311=AQ$286)*($F$285:$AI$285="")*$F$288:$AI$311)+IF(AQ$286="P6",SUMPRODUCT(($F$285:$AI$285="P6")*$F$288:$AI$311),0))/(SUMPRODUCT(($B$288:$B$311=AQ$286)*($F$285:$AI$285=""))+IF(AQ$286="P6",COUNTIF($F$285:$AI$285,"P6")*ROWS($B$288:$B$311),0)),"")</f>
        <v/>
      </c>
      <c r="AR311" s="6" cm="1">
        <f t="array" ref="AR311">IFERROR((SUMPRODUCT(($B$288:$B$311=AR$286)*($F$285:$AI$285="")*$F$288:$AI$311)+IF(AR$286="P6",SUMPRODUCT(($F$285:$AI$285="P6")*$F$288:$AI$311),0))/(SUMPRODUCT(($B$288:$B$311=AR$286)*($F$285:$AI$285=""))+IF(AR$286="P6",COUNTIF($F$285:$AI$285,"P6")*ROWS($B$288:$B$311),0)),"")</f>
        <v>0.93696283854166695</v>
      </c>
    </row>
    <row r="312" spans="1:44" ht="14.25" customHeight="1" x14ac:dyDescent="0.35">
      <c r="AL312" s="4" t="s">
        <v>29</v>
      </c>
      <c r="AM312" s="6" cm="1">
        <f t="array" ref="AM312">IFERROR((SUMPRODUCT(($B$288:$B$311=AM$286)*($F$285:$AI$285="")*$F$288:$AI$311)+IF(AM$286="P6",SUMPRODUCT(($F$285:$AI$285="P6")*$F$288:$AI$311),0))/(SUMPRODUCT(($B$288:$B$311=AM$286)*($F$285:$AI$285=""))+IF(AM$286="P6",COUNTIF($F$285:$AI$285,"P6")*ROWS($B$288:$B$311),0)),"")</f>
        <v>0.87654280423280395</v>
      </c>
      <c r="AN312" s="6" cm="1">
        <f t="array" ref="AN312">IFERROR((SUMPRODUCT(($B$288:$B$311=AN$286)*($F$285:$AI$285="")*$F$288:$AI$311)+IF(AN$286="P6",SUMPRODUCT(($F$285:$AI$285="P6")*$F$288:$AI$311),0))/(SUMPRODUCT(($B$288:$B$311=AN$286)*($F$285:$AI$285=""))+IF(AN$286="P6",COUNTIF($F$285:$AI$285,"P6")*ROWS($B$288:$B$311),0)),"")</f>
        <v>0.90964272108843558</v>
      </c>
      <c r="AO312" s="6" t="str" cm="1">
        <f t="array" ref="AO312">IFERROR((SUMPRODUCT(($B$288:$B$311=AO$286)*($F$285:$AI$285="")*$F$288:$AI$311)+IF(AO$286="P6",SUMPRODUCT(($F$285:$AI$285="P6")*$F$288:$AI$311),0))/(SUMPRODUCT(($B$288:$B$311=AO$286)*($F$285:$AI$285=""))+IF(AO$286="P6",COUNTIF($F$285:$AI$285,"P6")*ROWS($B$288:$B$311),0)),"")</f>
        <v/>
      </c>
      <c r="AP312" s="6" t="str" cm="1">
        <f t="array" ref="AP312">IFERROR((SUMPRODUCT(($B$288:$B$311=AP$286)*($F$285:$AI$285="")*$F$288:$AI$311)+IF(AP$286="P6",SUMPRODUCT(($F$285:$AI$285="P6")*$F$288:$AI$311),0))/(SUMPRODUCT(($B$288:$B$311=AP$286)*($F$285:$AI$285=""))+IF(AP$286="P6",COUNTIF($F$285:$AI$285,"P6")*ROWS($B$288:$B$311),0)),"")</f>
        <v/>
      </c>
      <c r="AQ312" s="6" t="str" cm="1">
        <f t="array" ref="AQ312">IFERROR((SUMPRODUCT(($B$288:$B$311=AQ$286)*($F$285:$AI$285="")*$F$288:$AI$311)+IF(AQ$286="P6",SUMPRODUCT(($F$285:$AI$285="P6")*$F$288:$AI$311),0))/(SUMPRODUCT(($B$288:$B$311=AQ$286)*($F$285:$AI$285=""))+IF(AQ$286="P6",COUNTIF($F$285:$AI$285,"P6")*ROWS($B$288:$B$311),0)),"")</f>
        <v/>
      </c>
      <c r="AR312" s="6" cm="1">
        <f t="array" ref="AR312">IFERROR((SUMPRODUCT(($B$288:$B$311=AR$286)*($F$285:$AI$285="")*$F$288:$AI$311)+IF(AR$286="P6",SUMPRODUCT(($F$285:$AI$285="P6")*$F$288:$AI$311),0))/(SUMPRODUCT(($B$288:$B$311=AR$286)*($F$285:$AI$285=""))+IF(AR$286="P6",COUNTIF($F$285:$AI$285,"P6")*ROWS($B$288:$B$311),0)),"")</f>
        <v>0.93696283854166695</v>
      </c>
    </row>
    <row r="316" spans="1:44" ht="14.25" customHeight="1" x14ac:dyDescent="0.35">
      <c r="A316" s="15" t="s">
        <v>240</v>
      </c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</row>
    <row r="317" spans="1:44" ht="14.25" customHeight="1" x14ac:dyDescent="0.3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</row>
    <row r="318" spans="1:44" ht="14.25" customHeight="1" x14ac:dyDescent="0.35">
      <c r="AL318" s="10"/>
      <c r="AM318" s="10"/>
      <c r="AN318" s="10"/>
      <c r="AO318" s="10"/>
      <c r="AP318" s="10"/>
      <c r="AQ318" s="10"/>
      <c r="AR318" s="10"/>
    </row>
    <row r="319" spans="1:44" ht="14.25" customHeight="1" x14ac:dyDescent="0.35">
      <c r="F319" s="1" t="str">
        <f>IF(OR(F321="S",F321="D",F322=DATE(2023,10,12)),"P3","")</f>
        <v>P3</v>
      </c>
      <c r="G319" s="1" t="str">
        <f t="shared" ref="G319:AJ319" si="32">IF(OR(G321="S",G321="D",G322=DATE(2023,10,12)),"P3","")</f>
        <v/>
      </c>
      <c r="H319" s="1" t="str">
        <f t="shared" si="32"/>
        <v/>
      </c>
      <c r="I319" s="1" t="str">
        <f t="shared" si="32"/>
        <v/>
      </c>
      <c r="J319" s="1" t="str">
        <f t="shared" si="32"/>
        <v/>
      </c>
      <c r="K319" s="1" t="str">
        <f t="shared" si="32"/>
        <v/>
      </c>
      <c r="L319" s="1" t="str">
        <f t="shared" si="32"/>
        <v>P3</v>
      </c>
      <c r="M319" s="1" t="str">
        <f t="shared" si="32"/>
        <v>P3</v>
      </c>
      <c r="N319" s="1" t="str">
        <f t="shared" si="32"/>
        <v/>
      </c>
      <c r="O319" s="1" t="str">
        <f t="shared" si="32"/>
        <v/>
      </c>
      <c r="P319" s="1" t="str">
        <f t="shared" si="32"/>
        <v/>
      </c>
      <c r="Q319" s="1" t="str">
        <f t="shared" si="32"/>
        <v>P3</v>
      </c>
      <c r="R319" s="1" t="str">
        <f t="shared" si="32"/>
        <v/>
      </c>
      <c r="S319" s="1" t="str">
        <f t="shared" si="32"/>
        <v>P3</v>
      </c>
      <c r="T319" s="1" t="str">
        <f t="shared" si="32"/>
        <v>P3</v>
      </c>
      <c r="U319" s="1" t="str">
        <f t="shared" si="32"/>
        <v/>
      </c>
      <c r="V319" s="1" t="str">
        <f t="shared" si="32"/>
        <v/>
      </c>
      <c r="W319" s="1" t="str">
        <f t="shared" si="32"/>
        <v/>
      </c>
      <c r="X319" s="1" t="str">
        <f t="shared" si="32"/>
        <v/>
      </c>
      <c r="Y319" s="1" t="str">
        <f t="shared" si="32"/>
        <v/>
      </c>
      <c r="Z319" s="1" t="str">
        <f t="shared" si="32"/>
        <v>P3</v>
      </c>
      <c r="AA319" s="1" t="str">
        <f t="shared" si="32"/>
        <v>P3</v>
      </c>
      <c r="AB319" s="1" t="str">
        <f t="shared" si="32"/>
        <v/>
      </c>
      <c r="AC319" s="1" t="str">
        <f t="shared" si="32"/>
        <v/>
      </c>
      <c r="AD319" s="1" t="str">
        <f t="shared" si="32"/>
        <v/>
      </c>
      <c r="AE319" s="1" t="str">
        <f t="shared" si="32"/>
        <v/>
      </c>
      <c r="AF319" s="1" t="str">
        <f t="shared" si="32"/>
        <v/>
      </c>
      <c r="AG319" s="1" t="str">
        <f t="shared" si="32"/>
        <v>P3</v>
      </c>
      <c r="AH319" s="1" t="str">
        <f t="shared" si="32"/>
        <v>P3</v>
      </c>
      <c r="AI319" s="1" t="str">
        <f t="shared" si="32"/>
        <v/>
      </c>
      <c r="AJ319" s="1" t="str">
        <f t="shared" si="32"/>
        <v/>
      </c>
      <c r="AL319" s="10"/>
      <c r="AM319" s="10"/>
      <c r="AN319" s="10"/>
      <c r="AO319" s="10"/>
      <c r="AP319" s="10"/>
      <c r="AQ319" s="10"/>
      <c r="AR319" s="10"/>
    </row>
    <row r="320" spans="1:44" ht="14.25" customHeight="1" x14ac:dyDescent="0.35">
      <c r="F320" s="1" t="str">
        <f>IF(OR(F321="S",F321="D",F322=DATE(2023,10,12)),"P6","")</f>
        <v>P6</v>
      </c>
      <c r="G320" s="1" t="str">
        <f t="shared" ref="G320:AJ320" si="33">IF(OR(G321="S",G321="D",G322=DATE(2023,10,12)),"P6","")</f>
        <v/>
      </c>
      <c r="H320" s="1" t="str">
        <f t="shared" si="33"/>
        <v/>
      </c>
      <c r="I320" s="1" t="str">
        <f t="shared" si="33"/>
        <v/>
      </c>
      <c r="J320" s="1" t="str">
        <f t="shared" si="33"/>
        <v/>
      </c>
      <c r="K320" s="1" t="str">
        <f t="shared" si="33"/>
        <v/>
      </c>
      <c r="L320" s="1" t="str">
        <f t="shared" si="33"/>
        <v>P6</v>
      </c>
      <c r="M320" s="1" t="str">
        <f t="shared" si="33"/>
        <v>P6</v>
      </c>
      <c r="N320" s="1" t="str">
        <f t="shared" si="33"/>
        <v/>
      </c>
      <c r="O320" s="1" t="str">
        <f t="shared" si="33"/>
        <v/>
      </c>
      <c r="P320" s="1" t="str">
        <f t="shared" si="33"/>
        <v/>
      </c>
      <c r="Q320" s="1" t="str">
        <f t="shared" si="33"/>
        <v>P6</v>
      </c>
      <c r="R320" s="1" t="str">
        <f t="shared" si="33"/>
        <v/>
      </c>
      <c r="S320" s="1" t="str">
        <f t="shared" si="33"/>
        <v>P6</v>
      </c>
      <c r="T320" s="1" t="str">
        <f t="shared" si="33"/>
        <v>P6</v>
      </c>
      <c r="U320" s="1" t="str">
        <f t="shared" si="33"/>
        <v/>
      </c>
      <c r="V320" s="1" t="str">
        <f t="shared" si="33"/>
        <v/>
      </c>
      <c r="W320" s="1" t="str">
        <f t="shared" si="33"/>
        <v/>
      </c>
      <c r="X320" s="1" t="str">
        <f t="shared" si="33"/>
        <v/>
      </c>
      <c r="Y320" s="1" t="str">
        <f t="shared" si="33"/>
        <v/>
      </c>
      <c r="Z320" s="1" t="str">
        <f t="shared" si="33"/>
        <v>P6</v>
      </c>
      <c r="AA320" s="1" t="str">
        <f t="shared" si="33"/>
        <v>P6</v>
      </c>
      <c r="AB320" s="1" t="str">
        <f t="shared" si="33"/>
        <v/>
      </c>
      <c r="AC320" s="1" t="str">
        <f t="shared" si="33"/>
        <v/>
      </c>
      <c r="AD320" s="1" t="str">
        <f t="shared" si="33"/>
        <v/>
      </c>
      <c r="AE320" s="1" t="str">
        <f t="shared" si="33"/>
        <v/>
      </c>
      <c r="AF320" s="1" t="str">
        <f t="shared" si="33"/>
        <v/>
      </c>
      <c r="AG320" s="1" t="str">
        <f t="shared" si="33"/>
        <v>P6</v>
      </c>
      <c r="AH320" s="1" t="str">
        <f t="shared" si="33"/>
        <v>P6</v>
      </c>
      <c r="AI320" s="1" t="str">
        <f t="shared" si="33"/>
        <v/>
      </c>
      <c r="AJ320" s="1" t="str">
        <f t="shared" si="33"/>
        <v/>
      </c>
      <c r="AL320" s="14" t="s">
        <v>241</v>
      </c>
      <c r="AM320" s="14"/>
      <c r="AN320" s="14"/>
      <c r="AO320" s="14"/>
      <c r="AP320" s="14"/>
      <c r="AQ320" s="14"/>
      <c r="AR320" s="14"/>
    </row>
    <row r="321" spans="1:44" ht="14.25" customHeight="1" x14ac:dyDescent="0.35">
      <c r="F321" s="1" t="str">
        <f>CHOOSE(WEEKDAY(F322,2),"L","M","X","J","V","S","D")</f>
        <v>D</v>
      </c>
      <c r="G321" s="1" t="str">
        <f t="shared" ref="G321:AJ321" si="34">CHOOSE(WEEKDAY(G322,2),"L","M","X","J","V","S","D")</f>
        <v>L</v>
      </c>
      <c r="H321" s="1" t="str">
        <f t="shared" si="34"/>
        <v>M</v>
      </c>
      <c r="I321" s="1" t="str">
        <f t="shared" si="34"/>
        <v>X</v>
      </c>
      <c r="J321" s="1" t="str">
        <f t="shared" si="34"/>
        <v>J</v>
      </c>
      <c r="K321" s="1" t="str">
        <f t="shared" si="34"/>
        <v>V</v>
      </c>
      <c r="L321" s="1" t="str">
        <f t="shared" si="34"/>
        <v>S</v>
      </c>
      <c r="M321" s="1" t="str">
        <f t="shared" si="34"/>
        <v>D</v>
      </c>
      <c r="N321" s="1" t="str">
        <f t="shared" si="34"/>
        <v>L</v>
      </c>
      <c r="O321" s="1" t="str">
        <f t="shared" si="34"/>
        <v>M</v>
      </c>
      <c r="P321" s="1" t="str">
        <f t="shared" si="34"/>
        <v>X</v>
      </c>
      <c r="Q321" s="1" t="str">
        <f t="shared" si="34"/>
        <v>J</v>
      </c>
      <c r="R321" s="1" t="str">
        <f t="shared" si="34"/>
        <v>V</v>
      </c>
      <c r="S321" s="1" t="str">
        <f t="shared" si="34"/>
        <v>S</v>
      </c>
      <c r="T321" s="1" t="str">
        <f t="shared" si="34"/>
        <v>D</v>
      </c>
      <c r="U321" s="1" t="str">
        <f t="shared" si="34"/>
        <v>L</v>
      </c>
      <c r="V321" s="1" t="str">
        <f t="shared" si="34"/>
        <v>M</v>
      </c>
      <c r="W321" s="1" t="str">
        <f t="shared" si="34"/>
        <v>X</v>
      </c>
      <c r="X321" s="1" t="str">
        <f t="shared" si="34"/>
        <v>J</v>
      </c>
      <c r="Y321" s="1" t="str">
        <f t="shared" si="34"/>
        <v>V</v>
      </c>
      <c r="Z321" s="1" t="str">
        <f t="shared" si="34"/>
        <v>S</v>
      </c>
      <c r="AA321" s="1" t="str">
        <f t="shared" si="34"/>
        <v>D</v>
      </c>
      <c r="AB321" s="1" t="str">
        <f t="shared" si="34"/>
        <v>L</v>
      </c>
      <c r="AC321" s="1" t="str">
        <f t="shared" si="34"/>
        <v>M</v>
      </c>
      <c r="AD321" s="1" t="str">
        <f t="shared" si="34"/>
        <v>X</v>
      </c>
      <c r="AE321" s="1" t="str">
        <f t="shared" si="34"/>
        <v>J</v>
      </c>
      <c r="AF321" s="1" t="str">
        <f t="shared" si="34"/>
        <v>V</v>
      </c>
      <c r="AG321" s="1" t="str">
        <f t="shared" si="34"/>
        <v>S</v>
      </c>
      <c r="AH321" s="1" t="str">
        <f t="shared" si="34"/>
        <v>D</v>
      </c>
      <c r="AI321" s="1" t="str">
        <f t="shared" si="34"/>
        <v>L</v>
      </c>
      <c r="AJ321" s="1" t="str">
        <f t="shared" si="34"/>
        <v>M</v>
      </c>
      <c r="AL321" s="4"/>
      <c r="AM321" s="4" t="s">
        <v>13</v>
      </c>
      <c r="AN321" s="4" t="s">
        <v>14</v>
      </c>
      <c r="AO321" s="4" t="s">
        <v>15</v>
      </c>
      <c r="AP321" s="4" t="s">
        <v>16</v>
      </c>
      <c r="AQ321" s="4" t="s">
        <v>17</v>
      </c>
      <c r="AR321" s="4" t="s">
        <v>7</v>
      </c>
    </row>
    <row r="322" spans="1:44" ht="14.25" customHeight="1" x14ac:dyDescent="0.35">
      <c r="A322" s="3" t="s">
        <v>76</v>
      </c>
      <c r="B322" s="3" t="s">
        <v>77</v>
      </c>
      <c r="C322" s="3" t="s">
        <v>75</v>
      </c>
      <c r="D322" s="3" t="s">
        <v>74</v>
      </c>
      <c r="F322" s="8">
        <v>45200</v>
      </c>
      <c r="G322" s="8">
        <v>45201</v>
      </c>
      <c r="H322" s="8">
        <v>45202</v>
      </c>
      <c r="I322" s="8">
        <v>45203</v>
      </c>
      <c r="J322" s="8">
        <v>45204</v>
      </c>
      <c r="K322" s="8">
        <v>45205</v>
      </c>
      <c r="L322" s="8">
        <v>45206</v>
      </c>
      <c r="M322" s="8">
        <v>45207</v>
      </c>
      <c r="N322" s="8">
        <v>45208</v>
      </c>
      <c r="O322" s="8">
        <v>45209</v>
      </c>
      <c r="P322" s="8">
        <v>45210</v>
      </c>
      <c r="Q322" s="8">
        <v>45211</v>
      </c>
      <c r="R322" s="8">
        <v>45212</v>
      </c>
      <c r="S322" s="8">
        <v>45213</v>
      </c>
      <c r="T322" s="8">
        <v>45214</v>
      </c>
      <c r="U322" s="8">
        <v>45215</v>
      </c>
      <c r="V322" s="8">
        <v>45216</v>
      </c>
      <c r="W322" s="8">
        <v>45217</v>
      </c>
      <c r="X322" s="8">
        <v>45218</v>
      </c>
      <c r="Y322" s="8">
        <v>45219</v>
      </c>
      <c r="Z322" s="8">
        <v>45220</v>
      </c>
      <c r="AA322" s="8">
        <v>45221</v>
      </c>
      <c r="AB322" s="8">
        <v>45222</v>
      </c>
      <c r="AC322" s="8">
        <v>45223</v>
      </c>
      <c r="AD322" s="8">
        <v>45224</v>
      </c>
      <c r="AE322" s="8">
        <v>45225</v>
      </c>
      <c r="AF322" s="8">
        <v>45226</v>
      </c>
      <c r="AG322" s="8">
        <v>45227</v>
      </c>
      <c r="AH322" s="8">
        <v>45228</v>
      </c>
      <c r="AI322" s="8">
        <v>45229</v>
      </c>
      <c r="AJ322" s="8">
        <v>45230</v>
      </c>
      <c r="AL322" s="4" t="s">
        <v>19</v>
      </c>
      <c r="AM322" s="6" cm="1">
        <f t="array" ref="AM322">IFERROR((SUMPRODUCT(($C$323:$C$347=AM$321)*($F$319:$AJ$319="")*$F$323:$AJ$347)+IF(AM$321="P3",SUMPRODUCT(($F$319:$AJ$319="P3")*$F$323:$AJ$347),0))/(SUMPRODUCT(($C$323:$C$347=AM$321)*($F$319:$AJ$319=""))+IF(AM$321="P3",COUNTIF($F$319:$AJ$319,"P3")*ROWS($C$323:$C$347),0)),"")</f>
        <v>0.89460238095237965</v>
      </c>
      <c r="AN322" s="6" cm="1">
        <f t="array" ref="AN322">IFERROR((SUMPRODUCT(($C$323:$C$347=AN$321)*($F$319:$AJ$319="")*$F$323:$AJ$347)+IF(AN$321="P3",SUMPRODUCT(($F$319:$AJ$319="P3")*$F$323:$AJ$347),0))/(SUMPRODUCT(($C$323:$C$347=AN$321)*($F$319:$AJ$319=""))+IF(AN$321="P3",COUNTIF($F$319:$AJ$319,"P3")*ROWS($C$323:$C$347),0)),"")</f>
        <v>1.0631414880952386</v>
      </c>
      <c r="AO322" s="6" cm="1">
        <f t="array" ref="AO322">IFERROR((SUMPRODUCT(($C$323:$C$347=AO$321)*($F$319:$AJ$319="")*$F$323:$AJ$347)+IF(AO$321="P3",SUMPRODUCT(($F$319:$AJ$319="P3")*$F$323:$AJ$347),0))/(SUMPRODUCT(($C$323:$C$347=AO$321)*($F$319:$AJ$319=""))+IF(AO$321="P3",COUNTIF($F$319:$AJ$319,"P3")*ROWS($C$323:$C$347),0)),"")</f>
        <v>0.93053195899772201</v>
      </c>
      <c r="AP322" s="6" t="str" cm="1">
        <f t="array" ref="AP322">IFERROR((SUMPRODUCT(($C$323:$C$347=AP$321)*($F$319:$AJ$319="")*$F$323:$AJ$347)+IF(AP$321="P3",SUMPRODUCT(($F$319:$AJ$319="P3")*$F$323:$AJ$347),0))/(SUMPRODUCT(($C$323:$C$347=AP$321)*($F$319:$AJ$319=""))+IF(AP$321="P3",COUNTIF($F$319:$AJ$319,"P3")*ROWS($C$323:$C$347),0)),"")</f>
        <v/>
      </c>
      <c r="AQ322" s="6" t="str" cm="1">
        <f t="array" ref="AQ322">IFERROR((SUMPRODUCT(($C$323:$C$347=AQ$321)*($F$319:$AJ$319="")*$F$323:$AJ$347)+IF(AQ$321="P3",SUMPRODUCT(($F$319:$AJ$319="P3")*$F$323:$AJ$347),0))/(SUMPRODUCT(($C$323:$C$347=AQ$321)*($F$319:$AJ$319=""))+IF(AQ$321="P3",COUNTIF($F$319:$AJ$319,"P3")*ROWS($C$323:$C$347),0)),"")</f>
        <v/>
      </c>
      <c r="AR322" s="6" t="str" cm="1">
        <f t="array" ref="AR322">IFERROR((SUMPRODUCT(($C$323:$C$347=AR$321)*($F$319:$AJ$319="")*$F$323:$AJ$347)+IF(AR$321="P3",SUMPRODUCT(($F$319:$AJ$319="P3")*$F$323:$AJ$347),0))/(SUMPRODUCT(($C$323:$C$347=AR$321)*($F$319:$AJ$319=""))+IF(AR$321="P3",COUNTIF($F$319:$AJ$319,"P3")*ROWS($C$323:$C$347),0)),"")</f>
        <v/>
      </c>
    </row>
    <row r="323" spans="1:44" ht="14.25" customHeight="1" x14ac:dyDescent="0.35">
      <c r="A323" s="1" t="s">
        <v>7</v>
      </c>
      <c r="B323" s="1" t="s">
        <v>7</v>
      </c>
      <c r="C323" s="1" t="s">
        <v>15</v>
      </c>
      <c r="D323" s="1" t="s">
        <v>7</v>
      </c>
      <c r="E323" s="1" t="s">
        <v>8</v>
      </c>
      <c r="F323" s="1">
        <v>1.05118</v>
      </c>
      <c r="G323" s="1">
        <v>1.0424100000000001</v>
      </c>
      <c r="H323" s="1">
        <v>0.96967000000000003</v>
      </c>
      <c r="I323" s="1">
        <v>1.0246</v>
      </c>
      <c r="J323" s="1">
        <v>1.0202100000000001</v>
      </c>
      <c r="K323" s="1">
        <v>1.03515</v>
      </c>
      <c r="L323" s="1">
        <v>1.0095099999999999</v>
      </c>
      <c r="M323" s="1">
        <v>1.05118</v>
      </c>
      <c r="N323" s="1">
        <v>1.0424100000000001</v>
      </c>
      <c r="O323" s="1">
        <v>0.96967000000000003</v>
      </c>
      <c r="P323" s="1">
        <v>1.0246</v>
      </c>
      <c r="Q323" s="1">
        <v>0.96653</v>
      </c>
      <c r="R323" s="1">
        <v>1.03515</v>
      </c>
      <c r="S323" s="1">
        <v>1.0095099999999999</v>
      </c>
      <c r="T323" s="1">
        <v>1.05118</v>
      </c>
      <c r="U323" s="1">
        <v>1.0424100000000001</v>
      </c>
      <c r="V323" s="1">
        <v>0.96967000000000003</v>
      </c>
      <c r="W323" s="1">
        <v>1.0246</v>
      </c>
      <c r="X323" s="1">
        <v>1.0202100000000001</v>
      </c>
      <c r="Y323" s="1">
        <v>1.03515</v>
      </c>
      <c r="Z323" s="1">
        <v>1.0095099999999999</v>
      </c>
      <c r="AA323" s="1">
        <v>1.05118</v>
      </c>
      <c r="AB323" s="1">
        <v>1.0424100000000001</v>
      </c>
      <c r="AC323" s="1">
        <v>0.96967000000000003</v>
      </c>
      <c r="AD323" s="1">
        <v>1.0246</v>
      </c>
      <c r="AE323" s="1">
        <v>1.0202100000000001</v>
      </c>
      <c r="AF323" s="1">
        <v>1.03515</v>
      </c>
      <c r="AG323" s="1">
        <v>1.0095099999999999</v>
      </c>
      <c r="AH323" s="1">
        <v>1.05118</v>
      </c>
      <c r="AI323" s="1">
        <v>1.0424100000000001</v>
      </c>
      <c r="AJ323" s="1">
        <v>0.96967000000000003</v>
      </c>
      <c r="AL323" s="4" t="s">
        <v>21</v>
      </c>
      <c r="AM323" s="6" t="str" cm="1">
        <f t="array" ref="AM323">IFERROR((SUMPRODUCT(($D$323:$D$347=AM$321)*($F$320:$AJ$320="")*$F$323:$AJ$347)+IF(AM$321="P6",SUMPRODUCT(($F$320:$AJ$320="P6")*$F$323:$AJ$347),0))/(SUMPRODUCT(($D$323:$D$347=AM$321)*($F$320:$AJ$320=""))+IF(AM$321="P6",COUNTIF($F$320:$AJ$320,"P6")*ROWS($D$323:$D$347),0)),"")</f>
        <v/>
      </c>
      <c r="AN323" s="6" t="str" cm="1">
        <f t="array" ref="AN323">IFERROR((SUMPRODUCT(($D$323:$D$347=AN$321)*($F$320:$AJ$320="")*$F$323:$AJ$347)+IF(AN$321="P6",SUMPRODUCT(($F$320:$AJ$320="P6")*$F$323:$AJ$347),0))/(SUMPRODUCT(($D$323:$D$347=AN$321)*($F$320:$AJ$320=""))+IF(AN$321="P6",COUNTIF($F$320:$AJ$320,"P6")*ROWS($D$323:$D$347),0)),"")</f>
        <v/>
      </c>
      <c r="AO323" s="6" t="str" cm="1">
        <f t="array" ref="AO323">IFERROR((SUMPRODUCT(($D$323:$D$347=AO$321)*($F$320:$AJ$320="")*$F$323:$AJ$347)+IF(AO$321="P6",SUMPRODUCT(($F$320:$AJ$320="P6")*$F$323:$AJ$347),0))/(SUMPRODUCT(($D$323:$D$347=AO$321)*($F$320:$AJ$320=""))+IF(AO$321="P6",COUNTIF($F$320:$AJ$320,"P6")*ROWS($D$323:$D$347),0)),"")</f>
        <v/>
      </c>
      <c r="AP323" s="6" cm="1">
        <f t="array" ref="AP323">IFERROR((SUMPRODUCT(($D$323:$D$347=AP$321)*($F$320:$AJ$320="")*$F$323:$AJ$347)+IF(AP$321="P6",SUMPRODUCT(($F$320:$AJ$320="P6")*$F$323:$AJ$347),0))/(SUMPRODUCT(($D$323:$D$347=AP$321)*($F$320:$AJ$320=""))+IF(AP$321="P6",COUNTIF($F$320:$AJ$320,"P6")*ROWS($D$323:$D$347),0)),"")</f>
        <v>0.89373052910052753</v>
      </c>
      <c r="AQ323" s="6" cm="1">
        <f t="array" ref="AQ323">IFERROR((SUMPRODUCT(($D$323:$D$347=AQ$321)*($F$320:$AJ$320="")*$F$323:$AJ$347)+IF(AQ$321="P6",SUMPRODUCT(($F$320:$AJ$320="P6")*$F$323:$AJ$347),0))/(SUMPRODUCT(($D$323:$D$347=AQ$321)*($F$320:$AJ$320=""))+IF(AQ$321="P6",COUNTIF($F$320:$AJ$320,"P6")*ROWS($D$323:$D$347),0)),"")</f>
        <v>1.0883394557823138</v>
      </c>
      <c r="AR323" s="6" cm="1">
        <f t="array" ref="AR323">IFERROR((SUMPRODUCT(($D$323:$D$347=AR$321)*($F$320:$AJ$320="")*$F$323:$AJ$347)+IF(AR$321="P6",SUMPRODUCT(($F$320:$AJ$320="P6")*$F$323:$AJ$347),0))/(SUMPRODUCT(($D$323:$D$347=AR$321)*($F$320:$AJ$320=""))+IF(AR$321="P6",COUNTIF($F$320:$AJ$320,"P6")*ROWS($D$323:$D$347),0)),"")</f>
        <v>0.93053195899772201</v>
      </c>
    </row>
    <row r="324" spans="1:44" ht="14.25" customHeight="1" x14ac:dyDescent="0.35">
      <c r="A324" s="1" t="s">
        <v>7</v>
      </c>
      <c r="B324" s="1" t="s">
        <v>7</v>
      </c>
      <c r="C324" s="1" t="s">
        <v>15</v>
      </c>
      <c r="D324" s="1" t="s">
        <v>7</v>
      </c>
      <c r="E324" s="1" t="s">
        <v>9</v>
      </c>
      <c r="F324" s="1">
        <v>1.0835600000000001</v>
      </c>
      <c r="G324" s="1">
        <v>1.0873699999999999</v>
      </c>
      <c r="H324" s="1">
        <v>0.99958999999999998</v>
      </c>
      <c r="I324" s="1">
        <v>1.0585199999999999</v>
      </c>
      <c r="J324" s="1">
        <v>1.0701499999999999</v>
      </c>
      <c r="K324" s="1">
        <v>1.0658300000000001</v>
      </c>
      <c r="L324" s="1">
        <v>1.0562199999999999</v>
      </c>
      <c r="M324" s="1">
        <v>1.0835600000000001</v>
      </c>
      <c r="N324" s="1">
        <v>1.0873699999999999</v>
      </c>
      <c r="O324" s="1">
        <v>0.99958999999999998</v>
      </c>
      <c r="P324" s="1">
        <v>1.0585199999999999</v>
      </c>
      <c r="Q324" s="1">
        <v>1.0197099999999999</v>
      </c>
      <c r="R324" s="1">
        <v>1.0658300000000001</v>
      </c>
      <c r="S324" s="1">
        <v>1.0562199999999999</v>
      </c>
      <c r="T324" s="1">
        <v>1.0835600000000001</v>
      </c>
      <c r="U324" s="1">
        <v>1.0873699999999999</v>
      </c>
      <c r="V324" s="1">
        <v>0.99958999999999998</v>
      </c>
      <c r="W324" s="1">
        <v>1.0585199999999999</v>
      </c>
      <c r="X324" s="1">
        <v>1.0701499999999999</v>
      </c>
      <c r="Y324" s="1">
        <v>1.0658300000000001</v>
      </c>
      <c r="Z324" s="1">
        <v>1.0562199999999999</v>
      </c>
      <c r="AA324" s="1">
        <v>1.0835600000000001</v>
      </c>
      <c r="AB324" s="1">
        <v>1.0873699999999999</v>
      </c>
      <c r="AC324" s="1">
        <v>0.99958999999999998</v>
      </c>
      <c r="AD324" s="1">
        <v>1.0585199999999999</v>
      </c>
      <c r="AE324" s="1">
        <v>1.0701499999999999</v>
      </c>
      <c r="AF324" s="1">
        <v>1.0658300000000001</v>
      </c>
      <c r="AG324" s="1">
        <v>1.0562199999999999</v>
      </c>
      <c r="AH324" s="1">
        <v>1.0835600000000001</v>
      </c>
      <c r="AI324" s="1">
        <v>1.0873699999999999</v>
      </c>
      <c r="AJ324" s="1">
        <v>0.99958999999999998</v>
      </c>
      <c r="AL324" s="4" t="s">
        <v>23</v>
      </c>
      <c r="AM324" s="6" t="str" cm="1">
        <f t="array" ref="AM324">IFERROR((SUMPRODUCT(($D$323:$D$347=AM$321)*($F$320:$AJ$320="")*$F$323:$AJ$347)+IF(AM$321="P6",SUMPRODUCT(($F$320:$AJ$320="P6")*$F$323:$AJ$347),0))/(SUMPRODUCT(($D$323:$D$347=AM$321)*($F$320:$AJ$320=""))+IF(AM$321="P6",COUNTIF($F$320:$AJ$320,"P6")*ROWS($D$323:$D$347),0)),"")</f>
        <v/>
      </c>
      <c r="AN324" s="6" t="str" cm="1">
        <f t="array" ref="AN324">IFERROR((SUMPRODUCT(($D$323:$D$347=AN$321)*($F$320:$AJ$320="")*$F$323:$AJ$347)+IF(AN$321="P6",SUMPRODUCT(($F$320:$AJ$320="P6")*$F$323:$AJ$347),0))/(SUMPRODUCT(($D$323:$D$347=AN$321)*($F$320:$AJ$320=""))+IF(AN$321="P6",COUNTIF($F$320:$AJ$320,"P6")*ROWS($D$323:$D$347),0)),"")</f>
        <v/>
      </c>
      <c r="AO324" s="5" t="str" cm="1">
        <f t="array" ref="AO324">IFERROR((SUMPRODUCT(($D$323:$D$347=AO$321)*($F$320:$AJ$320="")*$F$323:$AJ$347)+IF(AO$321="P6",SUMPRODUCT(($F$320:$AJ$320="P6")*$F$323:$AJ$347),0))/(SUMPRODUCT(($D$323:$D$347=AO$321)*($F$320:$AJ$320=""))+IF(AO$321="P6",COUNTIF($F$320:$AJ$320,"P6")*ROWS($D$323:$D$347),0)),"")</f>
        <v/>
      </c>
      <c r="AP324" s="5" cm="1">
        <f t="array" ref="AP324">IFERROR((SUMPRODUCT(($D$323:$D$347=AP$321)*($F$320:$AJ$320="")*$F$323:$AJ$347)+IF(AP$321="P6",SUMPRODUCT(($F$320:$AJ$320="P6")*$F$323:$AJ$347),0))/(SUMPRODUCT(($D$323:$D$347=AP$321)*($F$320:$AJ$320=""))+IF(AP$321="P6",COUNTIF($F$320:$AJ$320,"P6")*ROWS($D$323:$D$347),0)),"")</f>
        <v>0.89373052910052753</v>
      </c>
      <c r="AQ324" s="5" cm="1">
        <f t="array" ref="AQ324">IFERROR((SUMPRODUCT(($D$323:$D$347=AQ$321)*($F$320:$AJ$320="")*$F$323:$AJ$347)+IF(AQ$321="P6",SUMPRODUCT(($F$320:$AJ$320="P6")*$F$323:$AJ$347),0))/(SUMPRODUCT(($D$323:$D$347=AQ$321)*($F$320:$AJ$320=""))+IF(AQ$321="P6",COUNTIF($F$320:$AJ$320,"P6")*ROWS($D$323:$D$347),0)),"")</f>
        <v>1.0883394557823138</v>
      </c>
      <c r="AR324" s="6" cm="1">
        <f t="array" ref="AR324">IFERROR((SUMPRODUCT(($D$323:$D$347=AR$321)*($F$320:$AJ$320="")*$F$323:$AJ$347)+IF(AR$321="P6",SUMPRODUCT(($F$320:$AJ$320="P6")*$F$323:$AJ$347),0))/(SUMPRODUCT(($D$323:$D$347=AR$321)*($F$320:$AJ$320=""))+IF(AR$321="P6",COUNTIF($F$320:$AJ$320,"P6")*ROWS($D$323:$D$347),0)),"")</f>
        <v>0.93053195899772201</v>
      </c>
    </row>
    <row r="325" spans="1:44" ht="14.25" customHeight="1" x14ac:dyDescent="0.35">
      <c r="A325" s="1" t="s">
        <v>7</v>
      </c>
      <c r="B325" s="1" t="s">
        <v>7</v>
      </c>
      <c r="C325" s="1" t="s">
        <v>15</v>
      </c>
      <c r="D325" s="1" t="s">
        <v>7</v>
      </c>
      <c r="E325" s="1" t="s">
        <v>10</v>
      </c>
      <c r="F325" s="1">
        <v>1.1287</v>
      </c>
      <c r="G325" s="1">
        <v>1.09446</v>
      </c>
      <c r="H325" s="1">
        <v>1.01657</v>
      </c>
      <c r="I325" s="1">
        <v>1.0926199999999999</v>
      </c>
      <c r="J325" s="1">
        <v>1.1032299999999999</v>
      </c>
      <c r="K325" s="1">
        <v>1.0860099999999999</v>
      </c>
      <c r="L325" s="1">
        <v>1.07928</v>
      </c>
      <c r="M325" s="1">
        <v>1.1287</v>
      </c>
      <c r="N325" s="1">
        <v>1.09446</v>
      </c>
      <c r="O325" s="1">
        <v>1.01657</v>
      </c>
      <c r="P325" s="1">
        <v>1.0926199999999999</v>
      </c>
      <c r="Q325" s="1">
        <v>1.05135</v>
      </c>
      <c r="R325" s="1">
        <v>1.0860099999999999</v>
      </c>
      <c r="S325" s="1">
        <v>1.07928</v>
      </c>
      <c r="T325" s="1">
        <v>1.1287</v>
      </c>
      <c r="U325" s="1">
        <v>1.09446</v>
      </c>
      <c r="V325" s="1">
        <v>1.01657</v>
      </c>
      <c r="W325" s="1">
        <v>1.0926199999999999</v>
      </c>
      <c r="X325" s="1">
        <v>1.1032299999999999</v>
      </c>
      <c r="Y325" s="1">
        <v>1.0860099999999999</v>
      </c>
      <c r="Z325" s="1">
        <v>1.07928</v>
      </c>
      <c r="AA325" s="1">
        <v>1.1287</v>
      </c>
      <c r="AB325" s="1">
        <v>1.09446</v>
      </c>
      <c r="AC325" s="1">
        <v>1.01657</v>
      </c>
      <c r="AD325" s="1">
        <v>1.0926199999999999</v>
      </c>
      <c r="AE325" s="1">
        <v>1.1032299999999999</v>
      </c>
      <c r="AF325" s="1">
        <v>1.0860099999999999</v>
      </c>
      <c r="AG325" s="1">
        <v>1.07928</v>
      </c>
      <c r="AH325" s="1">
        <v>1.1287</v>
      </c>
      <c r="AI325" s="1">
        <v>1.09446</v>
      </c>
      <c r="AJ325" s="1">
        <v>1.01657</v>
      </c>
      <c r="AL325" s="4" t="s">
        <v>25</v>
      </c>
      <c r="AM325" s="6" t="str" cm="1">
        <f t="array" ref="AM325">IFERROR((SUMPRODUCT(($D$323:$D$347=AM$321)*($F$320:$AJ$320="")*$F$323:$AJ$347)+IF(AM$321="P6",SUMPRODUCT(($F$320:$AJ$320="P6")*$F$323:$AJ$347),0))/(SUMPRODUCT(($D$323:$D$347=AM$321)*($F$320:$AJ$320=""))+IF(AM$321="P6",COUNTIF($F$320:$AJ$320,"P6")*ROWS($D$323:$D$347),0)),"")</f>
        <v/>
      </c>
      <c r="AN325" s="6" t="str" cm="1">
        <f t="array" ref="AN325">IFERROR((SUMPRODUCT(($D$323:$D$347=AN$321)*($F$320:$AJ$320="")*$F$323:$AJ$347)+IF(AN$321="P6",SUMPRODUCT(($F$320:$AJ$320="P6")*$F$323:$AJ$347),0))/(SUMPRODUCT(($D$323:$D$347=AN$321)*($F$320:$AJ$320=""))+IF(AN$321="P6",COUNTIF($F$320:$AJ$320,"P6")*ROWS($D$323:$D$347),0)),"")</f>
        <v/>
      </c>
      <c r="AO325" s="5" t="str" cm="1">
        <f t="array" ref="AO325">IFERROR((SUMPRODUCT(($D$323:$D$347=AO$321)*($F$320:$AJ$320="")*$F$323:$AJ$347)+IF(AO$321="P6",SUMPRODUCT(($F$320:$AJ$320="P6")*$F$323:$AJ$347),0))/(SUMPRODUCT(($D$323:$D$347=AO$321)*($F$320:$AJ$320=""))+IF(AO$321="P6",COUNTIF($F$320:$AJ$320,"P6")*ROWS($D$323:$D$347),0)),"")</f>
        <v/>
      </c>
      <c r="AP325" s="5" cm="1">
        <f t="array" ref="AP325">IFERROR((SUMPRODUCT(($D$323:$D$347=AP$321)*($F$320:$AJ$320="")*$F$323:$AJ$347)+IF(AP$321="P6",SUMPRODUCT(($F$320:$AJ$320="P6")*$F$323:$AJ$347),0))/(SUMPRODUCT(($D$323:$D$347=AP$321)*($F$320:$AJ$320=""))+IF(AP$321="P6",COUNTIF($F$320:$AJ$320,"P6")*ROWS($D$323:$D$347),0)),"")</f>
        <v>0.89373052910052753</v>
      </c>
      <c r="AQ325" s="5" cm="1">
        <f t="array" ref="AQ325">IFERROR((SUMPRODUCT(($D$323:$D$347=AQ$321)*($F$320:$AJ$320="")*$F$323:$AJ$347)+IF(AQ$321="P6",SUMPRODUCT(($F$320:$AJ$320="P6")*$F$323:$AJ$347),0))/(SUMPRODUCT(($D$323:$D$347=AQ$321)*($F$320:$AJ$320=""))+IF(AQ$321="P6",COUNTIF($F$320:$AJ$320,"P6")*ROWS($D$323:$D$347),0)),"")</f>
        <v>1.0883394557823138</v>
      </c>
      <c r="AR325" s="6" cm="1">
        <f t="array" ref="AR325">IFERROR((SUMPRODUCT(($D$323:$D$347=AR$321)*($F$320:$AJ$320="")*$F$323:$AJ$347)+IF(AR$321="P6",SUMPRODUCT(($F$320:$AJ$320="P6")*$F$323:$AJ$347),0))/(SUMPRODUCT(($D$323:$D$347=AR$321)*($F$320:$AJ$320=""))+IF(AR$321="P6",COUNTIF($F$320:$AJ$320,"P6")*ROWS($D$323:$D$347),0)),"")</f>
        <v>0.93053195899772201</v>
      </c>
    </row>
    <row r="326" spans="1:44" ht="14.25" customHeight="1" x14ac:dyDescent="0.35">
      <c r="A326" s="1" t="s">
        <v>7</v>
      </c>
      <c r="B326" s="1" t="s">
        <v>7</v>
      </c>
      <c r="C326" s="1" t="s">
        <v>15</v>
      </c>
      <c r="D326" s="1" t="s">
        <v>7</v>
      </c>
      <c r="E326" s="1" t="s">
        <v>11</v>
      </c>
      <c r="F326" s="1">
        <v>1.0924400000000001</v>
      </c>
      <c r="G326" s="1">
        <v>1.09785</v>
      </c>
      <c r="H326" s="1">
        <v>1.02532</v>
      </c>
      <c r="I326" s="1">
        <v>1.09155</v>
      </c>
      <c r="J326" s="1">
        <v>1.0980700000000001</v>
      </c>
      <c r="K326" s="1">
        <v>1.08413</v>
      </c>
      <c r="L326" s="1">
        <v>1.0870899999999999</v>
      </c>
      <c r="M326" s="1">
        <v>1.0924400000000001</v>
      </c>
      <c r="N326" s="1">
        <v>1.09785</v>
      </c>
      <c r="O326" s="1">
        <v>1.02532</v>
      </c>
      <c r="P326" s="1">
        <v>1.09155</v>
      </c>
      <c r="Q326" s="1">
        <v>1.0588599999999999</v>
      </c>
      <c r="R326" s="1">
        <v>1.08413</v>
      </c>
      <c r="S326" s="1">
        <v>1.0870899999999999</v>
      </c>
      <c r="T326" s="1">
        <v>1.0924400000000001</v>
      </c>
      <c r="U326" s="1">
        <v>1.09785</v>
      </c>
      <c r="V326" s="1">
        <v>1.02532</v>
      </c>
      <c r="W326" s="1">
        <v>1.09155</v>
      </c>
      <c r="X326" s="1">
        <v>1.0980700000000001</v>
      </c>
      <c r="Y326" s="1">
        <v>1.08413</v>
      </c>
      <c r="Z326" s="1">
        <v>1.0870899999999999</v>
      </c>
      <c r="AA326" s="1">
        <v>1.0924400000000001</v>
      </c>
      <c r="AB326" s="1">
        <v>1.09785</v>
      </c>
      <c r="AC326" s="1">
        <v>1.02532</v>
      </c>
      <c r="AD326" s="1">
        <v>1.09155</v>
      </c>
      <c r="AE326" s="1">
        <v>1.0980700000000001</v>
      </c>
      <c r="AF326" s="1">
        <v>1.08413</v>
      </c>
      <c r="AG326" s="1">
        <v>1.0870899999999999</v>
      </c>
      <c r="AH326" s="1">
        <v>1.0924400000000001</v>
      </c>
      <c r="AI326" s="1">
        <v>1.09785</v>
      </c>
      <c r="AJ326" s="1">
        <v>1.02532</v>
      </c>
      <c r="AL326" s="4" t="s">
        <v>27</v>
      </c>
      <c r="AM326" s="6" t="str" cm="1">
        <f t="array" ref="AM326">IFERROR((SUMPRODUCT(($D$323:$D$347=AM$321)*($F$320:$AJ$320="")*$F$323:$AJ$347)+IF(AM$321="P6",SUMPRODUCT(($F$320:$AJ$320="P6")*$F$323:$AJ$347),0))/(SUMPRODUCT(($D$323:$D$347=AM$321)*($F$320:$AJ$320=""))+IF(AM$321="P6",COUNTIF($F$320:$AJ$320,"P6")*ROWS($D$323:$D$347),0)),"")</f>
        <v/>
      </c>
      <c r="AN326" s="6" t="str" cm="1">
        <f t="array" ref="AN326">IFERROR((SUMPRODUCT(($D$323:$D$347=AN$321)*($F$320:$AJ$320="")*$F$323:$AJ$347)+IF(AN$321="P6",SUMPRODUCT(($F$320:$AJ$320="P6")*$F$323:$AJ$347),0))/(SUMPRODUCT(($D$323:$D$347=AN$321)*($F$320:$AJ$320=""))+IF(AN$321="P6",COUNTIF($F$320:$AJ$320,"P6")*ROWS($D$323:$D$347),0)),"")</f>
        <v/>
      </c>
      <c r="AO326" s="5" t="str" cm="1">
        <f t="array" ref="AO326">IFERROR((SUMPRODUCT(($D$323:$D$347=AO$321)*($F$320:$AJ$320="")*$F$323:$AJ$347)+IF(AO$321="P6",SUMPRODUCT(($F$320:$AJ$320="P6")*$F$323:$AJ$347),0))/(SUMPRODUCT(($D$323:$D$347=AO$321)*($F$320:$AJ$320=""))+IF(AO$321="P6",COUNTIF($F$320:$AJ$320,"P6")*ROWS($D$323:$D$347),0)),"")</f>
        <v/>
      </c>
      <c r="AP326" s="5" cm="1">
        <f t="array" ref="AP326">IFERROR((SUMPRODUCT(($D$323:$D$347=AP$321)*($F$320:$AJ$320="")*$F$323:$AJ$347)+IF(AP$321="P6",SUMPRODUCT(($F$320:$AJ$320="P6")*$F$323:$AJ$347),0))/(SUMPRODUCT(($D$323:$D$347=AP$321)*($F$320:$AJ$320=""))+IF(AP$321="P6",COUNTIF($F$320:$AJ$320,"P6")*ROWS($D$323:$D$347),0)),"")</f>
        <v>0.89373052910052753</v>
      </c>
      <c r="AQ326" s="5" cm="1">
        <f t="array" ref="AQ326">IFERROR((SUMPRODUCT(($D$323:$D$347=AQ$321)*($F$320:$AJ$320="")*$F$323:$AJ$347)+IF(AQ$321="P6",SUMPRODUCT(($F$320:$AJ$320="P6")*$F$323:$AJ$347),0))/(SUMPRODUCT(($D$323:$D$347=AQ$321)*($F$320:$AJ$320=""))+IF(AQ$321="P6",COUNTIF($F$320:$AJ$320,"P6")*ROWS($D$323:$D$347),0)),"")</f>
        <v>1.0883394557823138</v>
      </c>
      <c r="AR326" s="6" cm="1">
        <f t="array" ref="AR326">IFERROR((SUMPRODUCT(($D$323:$D$347=AR$321)*($F$320:$AJ$320="")*$F$323:$AJ$347)+IF(AR$321="P6",SUMPRODUCT(($F$320:$AJ$320="P6")*$F$323:$AJ$347),0))/(SUMPRODUCT(($D$323:$D$347=AR$321)*($F$320:$AJ$320=""))+IF(AR$321="P6",COUNTIF($F$320:$AJ$320,"P6")*ROWS($D$323:$D$347),0)),"")</f>
        <v>0.93053195899772201</v>
      </c>
    </row>
    <row r="327" spans="1:44" ht="14.25" customHeight="1" x14ac:dyDescent="0.35">
      <c r="A327" s="1" t="s">
        <v>7</v>
      </c>
      <c r="B327" s="1" t="s">
        <v>7</v>
      </c>
      <c r="C327" s="1" t="s">
        <v>15</v>
      </c>
      <c r="D327" s="1" t="s">
        <v>7</v>
      </c>
      <c r="E327" s="1" t="s">
        <v>12</v>
      </c>
      <c r="F327" s="1">
        <v>1.1046899999999999</v>
      </c>
      <c r="G327" s="1">
        <v>1.0873600000000001</v>
      </c>
      <c r="H327" s="1">
        <v>1.04505</v>
      </c>
      <c r="I327" s="1">
        <v>1.0740400000000001</v>
      </c>
      <c r="J327" s="1">
        <v>1.0986499999999999</v>
      </c>
      <c r="K327" s="1">
        <v>1.07962</v>
      </c>
      <c r="L327" s="1">
        <v>1.0842799999999999</v>
      </c>
      <c r="M327" s="1">
        <v>1.1046899999999999</v>
      </c>
      <c r="N327" s="1">
        <v>1.0873600000000001</v>
      </c>
      <c r="O327" s="1">
        <v>1.04505</v>
      </c>
      <c r="P327" s="1">
        <v>1.0740400000000001</v>
      </c>
      <c r="Q327" s="1">
        <v>1.05653</v>
      </c>
      <c r="R327" s="1">
        <v>1.07962</v>
      </c>
      <c r="S327" s="1">
        <v>1.0842799999999999</v>
      </c>
      <c r="T327" s="1">
        <v>1.1046899999999999</v>
      </c>
      <c r="U327" s="1">
        <v>1.0873600000000001</v>
      </c>
      <c r="V327" s="1">
        <v>1.04505</v>
      </c>
      <c r="W327" s="1">
        <v>1.0740400000000001</v>
      </c>
      <c r="X327" s="1">
        <v>1.0986499999999999</v>
      </c>
      <c r="Y327" s="1">
        <v>1.07962</v>
      </c>
      <c r="Z327" s="1">
        <v>1.0842799999999999</v>
      </c>
      <c r="AA327" s="1">
        <v>1.1046899999999999</v>
      </c>
      <c r="AB327" s="1">
        <v>1.0873600000000001</v>
      </c>
      <c r="AC327" s="1">
        <v>1.04505</v>
      </c>
      <c r="AD327" s="1">
        <v>1.0740400000000001</v>
      </c>
      <c r="AE327" s="1">
        <v>1.0986499999999999</v>
      </c>
      <c r="AF327" s="1">
        <v>1.07962</v>
      </c>
      <c r="AG327" s="1">
        <v>1.0842799999999999</v>
      </c>
      <c r="AH327" s="1">
        <v>1.1046899999999999</v>
      </c>
      <c r="AI327" s="1">
        <v>1.0873600000000001</v>
      </c>
      <c r="AJ327" s="1">
        <v>1.04505</v>
      </c>
      <c r="AL327" s="4" t="s">
        <v>29</v>
      </c>
      <c r="AM327" s="6" t="str" cm="1">
        <f t="array" ref="AM327">IFERROR((SUMPRODUCT(($D$323:$D$347=AM$321)*($F$320:$AJ$320="")*$F$323:$AJ$347)+IF(AM$321="P6",SUMPRODUCT(($F$320:$AJ$320="P6")*$F$323:$AJ$347),0))/(SUMPRODUCT(($D$323:$D$347=AM$321)*($F$320:$AJ$320=""))+IF(AM$321="P6",COUNTIF($F$320:$AJ$320,"P6")*ROWS($D$323:$D$347),0)),"")</f>
        <v/>
      </c>
      <c r="AN327" s="6" t="str" cm="1">
        <f t="array" ref="AN327">IFERROR((SUMPRODUCT(($D$323:$D$347=AN$321)*($F$320:$AJ$320="")*$F$323:$AJ$347)+IF(AN$321="P6",SUMPRODUCT(($F$320:$AJ$320="P6")*$F$323:$AJ$347),0))/(SUMPRODUCT(($D$323:$D$347=AN$321)*($F$320:$AJ$320=""))+IF(AN$321="P6",COUNTIF($F$320:$AJ$320,"P6")*ROWS($D$323:$D$347),0)),"")</f>
        <v/>
      </c>
      <c r="AO327" s="5" t="str" cm="1">
        <f t="array" ref="AO327">IFERROR((SUMPRODUCT(($D$323:$D$347=AO$321)*($F$320:$AJ$320="")*$F$323:$AJ$347)+IF(AO$321="P6",SUMPRODUCT(($F$320:$AJ$320="P6")*$F$323:$AJ$347),0))/(SUMPRODUCT(($D$323:$D$347=AO$321)*($F$320:$AJ$320=""))+IF(AO$321="P6",COUNTIF($F$320:$AJ$320,"P6")*ROWS($D$323:$D$347),0)),"")</f>
        <v/>
      </c>
      <c r="AP327" s="5" cm="1">
        <f t="array" ref="AP327">IFERROR((SUMPRODUCT(($D$323:$D$347=AP$321)*($F$320:$AJ$320="")*$F$323:$AJ$347)+IF(AP$321="P6",SUMPRODUCT(($F$320:$AJ$320="P6")*$F$323:$AJ$347),0))/(SUMPRODUCT(($D$323:$D$347=AP$321)*($F$320:$AJ$320=""))+IF(AP$321="P6",COUNTIF($F$320:$AJ$320,"P6")*ROWS($D$323:$D$347),0)),"")</f>
        <v>0.89373052910052753</v>
      </c>
      <c r="AQ327" s="5" cm="1">
        <f t="array" ref="AQ327">IFERROR((SUMPRODUCT(($D$323:$D$347=AQ$321)*($F$320:$AJ$320="")*$F$323:$AJ$347)+IF(AQ$321="P6",SUMPRODUCT(($F$320:$AJ$320="P6")*$F$323:$AJ$347),0))/(SUMPRODUCT(($D$323:$D$347=AQ$321)*($F$320:$AJ$320=""))+IF(AQ$321="P6",COUNTIF($F$320:$AJ$320,"P6")*ROWS($D$323:$D$347),0)),"")</f>
        <v>1.0883394557823138</v>
      </c>
      <c r="AR327" s="6" cm="1">
        <f t="array" ref="AR327">IFERROR((SUMPRODUCT(($D$323:$D$347=AR$321)*($F$320:$AJ$320="")*$F$323:$AJ$347)+IF(AR$321="P6",SUMPRODUCT(($F$320:$AJ$320="P6")*$F$323:$AJ$347),0))/(SUMPRODUCT(($D$323:$D$347=AR$321)*($F$320:$AJ$320=""))+IF(AR$321="P6",COUNTIF($F$320:$AJ$320,"P6")*ROWS($D$323:$D$347),0)),"")</f>
        <v>0.93053195899772201</v>
      </c>
    </row>
    <row r="328" spans="1:44" ht="14.25" customHeight="1" x14ac:dyDescent="0.35">
      <c r="A328" s="1" t="s">
        <v>7</v>
      </c>
      <c r="B328" s="1" t="s">
        <v>7</v>
      </c>
      <c r="C328" s="1" t="s">
        <v>15</v>
      </c>
      <c r="D328" s="1" t="s">
        <v>7</v>
      </c>
      <c r="E328" s="1" t="s">
        <v>18</v>
      </c>
      <c r="F328" s="1">
        <v>1.1110500000000001</v>
      </c>
      <c r="G328" s="1">
        <v>1.0778799999999999</v>
      </c>
      <c r="H328" s="1">
        <v>1.02668</v>
      </c>
      <c r="I328" s="1">
        <v>1.06267</v>
      </c>
      <c r="J328" s="1">
        <v>1.08066</v>
      </c>
      <c r="K328" s="1">
        <v>1.0557399999999999</v>
      </c>
      <c r="L328" s="1">
        <v>1.0869800000000001</v>
      </c>
      <c r="M328" s="1">
        <v>1.1110500000000001</v>
      </c>
      <c r="N328" s="1">
        <v>1.0778799999999999</v>
      </c>
      <c r="O328" s="1">
        <v>1.02668</v>
      </c>
      <c r="P328" s="1">
        <v>1.06267</v>
      </c>
      <c r="Q328" s="1">
        <v>1.0638000000000001</v>
      </c>
      <c r="R328" s="1">
        <v>1.0557399999999999</v>
      </c>
      <c r="S328" s="1">
        <v>1.0869800000000001</v>
      </c>
      <c r="T328" s="1">
        <v>1.1110500000000001</v>
      </c>
      <c r="U328" s="1">
        <v>1.0778799999999999</v>
      </c>
      <c r="V328" s="1">
        <v>1.02668</v>
      </c>
      <c r="W328" s="1">
        <v>1.06267</v>
      </c>
      <c r="X328" s="1">
        <v>1.08066</v>
      </c>
      <c r="Y328" s="1">
        <v>1.0557399999999999</v>
      </c>
      <c r="Z328" s="1">
        <v>1.0869800000000001</v>
      </c>
      <c r="AA328" s="1">
        <v>1.1110500000000001</v>
      </c>
      <c r="AB328" s="1">
        <v>1.0778799999999999</v>
      </c>
      <c r="AC328" s="1">
        <v>1.02668</v>
      </c>
      <c r="AD328" s="1">
        <v>1.06267</v>
      </c>
      <c r="AE328" s="1">
        <v>1.08066</v>
      </c>
      <c r="AF328" s="1">
        <v>1.0557399999999999</v>
      </c>
      <c r="AG328" s="1">
        <v>1.0869800000000001</v>
      </c>
      <c r="AH328" s="1">
        <v>1.1110500000000001</v>
      </c>
      <c r="AI328" s="1">
        <v>1.0778799999999999</v>
      </c>
      <c r="AJ328" s="1">
        <v>1.02668</v>
      </c>
      <c r="AL328" s="10"/>
      <c r="AM328" s="10"/>
      <c r="AN328" s="10"/>
      <c r="AO328" s="10"/>
      <c r="AP328" s="10"/>
      <c r="AQ328" s="10"/>
      <c r="AR328" s="10"/>
    </row>
    <row r="329" spans="1:44" ht="14.25" customHeight="1" x14ac:dyDescent="0.35">
      <c r="A329" s="1" t="s">
        <v>7</v>
      </c>
      <c r="B329" s="1" t="s">
        <v>7</v>
      </c>
      <c r="C329" s="1" t="s">
        <v>15</v>
      </c>
      <c r="D329" s="1" t="s">
        <v>7</v>
      </c>
      <c r="E329" s="1" t="s">
        <v>20</v>
      </c>
      <c r="F329" s="1">
        <v>1.1004400000000001</v>
      </c>
      <c r="G329" s="1">
        <v>0.99048000000000003</v>
      </c>
      <c r="H329" s="1">
        <v>0.96047000000000005</v>
      </c>
      <c r="I329" s="1">
        <v>0.98158000000000001</v>
      </c>
      <c r="J329" s="1">
        <v>1.01006</v>
      </c>
      <c r="K329" s="1">
        <v>0.99507999999999996</v>
      </c>
      <c r="L329" s="1">
        <v>1.0602</v>
      </c>
      <c r="M329" s="1">
        <v>1.1004400000000001</v>
      </c>
      <c r="N329" s="1">
        <v>0.99048000000000003</v>
      </c>
      <c r="O329" s="1">
        <v>0.96047000000000005</v>
      </c>
      <c r="P329" s="1">
        <v>0.98158000000000001</v>
      </c>
      <c r="Q329" s="1">
        <v>1.0516399999999999</v>
      </c>
      <c r="R329" s="1">
        <v>0.99507999999999996</v>
      </c>
      <c r="S329" s="1">
        <v>1.0602</v>
      </c>
      <c r="T329" s="1">
        <v>1.1004400000000001</v>
      </c>
      <c r="U329" s="1">
        <v>0.99048000000000003</v>
      </c>
      <c r="V329" s="1">
        <v>0.96047000000000005</v>
      </c>
      <c r="W329" s="1">
        <v>0.98158000000000001</v>
      </c>
      <c r="X329" s="1">
        <v>1.01006</v>
      </c>
      <c r="Y329" s="1">
        <v>0.99507999999999996</v>
      </c>
      <c r="Z329" s="1">
        <v>1.0602</v>
      </c>
      <c r="AA329" s="1">
        <v>1.1004400000000001</v>
      </c>
      <c r="AB329" s="1">
        <v>0.99048000000000003</v>
      </c>
      <c r="AC329" s="1">
        <v>0.96047000000000005</v>
      </c>
      <c r="AD329" s="1">
        <v>0.98158000000000001</v>
      </c>
      <c r="AE329" s="1">
        <v>1.01006</v>
      </c>
      <c r="AF329" s="1">
        <v>0.99507999999999996</v>
      </c>
      <c r="AG329" s="1">
        <v>1.0602</v>
      </c>
      <c r="AH329" s="1">
        <v>1.1004400000000001</v>
      </c>
      <c r="AI329" s="1">
        <v>0.99048000000000003</v>
      </c>
      <c r="AJ329" s="1">
        <v>0.96047000000000005</v>
      </c>
      <c r="AL329" s="10"/>
      <c r="AM329" s="10"/>
      <c r="AN329" s="10"/>
      <c r="AO329" s="10"/>
      <c r="AP329" s="10"/>
      <c r="AQ329" s="10"/>
      <c r="AR329" s="10"/>
    </row>
    <row r="330" spans="1:44" ht="14.25" customHeight="1" x14ac:dyDescent="0.35">
      <c r="A330" s="1" t="s">
        <v>7</v>
      </c>
      <c r="B330" s="1" t="s">
        <v>7</v>
      </c>
      <c r="C330" s="1" t="s">
        <v>15</v>
      </c>
      <c r="D330" s="1" t="s">
        <v>7</v>
      </c>
      <c r="E330" s="1" t="s">
        <v>22</v>
      </c>
      <c r="F330" s="1">
        <v>1.0679700000000001</v>
      </c>
      <c r="G330" s="1">
        <v>0.89742</v>
      </c>
      <c r="H330" s="1">
        <v>0.89256000000000002</v>
      </c>
      <c r="I330" s="1">
        <v>0.92013</v>
      </c>
      <c r="J330" s="1">
        <v>0.92693000000000003</v>
      </c>
      <c r="K330" s="1">
        <v>0.92344000000000004</v>
      </c>
      <c r="L330" s="1">
        <v>1.01006</v>
      </c>
      <c r="M330" s="1">
        <v>1.0679700000000001</v>
      </c>
      <c r="N330" s="1">
        <v>0.89742</v>
      </c>
      <c r="O330" s="1">
        <v>0.89256000000000002</v>
      </c>
      <c r="P330" s="1">
        <v>0.92013</v>
      </c>
      <c r="Q330" s="1">
        <v>1.0231600000000001</v>
      </c>
      <c r="R330" s="1">
        <v>0.92344000000000004</v>
      </c>
      <c r="S330" s="1">
        <v>1.01006</v>
      </c>
      <c r="T330" s="1">
        <v>1.0679700000000001</v>
      </c>
      <c r="U330" s="1">
        <v>0.89742</v>
      </c>
      <c r="V330" s="1">
        <v>0.89256000000000002</v>
      </c>
      <c r="W330" s="1">
        <v>0.92013</v>
      </c>
      <c r="X330" s="1">
        <v>0.92693000000000003</v>
      </c>
      <c r="Y330" s="1">
        <v>0.92344000000000004</v>
      </c>
      <c r="Z330" s="1">
        <v>1.01006</v>
      </c>
      <c r="AA330" s="1">
        <v>1.0679700000000001</v>
      </c>
      <c r="AB330" s="1">
        <v>0.89742</v>
      </c>
      <c r="AC330" s="1">
        <v>0.89256000000000002</v>
      </c>
      <c r="AD330" s="1">
        <v>0.92013</v>
      </c>
      <c r="AE330" s="1">
        <v>0.92693000000000003</v>
      </c>
      <c r="AF330" s="1">
        <v>0.92344000000000004</v>
      </c>
      <c r="AG330" s="1">
        <v>1.01006</v>
      </c>
      <c r="AH330" s="1">
        <v>1.0679700000000001</v>
      </c>
      <c r="AI330" s="1">
        <v>0.89742</v>
      </c>
      <c r="AJ330" s="1">
        <v>0.89256000000000002</v>
      </c>
      <c r="AL330" s="14" t="s">
        <v>242</v>
      </c>
      <c r="AM330" s="14"/>
      <c r="AN330" s="14"/>
      <c r="AO330" s="14"/>
      <c r="AP330" s="14"/>
      <c r="AQ330" s="14"/>
      <c r="AR330" s="14"/>
    </row>
    <row r="331" spans="1:44" ht="14.25" customHeight="1" x14ac:dyDescent="0.35">
      <c r="A331" s="1" t="s">
        <v>15</v>
      </c>
      <c r="B331" s="1" t="s">
        <v>15</v>
      </c>
      <c r="C331" s="1" t="s">
        <v>14</v>
      </c>
      <c r="D331" s="1" t="s">
        <v>17</v>
      </c>
      <c r="E331" s="1" t="s">
        <v>24</v>
      </c>
      <c r="F331" s="1">
        <v>1.0024299999999999</v>
      </c>
      <c r="G331" s="1">
        <v>1.05423</v>
      </c>
      <c r="H331" s="1">
        <v>1.0827</v>
      </c>
      <c r="I331" s="1">
        <v>1.11202</v>
      </c>
      <c r="J331" s="1">
        <v>1.0942400000000001</v>
      </c>
      <c r="K331" s="1">
        <v>1.1123400000000001</v>
      </c>
      <c r="L331" s="1">
        <v>0.94464999999999999</v>
      </c>
      <c r="M331" s="1">
        <v>1.0024299999999999</v>
      </c>
      <c r="N331" s="1">
        <v>1.05423</v>
      </c>
      <c r="O331" s="1">
        <v>1.0827</v>
      </c>
      <c r="P331" s="1">
        <v>1.11202</v>
      </c>
      <c r="Q331" s="1">
        <v>0.99565999999999999</v>
      </c>
      <c r="R331" s="1">
        <v>1.1123400000000001</v>
      </c>
      <c r="S331" s="1">
        <v>0.94464999999999999</v>
      </c>
      <c r="T331" s="1">
        <v>1.0024299999999999</v>
      </c>
      <c r="U331" s="1">
        <v>1.05423</v>
      </c>
      <c r="V331" s="1">
        <v>1.0827</v>
      </c>
      <c r="W331" s="1">
        <v>1.11202</v>
      </c>
      <c r="X331" s="1">
        <v>1.0942400000000001</v>
      </c>
      <c r="Y331" s="1">
        <v>1.1123400000000001</v>
      </c>
      <c r="Z331" s="1">
        <v>0.94464999999999999</v>
      </c>
      <c r="AA331" s="1">
        <v>1.0024299999999999</v>
      </c>
      <c r="AB331" s="1">
        <v>1.05423</v>
      </c>
      <c r="AC331" s="1">
        <v>1.0827</v>
      </c>
      <c r="AD331" s="1">
        <v>1.11202</v>
      </c>
      <c r="AE331" s="1">
        <v>1.0942400000000001</v>
      </c>
      <c r="AF331" s="1">
        <v>1.1123400000000001</v>
      </c>
      <c r="AG331" s="1">
        <v>0.94464999999999999</v>
      </c>
      <c r="AH331" s="1">
        <v>1.0024299999999999</v>
      </c>
      <c r="AI331" s="1">
        <v>1.05423</v>
      </c>
      <c r="AJ331" s="1">
        <v>1.0827</v>
      </c>
      <c r="AL331" s="4"/>
      <c r="AM331" s="4" t="s">
        <v>13</v>
      </c>
      <c r="AN331" s="4" t="s">
        <v>14</v>
      </c>
      <c r="AO331" s="4" t="s">
        <v>15</v>
      </c>
      <c r="AP331" s="4" t="s">
        <v>16</v>
      </c>
      <c r="AQ331" s="4" t="s">
        <v>17</v>
      </c>
      <c r="AR331" s="4" t="s">
        <v>7</v>
      </c>
    </row>
    <row r="332" spans="1:44" ht="14.25" customHeight="1" x14ac:dyDescent="0.35">
      <c r="A332" s="1" t="s">
        <v>15</v>
      </c>
      <c r="B332" s="1" t="s">
        <v>15</v>
      </c>
      <c r="C332" s="1" t="s">
        <v>14</v>
      </c>
      <c r="D332" s="1" t="s">
        <v>16</v>
      </c>
      <c r="E332" s="1" t="s">
        <v>26</v>
      </c>
      <c r="F332" s="1">
        <v>0.92901</v>
      </c>
      <c r="G332" s="1">
        <v>0.86331999999999998</v>
      </c>
      <c r="H332" s="1">
        <v>0.87641999999999998</v>
      </c>
      <c r="I332" s="1">
        <v>0.90273000000000003</v>
      </c>
      <c r="J332" s="1">
        <v>0.89763000000000004</v>
      </c>
      <c r="K332" s="1">
        <v>0.90483999999999998</v>
      </c>
      <c r="L332" s="1">
        <v>0.88353000000000004</v>
      </c>
      <c r="M332" s="1">
        <v>0.92901</v>
      </c>
      <c r="N332" s="1">
        <v>0.86331999999999998</v>
      </c>
      <c r="O332" s="1">
        <v>0.87641999999999998</v>
      </c>
      <c r="P332" s="1">
        <v>0.90273000000000003</v>
      </c>
      <c r="Q332" s="1">
        <v>0.91886000000000001</v>
      </c>
      <c r="R332" s="1">
        <v>0.90483999999999998</v>
      </c>
      <c r="S332" s="1">
        <v>0.88353000000000004</v>
      </c>
      <c r="T332" s="1">
        <v>0.92901</v>
      </c>
      <c r="U332" s="1">
        <v>0.86331999999999998</v>
      </c>
      <c r="V332" s="1">
        <v>0.87641999999999998</v>
      </c>
      <c r="W332" s="1">
        <v>0.90273000000000003</v>
      </c>
      <c r="X332" s="1">
        <v>0.89763000000000004</v>
      </c>
      <c r="Y332" s="1">
        <v>0.90483999999999998</v>
      </c>
      <c r="Z332" s="1">
        <v>0.88353000000000004</v>
      </c>
      <c r="AA332" s="1">
        <v>0.92901</v>
      </c>
      <c r="AB332" s="1">
        <v>0.86331999999999998</v>
      </c>
      <c r="AC332" s="1">
        <v>0.87641999999999998</v>
      </c>
      <c r="AD332" s="1">
        <v>0.90273000000000003</v>
      </c>
      <c r="AE332" s="1">
        <v>0.89763000000000004</v>
      </c>
      <c r="AF332" s="1">
        <v>0.90483999999999998</v>
      </c>
      <c r="AG332" s="1">
        <v>0.88353000000000004</v>
      </c>
      <c r="AH332" s="1">
        <v>0.92901</v>
      </c>
      <c r="AI332" s="1">
        <v>0.86331999999999998</v>
      </c>
      <c r="AJ332" s="1">
        <v>0.87641999999999998</v>
      </c>
      <c r="AL332" s="4" t="s">
        <v>19</v>
      </c>
      <c r="AM332" s="6" cm="1">
        <f t="array" ref="AM332">IFERROR((SUMPRODUCT(($C$323:$C$347=AM$321)*($F$319:$AJ$319="")*$F$323:$AJ$347)+IF(AM$321="P3",SUMPRODUCT(($F$319:$AJ$319="P3")*$F$323:$AJ$347),0))/(SUMPRODUCT(($C$323:$C$347=AM$321)*($F$319:$AJ$319=""))+IF(AM$321="P3",COUNTIF($F$319:$AJ$319,"P3")*ROWS($C$323:$C$347),0)),"")</f>
        <v>0.89460238095237965</v>
      </c>
      <c r="AN332" s="6" cm="1">
        <f t="array" ref="AN332">IFERROR((SUMPRODUCT(($C$323:$C$347=AN$321)*($F$319:$AJ$319="")*$F$323:$AJ$347)+IF(AN$321="P3",SUMPRODUCT(($F$319:$AJ$319="P3")*$F$323:$AJ$347),0))/(SUMPRODUCT(($C$323:$C$347=AN$321)*($F$319:$AJ$319=""))+IF(AN$321="P3",COUNTIF($F$319:$AJ$319,"P3")*ROWS($C$323:$C$347),0)),"")</f>
        <v>1.0631414880952386</v>
      </c>
      <c r="AO332" s="6" cm="1">
        <f t="array" ref="AO332">IFERROR((SUMPRODUCT(($C$323:$C$347=AO$321)*($F$319:$AJ$319="")*$F$323:$AJ$347)+IF(AO$321="P3",SUMPRODUCT(($F$319:$AJ$319="P3")*$F$323:$AJ$347),0))/(SUMPRODUCT(($C$323:$C$347=AO$321)*($F$319:$AJ$319=""))+IF(AO$321="P3",COUNTIF($F$319:$AJ$319,"P3")*ROWS($C$323:$C$347),0)),"")</f>
        <v>0.93053195899772201</v>
      </c>
      <c r="AP332" s="6" t="str" cm="1">
        <f t="array" ref="AP332">IFERROR((SUMPRODUCT(($C$323:$C$347=AP$321)*($F$319:$AJ$319="")*$F$323:$AJ$347)+IF(AP$321="P3",SUMPRODUCT(($F$319:$AJ$319="P3")*$F$323:$AJ$347),0))/(SUMPRODUCT(($C$323:$C$347=AP$321)*($F$319:$AJ$319=""))+IF(AP$321="P3",COUNTIF($F$319:$AJ$319,"P3")*ROWS($C$323:$C$347),0)),"")</f>
        <v/>
      </c>
      <c r="AQ332" s="6" t="str" cm="1">
        <f t="array" ref="AQ332">IFERROR((SUMPRODUCT(($C$323:$C$347=AQ$321)*($F$319:$AJ$319="")*$F$323:$AJ$347)+IF(AQ$321="P3",SUMPRODUCT(($F$319:$AJ$319="P3")*$F$323:$AJ$347),0))/(SUMPRODUCT(($C$323:$C$347=AQ$321)*($F$319:$AJ$319=""))+IF(AQ$321="P3",COUNTIF($F$319:$AJ$319,"P3")*ROWS($C$323:$C$347),0)),"")</f>
        <v/>
      </c>
      <c r="AR332" s="6" t="str" cm="1">
        <f t="array" ref="AR332">IFERROR((SUMPRODUCT(($C$323:$C$347=AR$321)*($F$319:$AJ$319="")*$F$323:$AJ$347)+IF(AR$321="P3",SUMPRODUCT(($F$319:$AJ$319="P3")*$F$323:$AJ$347),0))/(SUMPRODUCT(($C$323:$C$347=AR$321)*($F$319:$AJ$319=""))+IF(AR$321="P3",COUNTIF($F$319:$AJ$319,"P3")*ROWS($C$323:$C$347),0)),"")</f>
        <v/>
      </c>
    </row>
    <row r="333" spans="1:44" ht="14.25" customHeight="1" x14ac:dyDescent="0.35">
      <c r="A333" s="1" t="s">
        <v>13</v>
      </c>
      <c r="B333" s="1" t="s">
        <v>14</v>
      </c>
      <c r="C333" s="1" t="s">
        <v>13</v>
      </c>
      <c r="D333" s="1" t="s">
        <v>16</v>
      </c>
      <c r="E333" s="1" t="s">
        <v>28</v>
      </c>
      <c r="F333" s="1">
        <v>0.86809999999999998</v>
      </c>
      <c r="G333" s="1">
        <v>0.83214999999999995</v>
      </c>
      <c r="H333" s="1">
        <v>0.84041999999999994</v>
      </c>
      <c r="I333" s="1">
        <v>0.85246999999999995</v>
      </c>
      <c r="J333" s="1">
        <v>0.86421999999999999</v>
      </c>
      <c r="K333" s="1">
        <v>0.87495999999999996</v>
      </c>
      <c r="L333" s="1">
        <v>0.86812999999999996</v>
      </c>
      <c r="M333" s="1">
        <v>0.86809999999999998</v>
      </c>
      <c r="N333" s="1">
        <v>0.83214999999999995</v>
      </c>
      <c r="O333" s="1">
        <v>0.84041999999999994</v>
      </c>
      <c r="P333" s="1">
        <v>0.85246999999999995</v>
      </c>
      <c r="Q333" s="1">
        <v>0.87975999999999999</v>
      </c>
      <c r="R333" s="1">
        <v>0.87495999999999996</v>
      </c>
      <c r="S333" s="1">
        <v>0.86812999999999996</v>
      </c>
      <c r="T333" s="1">
        <v>0.86809999999999998</v>
      </c>
      <c r="U333" s="1">
        <v>0.83214999999999995</v>
      </c>
      <c r="V333" s="1">
        <v>0.84041999999999994</v>
      </c>
      <c r="W333" s="1">
        <v>0.85246999999999995</v>
      </c>
      <c r="X333" s="1">
        <v>0.86421999999999999</v>
      </c>
      <c r="Y333" s="1">
        <v>0.87495999999999996</v>
      </c>
      <c r="Z333" s="1">
        <v>0.86812999999999996</v>
      </c>
      <c r="AA333" s="1">
        <v>0.86809999999999998</v>
      </c>
      <c r="AB333" s="1">
        <v>0.83214999999999995</v>
      </c>
      <c r="AC333" s="1">
        <v>0.84041999999999994</v>
      </c>
      <c r="AD333" s="1">
        <v>0.85246999999999995</v>
      </c>
      <c r="AE333" s="1">
        <v>0.86421999999999999</v>
      </c>
      <c r="AF333" s="1">
        <v>0.87495999999999996</v>
      </c>
      <c r="AG333" s="1">
        <v>0.86812999999999996</v>
      </c>
      <c r="AH333" s="1">
        <v>0.86809999999999998</v>
      </c>
      <c r="AI333" s="1">
        <v>0.83214999999999995</v>
      </c>
      <c r="AJ333" s="1">
        <v>0.84041999999999994</v>
      </c>
      <c r="AL333" s="4" t="s">
        <v>21</v>
      </c>
      <c r="AM333" s="6" cm="1">
        <f t="array" ref="AM333">IFERROR((SUMPRODUCT(($A$323:$A$347=AM$321)*($F$320:$AJ$320="")*$F$323:$AJ$347)+IF(AM$321="P6",SUMPRODUCT(($F$320:$AJ$320="P6")*$F$323:$AJ$347),0))/(SUMPRODUCT(($A$323:$A$347=AM$321)*($F$320:$AJ$320=""))+IF(AM$321="P6",COUNTIF($F$320:$AJ$320,"P6")*ROWS($A$323:$A$347),0)),"")</f>
        <v>0.90576349206349116</v>
      </c>
      <c r="AN333" s="6" t="str" cm="1">
        <f t="array" ref="AN333">IFERROR((SUMPRODUCT(($A$323:$A$347=AN$321)*($F$320:$AJ$320="")*$F$323:$AJ$347)+IF(AN$321="P6",SUMPRODUCT(($F$320:$AJ$320="P6")*$F$323:$AJ$347),0))/(SUMPRODUCT(($A$323:$A$347=AN$321)*($F$320:$AJ$320=""))+IF(AN$321="P6",COUNTIF($F$320:$AJ$320,"P6")*ROWS($A$323:$A$347),0)),"")</f>
        <v/>
      </c>
      <c r="AO333" s="6" cm="1">
        <f t="array" ref="AO333">IFERROR((SUMPRODUCT(($A$323:$A$347=AO$321)*($F$320:$AJ$320="")*$F$323:$AJ$347)+IF(AO$321="P6",SUMPRODUCT(($F$320:$AJ$320="P6")*$F$323:$AJ$347),0))/(SUMPRODUCT(($A$323:$A$347=AO$321)*($F$320:$AJ$320=""))+IF(AO$321="P6",COUNTIF($F$320:$AJ$320,"P6")*ROWS($A$323:$A$347),0)),"")</f>
        <v>1.0728685034013614</v>
      </c>
      <c r="AP333" s="6" t="str" cm="1">
        <f t="array" ref="AP333">IFERROR((SUMPRODUCT(($A$323:$A$347=AP$321)*($F$320:$AJ$320="")*$F$323:$AJ$347)+IF(AP$321="P6",SUMPRODUCT(($F$320:$AJ$320="P6")*$F$323:$AJ$347),0))/(SUMPRODUCT(($A$323:$A$347=AP$321)*($F$320:$AJ$320=""))+IF(AP$321="P6",COUNTIF($F$320:$AJ$320,"P6")*ROWS($A$323:$A$347),0)),"")</f>
        <v/>
      </c>
      <c r="AQ333" s="6" t="str" cm="1">
        <f t="array" ref="AQ333">IFERROR((SUMPRODUCT(($A$323:$A$347=AQ$321)*($F$320:$AJ$320="")*$F$323:$AJ$347)+IF(AQ$321="P6",SUMPRODUCT(($F$320:$AJ$320="P6")*$F$323:$AJ$347),0))/(SUMPRODUCT(($A$323:$A$347=AQ$321)*($F$320:$AJ$320=""))+IF(AQ$321="P6",COUNTIF($F$320:$AJ$320,"P6")*ROWS($A$323:$A$347),0)),"")</f>
        <v/>
      </c>
      <c r="AR333" s="6" cm="1">
        <f t="array" ref="AR333">IFERROR((SUMPRODUCT(($A$323:$A$347=AR$321)*($F$320:$AJ$320="")*$F$323:$AJ$347)+IF(AR$321="P6",SUMPRODUCT(($F$320:$AJ$320="P6")*$F$323:$AJ$347),0))/(SUMPRODUCT(($A$323:$A$347=AR$321)*($F$320:$AJ$320=""))+IF(AR$321="P6",COUNTIF($F$320:$AJ$320,"P6")*ROWS($A$323:$A$347),0)),"")</f>
        <v>0.93053195899772201</v>
      </c>
    </row>
    <row r="334" spans="1:44" ht="14.25" customHeight="1" x14ac:dyDescent="0.35">
      <c r="A334" s="1" t="s">
        <v>13</v>
      </c>
      <c r="B334" s="1" t="s">
        <v>14</v>
      </c>
      <c r="C334" s="1" t="s">
        <v>13</v>
      </c>
      <c r="D334" s="1" t="s">
        <v>16</v>
      </c>
      <c r="E334" s="1" t="s">
        <v>30</v>
      </c>
      <c r="F334" s="1">
        <v>0.83172000000000001</v>
      </c>
      <c r="G334" s="1">
        <v>0.82867999999999997</v>
      </c>
      <c r="H334" s="1">
        <v>0.82530000000000003</v>
      </c>
      <c r="I334" s="1">
        <v>0.82918999999999998</v>
      </c>
      <c r="J334" s="1">
        <v>0.88153999999999999</v>
      </c>
      <c r="K334" s="1">
        <v>0.87717000000000001</v>
      </c>
      <c r="L334" s="1">
        <v>0.86512</v>
      </c>
      <c r="M334" s="1">
        <v>0.83172000000000001</v>
      </c>
      <c r="N334" s="1">
        <v>0.82867999999999997</v>
      </c>
      <c r="O334" s="1">
        <v>0.82530000000000003</v>
      </c>
      <c r="P334" s="1">
        <v>0.82918999999999998</v>
      </c>
      <c r="Q334" s="1">
        <v>0.87941999999999998</v>
      </c>
      <c r="R334" s="1">
        <v>0.87717000000000001</v>
      </c>
      <c r="S334" s="1">
        <v>0.86512</v>
      </c>
      <c r="T334" s="1">
        <v>0.83172000000000001</v>
      </c>
      <c r="U334" s="1">
        <v>0.82867999999999997</v>
      </c>
      <c r="V334" s="1">
        <v>0.82530000000000003</v>
      </c>
      <c r="W334" s="1">
        <v>0.82918999999999998</v>
      </c>
      <c r="X334" s="1">
        <v>0.88153999999999999</v>
      </c>
      <c r="Y334" s="1">
        <v>0.87717000000000001</v>
      </c>
      <c r="Z334" s="1">
        <v>0.86512</v>
      </c>
      <c r="AA334" s="1">
        <v>0.83172000000000001</v>
      </c>
      <c r="AB334" s="1">
        <v>0.82867999999999997</v>
      </c>
      <c r="AC334" s="1">
        <v>0.82530000000000003</v>
      </c>
      <c r="AD334" s="1">
        <v>0.82918999999999998</v>
      </c>
      <c r="AE334" s="1">
        <v>0.88153999999999999</v>
      </c>
      <c r="AF334" s="1">
        <v>0.87717000000000001</v>
      </c>
      <c r="AG334" s="1">
        <v>0.86512</v>
      </c>
      <c r="AH334" s="1">
        <v>0.83172000000000001</v>
      </c>
      <c r="AI334" s="1">
        <v>0.82867999999999997</v>
      </c>
      <c r="AJ334" s="1">
        <v>0.82530000000000003</v>
      </c>
      <c r="AL334" s="4" t="s">
        <v>23</v>
      </c>
      <c r="AM334" s="6" cm="1">
        <f t="array" ref="AM334">IFERROR((SUMPRODUCT(($A$323:$A$347=AM$321)*($F$320:$AJ$320="")*$F$323:$AJ$347)+IF(AM$321="P6",SUMPRODUCT(($F$320:$AJ$320="P6")*$F$323:$AJ$347),0))/(SUMPRODUCT(($A$323:$A$347=AM$321)*($F$320:$AJ$320=""))+IF(AM$321="P6",COUNTIF($F$320:$AJ$320,"P6")*ROWS($A$323:$A$347),0)),"")</f>
        <v>0.90576349206349116</v>
      </c>
      <c r="AN334" s="6" t="str" cm="1">
        <f t="array" ref="AN334">IFERROR((SUMPRODUCT(($A$323:$A$347=AN$321)*($F$320:$AJ$320="")*$F$323:$AJ$347)+IF(AN$321="P6",SUMPRODUCT(($F$320:$AJ$320="P6")*$F$323:$AJ$347),0))/(SUMPRODUCT(($A$323:$A$347=AN$321)*($F$320:$AJ$320=""))+IF(AN$321="P6",COUNTIF($F$320:$AJ$320,"P6")*ROWS($A$323:$A$347),0)),"")</f>
        <v/>
      </c>
      <c r="AO334" s="6" cm="1">
        <f t="array" ref="AO334">IFERROR((SUMPRODUCT(($A$323:$A$347=AO$321)*($F$320:$AJ$320="")*$F$323:$AJ$347)+IF(AO$321="P6",SUMPRODUCT(($F$320:$AJ$320="P6")*$F$323:$AJ$347),0))/(SUMPRODUCT(($A$323:$A$347=AO$321)*($F$320:$AJ$320=""))+IF(AO$321="P6",COUNTIF($F$320:$AJ$320,"P6")*ROWS($A$323:$A$347),0)),"")</f>
        <v>1.0728685034013614</v>
      </c>
      <c r="AP334" s="6" t="str" cm="1">
        <f t="array" ref="AP334">IFERROR((SUMPRODUCT(($A$323:$A$347=AP$321)*($F$320:$AJ$320="")*$F$323:$AJ$347)+IF(AP$321="P6",SUMPRODUCT(($F$320:$AJ$320="P6")*$F$323:$AJ$347),0))/(SUMPRODUCT(($A$323:$A$347=AP$321)*($F$320:$AJ$320=""))+IF(AP$321="P6",COUNTIF($F$320:$AJ$320,"P6")*ROWS($A$323:$A$347),0)),"")</f>
        <v/>
      </c>
      <c r="AQ334" s="6" t="str" cm="1">
        <f t="array" ref="AQ334">IFERROR((SUMPRODUCT(($A$323:$A$347=AQ$321)*($F$320:$AJ$320="")*$F$323:$AJ$347)+IF(AQ$321="P6",SUMPRODUCT(($F$320:$AJ$320="P6")*$F$323:$AJ$347),0))/(SUMPRODUCT(($A$323:$A$347=AQ$321)*($F$320:$AJ$320=""))+IF(AQ$321="P6",COUNTIF($F$320:$AJ$320,"P6")*ROWS($A$323:$A$347),0)),"")</f>
        <v/>
      </c>
      <c r="AR334" s="6" cm="1">
        <f t="array" ref="AR334">IFERROR((SUMPRODUCT(($A$323:$A$347=AR$321)*($F$320:$AJ$320="")*$F$323:$AJ$347)+IF(AR$321="P6",SUMPRODUCT(($F$320:$AJ$320="P6")*$F$323:$AJ$347),0))/(SUMPRODUCT(($A$323:$A$347=AR$321)*($F$320:$AJ$320=""))+IF(AR$321="P6",COUNTIF($F$320:$AJ$320,"P6")*ROWS($A$323:$A$347),0)),"")</f>
        <v>0.93053195899772201</v>
      </c>
    </row>
    <row r="335" spans="1:44" ht="14.25" customHeight="1" x14ac:dyDescent="0.35">
      <c r="A335" s="1" t="s">
        <v>13</v>
      </c>
      <c r="B335" s="1" t="s">
        <v>14</v>
      </c>
      <c r="C335" s="1" t="s">
        <v>13</v>
      </c>
      <c r="D335" s="1" t="s">
        <v>16</v>
      </c>
      <c r="E335" s="1" t="s">
        <v>31</v>
      </c>
      <c r="F335" s="1">
        <v>0.83757999999999999</v>
      </c>
      <c r="G335" s="1">
        <v>0.83243</v>
      </c>
      <c r="H335" s="1">
        <v>0.81925999999999999</v>
      </c>
      <c r="I335" s="1">
        <v>0.82833999999999997</v>
      </c>
      <c r="J335" s="1">
        <v>0.87180999999999997</v>
      </c>
      <c r="K335" s="1">
        <v>0.87422</v>
      </c>
      <c r="L335" s="1">
        <v>0.86538999999999999</v>
      </c>
      <c r="M335" s="1">
        <v>0.83757999999999999</v>
      </c>
      <c r="N335" s="1">
        <v>0.83243</v>
      </c>
      <c r="O335" s="1">
        <v>0.81925999999999999</v>
      </c>
      <c r="P335" s="1">
        <v>0.82833999999999997</v>
      </c>
      <c r="Q335" s="1">
        <v>0.88349</v>
      </c>
      <c r="R335" s="1">
        <v>0.87422</v>
      </c>
      <c r="S335" s="1">
        <v>0.86538999999999999</v>
      </c>
      <c r="T335" s="1">
        <v>0.83757999999999999</v>
      </c>
      <c r="U335" s="1">
        <v>0.83243</v>
      </c>
      <c r="V335" s="1">
        <v>0.81925999999999999</v>
      </c>
      <c r="W335" s="1">
        <v>0.82833999999999997</v>
      </c>
      <c r="X335" s="1">
        <v>0.87180999999999997</v>
      </c>
      <c r="Y335" s="1">
        <v>0.87422</v>
      </c>
      <c r="Z335" s="1">
        <v>0.86538999999999999</v>
      </c>
      <c r="AA335" s="1">
        <v>0.83757999999999999</v>
      </c>
      <c r="AB335" s="1">
        <v>0.83243</v>
      </c>
      <c r="AC335" s="1">
        <v>0.81925999999999999</v>
      </c>
      <c r="AD335" s="1">
        <v>0.82833999999999997</v>
      </c>
      <c r="AE335" s="1">
        <v>0.87180999999999997</v>
      </c>
      <c r="AF335" s="1">
        <v>0.87422</v>
      </c>
      <c r="AG335" s="1">
        <v>0.86538999999999999</v>
      </c>
      <c r="AH335" s="1">
        <v>0.83757999999999999</v>
      </c>
      <c r="AI335" s="1">
        <v>0.83243</v>
      </c>
      <c r="AJ335" s="1">
        <v>0.81925999999999999</v>
      </c>
      <c r="AL335" s="4" t="s">
        <v>25</v>
      </c>
      <c r="AM335" s="6" cm="1">
        <f t="array" ref="AM335">IFERROR((SUMPRODUCT(($A$323:$A$347=AM$321)*($F$320:$AJ$320="")*$F$323:$AJ$347)+IF(AM$321="P6",SUMPRODUCT(($F$320:$AJ$320="P6")*$F$323:$AJ$347),0))/(SUMPRODUCT(($A$323:$A$347=AM$321)*($F$320:$AJ$320=""))+IF(AM$321="P6",COUNTIF($F$320:$AJ$320,"P6")*ROWS($A$323:$A$347),0)),"")</f>
        <v>0.90576349206349116</v>
      </c>
      <c r="AN335" s="6" t="str" cm="1">
        <f t="array" ref="AN335">IFERROR((SUMPRODUCT(($A$323:$A$347=AN$321)*($F$320:$AJ$320="")*$F$323:$AJ$347)+IF(AN$321="P6",SUMPRODUCT(($F$320:$AJ$320="P6")*$F$323:$AJ$347),0))/(SUMPRODUCT(($A$323:$A$347=AN$321)*($F$320:$AJ$320=""))+IF(AN$321="P6",COUNTIF($F$320:$AJ$320,"P6")*ROWS($A$323:$A$347),0)),"")</f>
        <v/>
      </c>
      <c r="AO335" s="6" cm="1">
        <f t="array" ref="AO335">IFERROR((SUMPRODUCT(($A$323:$A$347=AO$321)*($F$320:$AJ$320="")*$F$323:$AJ$347)+IF(AO$321="P6",SUMPRODUCT(($F$320:$AJ$320="P6")*$F$323:$AJ$347),0))/(SUMPRODUCT(($A$323:$A$347=AO$321)*($F$320:$AJ$320=""))+IF(AO$321="P6",COUNTIF($F$320:$AJ$320,"P6")*ROWS($A$323:$A$347),0)),"")</f>
        <v>1.0728685034013614</v>
      </c>
      <c r="AP335" s="6" t="str" cm="1">
        <f t="array" ref="AP335">IFERROR((SUMPRODUCT(($A$323:$A$347=AP$321)*($F$320:$AJ$320="")*$F$323:$AJ$347)+IF(AP$321="P6",SUMPRODUCT(($F$320:$AJ$320="P6")*$F$323:$AJ$347),0))/(SUMPRODUCT(($A$323:$A$347=AP$321)*($F$320:$AJ$320=""))+IF(AP$321="P6",COUNTIF($F$320:$AJ$320,"P6")*ROWS($A$323:$A$347),0)),"")</f>
        <v/>
      </c>
      <c r="AQ335" s="6" t="str" cm="1">
        <f t="array" ref="AQ335">IFERROR((SUMPRODUCT(($A$323:$A$347=AQ$321)*($F$320:$AJ$320="")*$F$323:$AJ$347)+IF(AQ$321="P6",SUMPRODUCT(($F$320:$AJ$320="P6")*$F$323:$AJ$347),0))/(SUMPRODUCT(($A$323:$A$347=AQ$321)*($F$320:$AJ$320=""))+IF(AQ$321="P6",COUNTIF($F$320:$AJ$320,"P6")*ROWS($A$323:$A$347),0)),"")</f>
        <v/>
      </c>
      <c r="AR335" s="6" cm="1">
        <f t="array" ref="AR335">IFERROR((SUMPRODUCT(($A$323:$A$347=AR$321)*($F$320:$AJ$320="")*$F$323:$AJ$347)+IF(AR$321="P6",SUMPRODUCT(($F$320:$AJ$320="P6")*$F$323:$AJ$347),0))/(SUMPRODUCT(($A$323:$A$347=AR$321)*($F$320:$AJ$320=""))+IF(AR$321="P6",COUNTIF($F$320:$AJ$320,"P6")*ROWS($A$323:$A$347),0)),"")</f>
        <v>0.93053195899772201</v>
      </c>
    </row>
    <row r="336" spans="1:44" ht="14.25" customHeight="1" x14ac:dyDescent="0.35">
      <c r="A336" s="1" t="s">
        <v>13</v>
      </c>
      <c r="B336" s="1" t="s">
        <v>14</v>
      </c>
      <c r="C336" s="1" t="s">
        <v>13</v>
      </c>
      <c r="D336" s="1" t="s">
        <v>16</v>
      </c>
      <c r="E336" s="1" t="s">
        <v>32</v>
      </c>
      <c r="F336" s="1">
        <v>0.81730999999999998</v>
      </c>
      <c r="G336" s="1">
        <v>0.83013000000000003</v>
      </c>
      <c r="H336" s="1">
        <v>0.82479000000000002</v>
      </c>
      <c r="I336" s="1">
        <v>0.81781000000000004</v>
      </c>
      <c r="J336" s="1">
        <v>0.86590999999999996</v>
      </c>
      <c r="K336" s="1">
        <v>0.86517999999999995</v>
      </c>
      <c r="L336" s="1">
        <v>0.85136000000000001</v>
      </c>
      <c r="M336" s="1">
        <v>0.81730999999999998</v>
      </c>
      <c r="N336" s="1">
        <v>0.83013000000000003</v>
      </c>
      <c r="O336" s="1">
        <v>0.82479000000000002</v>
      </c>
      <c r="P336" s="1">
        <v>0.81781000000000004</v>
      </c>
      <c r="Q336" s="1">
        <v>0.87775000000000003</v>
      </c>
      <c r="R336" s="1">
        <v>0.86517999999999995</v>
      </c>
      <c r="S336" s="1">
        <v>0.85136000000000001</v>
      </c>
      <c r="T336" s="1">
        <v>0.81730999999999998</v>
      </c>
      <c r="U336" s="1">
        <v>0.83013000000000003</v>
      </c>
      <c r="V336" s="1">
        <v>0.82479000000000002</v>
      </c>
      <c r="W336" s="1">
        <v>0.81781000000000004</v>
      </c>
      <c r="X336" s="1">
        <v>0.86590999999999996</v>
      </c>
      <c r="Y336" s="1">
        <v>0.86517999999999995</v>
      </c>
      <c r="Z336" s="1">
        <v>0.85136000000000001</v>
      </c>
      <c r="AA336" s="1">
        <v>0.81730999999999998</v>
      </c>
      <c r="AB336" s="1">
        <v>0.83013000000000003</v>
      </c>
      <c r="AC336" s="1">
        <v>0.82479000000000002</v>
      </c>
      <c r="AD336" s="1">
        <v>0.81781000000000004</v>
      </c>
      <c r="AE336" s="1">
        <v>0.86590999999999996</v>
      </c>
      <c r="AF336" s="1">
        <v>0.86517999999999995</v>
      </c>
      <c r="AG336" s="1">
        <v>0.85136000000000001</v>
      </c>
      <c r="AH336" s="1">
        <v>0.81730999999999998</v>
      </c>
      <c r="AI336" s="1">
        <v>0.83013000000000003</v>
      </c>
      <c r="AJ336" s="1">
        <v>0.82479000000000002</v>
      </c>
      <c r="AL336" s="4" t="s">
        <v>27</v>
      </c>
      <c r="AM336" s="6" cm="1">
        <f t="array" ref="AM336">IFERROR((SUMPRODUCT(($A$323:$A$347=AM$321)*($F$320:$AJ$320="")*$F$323:$AJ$347)+IF(AM$321="P6",SUMPRODUCT(($F$320:$AJ$320="P6")*$F$323:$AJ$347),0))/(SUMPRODUCT(($A$323:$A$347=AM$321)*($F$320:$AJ$320=""))+IF(AM$321="P6",COUNTIF($F$320:$AJ$320,"P6")*ROWS($A$323:$A$347),0)),"")</f>
        <v>0.90576349206349116</v>
      </c>
      <c r="AN336" s="6" t="str" cm="1">
        <f t="array" ref="AN336">IFERROR((SUMPRODUCT(($A$323:$A$347=AN$321)*($F$320:$AJ$320="")*$F$323:$AJ$347)+IF(AN$321="P6",SUMPRODUCT(($F$320:$AJ$320="P6")*$F$323:$AJ$347),0))/(SUMPRODUCT(($A$323:$A$347=AN$321)*($F$320:$AJ$320=""))+IF(AN$321="P6",COUNTIF($F$320:$AJ$320,"P6")*ROWS($A$323:$A$347),0)),"")</f>
        <v/>
      </c>
      <c r="AO336" s="6" cm="1">
        <f t="array" ref="AO336">IFERROR((SUMPRODUCT(($A$323:$A$347=AO$321)*($F$320:$AJ$320="")*$F$323:$AJ$347)+IF(AO$321="P6",SUMPRODUCT(($F$320:$AJ$320="P6")*$F$323:$AJ$347),0))/(SUMPRODUCT(($A$323:$A$347=AO$321)*($F$320:$AJ$320=""))+IF(AO$321="P6",COUNTIF($F$320:$AJ$320,"P6")*ROWS($A$323:$A$347),0)),"")</f>
        <v>1.0728685034013614</v>
      </c>
      <c r="AP336" s="6" t="str" cm="1">
        <f t="array" ref="AP336">IFERROR((SUMPRODUCT(($A$323:$A$347=AP$321)*($F$320:$AJ$320="")*$F$323:$AJ$347)+IF(AP$321="P6",SUMPRODUCT(($F$320:$AJ$320="P6")*$F$323:$AJ$347),0))/(SUMPRODUCT(($A$323:$A$347=AP$321)*($F$320:$AJ$320=""))+IF(AP$321="P6",COUNTIF($F$320:$AJ$320,"P6")*ROWS($A$323:$A$347),0)),"")</f>
        <v/>
      </c>
      <c r="AQ336" s="6" t="str" cm="1">
        <f t="array" ref="AQ336">IFERROR((SUMPRODUCT(($A$323:$A$347=AQ$321)*($F$320:$AJ$320="")*$F$323:$AJ$347)+IF(AQ$321="P6",SUMPRODUCT(($F$320:$AJ$320="P6")*$F$323:$AJ$347),0))/(SUMPRODUCT(($A$323:$A$347=AQ$321)*($F$320:$AJ$320=""))+IF(AQ$321="P6",COUNTIF($F$320:$AJ$320,"P6")*ROWS($A$323:$A$347),0)),"")</f>
        <v/>
      </c>
      <c r="AR336" s="6" cm="1">
        <f t="array" ref="AR336">IFERROR((SUMPRODUCT(($A$323:$A$347=AR$321)*($F$320:$AJ$320="")*$F$323:$AJ$347)+IF(AR$321="P6",SUMPRODUCT(($F$320:$AJ$320="P6")*$F$323:$AJ$347),0))/(SUMPRODUCT(($A$323:$A$347=AR$321)*($F$320:$AJ$320=""))+IF(AR$321="P6",COUNTIF($F$320:$AJ$320,"P6")*ROWS($A$323:$A$347),0)),"")</f>
        <v>0.93053195899772201</v>
      </c>
    </row>
    <row r="337" spans="1:44" ht="14.25" customHeight="1" x14ac:dyDescent="0.35">
      <c r="A337" s="1" t="s">
        <v>13</v>
      </c>
      <c r="B337" s="1" t="s">
        <v>14</v>
      </c>
      <c r="C337" s="1" t="s">
        <v>14</v>
      </c>
      <c r="D337" s="1" t="s">
        <v>17</v>
      </c>
      <c r="E337" s="1" t="s">
        <v>33</v>
      </c>
      <c r="F337" s="1">
        <v>0.81249000000000005</v>
      </c>
      <c r="G337" s="1">
        <v>0.98385999999999996</v>
      </c>
      <c r="H337" s="1">
        <v>0.97779000000000005</v>
      </c>
      <c r="I337" s="1">
        <v>0.9758</v>
      </c>
      <c r="J337" s="1">
        <v>1.0252699999999999</v>
      </c>
      <c r="K337" s="1">
        <v>1.02721</v>
      </c>
      <c r="L337" s="1">
        <v>0.85655000000000003</v>
      </c>
      <c r="M337" s="1">
        <v>0.81249000000000005</v>
      </c>
      <c r="N337" s="1">
        <v>0.98385999999999996</v>
      </c>
      <c r="O337" s="1">
        <v>0.97779000000000005</v>
      </c>
      <c r="P337" s="1">
        <v>0.9758</v>
      </c>
      <c r="Q337" s="1">
        <v>0.88466999999999996</v>
      </c>
      <c r="R337" s="1">
        <v>1.02721</v>
      </c>
      <c r="S337" s="1">
        <v>0.85655000000000003</v>
      </c>
      <c r="T337" s="1">
        <v>0.81249000000000005</v>
      </c>
      <c r="U337" s="1">
        <v>0.98385999999999996</v>
      </c>
      <c r="V337" s="1">
        <v>0.97779000000000005</v>
      </c>
      <c r="W337" s="1">
        <v>0.9758</v>
      </c>
      <c r="X337" s="1">
        <v>1.0252699999999999</v>
      </c>
      <c r="Y337" s="1">
        <v>1.02721</v>
      </c>
      <c r="Z337" s="1">
        <v>0.85655000000000003</v>
      </c>
      <c r="AA337" s="1">
        <v>0.81249000000000005</v>
      </c>
      <c r="AB337" s="1">
        <v>0.98385999999999996</v>
      </c>
      <c r="AC337" s="1">
        <v>0.97779000000000005</v>
      </c>
      <c r="AD337" s="1">
        <v>0.9758</v>
      </c>
      <c r="AE337" s="1">
        <v>1.0252699999999999</v>
      </c>
      <c r="AF337" s="1">
        <v>1.02721</v>
      </c>
      <c r="AG337" s="1">
        <v>0.85655000000000003</v>
      </c>
      <c r="AH337" s="1">
        <v>0.81249000000000005</v>
      </c>
      <c r="AI337" s="1">
        <v>0.98385999999999996</v>
      </c>
      <c r="AJ337" s="1">
        <v>0.97779000000000005</v>
      </c>
      <c r="AL337" s="4" t="s">
        <v>29</v>
      </c>
      <c r="AM337" s="6" cm="1">
        <f t="array" ref="AM337">IFERROR((SUMPRODUCT(($A$323:$A$347=AM$321)*($F$320:$AJ$320="")*$F$323:$AJ$347)+IF(AM$321="P6",SUMPRODUCT(($F$320:$AJ$320="P6")*$F$323:$AJ$347),0))/(SUMPRODUCT(($A$323:$A$347=AM$321)*($F$320:$AJ$320=""))+IF(AM$321="P6",COUNTIF($F$320:$AJ$320,"P6")*ROWS($A$323:$A$347),0)),"")</f>
        <v>0.90576349206349116</v>
      </c>
      <c r="AN337" s="6" t="str" cm="1">
        <f t="array" ref="AN337">IFERROR((SUMPRODUCT(($A$323:$A$347=AN$321)*($F$320:$AJ$320="")*$F$323:$AJ$347)+IF(AN$321="P6",SUMPRODUCT(($F$320:$AJ$320="P6")*$F$323:$AJ$347),0))/(SUMPRODUCT(($A$323:$A$347=AN$321)*($F$320:$AJ$320=""))+IF(AN$321="P6",COUNTIF($F$320:$AJ$320,"P6")*ROWS($A$323:$A$347),0)),"")</f>
        <v/>
      </c>
      <c r="AO337" s="6" cm="1">
        <f t="array" ref="AO337">IFERROR((SUMPRODUCT(($A$323:$A$347=AO$321)*($F$320:$AJ$320="")*$F$323:$AJ$347)+IF(AO$321="P6",SUMPRODUCT(($F$320:$AJ$320="P6")*$F$323:$AJ$347),0))/(SUMPRODUCT(($A$323:$A$347=AO$321)*($F$320:$AJ$320=""))+IF(AO$321="P6",COUNTIF($F$320:$AJ$320,"P6")*ROWS($A$323:$A$347),0)),"")</f>
        <v>1.0728685034013614</v>
      </c>
      <c r="AP337" s="6" t="str" cm="1">
        <f t="array" ref="AP337">IFERROR((SUMPRODUCT(($A$323:$A$347=AP$321)*($F$320:$AJ$320="")*$F$323:$AJ$347)+IF(AP$321="P6",SUMPRODUCT(($F$320:$AJ$320="P6")*$F$323:$AJ$347),0))/(SUMPRODUCT(($A$323:$A$347=AP$321)*($F$320:$AJ$320=""))+IF(AP$321="P6",COUNTIF($F$320:$AJ$320,"P6")*ROWS($A$323:$A$347),0)),"")</f>
        <v/>
      </c>
      <c r="AQ337" s="6" t="str" cm="1">
        <f t="array" ref="AQ337">IFERROR((SUMPRODUCT(($A$323:$A$347=AQ$321)*($F$320:$AJ$320="")*$F$323:$AJ$347)+IF(AQ$321="P6",SUMPRODUCT(($F$320:$AJ$320="P6")*$F$323:$AJ$347),0))/(SUMPRODUCT(($A$323:$A$347=AQ$321)*($F$320:$AJ$320=""))+IF(AQ$321="P6",COUNTIF($F$320:$AJ$320,"P6")*ROWS($A$323:$A$347),0)),"")</f>
        <v/>
      </c>
      <c r="AR337" s="6" cm="1">
        <f t="array" ref="AR337">IFERROR((SUMPRODUCT(($A$323:$A$347=AR$321)*($F$320:$AJ$320="")*$F$323:$AJ$347)+IF(AR$321="P6",SUMPRODUCT(($F$320:$AJ$320="P6")*$F$323:$AJ$347),0))/(SUMPRODUCT(($A$323:$A$347=AR$321)*($F$320:$AJ$320=""))+IF(AR$321="P6",COUNTIF($F$320:$AJ$320,"P6")*ROWS($A$323:$A$347),0)),"")</f>
        <v>0.93053195899772201</v>
      </c>
    </row>
    <row r="338" spans="1:44" ht="14.25" customHeight="1" x14ac:dyDescent="0.35">
      <c r="A338" s="1" t="s">
        <v>15</v>
      </c>
      <c r="B338" s="1" t="s">
        <v>15</v>
      </c>
      <c r="C338" s="1" t="s">
        <v>14</v>
      </c>
      <c r="D338" s="1" t="s">
        <v>17</v>
      </c>
      <c r="E338" s="1" t="s">
        <v>34</v>
      </c>
      <c r="F338" s="1">
        <v>0.85846</v>
      </c>
      <c r="G338" s="1">
        <v>1.02878</v>
      </c>
      <c r="H338" s="1">
        <v>1.0204200000000001</v>
      </c>
      <c r="I338" s="1">
        <v>1.0293099999999999</v>
      </c>
      <c r="J338" s="1">
        <v>1.0756300000000001</v>
      </c>
      <c r="K338" s="1">
        <v>1.08033</v>
      </c>
      <c r="L338" s="1">
        <v>0.90256999999999998</v>
      </c>
      <c r="M338" s="1">
        <v>0.85846</v>
      </c>
      <c r="N338" s="1">
        <v>1.02878</v>
      </c>
      <c r="O338" s="1">
        <v>1.0204200000000001</v>
      </c>
      <c r="P338" s="1">
        <v>1.0293099999999999</v>
      </c>
      <c r="Q338" s="1">
        <v>0.93605000000000005</v>
      </c>
      <c r="R338" s="1">
        <v>1.08033</v>
      </c>
      <c r="S338" s="1">
        <v>0.90256999999999998</v>
      </c>
      <c r="T338" s="1">
        <v>0.85846</v>
      </c>
      <c r="U338" s="1">
        <v>1.02878</v>
      </c>
      <c r="V338" s="1">
        <v>1.0204200000000001</v>
      </c>
      <c r="W338" s="1">
        <v>1.0293099999999999</v>
      </c>
      <c r="X338" s="1">
        <v>1.0756300000000001</v>
      </c>
      <c r="Y338" s="1">
        <v>1.08033</v>
      </c>
      <c r="Z338" s="1">
        <v>0.90256999999999998</v>
      </c>
      <c r="AA338" s="1">
        <v>0.85846</v>
      </c>
      <c r="AB338" s="1">
        <v>1.02878</v>
      </c>
      <c r="AC338" s="1">
        <v>1.0204200000000001</v>
      </c>
      <c r="AD338" s="1">
        <v>1.0293099999999999</v>
      </c>
      <c r="AE338" s="1">
        <v>1.0756300000000001</v>
      </c>
      <c r="AF338" s="1">
        <v>1.08033</v>
      </c>
      <c r="AG338" s="1">
        <v>0.90256999999999998</v>
      </c>
      <c r="AH338" s="1">
        <v>0.85846</v>
      </c>
      <c r="AI338" s="1">
        <v>1.02878</v>
      </c>
      <c r="AJ338" s="1">
        <v>1.0204200000000001</v>
      </c>
      <c r="AL338" s="10"/>
      <c r="AM338" s="10"/>
      <c r="AN338" s="10"/>
      <c r="AO338" s="10"/>
      <c r="AP338" s="10"/>
      <c r="AQ338" s="10"/>
      <c r="AR338" s="10"/>
    </row>
    <row r="339" spans="1:44" ht="14.25" customHeight="1" x14ac:dyDescent="0.35">
      <c r="A339" s="1" t="s">
        <v>15</v>
      </c>
      <c r="B339" s="1" t="s">
        <v>15</v>
      </c>
      <c r="C339" s="1" t="s">
        <v>14</v>
      </c>
      <c r="D339" s="1" t="s">
        <v>17</v>
      </c>
      <c r="E339" s="1" t="s">
        <v>35</v>
      </c>
      <c r="F339" s="1">
        <v>0.89239000000000002</v>
      </c>
      <c r="G339" s="1">
        <v>1.0551699999999999</v>
      </c>
      <c r="H339" s="1">
        <v>1.0620799999999999</v>
      </c>
      <c r="I339" s="1">
        <v>1.06986</v>
      </c>
      <c r="J339" s="1">
        <v>1.1176900000000001</v>
      </c>
      <c r="K339" s="1">
        <v>1.1265099999999999</v>
      </c>
      <c r="L339" s="1">
        <v>0.95855999999999997</v>
      </c>
      <c r="M339" s="1">
        <v>0.89239000000000002</v>
      </c>
      <c r="N339" s="1">
        <v>1.0551699999999999</v>
      </c>
      <c r="O339" s="1">
        <v>1.0620799999999999</v>
      </c>
      <c r="P339" s="1">
        <v>1.06986</v>
      </c>
      <c r="Q339" s="1">
        <v>0.95906000000000002</v>
      </c>
      <c r="R339" s="1">
        <v>1.1265099999999999</v>
      </c>
      <c r="S339" s="1">
        <v>0.95855999999999997</v>
      </c>
      <c r="T339" s="1">
        <v>0.89239000000000002</v>
      </c>
      <c r="U339" s="1">
        <v>1.0551699999999999</v>
      </c>
      <c r="V339" s="1">
        <v>1.0620799999999999</v>
      </c>
      <c r="W339" s="1">
        <v>1.06986</v>
      </c>
      <c r="X339" s="1">
        <v>1.1176900000000001</v>
      </c>
      <c r="Y339" s="1">
        <v>1.1265099999999999</v>
      </c>
      <c r="Z339" s="1">
        <v>0.95855999999999997</v>
      </c>
      <c r="AA339" s="1">
        <v>0.89239000000000002</v>
      </c>
      <c r="AB339" s="1">
        <v>1.0551699999999999</v>
      </c>
      <c r="AC339" s="1">
        <v>1.0620799999999999</v>
      </c>
      <c r="AD339" s="1">
        <v>1.06986</v>
      </c>
      <c r="AE339" s="1">
        <v>1.1176900000000001</v>
      </c>
      <c r="AF339" s="1">
        <v>1.1265099999999999</v>
      </c>
      <c r="AG339" s="1">
        <v>0.95855999999999997</v>
      </c>
      <c r="AH339" s="1">
        <v>0.89239000000000002</v>
      </c>
      <c r="AI339" s="1">
        <v>1.0551699999999999</v>
      </c>
      <c r="AJ339" s="1">
        <v>1.0620799999999999</v>
      </c>
      <c r="AL339" s="10"/>
      <c r="AM339" s="10"/>
      <c r="AN339" s="10"/>
      <c r="AO339" s="10"/>
      <c r="AP339" s="10"/>
      <c r="AQ339" s="10"/>
      <c r="AR339" s="10"/>
    </row>
    <row r="340" spans="1:44" ht="14.25" customHeight="1" x14ac:dyDescent="0.35">
      <c r="A340" s="1" t="s">
        <v>15</v>
      </c>
      <c r="B340" s="1" t="s">
        <v>15</v>
      </c>
      <c r="C340" s="1" t="s">
        <v>14</v>
      </c>
      <c r="D340" s="1" t="s">
        <v>17</v>
      </c>
      <c r="E340" s="1" t="s">
        <v>36</v>
      </c>
      <c r="F340" s="1">
        <v>0.91564000000000001</v>
      </c>
      <c r="G340" s="1">
        <v>1.06917</v>
      </c>
      <c r="H340" s="1">
        <v>1.07243</v>
      </c>
      <c r="I340" s="1">
        <v>1.0927800000000001</v>
      </c>
      <c r="J340" s="1">
        <v>1.1157600000000001</v>
      </c>
      <c r="K340" s="1">
        <v>1.1334</v>
      </c>
      <c r="L340" s="1">
        <v>0.97963999999999996</v>
      </c>
      <c r="M340" s="1">
        <v>0.91564000000000001</v>
      </c>
      <c r="N340" s="1">
        <v>1.06917</v>
      </c>
      <c r="O340" s="1">
        <v>1.07243</v>
      </c>
      <c r="P340" s="1">
        <v>1.0927800000000001</v>
      </c>
      <c r="Q340" s="1">
        <v>0.96181000000000005</v>
      </c>
      <c r="R340" s="1">
        <v>1.1334</v>
      </c>
      <c r="S340" s="1">
        <v>0.97963999999999996</v>
      </c>
      <c r="T340" s="1">
        <v>0.91564000000000001</v>
      </c>
      <c r="U340" s="1">
        <v>1.06917</v>
      </c>
      <c r="V340" s="1">
        <v>1.07243</v>
      </c>
      <c r="W340" s="1">
        <v>1.0927800000000001</v>
      </c>
      <c r="X340" s="1">
        <v>1.1157600000000001</v>
      </c>
      <c r="Y340" s="1">
        <v>1.1334</v>
      </c>
      <c r="Z340" s="1">
        <v>0.97963999999999996</v>
      </c>
      <c r="AA340" s="1">
        <v>0.91564000000000001</v>
      </c>
      <c r="AB340" s="1">
        <v>1.06917</v>
      </c>
      <c r="AC340" s="1">
        <v>1.07243</v>
      </c>
      <c r="AD340" s="1">
        <v>1.0927800000000001</v>
      </c>
      <c r="AE340" s="1">
        <v>1.1157600000000001</v>
      </c>
      <c r="AF340" s="1">
        <v>1.1334</v>
      </c>
      <c r="AG340" s="1">
        <v>0.97963999999999996</v>
      </c>
      <c r="AH340" s="1">
        <v>0.91564000000000001</v>
      </c>
      <c r="AI340" s="1">
        <v>1.06917</v>
      </c>
      <c r="AJ340" s="1">
        <v>1.07243</v>
      </c>
      <c r="AL340" s="14" t="s">
        <v>243</v>
      </c>
      <c r="AM340" s="14"/>
      <c r="AN340" s="14"/>
      <c r="AO340" s="14"/>
      <c r="AP340" s="14"/>
      <c r="AQ340" s="14"/>
      <c r="AR340" s="14"/>
    </row>
    <row r="341" spans="1:44" ht="14.25" customHeight="1" x14ac:dyDescent="0.35">
      <c r="A341" s="1" t="s">
        <v>13</v>
      </c>
      <c r="B341" s="1" t="s">
        <v>14</v>
      </c>
      <c r="C341" s="1" t="s">
        <v>13</v>
      </c>
      <c r="D341" s="1" t="s">
        <v>16</v>
      </c>
      <c r="E341" s="1" t="s">
        <v>37</v>
      </c>
      <c r="F341" s="1">
        <v>0.94582999999999995</v>
      </c>
      <c r="G341" s="1">
        <v>0.90739000000000003</v>
      </c>
      <c r="H341" s="1">
        <v>0.92471000000000003</v>
      </c>
      <c r="I341" s="1">
        <v>0.92745</v>
      </c>
      <c r="J341" s="1">
        <v>0.93847999999999998</v>
      </c>
      <c r="K341" s="1">
        <v>0.96309999999999996</v>
      </c>
      <c r="L341" s="1">
        <v>0.98848999999999998</v>
      </c>
      <c r="M341" s="1">
        <v>0.94582999999999995</v>
      </c>
      <c r="N341" s="1">
        <v>0.90739000000000003</v>
      </c>
      <c r="O341" s="1">
        <v>0.92471000000000003</v>
      </c>
      <c r="P341" s="1">
        <v>0.92745</v>
      </c>
      <c r="Q341" s="1">
        <v>0.95462000000000002</v>
      </c>
      <c r="R341" s="1">
        <v>0.96309999999999996</v>
      </c>
      <c r="S341" s="1">
        <v>0.98848999999999998</v>
      </c>
      <c r="T341" s="1">
        <v>0.94582999999999995</v>
      </c>
      <c r="U341" s="1">
        <v>0.90739000000000003</v>
      </c>
      <c r="V341" s="1">
        <v>0.92471000000000003</v>
      </c>
      <c r="W341" s="1">
        <v>0.92745</v>
      </c>
      <c r="X341" s="1">
        <v>0.93847999999999998</v>
      </c>
      <c r="Y341" s="1">
        <v>0.96309999999999996</v>
      </c>
      <c r="Z341" s="1">
        <v>0.98848999999999998</v>
      </c>
      <c r="AA341" s="1">
        <v>0.94582999999999995</v>
      </c>
      <c r="AB341" s="1">
        <v>0.90739000000000003</v>
      </c>
      <c r="AC341" s="1">
        <v>0.92471000000000003</v>
      </c>
      <c r="AD341" s="1">
        <v>0.92745</v>
      </c>
      <c r="AE341" s="1">
        <v>0.93847999999999998</v>
      </c>
      <c r="AF341" s="1">
        <v>0.96309999999999996</v>
      </c>
      <c r="AG341" s="1">
        <v>0.98848999999999998</v>
      </c>
      <c r="AH341" s="1">
        <v>0.94582999999999995</v>
      </c>
      <c r="AI341" s="1">
        <v>0.90739000000000003</v>
      </c>
      <c r="AJ341" s="1">
        <v>0.92471000000000003</v>
      </c>
      <c r="AL341" s="4"/>
      <c r="AM341" s="4" t="s">
        <v>13</v>
      </c>
      <c r="AN341" s="4" t="s">
        <v>14</v>
      </c>
      <c r="AO341" s="4" t="s">
        <v>15</v>
      </c>
      <c r="AP341" s="4" t="s">
        <v>16</v>
      </c>
      <c r="AQ341" s="4" t="s">
        <v>17</v>
      </c>
      <c r="AR341" s="4" t="s">
        <v>7</v>
      </c>
    </row>
    <row r="342" spans="1:44" ht="14.25" customHeight="1" x14ac:dyDescent="0.35">
      <c r="A342" s="1" t="s">
        <v>13</v>
      </c>
      <c r="B342" s="1" t="s">
        <v>14</v>
      </c>
      <c r="C342" s="1" t="s">
        <v>13</v>
      </c>
      <c r="D342" s="1" t="s">
        <v>16</v>
      </c>
      <c r="E342" s="1" t="s">
        <v>38</v>
      </c>
      <c r="F342" s="1">
        <v>0.98636999999999997</v>
      </c>
      <c r="G342" s="1">
        <v>0.92911999999999995</v>
      </c>
      <c r="H342" s="1">
        <v>0.93423</v>
      </c>
      <c r="I342" s="1">
        <v>0.95235000000000003</v>
      </c>
      <c r="J342" s="1">
        <v>0.94843999999999995</v>
      </c>
      <c r="K342" s="1">
        <v>0.98799000000000003</v>
      </c>
      <c r="L342" s="1">
        <v>1.00742</v>
      </c>
      <c r="M342" s="1">
        <v>0.98636999999999997</v>
      </c>
      <c r="N342" s="1">
        <v>0.92911999999999995</v>
      </c>
      <c r="O342" s="1">
        <v>0.93423</v>
      </c>
      <c r="P342" s="1">
        <v>0.95235000000000003</v>
      </c>
      <c r="Q342" s="1">
        <v>0.96221999999999996</v>
      </c>
      <c r="R342" s="1">
        <v>0.98799000000000003</v>
      </c>
      <c r="S342" s="1">
        <v>1.00742</v>
      </c>
      <c r="T342" s="1">
        <v>0.98636999999999997</v>
      </c>
      <c r="U342" s="1">
        <v>0.92911999999999995</v>
      </c>
      <c r="V342" s="1">
        <v>0.93423</v>
      </c>
      <c r="W342" s="1">
        <v>0.95235000000000003</v>
      </c>
      <c r="X342" s="1">
        <v>0.94843999999999995</v>
      </c>
      <c r="Y342" s="1">
        <v>0.98799000000000003</v>
      </c>
      <c r="Z342" s="1">
        <v>1.00742</v>
      </c>
      <c r="AA342" s="1">
        <v>0.98636999999999997</v>
      </c>
      <c r="AB342" s="1">
        <v>0.92911999999999995</v>
      </c>
      <c r="AC342" s="1">
        <v>0.93423</v>
      </c>
      <c r="AD342" s="1">
        <v>0.95235000000000003</v>
      </c>
      <c r="AE342" s="1">
        <v>0.94843999999999995</v>
      </c>
      <c r="AF342" s="1">
        <v>0.98799000000000003</v>
      </c>
      <c r="AG342" s="1">
        <v>1.00742</v>
      </c>
      <c r="AH342" s="1">
        <v>0.98636999999999997</v>
      </c>
      <c r="AI342" s="1">
        <v>0.92911999999999995</v>
      </c>
      <c r="AJ342" s="1">
        <v>0.93423</v>
      </c>
      <c r="AL342" s="4" t="s">
        <v>19</v>
      </c>
      <c r="AM342" s="6" cm="1">
        <f t="array" ref="AM342">IFERROR((SUMPRODUCT(($C$323:$C$347=AM$321)*($F$319:$AJ$319="")*$F$323:$AJ$347)+IF(AM$321="P3",SUMPRODUCT(($F$319:$AJ$319="P3")*$F$323:$AJ$347),0))/(SUMPRODUCT(($C$323:$C$347=AM$321)*($F$319:$AJ$319=""))+IF(AM$321="P3",COUNTIF($F$319:$AJ$319,"P3")*ROWS($C$323:$C$347),0)),"")</f>
        <v>0.89460238095237965</v>
      </c>
      <c r="AN342" s="6" cm="1">
        <f t="array" ref="AN342">IFERROR((SUMPRODUCT(($C$323:$C$347=AN$321)*($F$319:$AJ$319="")*$F$323:$AJ$347)+IF(AN$321="P3",SUMPRODUCT(($F$319:$AJ$319="P3")*$F$323:$AJ$347),0))/(SUMPRODUCT(($C$323:$C$347=AN$321)*($F$319:$AJ$319=""))+IF(AN$321="P3",COUNTIF($F$319:$AJ$319,"P3")*ROWS($C$323:$C$347),0)),"")</f>
        <v>1.0631414880952386</v>
      </c>
      <c r="AO342" s="6" cm="1">
        <f t="array" ref="AO342">IFERROR((SUMPRODUCT(($C$323:$C$347=AO$321)*($F$319:$AJ$319="")*$F$323:$AJ$347)+IF(AO$321="P3",SUMPRODUCT(($F$319:$AJ$319="P3")*$F$323:$AJ$347),0))/(SUMPRODUCT(($C$323:$C$347=AO$321)*($F$319:$AJ$319=""))+IF(AO$321="P3",COUNTIF($F$319:$AJ$319,"P3")*ROWS($C$323:$C$347),0)),"")</f>
        <v>0.93053195899772201</v>
      </c>
      <c r="AP342" s="6" t="str" cm="1">
        <f t="array" ref="AP342">IFERROR((SUMPRODUCT(($C$323:$C$347=AP$321)*($F$319:$AJ$319="")*$F$323:$AJ$347)+IF(AP$321="P3",SUMPRODUCT(($F$319:$AJ$319="P3")*$F$323:$AJ$347),0))/(SUMPRODUCT(($C$323:$C$347=AP$321)*($F$319:$AJ$319=""))+IF(AP$321="P3",COUNTIF($F$319:$AJ$319,"P3")*ROWS($C$323:$C$347),0)),"")</f>
        <v/>
      </c>
      <c r="AQ342" s="6" t="str" cm="1">
        <f t="array" ref="AQ342">IFERROR((SUMPRODUCT(($C$323:$C$347=AQ$321)*($F$319:$AJ$319="")*$F$323:$AJ$347)+IF(AQ$321="P3",SUMPRODUCT(($F$319:$AJ$319="P3")*$F$323:$AJ$347),0))/(SUMPRODUCT(($C$323:$C$347=AQ$321)*($F$319:$AJ$319=""))+IF(AQ$321="P3",COUNTIF($F$319:$AJ$319,"P3")*ROWS($C$323:$C$347),0)),"")</f>
        <v/>
      </c>
      <c r="AR342" s="6" t="str" cm="1">
        <f t="array" ref="AR342">IFERROR((SUMPRODUCT(($C$323:$C$347=AR$321)*($F$319:$AJ$319="")*$F$323:$AJ$347)+IF(AR$321="P3",SUMPRODUCT(($F$319:$AJ$319="P3")*$F$323:$AJ$347),0))/(SUMPRODUCT(($C$323:$C$347=AR$321)*($F$319:$AJ$319=""))+IF(AR$321="P3",COUNTIF($F$319:$AJ$319,"P3")*ROWS($C$323:$C$347),0)),"")</f>
        <v/>
      </c>
    </row>
    <row r="343" spans="1:44" ht="14.25" customHeight="1" x14ac:dyDescent="0.35">
      <c r="A343" s="1" t="s">
        <v>13</v>
      </c>
      <c r="B343" s="1" t="s">
        <v>14</v>
      </c>
      <c r="C343" s="1" t="s">
        <v>13</v>
      </c>
      <c r="D343" s="1" t="s">
        <v>16</v>
      </c>
      <c r="E343" s="1" t="s">
        <v>39</v>
      </c>
      <c r="F343" s="1">
        <v>0.99560999999999999</v>
      </c>
      <c r="G343" s="1">
        <v>0.91946000000000006</v>
      </c>
      <c r="H343" s="1">
        <v>0.93738999999999995</v>
      </c>
      <c r="I343" s="1">
        <v>0.96106000000000003</v>
      </c>
      <c r="J343" s="1">
        <v>0.95015000000000005</v>
      </c>
      <c r="K343" s="1">
        <v>0.99516000000000004</v>
      </c>
      <c r="L343" s="1">
        <v>1.0040800000000001</v>
      </c>
      <c r="M343" s="1">
        <v>0.99560999999999999</v>
      </c>
      <c r="N343" s="1">
        <v>0.91946000000000006</v>
      </c>
      <c r="O343" s="1">
        <v>0.93738999999999995</v>
      </c>
      <c r="P343" s="1">
        <v>0.96106000000000003</v>
      </c>
      <c r="Q343" s="1">
        <v>0.96674000000000004</v>
      </c>
      <c r="R343" s="1">
        <v>0.99516000000000004</v>
      </c>
      <c r="S343" s="1">
        <v>1.0040800000000001</v>
      </c>
      <c r="T343" s="1">
        <v>0.99560999999999999</v>
      </c>
      <c r="U343" s="1">
        <v>0.91946000000000006</v>
      </c>
      <c r="V343" s="1">
        <v>0.93738999999999995</v>
      </c>
      <c r="W343" s="1">
        <v>0.96106000000000003</v>
      </c>
      <c r="X343" s="1">
        <v>0.95015000000000005</v>
      </c>
      <c r="Y343" s="1">
        <v>0.99516000000000004</v>
      </c>
      <c r="Z343" s="1">
        <v>1.0040800000000001</v>
      </c>
      <c r="AA343" s="1">
        <v>0.99560999999999999</v>
      </c>
      <c r="AB343" s="1">
        <v>0.91946000000000006</v>
      </c>
      <c r="AC343" s="1">
        <v>0.93738999999999995</v>
      </c>
      <c r="AD343" s="1">
        <v>0.96106000000000003</v>
      </c>
      <c r="AE343" s="1">
        <v>0.95015000000000005</v>
      </c>
      <c r="AF343" s="1">
        <v>0.99516000000000004</v>
      </c>
      <c r="AG343" s="1">
        <v>1.0040800000000001</v>
      </c>
      <c r="AH343" s="1">
        <v>0.99560999999999999</v>
      </c>
      <c r="AI343" s="1">
        <v>0.91946000000000006</v>
      </c>
      <c r="AJ343" s="1">
        <v>0.93738999999999995</v>
      </c>
      <c r="AL343" s="4" t="s">
        <v>21</v>
      </c>
      <c r="AM343" s="6" t="str" cm="1">
        <f t="array" ref="AM343">IFERROR((SUMPRODUCT(($B$323:$B$347=AM$321)*($F$320:$AJ$320="")*$F$323:$AJ$347)+IF(AM$321="P6",SUMPRODUCT(($F$320:$AJ$320="P6")*$F$323:$AJ$347),0))/(SUMPRODUCT(($B$323:$B$347=AM$321)*($F$320:$AJ$320=""))+IF(AM$321="P6",COUNTIF($F$320:$AJ$320,"P6")*ROWS($B$323:$B$347),0)),"")</f>
        <v/>
      </c>
      <c r="AN343" s="6" cm="1">
        <f t="array" ref="AN343">IFERROR((SUMPRODUCT(($B$323:$B$347=AN$321)*($F$320:$AJ$320="")*$F$323:$AJ$347)+IF(AN$321="P6",SUMPRODUCT(($F$320:$AJ$320="P6")*$F$323:$AJ$347),0))/(SUMPRODUCT(($B$323:$B$347=AN$321)*($F$320:$AJ$320=""))+IF(AN$321="P6",COUNTIF($F$320:$AJ$320,"P6")*ROWS($B$323:$B$347),0)),"")</f>
        <v>0.90576349206349116</v>
      </c>
      <c r="AO343" s="6" cm="1">
        <f t="array" ref="AO343">IFERROR((SUMPRODUCT(($B$323:$B$347=AO$321)*($F$320:$AJ$320="")*$F$323:$AJ$347)+IF(AO$321="P6",SUMPRODUCT(($F$320:$AJ$320="P6")*$F$323:$AJ$347),0))/(SUMPRODUCT(($B$323:$B$347=AO$321)*($F$320:$AJ$320=""))+IF(AO$321="P6",COUNTIF($F$320:$AJ$320,"P6")*ROWS($B$323:$B$347),0)),"")</f>
        <v>1.0728685034013614</v>
      </c>
      <c r="AP343" s="6" t="str" cm="1">
        <f t="array" ref="AP343">IFERROR((SUMPRODUCT(($B$323:$B$347=AP$321)*($F$320:$AJ$320="")*$F$323:$AJ$347)+IF(AP$321="P6",SUMPRODUCT(($F$320:$AJ$320="P6")*$F$323:$AJ$347),0))/(SUMPRODUCT(($B$323:$B$347=AP$321)*($F$320:$AJ$320=""))+IF(AP$321="P6",COUNTIF($F$320:$AJ$320,"P6")*ROWS($B$323:$B$347),0)),"")</f>
        <v/>
      </c>
      <c r="AQ343" s="6" t="str" cm="1">
        <f t="array" ref="AQ343">IFERROR((SUMPRODUCT(($B$323:$B$347=AQ$321)*($F$320:$AJ$320="")*$F$323:$AJ$347)+IF(AQ$321="P6",SUMPRODUCT(($F$320:$AJ$320="P6")*$F$323:$AJ$347),0))/(SUMPRODUCT(($B$323:$B$347=AQ$321)*($F$320:$AJ$320=""))+IF(AQ$321="P6",COUNTIF($F$320:$AJ$320,"P6")*ROWS($B$323:$B$347),0)),"")</f>
        <v/>
      </c>
      <c r="AR343" s="6" cm="1">
        <f t="array" ref="AR343">IFERROR((SUMPRODUCT(($B$323:$B$347=AR$321)*($F$320:$AJ$320="")*$F$323:$AJ$347)+IF(AR$321="P6",SUMPRODUCT(($F$320:$AJ$320="P6")*$F$323:$AJ$347),0))/(SUMPRODUCT(($B$323:$B$347=AR$321)*($F$320:$AJ$320=""))+IF(AR$321="P6",COUNTIF($F$320:$AJ$320,"P6")*ROWS($B$323:$B$347),0)),"")</f>
        <v>0.93053195899772201</v>
      </c>
    </row>
    <row r="344" spans="1:44" ht="14.25" customHeight="1" x14ac:dyDescent="0.35">
      <c r="A344" s="1" t="s">
        <v>13</v>
      </c>
      <c r="B344" s="1" t="s">
        <v>14</v>
      </c>
      <c r="C344" s="1" t="s">
        <v>13</v>
      </c>
      <c r="D344" s="1" t="s">
        <v>16</v>
      </c>
      <c r="E344" s="1" t="s">
        <v>40</v>
      </c>
      <c r="F344" s="1">
        <v>0.96886000000000005</v>
      </c>
      <c r="G344" s="1">
        <v>0.91324000000000005</v>
      </c>
      <c r="H344" s="1">
        <v>0.94071000000000005</v>
      </c>
      <c r="I344" s="1">
        <v>0.96335000000000004</v>
      </c>
      <c r="J344" s="1">
        <v>0.95001999999999998</v>
      </c>
      <c r="K344" s="1">
        <v>1.0013099999999999</v>
      </c>
      <c r="L344" s="1">
        <v>0.99382999999999999</v>
      </c>
      <c r="M344" s="1">
        <v>0.96886000000000005</v>
      </c>
      <c r="N344" s="1">
        <v>0.91324000000000005</v>
      </c>
      <c r="O344" s="1">
        <v>0.94071000000000005</v>
      </c>
      <c r="P344" s="1">
        <v>0.96335000000000004</v>
      </c>
      <c r="Q344" s="1">
        <v>0.95921000000000001</v>
      </c>
      <c r="R344" s="1">
        <v>1.0013099999999999</v>
      </c>
      <c r="S344" s="1">
        <v>0.99382999999999999</v>
      </c>
      <c r="T344" s="1">
        <v>0.96886000000000005</v>
      </c>
      <c r="U344" s="1">
        <v>0.91324000000000005</v>
      </c>
      <c r="V344" s="1">
        <v>0.94071000000000005</v>
      </c>
      <c r="W344" s="1">
        <v>0.96335000000000004</v>
      </c>
      <c r="X344" s="1">
        <v>0.95001999999999998</v>
      </c>
      <c r="Y344" s="1">
        <v>1.0013099999999999</v>
      </c>
      <c r="Z344" s="1">
        <v>0.99382999999999999</v>
      </c>
      <c r="AA344" s="1">
        <v>0.96886000000000005</v>
      </c>
      <c r="AB344" s="1">
        <v>0.91324000000000005</v>
      </c>
      <c r="AC344" s="1">
        <v>0.94071000000000005</v>
      </c>
      <c r="AD344" s="1">
        <v>0.96335000000000004</v>
      </c>
      <c r="AE344" s="1">
        <v>0.95001999999999998</v>
      </c>
      <c r="AF344" s="1">
        <v>1.0013099999999999</v>
      </c>
      <c r="AG344" s="1">
        <v>0.99382999999999999</v>
      </c>
      <c r="AH344" s="1">
        <v>0.96886000000000005</v>
      </c>
      <c r="AI344" s="1">
        <v>0.91324000000000005</v>
      </c>
      <c r="AJ344" s="1">
        <v>0.94071000000000005</v>
      </c>
      <c r="AL344" s="4" t="s">
        <v>23</v>
      </c>
      <c r="AM344" s="6" t="str" cm="1">
        <f t="array" ref="AM344">IFERROR((SUMPRODUCT(($B$323:$B$347=AM$321)*($F$320:$AJ$320="")*$F$323:$AJ$347)+IF(AM$321="P6",SUMPRODUCT(($F$320:$AJ$320="P6")*$F$323:$AJ$347),0))/(SUMPRODUCT(($B$323:$B$347=AM$321)*($F$320:$AJ$320=""))+IF(AM$321="P6",COUNTIF($F$320:$AJ$320,"P6")*ROWS($B$323:$B$347),0)),"")</f>
        <v/>
      </c>
      <c r="AN344" s="6" cm="1">
        <f t="array" ref="AN344">IFERROR((SUMPRODUCT(($B$323:$B$347=AN$321)*($F$320:$AJ$320="")*$F$323:$AJ$347)+IF(AN$321="P6",SUMPRODUCT(($F$320:$AJ$320="P6")*$F$323:$AJ$347),0))/(SUMPRODUCT(($B$323:$B$347=AN$321)*($F$320:$AJ$320=""))+IF(AN$321="P6",COUNTIF($F$320:$AJ$320,"P6")*ROWS($B$323:$B$347),0)),"")</f>
        <v>0.90576349206349116</v>
      </c>
      <c r="AO344" s="6" cm="1">
        <f t="array" ref="AO344">IFERROR((SUMPRODUCT(($B$323:$B$347=AO$321)*($F$320:$AJ$320="")*$F$323:$AJ$347)+IF(AO$321="P6",SUMPRODUCT(($F$320:$AJ$320="P6")*$F$323:$AJ$347),0))/(SUMPRODUCT(($B$323:$B$347=AO$321)*($F$320:$AJ$320=""))+IF(AO$321="P6",COUNTIF($F$320:$AJ$320,"P6")*ROWS($B$323:$B$347),0)),"")</f>
        <v>1.0728685034013614</v>
      </c>
      <c r="AP344" s="6" t="str" cm="1">
        <f t="array" ref="AP344">IFERROR((SUMPRODUCT(($B$323:$B$347=AP$321)*($F$320:$AJ$320="")*$F$323:$AJ$347)+IF(AP$321="P6",SUMPRODUCT(($F$320:$AJ$320="P6")*$F$323:$AJ$347),0))/(SUMPRODUCT(($B$323:$B$347=AP$321)*($F$320:$AJ$320=""))+IF(AP$321="P6",COUNTIF($F$320:$AJ$320,"P6")*ROWS($B$323:$B$347),0)),"")</f>
        <v/>
      </c>
      <c r="AQ344" s="6" t="str" cm="1">
        <f t="array" ref="AQ344">IFERROR((SUMPRODUCT(($B$323:$B$347=AQ$321)*($F$320:$AJ$320="")*$F$323:$AJ$347)+IF(AQ$321="P6",SUMPRODUCT(($F$320:$AJ$320="P6")*$F$323:$AJ$347),0))/(SUMPRODUCT(($B$323:$B$347=AQ$321)*($F$320:$AJ$320=""))+IF(AQ$321="P6",COUNTIF($F$320:$AJ$320,"P6")*ROWS($B$323:$B$347),0)),"")</f>
        <v/>
      </c>
      <c r="AR344" s="6" cm="1">
        <f t="array" ref="AR344">IFERROR((SUMPRODUCT(($B$323:$B$347=AR$321)*($F$320:$AJ$320="")*$F$323:$AJ$347)+IF(AR$321="P6",SUMPRODUCT(($F$320:$AJ$320="P6")*$F$323:$AJ$347),0))/(SUMPRODUCT(($B$323:$B$347=AR$321)*($F$320:$AJ$320=""))+IF(AR$321="P6",COUNTIF($F$320:$AJ$320,"P6")*ROWS($B$323:$B$347),0)),"")</f>
        <v>0.93053195899772201</v>
      </c>
    </row>
    <row r="345" spans="1:44" ht="14.25" customHeight="1" x14ac:dyDescent="0.35">
      <c r="A345" s="1" t="s">
        <v>15</v>
      </c>
      <c r="B345" s="1" t="s">
        <v>15</v>
      </c>
      <c r="C345" s="1" t="s">
        <v>14</v>
      </c>
      <c r="D345" s="1" t="s">
        <v>17</v>
      </c>
      <c r="E345" s="1" t="s">
        <v>41</v>
      </c>
      <c r="F345" s="1">
        <v>0.97353000000000001</v>
      </c>
      <c r="G345" s="1">
        <v>1.1006100000000001</v>
      </c>
      <c r="H345" s="1">
        <v>1.1294900000000001</v>
      </c>
      <c r="I345" s="1">
        <v>1.1505300000000001</v>
      </c>
      <c r="J345" s="1">
        <v>1.13859</v>
      </c>
      <c r="K345" s="1">
        <v>1.18787</v>
      </c>
      <c r="L345" s="1">
        <v>1.0320499999999999</v>
      </c>
      <c r="M345" s="1">
        <v>0.97353000000000001</v>
      </c>
      <c r="N345" s="1">
        <v>1.1006100000000001</v>
      </c>
      <c r="O345" s="1">
        <v>1.1294900000000001</v>
      </c>
      <c r="P345" s="1">
        <v>1.1505300000000001</v>
      </c>
      <c r="Q345" s="1">
        <v>0.98746999999999996</v>
      </c>
      <c r="R345" s="1">
        <v>1.18787</v>
      </c>
      <c r="S345" s="1">
        <v>1.0320499999999999</v>
      </c>
      <c r="T345" s="1">
        <v>0.97353000000000001</v>
      </c>
      <c r="U345" s="1">
        <v>1.1006100000000001</v>
      </c>
      <c r="V345" s="1">
        <v>1.1294900000000001</v>
      </c>
      <c r="W345" s="1">
        <v>1.1505300000000001</v>
      </c>
      <c r="X345" s="1">
        <v>1.13859</v>
      </c>
      <c r="Y345" s="1">
        <v>1.18787</v>
      </c>
      <c r="Z345" s="1">
        <v>1.0320499999999999</v>
      </c>
      <c r="AA345" s="1">
        <v>0.97353000000000001</v>
      </c>
      <c r="AB345" s="1">
        <v>1.1006100000000001</v>
      </c>
      <c r="AC345" s="1">
        <v>1.1294900000000001</v>
      </c>
      <c r="AD345" s="1">
        <v>1.1505300000000001</v>
      </c>
      <c r="AE345" s="1">
        <v>1.13859</v>
      </c>
      <c r="AF345" s="1">
        <v>1.18787</v>
      </c>
      <c r="AG345" s="1">
        <v>1.0320499999999999</v>
      </c>
      <c r="AH345" s="1">
        <v>0.97353000000000001</v>
      </c>
      <c r="AI345" s="1">
        <v>1.1006100000000001</v>
      </c>
      <c r="AJ345" s="1">
        <v>1.1294900000000001</v>
      </c>
      <c r="AL345" s="4" t="s">
        <v>25</v>
      </c>
      <c r="AM345" s="6" t="str" cm="1">
        <f t="array" ref="AM345">IFERROR((SUMPRODUCT(($B$323:$B$347=AM$321)*($F$320:$AJ$320="")*$F$323:$AJ$347)+IF(AM$321="P6",SUMPRODUCT(($F$320:$AJ$320="P6")*$F$323:$AJ$347),0))/(SUMPRODUCT(($B$323:$B$347=AM$321)*($F$320:$AJ$320=""))+IF(AM$321="P6",COUNTIF($F$320:$AJ$320,"P6")*ROWS($B$323:$B$347),0)),"")</f>
        <v/>
      </c>
      <c r="AN345" s="6" cm="1">
        <f t="array" ref="AN345">IFERROR((SUMPRODUCT(($B$323:$B$347=AN$321)*($F$320:$AJ$320="")*$F$323:$AJ$347)+IF(AN$321="P6",SUMPRODUCT(($F$320:$AJ$320="P6")*$F$323:$AJ$347),0))/(SUMPRODUCT(($B$323:$B$347=AN$321)*($F$320:$AJ$320=""))+IF(AN$321="P6",COUNTIF($F$320:$AJ$320,"P6")*ROWS($B$323:$B$347),0)),"")</f>
        <v>0.90576349206349116</v>
      </c>
      <c r="AO345" s="6" cm="1">
        <f t="array" ref="AO345">IFERROR((SUMPRODUCT(($B$323:$B$347=AO$321)*($F$320:$AJ$320="")*$F$323:$AJ$347)+IF(AO$321="P6",SUMPRODUCT(($F$320:$AJ$320="P6")*$F$323:$AJ$347),0))/(SUMPRODUCT(($B$323:$B$347=AO$321)*($F$320:$AJ$320=""))+IF(AO$321="P6",COUNTIF($F$320:$AJ$320,"P6")*ROWS($B$323:$B$347),0)),"")</f>
        <v>1.0728685034013614</v>
      </c>
      <c r="AP345" s="6" t="str" cm="1">
        <f t="array" ref="AP345">IFERROR((SUMPRODUCT(($B$323:$B$347=AP$321)*($F$320:$AJ$320="")*$F$323:$AJ$347)+IF(AP$321="P6",SUMPRODUCT(($F$320:$AJ$320="P6")*$F$323:$AJ$347),0))/(SUMPRODUCT(($B$323:$B$347=AP$321)*($F$320:$AJ$320=""))+IF(AP$321="P6",COUNTIF($F$320:$AJ$320,"P6")*ROWS($B$323:$B$347),0)),"")</f>
        <v/>
      </c>
      <c r="AQ345" s="6" t="str" cm="1">
        <f t="array" ref="AQ345">IFERROR((SUMPRODUCT(($B$323:$B$347=AQ$321)*($F$320:$AJ$320="")*$F$323:$AJ$347)+IF(AQ$321="P6",SUMPRODUCT(($F$320:$AJ$320="P6")*$F$323:$AJ$347),0))/(SUMPRODUCT(($B$323:$B$347=AQ$321)*($F$320:$AJ$320=""))+IF(AQ$321="P6",COUNTIF($F$320:$AJ$320,"P6")*ROWS($B$323:$B$347),0)),"")</f>
        <v/>
      </c>
      <c r="AR345" s="6" cm="1">
        <f t="array" ref="AR345">IFERROR((SUMPRODUCT(($B$323:$B$347=AR$321)*($F$320:$AJ$320="")*$F$323:$AJ$347)+IF(AR$321="P6",SUMPRODUCT(($F$320:$AJ$320="P6")*$F$323:$AJ$347),0))/(SUMPRODUCT(($B$323:$B$347=AR$321)*($F$320:$AJ$320=""))+IF(AR$321="P6",COUNTIF($F$320:$AJ$320,"P6")*ROWS($B$323:$B$347),0)),"")</f>
        <v>0.93053195899772201</v>
      </c>
    </row>
    <row r="346" spans="1:44" ht="14.25" customHeight="1" x14ac:dyDescent="0.35">
      <c r="A346" s="1" t="s">
        <v>15</v>
      </c>
      <c r="B346" s="1" t="s">
        <v>15</v>
      </c>
      <c r="C346" s="1" t="s">
        <v>14</v>
      </c>
      <c r="D346" s="1" t="s">
        <v>17</v>
      </c>
      <c r="E346" s="1" t="s">
        <v>42</v>
      </c>
      <c r="F346" s="1">
        <v>0.98404999999999998</v>
      </c>
      <c r="G346" s="1">
        <v>1.1481300000000001</v>
      </c>
      <c r="H346" s="1">
        <v>1.1579900000000001</v>
      </c>
      <c r="I346" s="1">
        <v>1.19157</v>
      </c>
      <c r="J346" s="1">
        <v>1.1854100000000001</v>
      </c>
      <c r="K346" s="1">
        <v>1.21394</v>
      </c>
      <c r="L346" s="1">
        <v>1.0567</v>
      </c>
      <c r="M346" s="1">
        <v>0.98404999999999998</v>
      </c>
      <c r="N346" s="1">
        <v>1.1481300000000001</v>
      </c>
      <c r="O346" s="1">
        <v>1.1579900000000001</v>
      </c>
      <c r="P346" s="1">
        <v>1.19157</v>
      </c>
      <c r="Q346" s="1">
        <v>1.01349</v>
      </c>
      <c r="R346" s="1">
        <v>1.21394</v>
      </c>
      <c r="S346" s="1">
        <v>1.0567</v>
      </c>
      <c r="T346" s="1">
        <v>0.98404999999999998</v>
      </c>
      <c r="U346" s="1">
        <v>1.1481300000000001</v>
      </c>
      <c r="V346" s="1">
        <v>1.1579900000000001</v>
      </c>
      <c r="W346" s="1">
        <v>1.19157</v>
      </c>
      <c r="X346" s="1">
        <v>1.1854100000000001</v>
      </c>
      <c r="Y346" s="1">
        <v>1.21394</v>
      </c>
      <c r="Z346" s="1">
        <v>1.0567</v>
      </c>
      <c r="AA346" s="1">
        <v>0.98404999999999998</v>
      </c>
      <c r="AB346" s="1">
        <v>1.1481300000000001</v>
      </c>
      <c r="AC346" s="1">
        <v>1.1579900000000001</v>
      </c>
      <c r="AD346" s="1">
        <v>1.19157</v>
      </c>
      <c r="AE346" s="1">
        <v>1.1854100000000001</v>
      </c>
      <c r="AF346" s="1">
        <v>1.21394</v>
      </c>
      <c r="AG346" s="1">
        <v>1.0567</v>
      </c>
      <c r="AH346" s="1">
        <v>0.98404999999999998</v>
      </c>
      <c r="AI346" s="1">
        <v>1.1481300000000001</v>
      </c>
      <c r="AJ346" s="1">
        <v>1.1579900000000001</v>
      </c>
      <c r="AL346" s="4" t="s">
        <v>27</v>
      </c>
      <c r="AM346" s="6" t="str" cm="1">
        <f t="array" ref="AM346">IFERROR((SUMPRODUCT(($B$323:$B$347=AM$321)*($F$320:$AJ$320="")*$F$323:$AJ$347)+IF(AM$321="P6",SUMPRODUCT(($F$320:$AJ$320="P6")*$F$323:$AJ$347),0))/(SUMPRODUCT(($B$323:$B$347=AM$321)*($F$320:$AJ$320=""))+IF(AM$321="P6",COUNTIF($F$320:$AJ$320,"P6")*ROWS($B$323:$B$347),0)),"")</f>
        <v/>
      </c>
      <c r="AN346" s="6" cm="1">
        <f t="array" ref="AN346">IFERROR((SUMPRODUCT(($B$323:$B$347=AN$321)*($F$320:$AJ$320="")*$F$323:$AJ$347)+IF(AN$321="P6",SUMPRODUCT(($F$320:$AJ$320="P6")*$F$323:$AJ$347),0))/(SUMPRODUCT(($B$323:$B$347=AN$321)*($F$320:$AJ$320=""))+IF(AN$321="P6",COUNTIF($F$320:$AJ$320,"P6")*ROWS($B$323:$B$347),0)),"")</f>
        <v>0.90576349206349116</v>
      </c>
      <c r="AO346" s="6" cm="1">
        <f t="array" ref="AO346">IFERROR((SUMPRODUCT(($B$323:$B$347=AO$321)*($F$320:$AJ$320="")*$F$323:$AJ$347)+IF(AO$321="P6",SUMPRODUCT(($F$320:$AJ$320="P6")*$F$323:$AJ$347),0))/(SUMPRODUCT(($B$323:$B$347=AO$321)*($F$320:$AJ$320=""))+IF(AO$321="P6",COUNTIF($F$320:$AJ$320,"P6")*ROWS($B$323:$B$347),0)),"")</f>
        <v>1.0728685034013614</v>
      </c>
      <c r="AP346" s="6" t="str" cm="1">
        <f t="array" ref="AP346">IFERROR((SUMPRODUCT(($B$323:$B$347=AP$321)*($F$320:$AJ$320="")*$F$323:$AJ$347)+IF(AP$321="P6",SUMPRODUCT(($F$320:$AJ$320="P6")*$F$323:$AJ$347),0))/(SUMPRODUCT(($B$323:$B$347=AP$321)*($F$320:$AJ$320=""))+IF(AP$321="P6",COUNTIF($F$320:$AJ$320,"P6")*ROWS($B$323:$B$347),0)),"")</f>
        <v/>
      </c>
      <c r="AQ346" s="6" t="str" cm="1">
        <f t="array" ref="AQ346">IFERROR((SUMPRODUCT(($B$323:$B$347=AQ$321)*($F$320:$AJ$320="")*$F$323:$AJ$347)+IF(AQ$321="P6",SUMPRODUCT(($F$320:$AJ$320="P6")*$F$323:$AJ$347),0))/(SUMPRODUCT(($B$323:$B$347=AQ$321)*($F$320:$AJ$320=""))+IF(AQ$321="P6",COUNTIF($F$320:$AJ$320,"P6")*ROWS($B$323:$B$347),0)),"")</f>
        <v/>
      </c>
      <c r="AR346" s="6" cm="1">
        <f t="array" ref="AR346">IFERROR((SUMPRODUCT(($B$323:$B$347=AR$321)*($F$320:$AJ$320="")*$F$323:$AJ$347)+IF(AR$321="P6",SUMPRODUCT(($F$320:$AJ$320="P6")*$F$323:$AJ$347),0))/(SUMPRODUCT(($B$323:$B$347=AR$321)*($F$320:$AJ$320=""))+IF(AR$321="P6",COUNTIF($F$320:$AJ$320,"P6")*ROWS($B$323:$B$347),0)),"")</f>
        <v>0.93053195899772201</v>
      </c>
    </row>
    <row r="347" spans="1:44" ht="14.25" customHeight="1" x14ac:dyDescent="0.35">
      <c r="A347" s="1" t="s">
        <v>7</v>
      </c>
      <c r="B347" s="1" t="s">
        <v>7</v>
      </c>
      <c r="C347" s="9" t="s">
        <v>15</v>
      </c>
      <c r="D347" s="9" t="s">
        <v>7</v>
      </c>
      <c r="E347" s="9" t="s">
        <v>53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P347" s="9">
        <v>0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  <c r="Z347" s="9">
        <v>0</v>
      </c>
      <c r="AA347" s="9">
        <v>0</v>
      </c>
      <c r="AB347" s="9">
        <v>0</v>
      </c>
      <c r="AC347" s="9">
        <v>0</v>
      </c>
      <c r="AD347" s="9">
        <v>0</v>
      </c>
      <c r="AE347" s="9">
        <v>0</v>
      </c>
      <c r="AF347" s="9">
        <v>0</v>
      </c>
      <c r="AG347" s="9">
        <v>0</v>
      </c>
      <c r="AH347" s="9">
        <v>0.96543999999999996</v>
      </c>
      <c r="AI347" s="9">
        <v>0</v>
      </c>
      <c r="AJ347" s="9">
        <v>0</v>
      </c>
      <c r="AL347" s="4" t="s">
        <v>29</v>
      </c>
      <c r="AM347" s="6" t="str" cm="1">
        <f t="array" ref="AM347">IFERROR((SUMPRODUCT(($B$323:$B$347=AM$321)*($F$320:$AJ$320="")*$F$323:$AJ$347)+IF(AM$321="P6",SUMPRODUCT(($F$320:$AJ$320="P6")*$F$323:$AJ$347),0))/(SUMPRODUCT(($B$323:$B$347=AM$321)*($F$320:$AJ$320=""))+IF(AM$321="P6",COUNTIF($F$320:$AJ$320,"P6")*ROWS($B$323:$B$347),0)),"")</f>
        <v/>
      </c>
      <c r="AN347" s="6" cm="1">
        <f t="array" ref="AN347">IFERROR((SUMPRODUCT(($B$323:$B$347=AN$321)*($F$320:$AJ$320="")*$F$323:$AJ$347)+IF(AN$321="P6",SUMPRODUCT(($F$320:$AJ$320="P6")*$F$323:$AJ$347),0))/(SUMPRODUCT(($B$323:$B$347=AN$321)*($F$320:$AJ$320=""))+IF(AN$321="P6",COUNTIF($F$320:$AJ$320,"P6")*ROWS($B$323:$B$347),0)),"")</f>
        <v>0.90576349206349116</v>
      </c>
      <c r="AO347" s="6" cm="1">
        <f t="array" ref="AO347">IFERROR((SUMPRODUCT(($B$323:$B$347=AO$321)*($F$320:$AJ$320="")*$F$323:$AJ$347)+IF(AO$321="P6",SUMPRODUCT(($F$320:$AJ$320="P6")*$F$323:$AJ$347),0))/(SUMPRODUCT(($B$323:$B$347=AO$321)*($F$320:$AJ$320=""))+IF(AO$321="P6",COUNTIF($F$320:$AJ$320,"P6")*ROWS($B$323:$B$347),0)),"")</f>
        <v>1.0728685034013614</v>
      </c>
      <c r="AP347" s="6" t="str" cm="1">
        <f t="array" ref="AP347">IFERROR((SUMPRODUCT(($B$323:$B$347=AP$321)*($F$320:$AJ$320="")*$F$323:$AJ$347)+IF(AP$321="P6",SUMPRODUCT(($F$320:$AJ$320="P6")*$F$323:$AJ$347),0))/(SUMPRODUCT(($B$323:$B$347=AP$321)*($F$320:$AJ$320=""))+IF(AP$321="P6",COUNTIF($F$320:$AJ$320,"P6")*ROWS($B$323:$B$347),0)),"")</f>
        <v/>
      </c>
      <c r="AQ347" s="6" t="str" cm="1">
        <f t="array" ref="AQ347">IFERROR((SUMPRODUCT(($B$323:$B$347=AQ$321)*($F$320:$AJ$320="")*$F$323:$AJ$347)+IF(AQ$321="P6",SUMPRODUCT(($F$320:$AJ$320="P6")*$F$323:$AJ$347),0))/(SUMPRODUCT(($B$323:$B$347=AQ$321)*($F$320:$AJ$320=""))+IF(AQ$321="P6",COUNTIF($F$320:$AJ$320,"P6")*ROWS($B$323:$B$347),0)),"")</f>
        <v/>
      </c>
      <c r="AR347" s="6" cm="1">
        <f t="array" ref="AR347">IFERROR((SUMPRODUCT(($B$323:$B$347=AR$321)*($F$320:$AJ$320="")*$F$323:$AJ$347)+IF(AR$321="P6",SUMPRODUCT(($F$320:$AJ$320="P6")*$F$323:$AJ$347),0))/(SUMPRODUCT(($B$323:$B$347=AR$321)*($F$320:$AJ$320=""))+IF(AR$321="P6",COUNTIF($F$320:$AJ$320,"P6")*ROWS($B$323:$B$347),0)),"")</f>
        <v>0.93053195899772201</v>
      </c>
    </row>
    <row r="351" spans="1:44" ht="14.25" customHeight="1" x14ac:dyDescent="0.35">
      <c r="A351" s="15" t="s">
        <v>244</v>
      </c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</row>
    <row r="352" spans="1:44" ht="14.25" customHeight="1" x14ac:dyDescent="0.3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</row>
    <row r="353" spans="1:44" ht="14.25" customHeight="1" x14ac:dyDescent="0.35">
      <c r="AL353" s="10"/>
      <c r="AM353" s="10"/>
      <c r="AN353" s="10"/>
      <c r="AO353" s="10"/>
      <c r="AP353" s="10"/>
      <c r="AQ353" s="10"/>
      <c r="AR353" s="10"/>
    </row>
    <row r="354" spans="1:44" ht="14.25" customHeight="1" x14ac:dyDescent="0.35">
      <c r="F354" s="1" t="str">
        <f>IF(OR(F356="S",F356="D",F357=DATE(2023,11,1)),"P3","")</f>
        <v>P3</v>
      </c>
      <c r="G354" s="1" t="str">
        <f t="shared" ref="G354:AI354" si="35">IF(OR(G356="S",G356="D",G357=DATE(2023,11,1)),"P3","")</f>
        <v/>
      </c>
      <c r="H354" s="1" t="str">
        <f t="shared" si="35"/>
        <v/>
      </c>
      <c r="I354" s="1" t="str">
        <f t="shared" si="35"/>
        <v>P3</v>
      </c>
      <c r="J354" s="1" t="str">
        <f t="shared" si="35"/>
        <v>P3</v>
      </c>
      <c r="K354" s="1" t="str">
        <f t="shared" si="35"/>
        <v/>
      </c>
      <c r="L354" s="1" t="str">
        <f t="shared" si="35"/>
        <v/>
      </c>
      <c r="M354" s="1" t="str">
        <f t="shared" si="35"/>
        <v/>
      </c>
      <c r="N354" s="1" t="str">
        <f t="shared" si="35"/>
        <v/>
      </c>
      <c r="O354" s="1" t="str">
        <f t="shared" si="35"/>
        <v/>
      </c>
      <c r="P354" s="1" t="str">
        <f t="shared" si="35"/>
        <v>P3</v>
      </c>
      <c r="Q354" s="1" t="str">
        <f t="shared" si="35"/>
        <v>P3</v>
      </c>
      <c r="R354" s="1" t="str">
        <f t="shared" si="35"/>
        <v/>
      </c>
      <c r="S354" s="1" t="str">
        <f t="shared" si="35"/>
        <v/>
      </c>
      <c r="T354" s="1" t="str">
        <f t="shared" si="35"/>
        <v/>
      </c>
      <c r="U354" s="1" t="str">
        <f t="shared" si="35"/>
        <v/>
      </c>
      <c r="V354" s="1" t="str">
        <f t="shared" si="35"/>
        <v/>
      </c>
      <c r="W354" s="1" t="str">
        <f t="shared" si="35"/>
        <v>P3</v>
      </c>
      <c r="X354" s="1" t="str">
        <f t="shared" si="35"/>
        <v>P3</v>
      </c>
      <c r="Y354" s="1" t="str">
        <f t="shared" si="35"/>
        <v/>
      </c>
      <c r="Z354" s="1" t="str">
        <f t="shared" si="35"/>
        <v/>
      </c>
      <c r="AA354" s="1" t="str">
        <f t="shared" si="35"/>
        <v/>
      </c>
      <c r="AB354" s="1" t="str">
        <f t="shared" si="35"/>
        <v/>
      </c>
      <c r="AC354" s="1" t="str">
        <f t="shared" si="35"/>
        <v/>
      </c>
      <c r="AD354" s="1" t="str">
        <f t="shared" si="35"/>
        <v>P3</v>
      </c>
      <c r="AE354" s="1" t="str">
        <f t="shared" si="35"/>
        <v>P3</v>
      </c>
      <c r="AF354" s="1" t="str">
        <f t="shared" si="35"/>
        <v/>
      </c>
      <c r="AG354" s="1" t="str">
        <f t="shared" si="35"/>
        <v/>
      </c>
      <c r="AH354" s="1" t="str">
        <f t="shared" si="35"/>
        <v/>
      </c>
      <c r="AI354" s="1" t="str">
        <f t="shared" si="35"/>
        <v/>
      </c>
      <c r="AL354" s="10"/>
      <c r="AM354" s="10"/>
      <c r="AN354" s="10"/>
      <c r="AO354" s="10"/>
      <c r="AP354" s="10"/>
      <c r="AQ354" s="10"/>
      <c r="AR354" s="10"/>
    </row>
    <row r="355" spans="1:44" ht="14.25" customHeight="1" x14ac:dyDescent="0.35">
      <c r="F355" s="1" t="str">
        <f>IF(OR(F356="S",F356="D",F357=DATE(2023,11,1)),"P6","")</f>
        <v>P6</v>
      </c>
      <c r="G355" s="1" t="str">
        <f t="shared" ref="G355:AI355" si="36">IF(OR(G356="S",G356="D",G357=DATE(2023,11,1)),"P6","")</f>
        <v/>
      </c>
      <c r="H355" s="1" t="str">
        <f t="shared" si="36"/>
        <v/>
      </c>
      <c r="I355" s="1" t="str">
        <f t="shared" si="36"/>
        <v>P6</v>
      </c>
      <c r="J355" s="1" t="str">
        <f t="shared" si="36"/>
        <v>P6</v>
      </c>
      <c r="K355" s="1" t="str">
        <f t="shared" si="36"/>
        <v/>
      </c>
      <c r="L355" s="1" t="str">
        <f t="shared" si="36"/>
        <v/>
      </c>
      <c r="M355" s="1" t="str">
        <f t="shared" si="36"/>
        <v/>
      </c>
      <c r="N355" s="1" t="str">
        <f t="shared" si="36"/>
        <v/>
      </c>
      <c r="O355" s="1" t="str">
        <f t="shared" si="36"/>
        <v/>
      </c>
      <c r="P355" s="1" t="str">
        <f t="shared" si="36"/>
        <v>P6</v>
      </c>
      <c r="Q355" s="1" t="str">
        <f t="shared" si="36"/>
        <v>P6</v>
      </c>
      <c r="R355" s="1" t="str">
        <f t="shared" si="36"/>
        <v/>
      </c>
      <c r="S355" s="1" t="str">
        <f t="shared" si="36"/>
        <v/>
      </c>
      <c r="T355" s="1" t="str">
        <f t="shared" si="36"/>
        <v/>
      </c>
      <c r="U355" s="1" t="str">
        <f t="shared" si="36"/>
        <v/>
      </c>
      <c r="V355" s="1" t="str">
        <f t="shared" si="36"/>
        <v/>
      </c>
      <c r="W355" s="1" t="str">
        <f t="shared" si="36"/>
        <v>P6</v>
      </c>
      <c r="X355" s="1" t="str">
        <f t="shared" si="36"/>
        <v>P6</v>
      </c>
      <c r="Y355" s="1" t="str">
        <f t="shared" si="36"/>
        <v/>
      </c>
      <c r="Z355" s="1" t="str">
        <f t="shared" si="36"/>
        <v/>
      </c>
      <c r="AA355" s="1" t="str">
        <f t="shared" si="36"/>
        <v/>
      </c>
      <c r="AB355" s="1" t="str">
        <f t="shared" si="36"/>
        <v/>
      </c>
      <c r="AC355" s="1" t="str">
        <f t="shared" si="36"/>
        <v/>
      </c>
      <c r="AD355" s="1" t="str">
        <f t="shared" si="36"/>
        <v>P6</v>
      </c>
      <c r="AE355" s="1" t="str">
        <f t="shared" si="36"/>
        <v>P6</v>
      </c>
      <c r="AF355" s="1" t="str">
        <f t="shared" si="36"/>
        <v/>
      </c>
      <c r="AG355" s="1" t="str">
        <f t="shared" si="36"/>
        <v/>
      </c>
      <c r="AH355" s="1" t="str">
        <f t="shared" si="36"/>
        <v/>
      </c>
      <c r="AI355" s="1" t="str">
        <f t="shared" si="36"/>
        <v/>
      </c>
      <c r="AL355" s="14" t="s">
        <v>245</v>
      </c>
      <c r="AM355" s="14"/>
      <c r="AN355" s="14"/>
      <c r="AO355" s="14"/>
      <c r="AP355" s="14"/>
      <c r="AQ355" s="14"/>
      <c r="AR355" s="14"/>
    </row>
    <row r="356" spans="1:44" ht="14.25" customHeight="1" x14ac:dyDescent="0.35">
      <c r="F356" s="1" t="str">
        <f>CHOOSE(WEEKDAY(F357,2),"L","M","X","J","V","S","D")</f>
        <v>X</v>
      </c>
      <c r="G356" s="1" t="str">
        <f t="shared" ref="G356:AI356" si="37">CHOOSE(WEEKDAY(G357,2),"L","M","X","J","V","S","D")</f>
        <v>J</v>
      </c>
      <c r="H356" s="1" t="str">
        <f t="shared" si="37"/>
        <v>V</v>
      </c>
      <c r="I356" s="1" t="str">
        <f t="shared" si="37"/>
        <v>S</v>
      </c>
      <c r="J356" s="1" t="str">
        <f t="shared" si="37"/>
        <v>D</v>
      </c>
      <c r="K356" s="1" t="str">
        <f t="shared" si="37"/>
        <v>L</v>
      </c>
      <c r="L356" s="1" t="str">
        <f t="shared" si="37"/>
        <v>M</v>
      </c>
      <c r="M356" s="1" t="str">
        <f t="shared" si="37"/>
        <v>X</v>
      </c>
      <c r="N356" s="1" t="str">
        <f t="shared" si="37"/>
        <v>J</v>
      </c>
      <c r="O356" s="1" t="str">
        <f t="shared" si="37"/>
        <v>V</v>
      </c>
      <c r="P356" s="1" t="str">
        <f t="shared" si="37"/>
        <v>S</v>
      </c>
      <c r="Q356" s="1" t="str">
        <f t="shared" si="37"/>
        <v>D</v>
      </c>
      <c r="R356" s="1" t="str">
        <f t="shared" si="37"/>
        <v>L</v>
      </c>
      <c r="S356" s="1" t="str">
        <f t="shared" si="37"/>
        <v>M</v>
      </c>
      <c r="T356" s="1" t="str">
        <f t="shared" si="37"/>
        <v>X</v>
      </c>
      <c r="U356" s="1" t="str">
        <f t="shared" si="37"/>
        <v>J</v>
      </c>
      <c r="V356" s="1" t="str">
        <f t="shared" si="37"/>
        <v>V</v>
      </c>
      <c r="W356" s="1" t="str">
        <f t="shared" si="37"/>
        <v>S</v>
      </c>
      <c r="X356" s="1" t="str">
        <f t="shared" si="37"/>
        <v>D</v>
      </c>
      <c r="Y356" s="1" t="str">
        <f t="shared" si="37"/>
        <v>L</v>
      </c>
      <c r="Z356" s="1" t="str">
        <f t="shared" si="37"/>
        <v>M</v>
      </c>
      <c r="AA356" s="1" t="str">
        <f t="shared" si="37"/>
        <v>X</v>
      </c>
      <c r="AB356" s="1" t="str">
        <f t="shared" si="37"/>
        <v>J</v>
      </c>
      <c r="AC356" s="1" t="str">
        <f t="shared" si="37"/>
        <v>V</v>
      </c>
      <c r="AD356" s="1" t="str">
        <f t="shared" si="37"/>
        <v>S</v>
      </c>
      <c r="AE356" s="1" t="str">
        <f t="shared" si="37"/>
        <v>D</v>
      </c>
      <c r="AF356" s="1" t="str">
        <f t="shared" si="37"/>
        <v>L</v>
      </c>
      <c r="AG356" s="1" t="str">
        <f t="shared" si="37"/>
        <v>M</v>
      </c>
      <c r="AH356" s="1" t="str">
        <f t="shared" si="37"/>
        <v>X</v>
      </c>
      <c r="AI356" s="1" t="str">
        <f t="shared" si="37"/>
        <v>J</v>
      </c>
      <c r="AL356" s="4"/>
      <c r="AM356" s="4" t="s">
        <v>13</v>
      </c>
      <c r="AN356" s="4" t="s">
        <v>14</v>
      </c>
      <c r="AO356" s="4" t="s">
        <v>15</v>
      </c>
      <c r="AP356" s="4" t="s">
        <v>16</v>
      </c>
      <c r="AQ356" s="4" t="s">
        <v>17</v>
      </c>
      <c r="AR356" s="4" t="s">
        <v>7</v>
      </c>
    </row>
    <row r="357" spans="1:44" ht="14.25" customHeight="1" x14ac:dyDescent="0.35">
      <c r="A357" s="3" t="s">
        <v>76</v>
      </c>
      <c r="B357" s="3" t="s">
        <v>77</v>
      </c>
      <c r="C357" s="3" t="s">
        <v>75</v>
      </c>
      <c r="D357" s="3" t="s">
        <v>74</v>
      </c>
      <c r="F357" s="8">
        <v>45231</v>
      </c>
      <c r="G357" s="8">
        <v>45232</v>
      </c>
      <c r="H357" s="8">
        <v>45233</v>
      </c>
      <c r="I357" s="8">
        <v>45234</v>
      </c>
      <c r="J357" s="8">
        <v>45235</v>
      </c>
      <c r="K357" s="8">
        <v>45236</v>
      </c>
      <c r="L357" s="8">
        <v>45237</v>
      </c>
      <c r="M357" s="8">
        <v>45238</v>
      </c>
      <c r="N357" s="8">
        <v>45239</v>
      </c>
      <c r="O357" s="8">
        <v>45240</v>
      </c>
      <c r="P357" s="8">
        <v>45241</v>
      </c>
      <c r="Q357" s="8">
        <v>45242</v>
      </c>
      <c r="R357" s="8">
        <v>45243</v>
      </c>
      <c r="S357" s="8">
        <v>45244</v>
      </c>
      <c r="T357" s="8">
        <v>45245</v>
      </c>
      <c r="U357" s="8">
        <v>45246</v>
      </c>
      <c r="V357" s="8">
        <v>45247</v>
      </c>
      <c r="W357" s="8">
        <v>45248</v>
      </c>
      <c r="X357" s="8">
        <v>45249</v>
      </c>
      <c r="Y357" s="8">
        <v>45250</v>
      </c>
      <c r="Z357" s="8">
        <v>45251</v>
      </c>
      <c r="AA357" s="8">
        <v>45252</v>
      </c>
      <c r="AB357" s="8">
        <v>45253</v>
      </c>
      <c r="AC357" s="8">
        <v>45254</v>
      </c>
      <c r="AD357" s="8">
        <v>45255</v>
      </c>
      <c r="AE357" s="8">
        <v>45256</v>
      </c>
      <c r="AF357" s="8">
        <v>45257</v>
      </c>
      <c r="AG357" s="8">
        <v>45258</v>
      </c>
      <c r="AH357" s="8">
        <v>45259</v>
      </c>
      <c r="AI357" s="8">
        <v>45260</v>
      </c>
      <c r="AL357" s="4" t="s">
        <v>19</v>
      </c>
      <c r="AM357" s="6" cm="1">
        <f t="array" ref="AM357">IFERROR((SUMPRODUCT(($C$358:$C$381=AM$356)*($F$354:$AI$354="")*$F$358:$AI$381)+IF(AM$356="P3",SUMPRODUCT(($F$354:$AI$354="P3")*$F$358:$AI$381),0))/(SUMPRODUCT(($C$358:$C$381=AM$356)*($F$354:$AI$354=""))+IF(AM$356="P3",COUNTIF($F$354:$AI$354,"P3")*ROWS($C$358:$C$381),0)),"")</f>
        <v>1.0402412499999996</v>
      </c>
      <c r="AN357" s="6" cm="1">
        <f t="array" ref="AN357">IFERROR((SUMPRODUCT(($C$358:$C$381=AN$356)*($F$354:$AI$354="")*$F$358:$AI$381)+IF(AN$356="P3",SUMPRODUCT(($F$354:$AI$354="P3")*$F$358:$AI$381),0))/(SUMPRODUCT(($C$358:$C$381=AN$356)*($F$354:$AI$354=""))+IF(AN$356="P3",COUNTIF($F$354:$AI$354,"P3")*ROWS($C$358:$C$381),0)),"")</f>
        <v>1.109967440476191</v>
      </c>
      <c r="AO357" s="6" cm="1">
        <f t="array" ref="AO357">IFERROR((SUMPRODUCT(($C$358:$C$381=AO$356)*($F$354:$AI$354="")*$F$358:$AI$381)+IF(AO$356="P3",SUMPRODUCT(($F$354:$AI$354="P3")*$F$358:$AI$381),0))/(SUMPRODUCT(($C$358:$C$381=AO$356)*($F$354:$AI$354=""))+IF(AO$356="P3",COUNTIF($F$354:$AI$354,"P3")*ROWS($C$358:$C$381),0)),"")</f>
        <v>1.1696211979166669</v>
      </c>
      <c r="AP357" s="6" t="str" cm="1">
        <f t="array" ref="AP357">IFERROR((SUMPRODUCT(($C$358:$C$381=AP$356)*($F$354:$AI$354="")*$F$358:$AI$381)+IF(AP$356="P3",SUMPRODUCT(($F$354:$AI$354="P3")*$F$358:$AI$381),0))/(SUMPRODUCT(($C$358:$C$381=AP$356)*($F$354:$AI$354=""))+IF(AP$356="P3",COUNTIF($F$354:$AI$354,"P3")*ROWS($C$358:$C$381),0)),"")</f>
        <v/>
      </c>
      <c r="AQ357" s="6" t="str" cm="1">
        <f t="array" ref="AQ357">IFERROR((SUMPRODUCT(($C$358:$C$381=AQ$356)*($F$354:$AI$354="")*$F$358:$AI$381)+IF(AQ$356="P3",SUMPRODUCT(($F$354:$AI$354="P3")*$F$358:$AI$381),0))/(SUMPRODUCT(($C$358:$C$381=AQ$356)*($F$354:$AI$354=""))+IF(AQ$356="P3",COUNTIF($F$354:$AI$354,"P3")*ROWS($C$358:$C$381),0)),"")</f>
        <v/>
      </c>
      <c r="AR357" s="6" t="str" cm="1">
        <f t="array" ref="AR357">IFERROR((SUMPRODUCT(($C$358:$C$381=AR$356)*($F$354:$AI$354="")*$F$358:$AI$381)+IF(AR$356="P3",SUMPRODUCT(($F$354:$AI$354="P3")*$F$358:$AI$381),0))/(SUMPRODUCT(($C$358:$C$381=AR$356)*($F$354:$AI$354=""))+IF(AR$356="P3",COUNTIF($F$354:$AI$354,"P3")*ROWS($C$358:$C$381),0)),"")</f>
        <v/>
      </c>
    </row>
    <row r="358" spans="1:44" ht="14.25" customHeight="1" x14ac:dyDescent="0.35">
      <c r="A358" s="1" t="s">
        <v>7</v>
      </c>
      <c r="B358" s="1" t="s">
        <v>7</v>
      </c>
      <c r="C358" s="1" t="s">
        <v>15</v>
      </c>
      <c r="D358" s="1" t="s">
        <v>7</v>
      </c>
      <c r="E358" s="1" t="s">
        <v>8</v>
      </c>
      <c r="F358" s="1">
        <v>1.0656000000000001</v>
      </c>
      <c r="G358" s="1">
        <v>1.1706799999999999</v>
      </c>
      <c r="H358" s="1">
        <v>1.13849</v>
      </c>
      <c r="I358" s="1">
        <v>1.1934800000000001</v>
      </c>
      <c r="J358" s="1">
        <v>1.2562599999999999</v>
      </c>
      <c r="K358" s="1">
        <v>1.2433000000000001</v>
      </c>
      <c r="L358" s="1">
        <v>1.2024699999999999</v>
      </c>
      <c r="M358" s="1">
        <v>1.1928700000000001</v>
      </c>
      <c r="N358" s="1">
        <v>1.1706799999999999</v>
      </c>
      <c r="O358" s="1">
        <v>1.13849</v>
      </c>
      <c r="P358" s="1">
        <v>1.1934800000000001</v>
      </c>
      <c r="Q358" s="1">
        <v>1.2562599999999999</v>
      </c>
      <c r="R358" s="1">
        <v>1.2433000000000001</v>
      </c>
      <c r="S358" s="1">
        <v>1.2024699999999999</v>
      </c>
      <c r="T358" s="1">
        <v>1.1928700000000001</v>
      </c>
      <c r="U358" s="1">
        <v>1.1706799999999999</v>
      </c>
      <c r="V358" s="1">
        <v>1.13849</v>
      </c>
      <c r="W358" s="1">
        <v>1.1934800000000001</v>
      </c>
      <c r="X358" s="1">
        <v>1.2562599999999999</v>
      </c>
      <c r="Y358" s="1">
        <v>1.2433000000000001</v>
      </c>
      <c r="Z358" s="1">
        <v>1.2024699999999999</v>
      </c>
      <c r="AA358" s="1">
        <v>1.1928700000000001</v>
      </c>
      <c r="AB358" s="1">
        <v>1.1706799999999999</v>
      </c>
      <c r="AC358" s="1">
        <v>1.13849</v>
      </c>
      <c r="AD358" s="1">
        <v>1.1934800000000001</v>
      </c>
      <c r="AE358" s="1">
        <v>1.2562599999999999</v>
      </c>
      <c r="AF358" s="1">
        <v>1.2433000000000001</v>
      </c>
      <c r="AG358" s="1">
        <v>1.2024699999999999</v>
      </c>
      <c r="AH358" s="1">
        <v>1.1928700000000001</v>
      </c>
      <c r="AI358" s="1">
        <v>1.1706799999999999</v>
      </c>
      <c r="AL358" s="4" t="s">
        <v>21</v>
      </c>
      <c r="AM358" s="6" t="str" cm="1">
        <f t="array" ref="AM358">IFERROR((SUMPRODUCT(($D$358:$D$381=AM$356)*($F$355:$AI$355="")*$F$358:$AI$381)+IF(AM$356="P6",SUMPRODUCT(($F$355:$AI$355="P6")*$F$358:$AI$381),0))/(SUMPRODUCT(($D$358:$D$381=AM$356)*($F$355:$AI$355=""))+IF(AM$356="P6",COUNTIF($F$355:$AI$355,"P6")*ROWS($D$358:$D$381),0)),"")</f>
        <v/>
      </c>
      <c r="AN358" s="6" cm="1">
        <f t="array" ref="AN358">IFERROR((SUMPRODUCT(($D$358:$D$381=AN$356)*($F$355:$AI$355="")*$F$358:$AI$381)+IF(AN$356="P6",SUMPRODUCT(($F$355:$AI$355="P6")*$F$358:$AI$381),0))/(SUMPRODUCT(($D$358:$D$381=AN$356)*($F$355:$AI$355=""))+IF(AN$356="P6",COUNTIF($F$355:$AI$355,"P6")*ROWS($D$358:$D$381),0)),"")</f>
        <v>1.0383859788359793</v>
      </c>
      <c r="AO358" s="6" cm="1">
        <f t="array" ref="AO358">IFERROR((SUMPRODUCT(($D$358:$D$381=AO$356)*($F$355:$AI$355="")*$F$358:$AI$381)+IF(AO$356="P6",SUMPRODUCT(($F$355:$AI$355="P6")*$F$358:$AI$381),0))/(SUMPRODUCT(($D$358:$D$381=AO$356)*($F$355:$AI$355=""))+IF(AO$356="P6",COUNTIF($F$355:$AI$355,"P6")*ROWS($D$358:$D$381),0)),"")</f>
        <v>1.1223136734693882</v>
      </c>
      <c r="AP358" s="6" t="str" cm="1">
        <f t="array" ref="AP358">IFERROR((SUMPRODUCT(($D$358:$D$381=AP$356)*($F$355:$AI$355="")*$F$358:$AI$381)+IF(AP$356="P6",SUMPRODUCT(($F$355:$AI$355="P6")*$F$358:$AI$381),0))/(SUMPRODUCT(($D$358:$D$381=AP$356)*($F$355:$AI$355=""))+IF(AP$356="P6",COUNTIF($F$355:$AI$355,"P6")*ROWS($D$358:$D$381),0)),"")</f>
        <v/>
      </c>
      <c r="AQ358" s="6" t="str" cm="1">
        <f t="array" ref="AQ358">IFERROR((SUMPRODUCT(($D$358:$D$381=AQ$356)*($F$355:$AI$355="")*$F$358:$AI$381)+IF(AQ$356="P6",SUMPRODUCT(($F$355:$AI$355="P6")*$F$358:$AI$381),0))/(SUMPRODUCT(($D$358:$D$381=AQ$356)*($F$355:$AI$355=""))+IF(AQ$356="P6",COUNTIF($F$355:$AI$355,"P6")*ROWS($D$358:$D$381),0)),"")</f>
        <v/>
      </c>
      <c r="AR358" s="6" cm="1">
        <f t="array" ref="AR358">IFERROR((SUMPRODUCT(($D$358:$D$381=AR$356)*($F$355:$AI$355="")*$F$358:$AI$381)+IF(AR$356="P6",SUMPRODUCT(($F$355:$AI$355="P6")*$F$358:$AI$381),0))/(SUMPRODUCT(($D$358:$D$381=AR$356)*($F$355:$AI$355=""))+IF(AR$356="P6",COUNTIF($F$355:$AI$355,"P6")*ROWS($D$358:$D$381),0)),"")</f>
        <v>1.1696211979166669</v>
      </c>
    </row>
    <row r="359" spans="1:44" ht="14.25" customHeight="1" x14ac:dyDescent="0.35">
      <c r="A359" s="1" t="s">
        <v>7</v>
      </c>
      <c r="B359" s="1" t="s">
        <v>7</v>
      </c>
      <c r="C359" s="1" t="s">
        <v>15</v>
      </c>
      <c r="D359" s="1" t="s">
        <v>7</v>
      </c>
      <c r="E359" s="1" t="s">
        <v>9</v>
      </c>
      <c r="F359" s="1">
        <v>1.12659</v>
      </c>
      <c r="G359" s="1">
        <v>1.2219899999999999</v>
      </c>
      <c r="H359" s="1">
        <v>1.20139</v>
      </c>
      <c r="I359" s="1">
        <v>1.25082</v>
      </c>
      <c r="J359" s="1">
        <v>1.29349</v>
      </c>
      <c r="K359" s="1">
        <v>1.3037099999999999</v>
      </c>
      <c r="L359" s="1">
        <v>1.2469300000000001</v>
      </c>
      <c r="M359" s="1">
        <v>1.2423900000000001</v>
      </c>
      <c r="N359" s="1">
        <v>1.2219899999999999</v>
      </c>
      <c r="O359" s="1">
        <v>1.20139</v>
      </c>
      <c r="P359" s="1">
        <v>1.25082</v>
      </c>
      <c r="Q359" s="1">
        <v>1.29349</v>
      </c>
      <c r="R359" s="1">
        <v>1.3037099999999999</v>
      </c>
      <c r="S359" s="1">
        <v>1.2469300000000001</v>
      </c>
      <c r="T359" s="1">
        <v>1.2423900000000001</v>
      </c>
      <c r="U359" s="1">
        <v>1.2219899999999999</v>
      </c>
      <c r="V359" s="1">
        <v>1.20139</v>
      </c>
      <c r="W359" s="1">
        <v>1.25082</v>
      </c>
      <c r="X359" s="1">
        <v>1.29349</v>
      </c>
      <c r="Y359" s="1">
        <v>1.3037099999999999</v>
      </c>
      <c r="Z359" s="1">
        <v>1.2469300000000001</v>
      </c>
      <c r="AA359" s="1">
        <v>1.2423900000000001</v>
      </c>
      <c r="AB359" s="1">
        <v>1.2219899999999999</v>
      </c>
      <c r="AC359" s="1">
        <v>1.20139</v>
      </c>
      <c r="AD359" s="1">
        <v>1.25082</v>
      </c>
      <c r="AE359" s="1">
        <v>1.29349</v>
      </c>
      <c r="AF359" s="1">
        <v>1.3037099999999999</v>
      </c>
      <c r="AG359" s="1">
        <v>1.2469300000000001</v>
      </c>
      <c r="AH359" s="1">
        <v>1.2423900000000001</v>
      </c>
      <c r="AI359" s="1">
        <v>1.2219899999999999</v>
      </c>
      <c r="AL359" s="4" t="s">
        <v>23</v>
      </c>
      <c r="AM359" s="6" t="str" cm="1">
        <f t="array" ref="AM359">IFERROR((SUMPRODUCT(($D$358:$D$381=AM$356)*($F$355:$AI$355="")*$F$358:$AI$381)+IF(AM$356="P6",SUMPRODUCT(($F$355:$AI$355="P6")*$F$358:$AI$381),0))/(SUMPRODUCT(($D$358:$D$381=AM$356)*($F$355:$AI$355=""))+IF(AM$356="P6",COUNTIF($F$355:$AI$355,"P6")*ROWS($D$358:$D$381),0)),"")</f>
        <v/>
      </c>
      <c r="AN359" s="6" cm="1">
        <f t="array" ref="AN359">IFERROR((SUMPRODUCT(($D$358:$D$381=AN$356)*($F$355:$AI$355="")*$F$358:$AI$381)+IF(AN$356="P6",SUMPRODUCT(($F$355:$AI$355="P6")*$F$358:$AI$381),0))/(SUMPRODUCT(($D$358:$D$381=AN$356)*($F$355:$AI$355=""))+IF(AN$356="P6",COUNTIF($F$355:$AI$355,"P6")*ROWS($D$358:$D$381),0)),"")</f>
        <v>1.0383859788359793</v>
      </c>
      <c r="AO359" s="5" cm="1">
        <f t="array" ref="AO359">IFERROR((SUMPRODUCT(($D$358:$D$381=AO$356)*($F$355:$AI$355="")*$F$358:$AI$381)+IF(AO$356="P6",SUMPRODUCT(($F$355:$AI$355="P6")*$F$358:$AI$381),0))/(SUMPRODUCT(($D$358:$D$381=AO$356)*($F$355:$AI$355=""))+IF(AO$356="P6",COUNTIF($F$355:$AI$355,"P6")*ROWS($D$358:$D$381),0)),"")</f>
        <v>1.1223136734693882</v>
      </c>
      <c r="AP359" s="5" t="str" cm="1">
        <f t="array" ref="AP359">IFERROR((SUMPRODUCT(($D$358:$D$381=AP$356)*($F$355:$AI$355="")*$F$358:$AI$381)+IF(AP$356="P6",SUMPRODUCT(($F$355:$AI$355="P6")*$F$358:$AI$381),0))/(SUMPRODUCT(($D$358:$D$381=AP$356)*($F$355:$AI$355=""))+IF(AP$356="P6",COUNTIF($F$355:$AI$355,"P6")*ROWS($D$358:$D$381),0)),"")</f>
        <v/>
      </c>
      <c r="AQ359" s="5" t="str" cm="1">
        <f t="array" ref="AQ359">IFERROR((SUMPRODUCT(($D$358:$D$381=AQ$356)*($F$355:$AI$355="")*$F$358:$AI$381)+IF(AQ$356="P6",SUMPRODUCT(($F$355:$AI$355="P6")*$F$358:$AI$381),0))/(SUMPRODUCT(($D$358:$D$381=AQ$356)*($F$355:$AI$355=""))+IF(AQ$356="P6",COUNTIF($F$355:$AI$355,"P6")*ROWS($D$358:$D$381),0)),"")</f>
        <v/>
      </c>
      <c r="AR359" s="6" cm="1">
        <f t="array" ref="AR359">IFERROR((SUMPRODUCT(($D$358:$D$381=AR$356)*($F$355:$AI$355="")*$F$358:$AI$381)+IF(AR$356="P6",SUMPRODUCT(($F$355:$AI$355="P6")*$F$358:$AI$381),0))/(SUMPRODUCT(($D$358:$D$381=AR$356)*($F$355:$AI$355=""))+IF(AR$356="P6",COUNTIF($F$355:$AI$355,"P6")*ROWS($D$358:$D$381),0)),"")</f>
        <v>1.1696211979166669</v>
      </c>
    </row>
    <row r="360" spans="1:44" ht="14.25" customHeight="1" x14ac:dyDescent="0.35">
      <c r="A360" s="1" t="s">
        <v>7</v>
      </c>
      <c r="B360" s="1" t="s">
        <v>7</v>
      </c>
      <c r="C360" s="1" t="s">
        <v>15</v>
      </c>
      <c r="D360" s="1" t="s">
        <v>7</v>
      </c>
      <c r="E360" s="1" t="s">
        <v>10</v>
      </c>
      <c r="F360" s="1">
        <v>1.1599600000000001</v>
      </c>
      <c r="G360" s="1">
        <v>1.25319</v>
      </c>
      <c r="H360" s="1">
        <v>1.2233799999999999</v>
      </c>
      <c r="I360" s="1">
        <v>1.2642199999999999</v>
      </c>
      <c r="J360" s="1">
        <v>1.3343799999999999</v>
      </c>
      <c r="K360" s="1">
        <v>1.2814700000000001</v>
      </c>
      <c r="L360" s="1">
        <v>1.2743599999999999</v>
      </c>
      <c r="M360" s="1">
        <v>1.27034</v>
      </c>
      <c r="N360" s="1">
        <v>1.25319</v>
      </c>
      <c r="O360" s="1">
        <v>1.2233799999999999</v>
      </c>
      <c r="P360" s="1">
        <v>1.2642199999999999</v>
      </c>
      <c r="Q360" s="1">
        <v>1.3343799999999999</v>
      </c>
      <c r="R360" s="1">
        <v>1.2814700000000001</v>
      </c>
      <c r="S360" s="1">
        <v>1.2743599999999999</v>
      </c>
      <c r="T360" s="1">
        <v>1.27034</v>
      </c>
      <c r="U360" s="1">
        <v>1.25319</v>
      </c>
      <c r="V360" s="1">
        <v>1.2233799999999999</v>
      </c>
      <c r="W360" s="1">
        <v>1.2642199999999999</v>
      </c>
      <c r="X360" s="1">
        <v>1.3343799999999999</v>
      </c>
      <c r="Y360" s="1">
        <v>1.2814700000000001</v>
      </c>
      <c r="Z360" s="1">
        <v>1.2743599999999999</v>
      </c>
      <c r="AA360" s="1">
        <v>1.27034</v>
      </c>
      <c r="AB360" s="1">
        <v>1.25319</v>
      </c>
      <c r="AC360" s="1">
        <v>1.2233799999999999</v>
      </c>
      <c r="AD360" s="1">
        <v>1.2642199999999999</v>
      </c>
      <c r="AE360" s="1">
        <v>1.3343799999999999</v>
      </c>
      <c r="AF360" s="1">
        <v>1.2814700000000001</v>
      </c>
      <c r="AG360" s="1">
        <v>1.2743599999999999</v>
      </c>
      <c r="AH360" s="1">
        <v>1.27034</v>
      </c>
      <c r="AI360" s="1">
        <v>1.25319</v>
      </c>
      <c r="AL360" s="4" t="s">
        <v>25</v>
      </c>
      <c r="AM360" s="6" t="str" cm="1">
        <f t="array" ref="AM360">IFERROR((SUMPRODUCT(($D$358:$D$381=AM$356)*($F$355:$AI$355="")*$F$358:$AI$381)+IF(AM$356="P6",SUMPRODUCT(($F$355:$AI$355="P6")*$F$358:$AI$381),0))/(SUMPRODUCT(($D$358:$D$381=AM$356)*($F$355:$AI$355=""))+IF(AM$356="P6",COUNTIF($F$355:$AI$355,"P6")*ROWS($D$358:$D$381),0)),"")</f>
        <v/>
      </c>
      <c r="AN360" s="6" cm="1">
        <f t="array" ref="AN360">IFERROR((SUMPRODUCT(($D$358:$D$381=AN$356)*($F$355:$AI$355="")*$F$358:$AI$381)+IF(AN$356="P6",SUMPRODUCT(($F$355:$AI$355="P6")*$F$358:$AI$381),0))/(SUMPRODUCT(($D$358:$D$381=AN$356)*($F$355:$AI$355=""))+IF(AN$356="P6",COUNTIF($F$355:$AI$355,"P6")*ROWS($D$358:$D$381),0)),"")</f>
        <v>1.0383859788359793</v>
      </c>
      <c r="AO360" s="5" cm="1">
        <f t="array" ref="AO360">IFERROR((SUMPRODUCT(($D$358:$D$381=AO$356)*($F$355:$AI$355="")*$F$358:$AI$381)+IF(AO$356="P6",SUMPRODUCT(($F$355:$AI$355="P6")*$F$358:$AI$381),0))/(SUMPRODUCT(($D$358:$D$381=AO$356)*($F$355:$AI$355=""))+IF(AO$356="P6",COUNTIF($F$355:$AI$355,"P6")*ROWS($D$358:$D$381),0)),"")</f>
        <v>1.1223136734693882</v>
      </c>
      <c r="AP360" s="5" t="str" cm="1">
        <f t="array" ref="AP360">IFERROR((SUMPRODUCT(($D$358:$D$381=AP$356)*($F$355:$AI$355="")*$F$358:$AI$381)+IF(AP$356="P6",SUMPRODUCT(($F$355:$AI$355="P6")*$F$358:$AI$381),0))/(SUMPRODUCT(($D$358:$D$381=AP$356)*($F$355:$AI$355=""))+IF(AP$356="P6",COUNTIF($F$355:$AI$355,"P6")*ROWS($D$358:$D$381),0)),"")</f>
        <v/>
      </c>
      <c r="AQ360" s="5" t="str" cm="1">
        <f t="array" ref="AQ360">IFERROR((SUMPRODUCT(($D$358:$D$381=AQ$356)*($F$355:$AI$355="")*$F$358:$AI$381)+IF(AQ$356="P6",SUMPRODUCT(($F$355:$AI$355="P6")*$F$358:$AI$381),0))/(SUMPRODUCT(($D$358:$D$381=AQ$356)*($F$355:$AI$355=""))+IF(AQ$356="P6",COUNTIF($F$355:$AI$355,"P6")*ROWS($D$358:$D$381),0)),"")</f>
        <v/>
      </c>
      <c r="AR360" s="6" cm="1">
        <f t="array" ref="AR360">IFERROR((SUMPRODUCT(($D$358:$D$381=AR$356)*($F$355:$AI$355="")*$F$358:$AI$381)+IF(AR$356="P6",SUMPRODUCT(($F$355:$AI$355="P6")*$F$358:$AI$381),0))/(SUMPRODUCT(($D$358:$D$381=AR$356)*($F$355:$AI$355=""))+IF(AR$356="P6",COUNTIF($F$355:$AI$355,"P6")*ROWS($D$358:$D$381),0)),"")</f>
        <v>1.1696211979166669</v>
      </c>
    </row>
    <row r="361" spans="1:44" ht="14.25" customHeight="1" x14ac:dyDescent="0.35">
      <c r="A361" s="1" t="s">
        <v>7</v>
      </c>
      <c r="B361" s="1" t="s">
        <v>7</v>
      </c>
      <c r="C361" s="1" t="s">
        <v>15</v>
      </c>
      <c r="D361" s="1" t="s">
        <v>7</v>
      </c>
      <c r="E361" s="1" t="s">
        <v>11</v>
      </c>
      <c r="F361" s="1">
        <v>1.1944300000000001</v>
      </c>
      <c r="G361" s="1">
        <v>1.2663800000000001</v>
      </c>
      <c r="H361" s="1">
        <v>1.22637</v>
      </c>
      <c r="I361" s="1">
        <v>1.2722500000000001</v>
      </c>
      <c r="J361" s="1">
        <v>1.34921</v>
      </c>
      <c r="K361" s="1">
        <v>1.2877099999999999</v>
      </c>
      <c r="L361" s="1">
        <v>1.28712</v>
      </c>
      <c r="M361" s="1">
        <v>1.28582</v>
      </c>
      <c r="N361" s="1">
        <v>1.2663800000000001</v>
      </c>
      <c r="O361" s="1">
        <v>1.22637</v>
      </c>
      <c r="P361" s="1">
        <v>1.2722500000000001</v>
      </c>
      <c r="Q361" s="1">
        <v>1.34921</v>
      </c>
      <c r="R361" s="1">
        <v>1.2877099999999999</v>
      </c>
      <c r="S361" s="1">
        <v>1.28712</v>
      </c>
      <c r="T361" s="1">
        <v>1.28582</v>
      </c>
      <c r="U361" s="1">
        <v>1.2663800000000001</v>
      </c>
      <c r="V361" s="1">
        <v>1.22637</v>
      </c>
      <c r="W361" s="1">
        <v>1.2722500000000001</v>
      </c>
      <c r="X361" s="1">
        <v>1.34921</v>
      </c>
      <c r="Y361" s="1">
        <v>1.2877099999999999</v>
      </c>
      <c r="Z361" s="1">
        <v>1.28712</v>
      </c>
      <c r="AA361" s="1">
        <v>1.28582</v>
      </c>
      <c r="AB361" s="1">
        <v>1.2663800000000001</v>
      </c>
      <c r="AC361" s="1">
        <v>1.22637</v>
      </c>
      <c r="AD361" s="1">
        <v>1.2722500000000001</v>
      </c>
      <c r="AE361" s="1">
        <v>1.34921</v>
      </c>
      <c r="AF361" s="1">
        <v>1.2877099999999999</v>
      </c>
      <c r="AG361" s="1">
        <v>1.28712</v>
      </c>
      <c r="AH361" s="1">
        <v>1.28582</v>
      </c>
      <c r="AI361" s="1">
        <v>1.2663800000000001</v>
      </c>
      <c r="AL361" s="4" t="s">
        <v>27</v>
      </c>
      <c r="AM361" s="6" t="str" cm="1">
        <f t="array" ref="AM361">IFERROR((SUMPRODUCT(($D$358:$D$381=AM$356)*($F$355:$AI$355="")*$F$358:$AI$381)+IF(AM$356="P6",SUMPRODUCT(($F$355:$AI$355="P6")*$F$358:$AI$381),0))/(SUMPRODUCT(($D$358:$D$381=AM$356)*($F$355:$AI$355=""))+IF(AM$356="P6",COUNTIF($F$355:$AI$355,"P6")*ROWS($D$358:$D$381),0)),"")</f>
        <v/>
      </c>
      <c r="AN361" s="6" cm="1">
        <f t="array" ref="AN361">IFERROR((SUMPRODUCT(($D$358:$D$381=AN$356)*($F$355:$AI$355="")*$F$358:$AI$381)+IF(AN$356="P6",SUMPRODUCT(($F$355:$AI$355="P6")*$F$358:$AI$381),0))/(SUMPRODUCT(($D$358:$D$381=AN$356)*($F$355:$AI$355=""))+IF(AN$356="P6",COUNTIF($F$355:$AI$355,"P6")*ROWS($D$358:$D$381),0)),"")</f>
        <v>1.0383859788359793</v>
      </c>
      <c r="AO361" s="5" cm="1">
        <f t="array" ref="AO361">IFERROR((SUMPRODUCT(($D$358:$D$381=AO$356)*($F$355:$AI$355="")*$F$358:$AI$381)+IF(AO$356="P6",SUMPRODUCT(($F$355:$AI$355="P6")*$F$358:$AI$381),0))/(SUMPRODUCT(($D$358:$D$381=AO$356)*($F$355:$AI$355=""))+IF(AO$356="P6",COUNTIF($F$355:$AI$355,"P6")*ROWS($D$358:$D$381),0)),"")</f>
        <v>1.1223136734693882</v>
      </c>
      <c r="AP361" s="5" t="str" cm="1">
        <f t="array" ref="AP361">IFERROR((SUMPRODUCT(($D$358:$D$381=AP$356)*($F$355:$AI$355="")*$F$358:$AI$381)+IF(AP$356="P6",SUMPRODUCT(($F$355:$AI$355="P6")*$F$358:$AI$381),0))/(SUMPRODUCT(($D$358:$D$381=AP$356)*($F$355:$AI$355=""))+IF(AP$356="P6",COUNTIF($F$355:$AI$355,"P6")*ROWS($D$358:$D$381),0)),"")</f>
        <v/>
      </c>
      <c r="AQ361" s="5" t="str" cm="1">
        <f t="array" ref="AQ361">IFERROR((SUMPRODUCT(($D$358:$D$381=AQ$356)*($F$355:$AI$355="")*$F$358:$AI$381)+IF(AQ$356="P6",SUMPRODUCT(($F$355:$AI$355="P6")*$F$358:$AI$381),0))/(SUMPRODUCT(($D$358:$D$381=AQ$356)*($F$355:$AI$355=""))+IF(AQ$356="P6",COUNTIF($F$355:$AI$355,"P6")*ROWS($D$358:$D$381),0)),"")</f>
        <v/>
      </c>
      <c r="AR361" s="6" cm="1">
        <f t="array" ref="AR361">IFERROR((SUMPRODUCT(($D$358:$D$381=AR$356)*($F$355:$AI$355="")*$F$358:$AI$381)+IF(AR$356="P6",SUMPRODUCT(($F$355:$AI$355="P6")*$F$358:$AI$381),0))/(SUMPRODUCT(($D$358:$D$381=AR$356)*($F$355:$AI$355=""))+IF(AR$356="P6",COUNTIF($F$355:$AI$355,"P6")*ROWS($D$358:$D$381),0)),"")</f>
        <v>1.1696211979166669</v>
      </c>
    </row>
    <row r="362" spans="1:44" ht="14.25" customHeight="1" x14ac:dyDescent="0.35">
      <c r="A362" s="1" t="s">
        <v>7</v>
      </c>
      <c r="B362" s="1" t="s">
        <v>7</v>
      </c>
      <c r="C362" s="1" t="s">
        <v>15</v>
      </c>
      <c r="D362" s="1" t="s">
        <v>7</v>
      </c>
      <c r="E362" s="1" t="s">
        <v>12</v>
      </c>
      <c r="F362" s="1">
        <v>1.2011400000000001</v>
      </c>
      <c r="G362" s="1">
        <v>1.2587299999999999</v>
      </c>
      <c r="H362" s="1">
        <v>1.2342500000000001</v>
      </c>
      <c r="I362" s="1">
        <v>1.28796</v>
      </c>
      <c r="J362" s="1">
        <v>1.35263</v>
      </c>
      <c r="K362" s="1">
        <v>1.2768699999999999</v>
      </c>
      <c r="L362" s="1">
        <v>1.28742</v>
      </c>
      <c r="M362" s="1">
        <v>1.28542</v>
      </c>
      <c r="N362" s="1">
        <v>1.2587299999999999</v>
      </c>
      <c r="O362" s="1">
        <v>1.2342500000000001</v>
      </c>
      <c r="P362" s="1">
        <v>1.28796</v>
      </c>
      <c r="Q362" s="1">
        <v>1.35263</v>
      </c>
      <c r="R362" s="1">
        <v>1.2768699999999999</v>
      </c>
      <c r="S362" s="1">
        <v>1.28742</v>
      </c>
      <c r="T362" s="1">
        <v>1.28542</v>
      </c>
      <c r="U362" s="1">
        <v>1.2587299999999999</v>
      </c>
      <c r="V362" s="1">
        <v>1.2342500000000001</v>
      </c>
      <c r="W362" s="1">
        <v>1.28796</v>
      </c>
      <c r="X362" s="1">
        <v>1.35263</v>
      </c>
      <c r="Y362" s="1">
        <v>1.2768699999999999</v>
      </c>
      <c r="Z362" s="1">
        <v>1.28742</v>
      </c>
      <c r="AA362" s="1">
        <v>1.28542</v>
      </c>
      <c r="AB362" s="1">
        <v>1.2587299999999999</v>
      </c>
      <c r="AC362" s="1">
        <v>1.2342500000000001</v>
      </c>
      <c r="AD362" s="1">
        <v>1.28796</v>
      </c>
      <c r="AE362" s="1">
        <v>1.35263</v>
      </c>
      <c r="AF362" s="1">
        <v>1.2768699999999999</v>
      </c>
      <c r="AG362" s="1">
        <v>1.28742</v>
      </c>
      <c r="AH362" s="1">
        <v>1.28542</v>
      </c>
      <c r="AI362" s="1">
        <v>1.2587299999999999</v>
      </c>
      <c r="AL362" s="4" t="s">
        <v>29</v>
      </c>
      <c r="AM362" s="6" t="str" cm="1">
        <f t="array" ref="AM362">IFERROR((SUMPRODUCT(($D$358:$D$381=AM$356)*($F$355:$AI$355="")*$F$358:$AI$381)+IF(AM$356="P6",SUMPRODUCT(($F$355:$AI$355="P6")*$F$358:$AI$381),0))/(SUMPRODUCT(($D$358:$D$381=AM$356)*($F$355:$AI$355=""))+IF(AM$356="P6",COUNTIF($F$355:$AI$355,"P6")*ROWS($D$358:$D$381),0)),"")</f>
        <v/>
      </c>
      <c r="AN362" s="6" cm="1">
        <f t="array" ref="AN362">IFERROR((SUMPRODUCT(($D$358:$D$381=AN$356)*($F$355:$AI$355="")*$F$358:$AI$381)+IF(AN$356="P6",SUMPRODUCT(($F$355:$AI$355="P6")*$F$358:$AI$381),0))/(SUMPRODUCT(($D$358:$D$381=AN$356)*($F$355:$AI$355=""))+IF(AN$356="P6",COUNTIF($F$355:$AI$355,"P6")*ROWS($D$358:$D$381),0)),"")</f>
        <v>1.0383859788359793</v>
      </c>
      <c r="AO362" s="5" cm="1">
        <f t="array" ref="AO362">IFERROR((SUMPRODUCT(($D$358:$D$381=AO$356)*($F$355:$AI$355="")*$F$358:$AI$381)+IF(AO$356="P6",SUMPRODUCT(($F$355:$AI$355="P6")*$F$358:$AI$381),0))/(SUMPRODUCT(($D$358:$D$381=AO$356)*($F$355:$AI$355=""))+IF(AO$356="P6",COUNTIF($F$355:$AI$355,"P6")*ROWS($D$358:$D$381),0)),"")</f>
        <v>1.1223136734693882</v>
      </c>
      <c r="AP362" s="5" t="str" cm="1">
        <f t="array" ref="AP362">IFERROR((SUMPRODUCT(($D$358:$D$381=AP$356)*($F$355:$AI$355="")*$F$358:$AI$381)+IF(AP$356="P6",SUMPRODUCT(($F$355:$AI$355="P6")*$F$358:$AI$381),0))/(SUMPRODUCT(($D$358:$D$381=AP$356)*($F$355:$AI$355=""))+IF(AP$356="P6",COUNTIF($F$355:$AI$355,"P6")*ROWS($D$358:$D$381),0)),"")</f>
        <v/>
      </c>
      <c r="AQ362" s="5" t="str" cm="1">
        <f t="array" ref="AQ362">IFERROR((SUMPRODUCT(($D$358:$D$381=AQ$356)*($F$355:$AI$355="")*$F$358:$AI$381)+IF(AQ$356="P6",SUMPRODUCT(($F$355:$AI$355="P6")*$F$358:$AI$381),0))/(SUMPRODUCT(($D$358:$D$381=AQ$356)*($F$355:$AI$355=""))+IF(AQ$356="P6",COUNTIF($F$355:$AI$355,"P6")*ROWS($D$358:$D$381),0)),"")</f>
        <v/>
      </c>
      <c r="AR362" s="6" cm="1">
        <f t="array" ref="AR362">IFERROR((SUMPRODUCT(($D$358:$D$381=AR$356)*($F$355:$AI$355="")*$F$358:$AI$381)+IF(AR$356="P6",SUMPRODUCT(($F$355:$AI$355="P6")*$F$358:$AI$381),0))/(SUMPRODUCT(($D$358:$D$381=AR$356)*($F$355:$AI$355=""))+IF(AR$356="P6",COUNTIF($F$355:$AI$355,"P6")*ROWS($D$358:$D$381),0)),"")</f>
        <v>1.1696211979166669</v>
      </c>
    </row>
    <row r="363" spans="1:44" ht="14.25" customHeight="1" x14ac:dyDescent="0.35">
      <c r="A363" s="1" t="s">
        <v>7</v>
      </c>
      <c r="B363" s="1" t="s">
        <v>7</v>
      </c>
      <c r="C363" s="1" t="s">
        <v>15</v>
      </c>
      <c r="D363" s="1" t="s">
        <v>7</v>
      </c>
      <c r="E363" s="1" t="s">
        <v>18</v>
      </c>
      <c r="F363" s="1">
        <v>1.1771</v>
      </c>
      <c r="G363" s="1">
        <v>1.236</v>
      </c>
      <c r="H363" s="1">
        <v>1.19848</v>
      </c>
      <c r="I363" s="1">
        <v>1.2787500000000001</v>
      </c>
      <c r="J363" s="1">
        <v>1.34314</v>
      </c>
      <c r="K363" s="1">
        <v>1.2227399999999999</v>
      </c>
      <c r="L363" s="1">
        <v>1.2661500000000001</v>
      </c>
      <c r="M363" s="1">
        <v>1.2536099999999999</v>
      </c>
      <c r="N363" s="1">
        <v>1.236</v>
      </c>
      <c r="O363" s="1">
        <v>1.19848</v>
      </c>
      <c r="P363" s="1">
        <v>1.2787500000000001</v>
      </c>
      <c r="Q363" s="1">
        <v>1.34314</v>
      </c>
      <c r="R363" s="1">
        <v>1.2227399999999999</v>
      </c>
      <c r="S363" s="1">
        <v>1.2661500000000001</v>
      </c>
      <c r="T363" s="1">
        <v>1.2536099999999999</v>
      </c>
      <c r="U363" s="1">
        <v>1.236</v>
      </c>
      <c r="V363" s="1">
        <v>1.19848</v>
      </c>
      <c r="W363" s="1">
        <v>1.2787500000000001</v>
      </c>
      <c r="X363" s="1">
        <v>1.34314</v>
      </c>
      <c r="Y363" s="1">
        <v>1.2227399999999999</v>
      </c>
      <c r="Z363" s="1">
        <v>1.2661500000000001</v>
      </c>
      <c r="AA363" s="1">
        <v>1.2536099999999999</v>
      </c>
      <c r="AB363" s="1">
        <v>1.236</v>
      </c>
      <c r="AC363" s="1">
        <v>1.19848</v>
      </c>
      <c r="AD363" s="1">
        <v>1.2787500000000001</v>
      </c>
      <c r="AE363" s="1">
        <v>1.34314</v>
      </c>
      <c r="AF363" s="1">
        <v>1.2227399999999999</v>
      </c>
      <c r="AG363" s="1">
        <v>1.2661500000000001</v>
      </c>
      <c r="AH363" s="1">
        <v>1.2536099999999999</v>
      </c>
      <c r="AI363" s="1">
        <v>1.236</v>
      </c>
      <c r="AL363" s="10"/>
      <c r="AM363" s="10"/>
      <c r="AN363" s="10"/>
      <c r="AO363" s="10"/>
      <c r="AP363" s="10"/>
      <c r="AQ363" s="10"/>
      <c r="AR363" s="10"/>
    </row>
    <row r="364" spans="1:44" ht="14.25" customHeight="1" x14ac:dyDescent="0.35">
      <c r="A364" s="1" t="s">
        <v>7</v>
      </c>
      <c r="B364" s="1" t="s">
        <v>7</v>
      </c>
      <c r="C364" s="1" t="s">
        <v>15</v>
      </c>
      <c r="D364" s="1" t="s">
        <v>7</v>
      </c>
      <c r="E364" s="1" t="s">
        <v>20</v>
      </c>
      <c r="F364" s="1">
        <v>1.1450800000000001</v>
      </c>
      <c r="G364" s="1">
        <v>1.1423099999999999</v>
      </c>
      <c r="H364" s="1">
        <v>1.0963000000000001</v>
      </c>
      <c r="I364" s="1">
        <v>1.2452000000000001</v>
      </c>
      <c r="J364" s="1">
        <v>1.3159799999999999</v>
      </c>
      <c r="K364" s="1">
        <v>1.1534899999999999</v>
      </c>
      <c r="L364" s="1">
        <v>1.1765099999999999</v>
      </c>
      <c r="M364" s="1">
        <v>1.1578599999999999</v>
      </c>
      <c r="N364" s="1">
        <v>1.1423099999999999</v>
      </c>
      <c r="O364" s="1">
        <v>1.0963000000000001</v>
      </c>
      <c r="P364" s="1">
        <v>1.2452000000000001</v>
      </c>
      <c r="Q364" s="1">
        <v>1.3159799999999999</v>
      </c>
      <c r="R364" s="1">
        <v>1.1534899999999999</v>
      </c>
      <c r="S364" s="1">
        <v>1.1765099999999999</v>
      </c>
      <c r="T364" s="1">
        <v>1.1578599999999999</v>
      </c>
      <c r="U364" s="1">
        <v>1.1423099999999999</v>
      </c>
      <c r="V364" s="1">
        <v>1.0963000000000001</v>
      </c>
      <c r="W364" s="1">
        <v>1.2452000000000001</v>
      </c>
      <c r="X364" s="1">
        <v>1.3159799999999999</v>
      </c>
      <c r="Y364" s="1">
        <v>1.1534899999999999</v>
      </c>
      <c r="Z364" s="1">
        <v>1.1765099999999999</v>
      </c>
      <c r="AA364" s="1">
        <v>1.1578599999999999</v>
      </c>
      <c r="AB364" s="1">
        <v>1.1423099999999999</v>
      </c>
      <c r="AC364" s="1">
        <v>1.0963000000000001</v>
      </c>
      <c r="AD364" s="1">
        <v>1.2452000000000001</v>
      </c>
      <c r="AE364" s="1">
        <v>1.3159799999999999</v>
      </c>
      <c r="AF364" s="1">
        <v>1.1534899999999999</v>
      </c>
      <c r="AG364" s="1">
        <v>1.1765099999999999</v>
      </c>
      <c r="AH364" s="1">
        <v>1.1578599999999999</v>
      </c>
      <c r="AI364" s="1">
        <v>1.1423099999999999</v>
      </c>
      <c r="AL364" s="10"/>
      <c r="AM364" s="10"/>
      <c r="AN364" s="10"/>
      <c r="AO364" s="10"/>
      <c r="AP364" s="10"/>
      <c r="AQ364" s="10"/>
      <c r="AR364" s="10"/>
    </row>
    <row r="365" spans="1:44" ht="14.25" customHeight="1" x14ac:dyDescent="0.35">
      <c r="A365" s="1" t="s">
        <v>7</v>
      </c>
      <c r="B365" s="1" t="s">
        <v>7</v>
      </c>
      <c r="C365" s="1" t="s">
        <v>15</v>
      </c>
      <c r="D365" s="1" t="s">
        <v>7</v>
      </c>
      <c r="E365" s="1" t="s">
        <v>22</v>
      </c>
      <c r="F365" s="1">
        <v>1.1063700000000001</v>
      </c>
      <c r="G365" s="1">
        <v>1.0462</v>
      </c>
      <c r="H365" s="1">
        <v>1.0266</v>
      </c>
      <c r="I365" s="1">
        <v>1.1802600000000001</v>
      </c>
      <c r="J365" s="1">
        <v>1.2489699999999999</v>
      </c>
      <c r="K365" s="1">
        <v>1.03295</v>
      </c>
      <c r="L365" s="1">
        <v>1.0924199999999999</v>
      </c>
      <c r="M365" s="1">
        <v>1.05565</v>
      </c>
      <c r="N365" s="1">
        <v>1.0462</v>
      </c>
      <c r="O365" s="1">
        <v>1.0266</v>
      </c>
      <c r="P365" s="1">
        <v>1.1802600000000001</v>
      </c>
      <c r="Q365" s="1">
        <v>1.2489699999999999</v>
      </c>
      <c r="R365" s="1">
        <v>1.03295</v>
      </c>
      <c r="S365" s="1">
        <v>1.0924199999999999</v>
      </c>
      <c r="T365" s="1">
        <v>1.05565</v>
      </c>
      <c r="U365" s="1">
        <v>1.0462</v>
      </c>
      <c r="V365" s="1">
        <v>1.0266</v>
      </c>
      <c r="W365" s="1">
        <v>1.1802600000000001</v>
      </c>
      <c r="X365" s="1">
        <v>1.2489699999999999</v>
      </c>
      <c r="Y365" s="1">
        <v>1.03295</v>
      </c>
      <c r="Z365" s="1">
        <v>1.0924199999999999</v>
      </c>
      <c r="AA365" s="1">
        <v>1.05565</v>
      </c>
      <c r="AB365" s="1">
        <v>1.0462</v>
      </c>
      <c r="AC365" s="1">
        <v>1.0266</v>
      </c>
      <c r="AD365" s="1">
        <v>1.1802600000000001</v>
      </c>
      <c r="AE365" s="1">
        <v>1.2489699999999999</v>
      </c>
      <c r="AF365" s="1">
        <v>1.03295</v>
      </c>
      <c r="AG365" s="1">
        <v>1.0924199999999999</v>
      </c>
      <c r="AH365" s="1">
        <v>1.05565</v>
      </c>
      <c r="AI365" s="1">
        <v>1.0462</v>
      </c>
      <c r="AL365" s="14" t="s">
        <v>246</v>
      </c>
      <c r="AM365" s="14"/>
      <c r="AN365" s="14"/>
      <c r="AO365" s="14"/>
      <c r="AP365" s="14"/>
      <c r="AQ365" s="14"/>
      <c r="AR365" s="14"/>
    </row>
    <row r="366" spans="1:44" ht="14.25" customHeight="1" x14ac:dyDescent="0.35">
      <c r="A366" s="1" t="s">
        <v>15</v>
      </c>
      <c r="B366" s="1" t="s">
        <v>17</v>
      </c>
      <c r="C366" s="1" t="s">
        <v>14</v>
      </c>
      <c r="D366" s="1" t="s">
        <v>15</v>
      </c>
      <c r="E366" s="1" t="s">
        <v>24</v>
      </c>
      <c r="F366" s="1">
        <v>1.0414600000000001</v>
      </c>
      <c r="G366" s="1">
        <v>1.0859799999999999</v>
      </c>
      <c r="H366" s="1">
        <v>1.0875300000000001</v>
      </c>
      <c r="I366" s="1">
        <v>1.109</v>
      </c>
      <c r="J366" s="1">
        <v>1.1681900000000001</v>
      </c>
      <c r="K366" s="1">
        <v>1.0940700000000001</v>
      </c>
      <c r="L366" s="1">
        <v>1.1502300000000001</v>
      </c>
      <c r="M366" s="1">
        <v>1.1029199999999999</v>
      </c>
      <c r="N366" s="1">
        <v>1.0859799999999999</v>
      </c>
      <c r="O366" s="1">
        <v>1.0875300000000001</v>
      </c>
      <c r="P366" s="1">
        <v>1.109</v>
      </c>
      <c r="Q366" s="1">
        <v>1.1681900000000001</v>
      </c>
      <c r="R366" s="1">
        <v>1.0940700000000001</v>
      </c>
      <c r="S366" s="1">
        <v>1.1502300000000001</v>
      </c>
      <c r="T366" s="1">
        <v>1.1029199999999999</v>
      </c>
      <c r="U366" s="1">
        <v>1.0859799999999999</v>
      </c>
      <c r="V366" s="1">
        <v>1.0875300000000001</v>
      </c>
      <c r="W366" s="1">
        <v>1.109</v>
      </c>
      <c r="X366" s="1">
        <v>1.1681900000000001</v>
      </c>
      <c r="Y366" s="1">
        <v>1.0940700000000001</v>
      </c>
      <c r="Z366" s="1">
        <v>1.1502300000000001</v>
      </c>
      <c r="AA366" s="1">
        <v>1.1029199999999999</v>
      </c>
      <c r="AB366" s="1">
        <v>1.0859799999999999</v>
      </c>
      <c r="AC366" s="1">
        <v>1.0875300000000001</v>
      </c>
      <c r="AD366" s="1">
        <v>1.109</v>
      </c>
      <c r="AE366" s="1">
        <v>1.1681900000000001</v>
      </c>
      <c r="AF366" s="1">
        <v>1.0940700000000001</v>
      </c>
      <c r="AG366" s="1">
        <v>1.1502300000000001</v>
      </c>
      <c r="AH366" s="1">
        <v>1.1029199999999999</v>
      </c>
      <c r="AI366" s="1">
        <v>1.0859799999999999</v>
      </c>
      <c r="AL366" s="4"/>
      <c r="AM366" s="4" t="s">
        <v>13</v>
      </c>
      <c r="AN366" s="4" t="s">
        <v>14</v>
      </c>
      <c r="AO366" s="4" t="s">
        <v>15</v>
      </c>
      <c r="AP366" s="4" t="s">
        <v>16</v>
      </c>
      <c r="AQ366" s="4" t="s">
        <v>17</v>
      </c>
      <c r="AR366" s="4" t="s">
        <v>7</v>
      </c>
    </row>
    <row r="367" spans="1:44" ht="14.25" customHeight="1" x14ac:dyDescent="0.35">
      <c r="A367" s="1" t="s">
        <v>15</v>
      </c>
      <c r="B367" s="1" t="s">
        <v>17</v>
      </c>
      <c r="C367" s="1" t="s">
        <v>14</v>
      </c>
      <c r="D367" s="1" t="s">
        <v>14</v>
      </c>
      <c r="E367" s="1" t="s">
        <v>26</v>
      </c>
      <c r="F367" s="1">
        <v>0.95533000000000001</v>
      </c>
      <c r="G367" s="1">
        <v>1.0111399999999999</v>
      </c>
      <c r="H367" s="1">
        <v>1.03556</v>
      </c>
      <c r="I367" s="1">
        <v>1.02396</v>
      </c>
      <c r="J367" s="1">
        <v>1.04562</v>
      </c>
      <c r="K367" s="1">
        <v>0.99119999999999997</v>
      </c>
      <c r="L367" s="1">
        <v>1.06141</v>
      </c>
      <c r="M367" s="1">
        <v>1.0215099999999999</v>
      </c>
      <c r="N367" s="1">
        <v>1.0111399999999999</v>
      </c>
      <c r="O367" s="1">
        <v>1.03556</v>
      </c>
      <c r="P367" s="1">
        <v>1.02396</v>
      </c>
      <c r="Q367" s="1">
        <v>1.04562</v>
      </c>
      <c r="R367" s="1">
        <v>0.99119999999999997</v>
      </c>
      <c r="S367" s="1">
        <v>1.06141</v>
      </c>
      <c r="T367" s="1">
        <v>1.0215099999999999</v>
      </c>
      <c r="U367" s="1">
        <v>1.0111399999999999</v>
      </c>
      <c r="V367" s="1">
        <v>1.03556</v>
      </c>
      <c r="W367" s="1">
        <v>1.02396</v>
      </c>
      <c r="X367" s="1">
        <v>1.04562</v>
      </c>
      <c r="Y367" s="1">
        <v>0.99119999999999997</v>
      </c>
      <c r="Z367" s="1">
        <v>1.06141</v>
      </c>
      <c r="AA367" s="1">
        <v>1.0215099999999999</v>
      </c>
      <c r="AB367" s="1">
        <v>1.0111399999999999</v>
      </c>
      <c r="AC367" s="1">
        <v>1.03556</v>
      </c>
      <c r="AD367" s="1">
        <v>1.02396</v>
      </c>
      <c r="AE367" s="1">
        <v>1.04562</v>
      </c>
      <c r="AF367" s="1">
        <v>0.99119999999999997</v>
      </c>
      <c r="AG367" s="1">
        <v>1.06141</v>
      </c>
      <c r="AH367" s="1">
        <v>1.0215099999999999</v>
      </c>
      <c r="AI367" s="1">
        <v>1.0111399999999999</v>
      </c>
      <c r="AL367" s="4" t="s">
        <v>19</v>
      </c>
      <c r="AM367" s="6" cm="1">
        <f t="array" ref="AM367">IFERROR((SUMPRODUCT(($C$358:$C$381=AM$356)*($F$354:$AI$354="")*$F$358:$AI$381)+IF(AM$356="P3",SUMPRODUCT(($F$354:$AI$354="P3")*$F$358:$AI$381),0))/(SUMPRODUCT(($C$358:$C$381=AM$356)*($F$354:$AI$354=""))+IF(AM$356="P3",COUNTIF($F$354:$AI$354,"P3")*ROWS($C$358:$C$381),0)),"")</f>
        <v>1.0402412499999996</v>
      </c>
      <c r="AN367" s="6" cm="1">
        <f t="array" ref="AN367">IFERROR((SUMPRODUCT(($C$358:$C$381=AN$356)*($F$354:$AI$354="")*$F$358:$AI$381)+IF(AN$356="P3",SUMPRODUCT(($F$354:$AI$354="P3")*$F$358:$AI$381),0))/(SUMPRODUCT(($C$358:$C$381=AN$356)*($F$354:$AI$354=""))+IF(AN$356="P3",COUNTIF($F$354:$AI$354,"P3")*ROWS($C$358:$C$381),0)),"")</f>
        <v>1.109967440476191</v>
      </c>
      <c r="AO367" s="6" cm="1">
        <f t="array" ref="AO367">IFERROR((SUMPRODUCT(($C$358:$C$381=AO$356)*($F$354:$AI$354="")*$F$358:$AI$381)+IF(AO$356="P3",SUMPRODUCT(($F$354:$AI$354="P3")*$F$358:$AI$381),0))/(SUMPRODUCT(($C$358:$C$381=AO$356)*($F$354:$AI$354=""))+IF(AO$356="P3",COUNTIF($F$354:$AI$354,"P3")*ROWS($C$358:$C$381),0)),"")</f>
        <v>1.1696211979166669</v>
      </c>
      <c r="AP367" s="6" t="str" cm="1">
        <f t="array" ref="AP367">IFERROR((SUMPRODUCT(($C$358:$C$381=AP$356)*($F$354:$AI$354="")*$F$358:$AI$381)+IF(AP$356="P3",SUMPRODUCT(($F$354:$AI$354="P3")*$F$358:$AI$381),0))/(SUMPRODUCT(($C$358:$C$381=AP$356)*($F$354:$AI$354=""))+IF(AP$356="P3",COUNTIF($F$354:$AI$354,"P3")*ROWS($C$358:$C$381),0)),"")</f>
        <v/>
      </c>
      <c r="AQ367" s="6" t="str" cm="1">
        <f t="array" ref="AQ367">IFERROR((SUMPRODUCT(($C$358:$C$381=AQ$356)*($F$354:$AI$354="")*$F$358:$AI$381)+IF(AQ$356="P3",SUMPRODUCT(($F$354:$AI$354="P3")*$F$358:$AI$381),0))/(SUMPRODUCT(($C$358:$C$381=AQ$356)*($F$354:$AI$354=""))+IF(AQ$356="P3",COUNTIF($F$354:$AI$354,"P3")*ROWS($C$358:$C$381),0)),"")</f>
        <v/>
      </c>
      <c r="AR367" s="6" t="str" cm="1">
        <f t="array" ref="AR367">IFERROR((SUMPRODUCT(($C$358:$C$381=AR$356)*($F$354:$AI$354="")*$F$358:$AI$381)+IF(AR$356="P3",SUMPRODUCT(($F$354:$AI$354="P3")*$F$358:$AI$381),0))/(SUMPRODUCT(($C$358:$C$381=AR$356)*($F$354:$AI$354=""))+IF(AR$356="P3",COUNTIF($F$354:$AI$354,"P3")*ROWS($C$358:$C$381),0)),"")</f>
        <v/>
      </c>
    </row>
    <row r="368" spans="1:44" ht="14.25" customHeight="1" x14ac:dyDescent="0.35">
      <c r="A368" s="1" t="s">
        <v>14</v>
      </c>
      <c r="B368" s="1" t="s">
        <v>16</v>
      </c>
      <c r="C368" s="1" t="s">
        <v>13</v>
      </c>
      <c r="D368" s="1" t="s">
        <v>14</v>
      </c>
      <c r="E368" s="1" t="s">
        <v>28</v>
      </c>
      <c r="F368" s="1">
        <v>0.89512999999999998</v>
      </c>
      <c r="G368" s="1">
        <v>0.98853000000000002</v>
      </c>
      <c r="H368" s="1">
        <v>1.0139100000000001</v>
      </c>
      <c r="I368" s="1">
        <v>1.00271</v>
      </c>
      <c r="J368" s="1">
        <v>1.0038199999999999</v>
      </c>
      <c r="K368" s="1">
        <v>0.98551</v>
      </c>
      <c r="L368" s="1">
        <v>1.0327599999999999</v>
      </c>
      <c r="M368" s="1">
        <v>0.97382000000000002</v>
      </c>
      <c r="N368" s="1">
        <v>0.98853000000000002</v>
      </c>
      <c r="O368" s="1">
        <v>1.0139100000000001</v>
      </c>
      <c r="P368" s="1">
        <v>1.00271</v>
      </c>
      <c r="Q368" s="1">
        <v>1.0038199999999999</v>
      </c>
      <c r="R368" s="1">
        <v>0.98551</v>
      </c>
      <c r="S368" s="1">
        <v>1.0327599999999999</v>
      </c>
      <c r="T368" s="1">
        <v>0.97382000000000002</v>
      </c>
      <c r="U368" s="1">
        <v>0.98853000000000002</v>
      </c>
      <c r="V368" s="1">
        <v>1.0139100000000001</v>
      </c>
      <c r="W368" s="1">
        <v>1.00271</v>
      </c>
      <c r="X368" s="1">
        <v>1.0038199999999999</v>
      </c>
      <c r="Y368" s="1">
        <v>0.98551</v>
      </c>
      <c r="Z368" s="1">
        <v>1.0327599999999999</v>
      </c>
      <c r="AA368" s="1">
        <v>0.97382000000000002</v>
      </c>
      <c r="AB368" s="1">
        <v>0.98853000000000002</v>
      </c>
      <c r="AC368" s="1">
        <v>1.0139100000000001</v>
      </c>
      <c r="AD368" s="1">
        <v>1.00271</v>
      </c>
      <c r="AE368" s="1">
        <v>1.0038199999999999</v>
      </c>
      <c r="AF368" s="1">
        <v>0.98551</v>
      </c>
      <c r="AG368" s="1">
        <v>1.0327599999999999</v>
      </c>
      <c r="AH368" s="1">
        <v>0.97382000000000002</v>
      </c>
      <c r="AI368" s="1">
        <v>0.98853000000000002</v>
      </c>
      <c r="AL368" s="4" t="s">
        <v>21</v>
      </c>
      <c r="AM368" s="6" t="str" cm="1">
        <f t="array" ref="AM368">IFERROR((SUMPRODUCT(($A$358:$A$381=AM$356)*($F$355:$AI$355="")*$F$358:$AI$381)+IF(AM$356="P6",SUMPRODUCT(($F$355:$AI$355="P6")*$F$358:$AI$381),0))/(SUMPRODUCT(($A$358:$A$381=AM$356)*($F$355:$AI$355=""))+IF(AM$356="P6",COUNTIF($F$355:$AI$355,"P6")*ROWS($A$358:$A$381),0)),"")</f>
        <v/>
      </c>
      <c r="AN368" s="6" cm="1">
        <f t="array" ref="AN368">IFERROR((SUMPRODUCT(($A$358:$A$381=AN$356)*($F$355:$AI$355="")*$F$358:$AI$381)+IF(AN$356="P6",SUMPRODUCT(($F$355:$AI$355="P6")*$F$358:$AI$381),0))/(SUMPRODUCT(($A$358:$A$381=AN$356)*($F$355:$AI$355=""))+IF(AN$356="P6",COUNTIF($F$355:$AI$355,"P6")*ROWS($A$358:$A$381),0)),"")</f>
        <v>1.0443694708994711</v>
      </c>
      <c r="AO368" s="6" cm="1">
        <f t="array" ref="AO368">IFERROR((SUMPRODUCT(($A$358:$A$381=AO$356)*($F$355:$AI$355="")*$F$358:$AI$381)+IF(AO$356="P6",SUMPRODUCT(($F$355:$AI$355="P6")*$F$358:$AI$381),0))/(SUMPRODUCT(($A$358:$A$381=AO$356)*($F$355:$AI$355=""))+IF(AO$356="P6",COUNTIF($F$355:$AI$355,"P6")*ROWS($A$358:$A$381),0)),"")</f>
        <v>1.1146206122448983</v>
      </c>
      <c r="AP368" s="6" t="str" cm="1">
        <f t="array" ref="AP368">IFERROR((SUMPRODUCT(($A$358:$A$381=AP$356)*($F$355:$AI$355="")*$F$358:$AI$381)+IF(AP$356="P6",SUMPRODUCT(($F$355:$AI$355="P6")*$F$358:$AI$381),0))/(SUMPRODUCT(($A$358:$A$381=AP$356)*($F$355:$AI$355=""))+IF(AP$356="P6",COUNTIF($F$355:$AI$355,"P6")*ROWS($A$358:$A$381),0)),"")</f>
        <v/>
      </c>
      <c r="AQ368" s="6" t="str" cm="1">
        <f t="array" ref="AQ368">IFERROR((SUMPRODUCT(($A$358:$A$381=AQ$356)*($F$355:$AI$355="")*$F$358:$AI$381)+IF(AQ$356="P6",SUMPRODUCT(($F$355:$AI$355="P6")*$F$358:$AI$381),0))/(SUMPRODUCT(($A$358:$A$381=AQ$356)*($F$355:$AI$355=""))+IF(AQ$356="P6",COUNTIF($F$355:$AI$355,"P6")*ROWS($A$358:$A$381),0)),"")</f>
        <v/>
      </c>
      <c r="AR368" s="6" cm="1">
        <f t="array" ref="AR368">IFERROR((SUMPRODUCT(($A$358:$A$381=AR$356)*($F$355:$AI$355="")*$F$358:$AI$381)+IF(AR$356="P6",SUMPRODUCT(($F$355:$AI$355="P6")*$F$358:$AI$381),0))/(SUMPRODUCT(($A$358:$A$381=AR$356)*($F$355:$AI$355=""))+IF(AR$356="P6",COUNTIF($F$355:$AI$355,"P6")*ROWS($A$358:$A$381),0)),"")</f>
        <v>1.1696211979166669</v>
      </c>
    </row>
    <row r="369" spans="1:44" ht="14.25" customHeight="1" x14ac:dyDescent="0.35">
      <c r="A369" s="1" t="s">
        <v>14</v>
      </c>
      <c r="B369" s="1" t="s">
        <v>16</v>
      </c>
      <c r="C369" s="1" t="s">
        <v>13</v>
      </c>
      <c r="D369" s="1" t="s">
        <v>14</v>
      </c>
      <c r="E369" s="1" t="s">
        <v>30</v>
      </c>
      <c r="F369" s="1">
        <v>0.87278999999999995</v>
      </c>
      <c r="G369" s="1">
        <v>0.99204000000000003</v>
      </c>
      <c r="H369" s="1">
        <v>1.0311900000000001</v>
      </c>
      <c r="I369" s="1">
        <v>1.00797</v>
      </c>
      <c r="J369" s="1">
        <v>1.01518</v>
      </c>
      <c r="K369" s="1">
        <v>0.96953999999999996</v>
      </c>
      <c r="L369" s="1">
        <v>1.04434</v>
      </c>
      <c r="M369" s="1">
        <v>0.98963000000000001</v>
      </c>
      <c r="N369" s="1">
        <v>0.99204000000000003</v>
      </c>
      <c r="O369" s="1">
        <v>1.0311900000000001</v>
      </c>
      <c r="P369" s="1">
        <v>1.00797</v>
      </c>
      <c r="Q369" s="1">
        <v>1.01518</v>
      </c>
      <c r="R369" s="1">
        <v>0.96953999999999996</v>
      </c>
      <c r="S369" s="1">
        <v>1.04434</v>
      </c>
      <c r="T369" s="1">
        <v>0.98963000000000001</v>
      </c>
      <c r="U369" s="1">
        <v>0.99204000000000003</v>
      </c>
      <c r="V369" s="1">
        <v>1.0311900000000001</v>
      </c>
      <c r="W369" s="1">
        <v>1.00797</v>
      </c>
      <c r="X369" s="1">
        <v>1.01518</v>
      </c>
      <c r="Y369" s="1">
        <v>0.96953999999999996</v>
      </c>
      <c r="Z369" s="1">
        <v>1.04434</v>
      </c>
      <c r="AA369" s="1">
        <v>0.98963000000000001</v>
      </c>
      <c r="AB369" s="1">
        <v>0.99204000000000003</v>
      </c>
      <c r="AC369" s="1">
        <v>1.0311900000000001</v>
      </c>
      <c r="AD369" s="1">
        <v>1.00797</v>
      </c>
      <c r="AE369" s="1">
        <v>1.01518</v>
      </c>
      <c r="AF369" s="1">
        <v>0.96953999999999996</v>
      </c>
      <c r="AG369" s="1">
        <v>1.04434</v>
      </c>
      <c r="AH369" s="1">
        <v>0.98963000000000001</v>
      </c>
      <c r="AI369" s="1">
        <v>0.99204000000000003</v>
      </c>
      <c r="AL369" s="4" t="s">
        <v>23</v>
      </c>
      <c r="AM369" s="6" t="str" cm="1">
        <f t="array" ref="AM369">IFERROR((SUMPRODUCT(($A$358:$A$381=AM$356)*($F$355:$AI$355="")*$F$358:$AI$381)+IF(AM$356="P6",SUMPRODUCT(($F$355:$AI$355="P6")*$F$358:$AI$381),0))/(SUMPRODUCT(($A$358:$A$381=AM$356)*($F$355:$AI$355=""))+IF(AM$356="P6",COUNTIF($F$355:$AI$355,"P6")*ROWS($A$358:$A$381),0)),"")</f>
        <v/>
      </c>
      <c r="AN369" s="6" cm="1">
        <f t="array" ref="AN369">IFERROR((SUMPRODUCT(($A$358:$A$381=AN$356)*($F$355:$AI$355="")*$F$358:$AI$381)+IF(AN$356="P6",SUMPRODUCT(($F$355:$AI$355="P6")*$F$358:$AI$381),0))/(SUMPRODUCT(($A$358:$A$381=AN$356)*($F$355:$AI$355=""))+IF(AN$356="P6",COUNTIF($F$355:$AI$355,"P6")*ROWS($A$358:$A$381),0)),"")</f>
        <v>1.0443694708994711</v>
      </c>
      <c r="AO369" s="6" cm="1">
        <f t="array" ref="AO369">IFERROR((SUMPRODUCT(($A$358:$A$381=AO$356)*($F$355:$AI$355="")*$F$358:$AI$381)+IF(AO$356="P6",SUMPRODUCT(($F$355:$AI$355="P6")*$F$358:$AI$381),0))/(SUMPRODUCT(($A$358:$A$381=AO$356)*($F$355:$AI$355=""))+IF(AO$356="P6",COUNTIF($F$355:$AI$355,"P6")*ROWS($A$358:$A$381),0)),"")</f>
        <v>1.1146206122448983</v>
      </c>
      <c r="AP369" s="6" t="str" cm="1">
        <f t="array" ref="AP369">IFERROR((SUMPRODUCT(($A$358:$A$381=AP$356)*($F$355:$AI$355="")*$F$358:$AI$381)+IF(AP$356="P6",SUMPRODUCT(($F$355:$AI$355="P6")*$F$358:$AI$381),0))/(SUMPRODUCT(($A$358:$A$381=AP$356)*($F$355:$AI$355=""))+IF(AP$356="P6",COUNTIF($F$355:$AI$355,"P6")*ROWS($A$358:$A$381),0)),"")</f>
        <v/>
      </c>
      <c r="AQ369" s="6" t="str" cm="1">
        <f t="array" ref="AQ369">IFERROR((SUMPRODUCT(($A$358:$A$381=AQ$356)*($F$355:$AI$355="")*$F$358:$AI$381)+IF(AQ$356="P6",SUMPRODUCT(($F$355:$AI$355="P6")*$F$358:$AI$381),0))/(SUMPRODUCT(($A$358:$A$381=AQ$356)*($F$355:$AI$355=""))+IF(AQ$356="P6",COUNTIF($F$355:$AI$355,"P6")*ROWS($A$358:$A$381),0)),"")</f>
        <v/>
      </c>
      <c r="AR369" s="6" cm="1">
        <f t="array" ref="AR369">IFERROR((SUMPRODUCT(($A$358:$A$381=AR$356)*($F$355:$AI$355="")*$F$358:$AI$381)+IF(AR$356="P6",SUMPRODUCT(($F$355:$AI$355="P6")*$F$358:$AI$381),0))/(SUMPRODUCT(($A$358:$A$381=AR$356)*($F$355:$AI$355=""))+IF(AR$356="P6",COUNTIF($F$355:$AI$355,"P6")*ROWS($A$358:$A$381),0)),"")</f>
        <v>1.1696211979166669</v>
      </c>
    </row>
    <row r="370" spans="1:44" ht="14.25" customHeight="1" x14ac:dyDescent="0.35">
      <c r="A370" s="1" t="s">
        <v>14</v>
      </c>
      <c r="B370" s="1" t="s">
        <v>16</v>
      </c>
      <c r="C370" s="1" t="s">
        <v>13</v>
      </c>
      <c r="D370" s="1" t="s">
        <v>14</v>
      </c>
      <c r="E370" s="1" t="s">
        <v>31</v>
      </c>
      <c r="F370" s="1">
        <v>0.88312000000000002</v>
      </c>
      <c r="G370" s="1">
        <v>0.98675999999999997</v>
      </c>
      <c r="H370" s="1">
        <v>1.0451699999999999</v>
      </c>
      <c r="I370" s="1">
        <v>1.02427</v>
      </c>
      <c r="J370" s="1">
        <v>1.0097100000000001</v>
      </c>
      <c r="K370" s="1">
        <v>0.99385000000000001</v>
      </c>
      <c r="L370" s="1">
        <v>1.04277</v>
      </c>
      <c r="M370" s="1">
        <v>0.98370000000000002</v>
      </c>
      <c r="N370" s="1">
        <v>0.98675999999999997</v>
      </c>
      <c r="O370" s="1">
        <v>1.0451699999999999</v>
      </c>
      <c r="P370" s="1">
        <v>1.02427</v>
      </c>
      <c r="Q370" s="1">
        <v>1.0097100000000001</v>
      </c>
      <c r="R370" s="1">
        <v>0.99385000000000001</v>
      </c>
      <c r="S370" s="1">
        <v>1.04277</v>
      </c>
      <c r="T370" s="1">
        <v>0.98370000000000002</v>
      </c>
      <c r="U370" s="1">
        <v>0.98675999999999997</v>
      </c>
      <c r="V370" s="1">
        <v>1.0451699999999999</v>
      </c>
      <c r="W370" s="1">
        <v>1.02427</v>
      </c>
      <c r="X370" s="1">
        <v>1.0097100000000001</v>
      </c>
      <c r="Y370" s="1">
        <v>0.99385000000000001</v>
      </c>
      <c r="Z370" s="1">
        <v>1.04277</v>
      </c>
      <c r="AA370" s="1">
        <v>0.98370000000000002</v>
      </c>
      <c r="AB370" s="1">
        <v>0.98675999999999997</v>
      </c>
      <c r="AC370" s="1">
        <v>1.0451699999999999</v>
      </c>
      <c r="AD370" s="1">
        <v>1.02427</v>
      </c>
      <c r="AE370" s="1">
        <v>1.0097100000000001</v>
      </c>
      <c r="AF370" s="1">
        <v>0.99385000000000001</v>
      </c>
      <c r="AG370" s="1">
        <v>1.04277</v>
      </c>
      <c r="AH370" s="1">
        <v>0.98370000000000002</v>
      </c>
      <c r="AI370" s="1">
        <v>0.98675999999999997</v>
      </c>
      <c r="AL370" s="4" t="s">
        <v>25</v>
      </c>
      <c r="AM370" s="6" t="str" cm="1">
        <f t="array" ref="AM370">IFERROR((SUMPRODUCT(($A$358:$A$381=AM$356)*($F$355:$AI$355="")*$F$358:$AI$381)+IF(AM$356="P6",SUMPRODUCT(($F$355:$AI$355="P6")*$F$358:$AI$381),0))/(SUMPRODUCT(($A$358:$A$381=AM$356)*($F$355:$AI$355=""))+IF(AM$356="P6",COUNTIF($F$355:$AI$355,"P6")*ROWS($A$358:$A$381),0)),"")</f>
        <v/>
      </c>
      <c r="AN370" s="6" cm="1">
        <f t="array" ref="AN370">IFERROR((SUMPRODUCT(($A$358:$A$381=AN$356)*($F$355:$AI$355="")*$F$358:$AI$381)+IF(AN$356="P6",SUMPRODUCT(($F$355:$AI$355="P6")*$F$358:$AI$381),0))/(SUMPRODUCT(($A$358:$A$381=AN$356)*($F$355:$AI$355=""))+IF(AN$356="P6",COUNTIF($F$355:$AI$355,"P6")*ROWS($A$358:$A$381),0)),"")</f>
        <v>1.0443694708994711</v>
      </c>
      <c r="AO370" s="6" cm="1">
        <f t="array" ref="AO370">IFERROR((SUMPRODUCT(($A$358:$A$381=AO$356)*($F$355:$AI$355="")*$F$358:$AI$381)+IF(AO$356="P6",SUMPRODUCT(($F$355:$AI$355="P6")*$F$358:$AI$381),0))/(SUMPRODUCT(($A$358:$A$381=AO$356)*($F$355:$AI$355=""))+IF(AO$356="P6",COUNTIF($F$355:$AI$355,"P6")*ROWS($A$358:$A$381),0)),"")</f>
        <v>1.1146206122448983</v>
      </c>
      <c r="AP370" s="6" t="str" cm="1">
        <f t="array" ref="AP370">IFERROR((SUMPRODUCT(($A$358:$A$381=AP$356)*($F$355:$AI$355="")*$F$358:$AI$381)+IF(AP$356="P6",SUMPRODUCT(($F$355:$AI$355="P6")*$F$358:$AI$381),0))/(SUMPRODUCT(($A$358:$A$381=AP$356)*($F$355:$AI$355=""))+IF(AP$356="P6",COUNTIF($F$355:$AI$355,"P6")*ROWS($A$358:$A$381),0)),"")</f>
        <v/>
      </c>
      <c r="AQ370" s="6" t="str" cm="1">
        <f t="array" ref="AQ370">IFERROR((SUMPRODUCT(($A$358:$A$381=AQ$356)*($F$355:$AI$355="")*$F$358:$AI$381)+IF(AQ$356="P6",SUMPRODUCT(($F$355:$AI$355="P6")*$F$358:$AI$381),0))/(SUMPRODUCT(($A$358:$A$381=AQ$356)*($F$355:$AI$355=""))+IF(AQ$356="P6",COUNTIF($F$355:$AI$355,"P6")*ROWS($A$358:$A$381),0)),"")</f>
        <v/>
      </c>
      <c r="AR370" s="6" cm="1">
        <f t="array" ref="AR370">IFERROR((SUMPRODUCT(($A$358:$A$381=AR$356)*($F$355:$AI$355="")*$F$358:$AI$381)+IF(AR$356="P6",SUMPRODUCT(($F$355:$AI$355="P6")*$F$358:$AI$381),0))/(SUMPRODUCT(($A$358:$A$381=AR$356)*($F$355:$AI$355=""))+IF(AR$356="P6",COUNTIF($F$355:$AI$355,"P6")*ROWS($A$358:$A$381),0)),"")</f>
        <v>1.1696211979166669</v>
      </c>
    </row>
    <row r="371" spans="1:44" ht="14.25" customHeight="1" x14ac:dyDescent="0.35">
      <c r="A371" s="1" t="s">
        <v>14</v>
      </c>
      <c r="B371" s="1" t="s">
        <v>16</v>
      </c>
      <c r="C371" s="1" t="s">
        <v>13</v>
      </c>
      <c r="D371" s="1" t="s">
        <v>14</v>
      </c>
      <c r="E371" s="1" t="s">
        <v>32</v>
      </c>
      <c r="F371" s="1">
        <v>0.88400999999999996</v>
      </c>
      <c r="G371" s="1">
        <v>0.97648000000000001</v>
      </c>
      <c r="H371" s="1">
        <v>1.03369</v>
      </c>
      <c r="I371" s="1">
        <v>1.0068299999999999</v>
      </c>
      <c r="J371" s="1">
        <v>0.98582000000000003</v>
      </c>
      <c r="K371" s="1">
        <v>0.97497</v>
      </c>
      <c r="L371" s="1">
        <v>1.0367500000000001</v>
      </c>
      <c r="M371" s="1">
        <v>0.96857000000000004</v>
      </c>
      <c r="N371" s="1">
        <v>0.97648000000000001</v>
      </c>
      <c r="O371" s="1">
        <v>1.03369</v>
      </c>
      <c r="P371" s="1">
        <v>1.0068299999999999</v>
      </c>
      <c r="Q371" s="1">
        <v>0.98582000000000003</v>
      </c>
      <c r="R371" s="1">
        <v>0.97497</v>
      </c>
      <c r="S371" s="1">
        <v>1.0367500000000001</v>
      </c>
      <c r="T371" s="1">
        <v>0.96857000000000004</v>
      </c>
      <c r="U371" s="1">
        <v>0.97648000000000001</v>
      </c>
      <c r="V371" s="1">
        <v>1.03369</v>
      </c>
      <c r="W371" s="1">
        <v>1.0068299999999999</v>
      </c>
      <c r="X371" s="1">
        <v>0.98582000000000003</v>
      </c>
      <c r="Y371" s="1">
        <v>0.97497</v>
      </c>
      <c r="Z371" s="1">
        <v>1.0367500000000001</v>
      </c>
      <c r="AA371" s="1">
        <v>0.96857000000000004</v>
      </c>
      <c r="AB371" s="1">
        <v>0.97648000000000001</v>
      </c>
      <c r="AC371" s="1">
        <v>1.03369</v>
      </c>
      <c r="AD371" s="1">
        <v>1.0068299999999999</v>
      </c>
      <c r="AE371" s="1">
        <v>0.98582000000000003</v>
      </c>
      <c r="AF371" s="1">
        <v>0.97497</v>
      </c>
      <c r="AG371" s="1">
        <v>1.0367500000000001</v>
      </c>
      <c r="AH371" s="1">
        <v>0.96857000000000004</v>
      </c>
      <c r="AI371" s="1">
        <v>0.97648000000000001</v>
      </c>
      <c r="AL371" s="4" t="s">
        <v>27</v>
      </c>
      <c r="AM371" s="6" t="str" cm="1">
        <f t="array" ref="AM371">IFERROR((SUMPRODUCT(($A$358:$A$381=AM$356)*($F$355:$AI$355="")*$F$358:$AI$381)+IF(AM$356="P6",SUMPRODUCT(($F$355:$AI$355="P6")*$F$358:$AI$381),0))/(SUMPRODUCT(($A$358:$A$381=AM$356)*($F$355:$AI$355=""))+IF(AM$356="P6",COUNTIF($F$355:$AI$355,"P6")*ROWS($A$358:$A$381),0)),"")</f>
        <v/>
      </c>
      <c r="AN371" s="6" cm="1">
        <f t="array" ref="AN371">IFERROR((SUMPRODUCT(($A$358:$A$381=AN$356)*($F$355:$AI$355="")*$F$358:$AI$381)+IF(AN$356="P6",SUMPRODUCT(($F$355:$AI$355="P6")*$F$358:$AI$381),0))/(SUMPRODUCT(($A$358:$A$381=AN$356)*($F$355:$AI$355=""))+IF(AN$356="P6",COUNTIF($F$355:$AI$355,"P6")*ROWS($A$358:$A$381),0)),"")</f>
        <v>1.0443694708994711</v>
      </c>
      <c r="AO371" s="6" cm="1">
        <f t="array" ref="AO371">IFERROR((SUMPRODUCT(($A$358:$A$381=AO$356)*($F$355:$AI$355="")*$F$358:$AI$381)+IF(AO$356="P6",SUMPRODUCT(($F$355:$AI$355="P6")*$F$358:$AI$381),0))/(SUMPRODUCT(($A$358:$A$381=AO$356)*($F$355:$AI$355=""))+IF(AO$356="P6",COUNTIF($F$355:$AI$355,"P6")*ROWS($A$358:$A$381),0)),"")</f>
        <v>1.1146206122448983</v>
      </c>
      <c r="AP371" s="6" t="str" cm="1">
        <f t="array" ref="AP371">IFERROR((SUMPRODUCT(($A$358:$A$381=AP$356)*($F$355:$AI$355="")*$F$358:$AI$381)+IF(AP$356="P6",SUMPRODUCT(($F$355:$AI$355="P6")*$F$358:$AI$381),0))/(SUMPRODUCT(($A$358:$A$381=AP$356)*($F$355:$AI$355=""))+IF(AP$356="P6",COUNTIF($F$355:$AI$355,"P6")*ROWS($A$358:$A$381),0)),"")</f>
        <v/>
      </c>
      <c r="AQ371" s="6" t="str" cm="1">
        <f t="array" ref="AQ371">IFERROR((SUMPRODUCT(($A$358:$A$381=AQ$356)*($F$355:$AI$355="")*$F$358:$AI$381)+IF(AQ$356="P6",SUMPRODUCT(($F$355:$AI$355="P6")*$F$358:$AI$381),0))/(SUMPRODUCT(($A$358:$A$381=AQ$356)*($F$355:$AI$355=""))+IF(AQ$356="P6",COUNTIF($F$355:$AI$355,"P6")*ROWS($A$358:$A$381),0)),"")</f>
        <v/>
      </c>
      <c r="AR371" s="6" cm="1">
        <f t="array" ref="AR371">IFERROR((SUMPRODUCT(($A$358:$A$381=AR$356)*($F$355:$AI$355="")*$F$358:$AI$381)+IF(AR$356="P6",SUMPRODUCT(($F$355:$AI$355="P6")*$F$358:$AI$381),0))/(SUMPRODUCT(($A$358:$A$381=AR$356)*($F$355:$AI$355=""))+IF(AR$356="P6",COUNTIF($F$355:$AI$355,"P6")*ROWS($A$358:$A$381),0)),"")</f>
        <v>1.1696211979166669</v>
      </c>
    </row>
    <row r="372" spans="1:44" ht="14.25" customHeight="1" x14ac:dyDescent="0.35">
      <c r="A372" s="1" t="s">
        <v>14</v>
      </c>
      <c r="B372" s="1" t="s">
        <v>16</v>
      </c>
      <c r="C372" s="1" t="s">
        <v>14</v>
      </c>
      <c r="D372" s="1" t="s">
        <v>15</v>
      </c>
      <c r="E372" s="1" t="s">
        <v>33</v>
      </c>
      <c r="F372" s="1">
        <v>0.88478000000000001</v>
      </c>
      <c r="G372" s="1">
        <v>1.0526599999999999</v>
      </c>
      <c r="H372" s="1">
        <v>1.1090599999999999</v>
      </c>
      <c r="I372" s="1">
        <v>1.00271</v>
      </c>
      <c r="J372" s="1">
        <v>1.0044900000000001</v>
      </c>
      <c r="K372" s="1">
        <v>1.0687199999999999</v>
      </c>
      <c r="L372" s="1">
        <v>1.10131</v>
      </c>
      <c r="M372" s="1">
        <v>1.06141</v>
      </c>
      <c r="N372" s="1">
        <v>1.0526599999999999</v>
      </c>
      <c r="O372" s="1">
        <v>1.1090599999999999</v>
      </c>
      <c r="P372" s="1">
        <v>1.00271</v>
      </c>
      <c r="Q372" s="1">
        <v>1.0044900000000001</v>
      </c>
      <c r="R372" s="1">
        <v>1.0687199999999999</v>
      </c>
      <c r="S372" s="1">
        <v>1.10131</v>
      </c>
      <c r="T372" s="1">
        <v>1.06141</v>
      </c>
      <c r="U372" s="1">
        <v>1.0526599999999999</v>
      </c>
      <c r="V372" s="1">
        <v>1.1090599999999999</v>
      </c>
      <c r="W372" s="1">
        <v>1.00271</v>
      </c>
      <c r="X372" s="1">
        <v>1.0044900000000001</v>
      </c>
      <c r="Y372" s="1">
        <v>1.0687199999999999</v>
      </c>
      <c r="Z372" s="1">
        <v>1.10131</v>
      </c>
      <c r="AA372" s="1">
        <v>1.06141</v>
      </c>
      <c r="AB372" s="1">
        <v>1.0526599999999999</v>
      </c>
      <c r="AC372" s="1">
        <v>1.1090599999999999</v>
      </c>
      <c r="AD372" s="1">
        <v>1.00271</v>
      </c>
      <c r="AE372" s="1">
        <v>1.0044900000000001</v>
      </c>
      <c r="AF372" s="1">
        <v>1.0687199999999999</v>
      </c>
      <c r="AG372" s="1">
        <v>1.10131</v>
      </c>
      <c r="AH372" s="1">
        <v>1.06141</v>
      </c>
      <c r="AI372" s="1">
        <v>1.0526599999999999</v>
      </c>
      <c r="AL372" s="4" t="s">
        <v>29</v>
      </c>
      <c r="AM372" s="6" t="str" cm="1">
        <f t="array" ref="AM372">IFERROR((SUMPRODUCT(($A$358:$A$381=AM$356)*($F$355:$AI$355="")*$F$358:$AI$381)+IF(AM$356="P6",SUMPRODUCT(($F$355:$AI$355="P6")*$F$358:$AI$381),0))/(SUMPRODUCT(($A$358:$A$381=AM$356)*($F$355:$AI$355=""))+IF(AM$356="P6",COUNTIF($F$355:$AI$355,"P6")*ROWS($A$358:$A$381),0)),"")</f>
        <v/>
      </c>
      <c r="AN372" s="6" cm="1">
        <f t="array" ref="AN372">IFERROR((SUMPRODUCT(($A$358:$A$381=AN$356)*($F$355:$AI$355="")*$F$358:$AI$381)+IF(AN$356="P6",SUMPRODUCT(($F$355:$AI$355="P6")*$F$358:$AI$381),0))/(SUMPRODUCT(($A$358:$A$381=AN$356)*($F$355:$AI$355=""))+IF(AN$356="P6",COUNTIF($F$355:$AI$355,"P6")*ROWS($A$358:$A$381),0)),"")</f>
        <v>1.0443694708994711</v>
      </c>
      <c r="AO372" s="6" cm="1">
        <f t="array" ref="AO372">IFERROR((SUMPRODUCT(($A$358:$A$381=AO$356)*($F$355:$AI$355="")*$F$358:$AI$381)+IF(AO$356="P6",SUMPRODUCT(($F$355:$AI$355="P6")*$F$358:$AI$381),0))/(SUMPRODUCT(($A$358:$A$381=AO$356)*($F$355:$AI$355=""))+IF(AO$356="P6",COUNTIF($F$355:$AI$355,"P6")*ROWS($A$358:$A$381),0)),"")</f>
        <v>1.1146206122448983</v>
      </c>
      <c r="AP372" s="6" t="str" cm="1">
        <f t="array" ref="AP372">IFERROR((SUMPRODUCT(($A$358:$A$381=AP$356)*($F$355:$AI$355="")*$F$358:$AI$381)+IF(AP$356="P6",SUMPRODUCT(($F$355:$AI$355="P6")*$F$358:$AI$381),0))/(SUMPRODUCT(($A$358:$A$381=AP$356)*($F$355:$AI$355=""))+IF(AP$356="P6",COUNTIF($F$355:$AI$355,"P6")*ROWS($A$358:$A$381),0)),"")</f>
        <v/>
      </c>
      <c r="AQ372" s="6" t="str" cm="1">
        <f t="array" ref="AQ372">IFERROR((SUMPRODUCT(($A$358:$A$381=AQ$356)*($F$355:$AI$355="")*$F$358:$AI$381)+IF(AQ$356="P6",SUMPRODUCT(($F$355:$AI$355="P6")*$F$358:$AI$381),0))/(SUMPRODUCT(($A$358:$A$381=AQ$356)*($F$355:$AI$355=""))+IF(AQ$356="P6",COUNTIF($F$355:$AI$355,"P6")*ROWS($A$358:$A$381),0)),"")</f>
        <v/>
      </c>
      <c r="AR372" s="6" cm="1">
        <f t="array" ref="AR372">IFERROR((SUMPRODUCT(($A$358:$A$381=AR$356)*($F$355:$AI$355="")*$F$358:$AI$381)+IF(AR$356="P6",SUMPRODUCT(($F$355:$AI$355="P6")*$F$358:$AI$381),0))/(SUMPRODUCT(($A$358:$A$381=AR$356)*($F$355:$AI$355=""))+IF(AR$356="P6",COUNTIF($F$355:$AI$355,"P6")*ROWS($A$358:$A$381),0)),"")</f>
        <v>1.1696211979166669</v>
      </c>
    </row>
    <row r="373" spans="1:44" ht="14.25" customHeight="1" x14ac:dyDescent="0.35">
      <c r="A373" s="1" t="s">
        <v>15</v>
      </c>
      <c r="B373" s="1" t="s">
        <v>17</v>
      </c>
      <c r="C373" s="1" t="s">
        <v>14</v>
      </c>
      <c r="D373" s="1" t="s">
        <v>15</v>
      </c>
      <c r="E373" s="1" t="s">
        <v>34</v>
      </c>
      <c r="F373" s="1">
        <v>0.91529000000000005</v>
      </c>
      <c r="G373" s="1">
        <v>1.0597399999999999</v>
      </c>
      <c r="H373" s="1">
        <v>1.1100099999999999</v>
      </c>
      <c r="I373" s="1">
        <v>1.06088</v>
      </c>
      <c r="J373" s="1">
        <v>1.0659799999999999</v>
      </c>
      <c r="K373" s="1">
        <v>1.0846899999999999</v>
      </c>
      <c r="L373" s="1">
        <v>1.1477299999999999</v>
      </c>
      <c r="M373" s="1">
        <v>1.06402</v>
      </c>
      <c r="N373" s="1">
        <v>1.0597399999999999</v>
      </c>
      <c r="O373" s="1">
        <v>1.1100099999999999</v>
      </c>
      <c r="P373" s="1">
        <v>1.06088</v>
      </c>
      <c r="Q373" s="1">
        <v>1.0659799999999999</v>
      </c>
      <c r="R373" s="1">
        <v>1.0846899999999999</v>
      </c>
      <c r="S373" s="1">
        <v>1.1477299999999999</v>
      </c>
      <c r="T373" s="1">
        <v>1.06402</v>
      </c>
      <c r="U373" s="1">
        <v>1.0597399999999999</v>
      </c>
      <c r="V373" s="1">
        <v>1.1100099999999999</v>
      </c>
      <c r="W373" s="1">
        <v>1.06088</v>
      </c>
      <c r="X373" s="1">
        <v>1.0659799999999999</v>
      </c>
      <c r="Y373" s="1">
        <v>1.0846899999999999</v>
      </c>
      <c r="Z373" s="1">
        <v>1.1477299999999999</v>
      </c>
      <c r="AA373" s="1">
        <v>1.06402</v>
      </c>
      <c r="AB373" s="1">
        <v>1.0597399999999999</v>
      </c>
      <c r="AC373" s="1">
        <v>1.1100099999999999</v>
      </c>
      <c r="AD373" s="1">
        <v>1.06088</v>
      </c>
      <c r="AE373" s="1">
        <v>1.0659799999999999</v>
      </c>
      <c r="AF373" s="1">
        <v>1.0846899999999999</v>
      </c>
      <c r="AG373" s="1">
        <v>1.1477299999999999</v>
      </c>
      <c r="AH373" s="1">
        <v>1.06402</v>
      </c>
      <c r="AI373" s="1">
        <v>1.0597399999999999</v>
      </c>
      <c r="AL373" s="10"/>
      <c r="AM373" s="10"/>
      <c r="AN373" s="10"/>
      <c r="AO373" s="10"/>
      <c r="AP373" s="10"/>
      <c r="AQ373" s="10"/>
      <c r="AR373" s="10"/>
    </row>
    <row r="374" spans="1:44" ht="14.25" customHeight="1" x14ac:dyDescent="0.35">
      <c r="A374" s="1" t="s">
        <v>15</v>
      </c>
      <c r="B374" s="1" t="s">
        <v>17</v>
      </c>
      <c r="C374" s="1" t="s">
        <v>14</v>
      </c>
      <c r="D374" s="1" t="s">
        <v>15</v>
      </c>
      <c r="E374" s="1" t="s">
        <v>35</v>
      </c>
      <c r="F374" s="1">
        <v>0.95167000000000002</v>
      </c>
      <c r="G374" s="1">
        <v>1.0817699999999999</v>
      </c>
      <c r="H374" s="1">
        <v>1.10181</v>
      </c>
      <c r="I374" s="1">
        <v>1.08802</v>
      </c>
      <c r="J374" s="1">
        <v>1.10745</v>
      </c>
      <c r="K374" s="1">
        <v>1.1206799999999999</v>
      </c>
      <c r="L374" s="1">
        <v>1.1569499999999999</v>
      </c>
      <c r="M374" s="1">
        <v>1.07447</v>
      </c>
      <c r="N374" s="1">
        <v>1.0817699999999999</v>
      </c>
      <c r="O374" s="1">
        <v>1.10181</v>
      </c>
      <c r="P374" s="1">
        <v>1.08802</v>
      </c>
      <c r="Q374" s="1">
        <v>1.10745</v>
      </c>
      <c r="R374" s="1">
        <v>1.1206799999999999</v>
      </c>
      <c r="S374" s="1">
        <v>1.1569499999999999</v>
      </c>
      <c r="T374" s="1">
        <v>1.07447</v>
      </c>
      <c r="U374" s="1">
        <v>1.0817699999999999</v>
      </c>
      <c r="V374" s="1">
        <v>1.10181</v>
      </c>
      <c r="W374" s="1">
        <v>1.08802</v>
      </c>
      <c r="X374" s="1">
        <v>1.10745</v>
      </c>
      <c r="Y374" s="1">
        <v>1.1206799999999999</v>
      </c>
      <c r="Z374" s="1">
        <v>1.1569499999999999</v>
      </c>
      <c r="AA374" s="1">
        <v>1.07447</v>
      </c>
      <c r="AB374" s="1">
        <v>1.0817699999999999</v>
      </c>
      <c r="AC374" s="1">
        <v>1.10181</v>
      </c>
      <c r="AD374" s="1">
        <v>1.08802</v>
      </c>
      <c r="AE374" s="1">
        <v>1.10745</v>
      </c>
      <c r="AF374" s="1">
        <v>1.1206799999999999</v>
      </c>
      <c r="AG374" s="1">
        <v>1.1569499999999999</v>
      </c>
      <c r="AH374" s="1">
        <v>1.07447</v>
      </c>
      <c r="AI374" s="1">
        <v>1.0817699999999999</v>
      </c>
      <c r="AL374" s="10"/>
      <c r="AM374" s="10"/>
      <c r="AN374" s="10"/>
      <c r="AO374" s="10"/>
      <c r="AP374" s="10"/>
      <c r="AQ374" s="10"/>
      <c r="AR374" s="10"/>
    </row>
    <row r="375" spans="1:44" ht="14.25" customHeight="1" x14ac:dyDescent="0.35">
      <c r="A375" s="1" t="s">
        <v>15</v>
      </c>
      <c r="B375" s="1" t="s">
        <v>17</v>
      </c>
      <c r="C375" s="1" t="s">
        <v>14</v>
      </c>
      <c r="D375" s="1" t="s">
        <v>15</v>
      </c>
      <c r="E375" s="1" t="s">
        <v>36</v>
      </c>
      <c r="F375" s="1">
        <v>0.98555000000000004</v>
      </c>
      <c r="G375" s="1">
        <v>1.09012</v>
      </c>
      <c r="H375" s="1">
        <v>1.09423</v>
      </c>
      <c r="I375" s="1">
        <v>1.10446</v>
      </c>
      <c r="J375" s="1">
        <v>1.12836</v>
      </c>
      <c r="K375" s="1">
        <v>1.1350199999999999</v>
      </c>
      <c r="L375" s="1">
        <v>1.18153</v>
      </c>
      <c r="M375" s="1">
        <v>1.1023099999999999</v>
      </c>
      <c r="N375" s="1">
        <v>1.09012</v>
      </c>
      <c r="O375" s="1">
        <v>1.09423</v>
      </c>
      <c r="P375" s="1">
        <v>1.10446</v>
      </c>
      <c r="Q375" s="1">
        <v>1.12836</v>
      </c>
      <c r="R375" s="1">
        <v>1.1350199999999999</v>
      </c>
      <c r="S375" s="1">
        <v>1.18153</v>
      </c>
      <c r="T375" s="1">
        <v>1.1023099999999999</v>
      </c>
      <c r="U375" s="1">
        <v>1.09012</v>
      </c>
      <c r="V375" s="1">
        <v>1.09423</v>
      </c>
      <c r="W375" s="1">
        <v>1.10446</v>
      </c>
      <c r="X375" s="1">
        <v>1.12836</v>
      </c>
      <c r="Y375" s="1">
        <v>1.1350199999999999</v>
      </c>
      <c r="Z375" s="1">
        <v>1.18153</v>
      </c>
      <c r="AA375" s="1">
        <v>1.1023099999999999</v>
      </c>
      <c r="AB375" s="1">
        <v>1.09012</v>
      </c>
      <c r="AC375" s="1">
        <v>1.09423</v>
      </c>
      <c r="AD375" s="1">
        <v>1.10446</v>
      </c>
      <c r="AE375" s="1">
        <v>1.12836</v>
      </c>
      <c r="AF375" s="1">
        <v>1.1350199999999999</v>
      </c>
      <c r="AG375" s="1">
        <v>1.18153</v>
      </c>
      <c r="AH375" s="1">
        <v>1.1023099999999999</v>
      </c>
      <c r="AI375" s="1">
        <v>1.09012</v>
      </c>
      <c r="AL375" s="14" t="s">
        <v>247</v>
      </c>
      <c r="AM375" s="14"/>
      <c r="AN375" s="14"/>
      <c r="AO375" s="14"/>
      <c r="AP375" s="14"/>
      <c r="AQ375" s="14"/>
      <c r="AR375" s="14"/>
    </row>
    <row r="376" spans="1:44" ht="14.25" customHeight="1" x14ac:dyDescent="0.35">
      <c r="A376" s="1" t="s">
        <v>14</v>
      </c>
      <c r="B376" s="1" t="s">
        <v>16</v>
      </c>
      <c r="C376" s="1" t="s">
        <v>13</v>
      </c>
      <c r="D376" s="1" t="s">
        <v>14</v>
      </c>
      <c r="E376" s="1" t="s">
        <v>37</v>
      </c>
      <c r="F376" s="1">
        <v>1.0070600000000001</v>
      </c>
      <c r="G376" s="1">
        <v>1.02759</v>
      </c>
      <c r="H376" s="1">
        <v>1.0430600000000001</v>
      </c>
      <c r="I376" s="1">
        <v>1.1150500000000001</v>
      </c>
      <c r="J376" s="1">
        <v>1.1503099999999999</v>
      </c>
      <c r="K376" s="1">
        <v>1.0945400000000001</v>
      </c>
      <c r="L376" s="1">
        <v>1.12418</v>
      </c>
      <c r="M376" s="1">
        <v>1.0540700000000001</v>
      </c>
      <c r="N376" s="1">
        <v>1.02759</v>
      </c>
      <c r="O376" s="1">
        <v>1.0430600000000001</v>
      </c>
      <c r="P376" s="1">
        <v>1.1150500000000001</v>
      </c>
      <c r="Q376" s="1">
        <v>1.1503099999999999</v>
      </c>
      <c r="R376" s="1">
        <v>1.0945400000000001</v>
      </c>
      <c r="S376" s="1">
        <v>1.12418</v>
      </c>
      <c r="T376" s="1">
        <v>1.0540700000000001</v>
      </c>
      <c r="U376" s="1">
        <v>1.02759</v>
      </c>
      <c r="V376" s="1">
        <v>1.0430600000000001</v>
      </c>
      <c r="W376" s="1">
        <v>1.1150500000000001</v>
      </c>
      <c r="X376" s="1">
        <v>1.1503099999999999</v>
      </c>
      <c r="Y376" s="1">
        <v>1.0945400000000001</v>
      </c>
      <c r="Z376" s="1">
        <v>1.12418</v>
      </c>
      <c r="AA376" s="1">
        <v>1.0540700000000001</v>
      </c>
      <c r="AB376" s="1">
        <v>1.02759</v>
      </c>
      <c r="AC376" s="1">
        <v>1.0430600000000001</v>
      </c>
      <c r="AD376" s="1">
        <v>1.1150500000000001</v>
      </c>
      <c r="AE376" s="1">
        <v>1.1503099999999999</v>
      </c>
      <c r="AF376" s="1">
        <v>1.0945400000000001</v>
      </c>
      <c r="AG376" s="1">
        <v>1.12418</v>
      </c>
      <c r="AH376" s="1">
        <v>1.0540700000000001</v>
      </c>
      <c r="AI376" s="1">
        <v>1.02759</v>
      </c>
      <c r="AL376" s="4"/>
      <c r="AM376" s="4" t="s">
        <v>13</v>
      </c>
      <c r="AN376" s="4" t="s">
        <v>14</v>
      </c>
      <c r="AO376" s="4" t="s">
        <v>15</v>
      </c>
      <c r="AP376" s="4" t="s">
        <v>16</v>
      </c>
      <c r="AQ376" s="4" t="s">
        <v>17</v>
      </c>
      <c r="AR376" s="4" t="s">
        <v>7</v>
      </c>
    </row>
    <row r="377" spans="1:44" ht="14.25" customHeight="1" x14ac:dyDescent="0.35">
      <c r="A377" s="1" t="s">
        <v>14</v>
      </c>
      <c r="B377" s="1" t="s">
        <v>16</v>
      </c>
      <c r="C377" s="1" t="s">
        <v>13</v>
      </c>
      <c r="D377" s="1" t="s">
        <v>14</v>
      </c>
      <c r="E377" s="1" t="s">
        <v>38</v>
      </c>
      <c r="F377" s="1">
        <v>1.0279400000000001</v>
      </c>
      <c r="G377" s="1">
        <v>1.0381199999999999</v>
      </c>
      <c r="H377" s="1">
        <v>1.0741700000000001</v>
      </c>
      <c r="I377" s="1">
        <v>1.1361399999999999</v>
      </c>
      <c r="J377" s="1">
        <v>1.1590199999999999</v>
      </c>
      <c r="K377" s="1">
        <v>1.10667</v>
      </c>
      <c r="L377" s="1">
        <v>1.1285000000000001</v>
      </c>
      <c r="M377" s="1">
        <v>1.07911</v>
      </c>
      <c r="N377" s="1">
        <v>1.0381199999999999</v>
      </c>
      <c r="O377" s="1">
        <v>1.0741700000000001</v>
      </c>
      <c r="P377" s="1">
        <v>1.1361399999999999</v>
      </c>
      <c r="Q377" s="1">
        <v>1.1590199999999999</v>
      </c>
      <c r="R377" s="1">
        <v>1.10667</v>
      </c>
      <c r="S377" s="1">
        <v>1.1285000000000001</v>
      </c>
      <c r="T377" s="1">
        <v>1.07911</v>
      </c>
      <c r="U377" s="1">
        <v>1.0381199999999999</v>
      </c>
      <c r="V377" s="1">
        <v>1.0741700000000001</v>
      </c>
      <c r="W377" s="1">
        <v>1.1361399999999999</v>
      </c>
      <c r="X377" s="1">
        <v>1.1590199999999999</v>
      </c>
      <c r="Y377" s="1">
        <v>1.10667</v>
      </c>
      <c r="Z377" s="1">
        <v>1.1285000000000001</v>
      </c>
      <c r="AA377" s="1">
        <v>1.07911</v>
      </c>
      <c r="AB377" s="1">
        <v>1.0381199999999999</v>
      </c>
      <c r="AC377" s="1">
        <v>1.0741700000000001</v>
      </c>
      <c r="AD377" s="1">
        <v>1.1361399999999999</v>
      </c>
      <c r="AE377" s="1">
        <v>1.1590199999999999</v>
      </c>
      <c r="AF377" s="1">
        <v>1.10667</v>
      </c>
      <c r="AG377" s="1">
        <v>1.1285000000000001</v>
      </c>
      <c r="AH377" s="1">
        <v>1.07911</v>
      </c>
      <c r="AI377" s="1">
        <v>1.0381199999999999</v>
      </c>
      <c r="AL377" s="4" t="s">
        <v>19</v>
      </c>
      <c r="AM377" s="6" cm="1">
        <f t="array" ref="AM377">IFERROR((SUMPRODUCT(($C$358:$C$381=AM$356)*($F$354:$AI$354="")*$F$358:$AI$381)+IF(AM$356="P3",SUMPRODUCT(($F$354:$AI$354="P3")*$F$358:$AI$381),0))/(SUMPRODUCT(($C$358:$C$381=AM$356)*($F$354:$AI$354=""))+IF(AM$356="P3",COUNTIF($F$354:$AI$354,"P3")*ROWS($C$358:$C$381),0)),"")</f>
        <v>1.0402412499999996</v>
      </c>
      <c r="AN377" s="6" cm="1">
        <f t="array" ref="AN377">IFERROR((SUMPRODUCT(($C$358:$C$381=AN$356)*($F$354:$AI$354="")*$F$358:$AI$381)+IF(AN$356="P3",SUMPRODUCT(($F$354:$AI$354="P3")*$F$358:$AI$381),0))/(SUMPRODUCT(($C$358:$C$381=AN$356)*($F$354:$AI$354=""))+IF(AN$356="P3",COUNTIF($F$354:$AI$354,"P3")*ROWS($C$358:$C$381),0)),"")</f>
        <v>1.109967440476191</v>
      </c>
      <c r="AO377" s="6" cm="1">
        <f t="array" ref="AO377">IFERROR((SUMPRODUCT(($C$358:$C$381=AO$356)*($F$354:$AI$354="")*$F$358:$AI$381)+IF(AO$356="P3",SUMPRODUCT(($F$354:$AI$354="P3")*$F$358:$AI$381),0))/(SUMPRODUCT(($C$358:$C$381=AO$356)*($F$354:$AI$354=""))+IF(AO$356="P3",COUNTIF($F$354:$AI$354,"P3")*ROWS($C$358:$C$381),0)),"")</f>
        <v>1.1696211979166669</v>
      </c>
      <c r="AP377" s="6" t="str" cm="1">
        <f t="array" ref="AP377">IFERROR((SUMPRODUCT(($C$358:$C$381=AP$356)*($F$354:$AI$354="")*$F$358:$AI$381)+IF(AP$356="P3",SUMPRODUCT(($F$354:$AI$354="P3")*$F$358:$AI$381),0))/(SUMPRODUCT(($C$358:$C$381=AP$356)*($F$354:$AI$354=""))+IF(AP$356="P3",COUNTIF($F$354:$AI$354,"P3")*ROWS($C$358:$C$381),0)),"")</f>
        <v/>
      </c>
      <c r="AQ377" s="6" t="str" cm="1">
        <f t="array" ref="AQ377">IFERROR((SUMPRODUCT(($C$358:$C$381=AQ$356)*($F$354:$AI$354="")*$F$358:$AI$381)+IF(AQ$356="P3",SUMPRODUCT(($F$354:$AI$354="P3")*$F$358:$AI$381),0))/(SUMPRODUCT(($C$358:$C$381=AQ$356)*($F$354:$AI$354=""))+IF(AQ$356="P3",COUNTIF($F$354:$AI$354,"P3")*ROWS($C$358:$C$381),0)),"")</f>
        <v/>
      </c>
      <c r="AR377" s="6" t="str" cm="1">
        <f t="array" ref="AR377">IFERROR((SUMPRODUCT(($C$358:$C$381=AR$356)*($F$354:$AI$354="")*$F$358:$AI$381)+IF(AR$356="P3",SUMPRODUCT(($F$354:$AI$354="P3")*$F$358:$AI$381),0))/(SUMPRODUCT(($C$358:$C$381=AR$356)*($F$354:$AI$354=""))+IF(AR$356="P3",COUNTIF($F$354:$AI$354,"P3")*ROWS($C$358:$C$381),0)),"")</f>
        <v/>
      </c>
    </row>
    <row r="378" spans="1:44" ht="14.25" customHeight="1" x14ac:dyDescent="0.35">
      <c r="A378" s="1" t="s">
        <v>14</v>
      </c>
      <c r="B378" s="1" t="s">
        <v>16</v>
      </c>
      <c r="C378" s="1" t="s">
        <v>13</v>
      </c>
      <c r="D378" s="1" t="s">
        <v>14</v>
      </c>
      <c r="E378" s="1" t="s">
        <v>39</v>
      </c>
      <c r="F378" s="1">
        <v>1.0127299999999999</v>
      </c>
      <c r="G378" s="1">
        <v>1.02725</v>
      </c>
      <c r="H378" s="1">
        <v>1.0893999999999999</v>
      </c>
      <c r="I378" s="1">
        <v>1.1505700000000001</v>
      </c>
      <c r="J378" s="1">
        <v>1.16737</v>
      </c>
      <c r="K378" s="1">
        <v>1.1091200000000001</v>
      </c>
      <c r="L378" s="1">
        <v>1.1222300000000001</v>
      </c>
      <c r="M378" s="1">
        <v>1.0842000000000001</v>
      </c>
      <c r="N378" s="1">
        <v>1.02725</v>
      </c>
      <c r="O378" s="1">
        <v>1.0893999999999999</v>
      </c>
      <c r="P378" s="1">
        <v>1.1505700000000001</v>
      </c>
      <c r="Q378" s="1">
        <v>1.16737</v>
      </c>
      <c r="R378" s="1">
        <v>1.1091200000000001</v>
      </c>
      <c r="S378" s="1">
        <v>1.1222300000000001</v>
      </c>
      <c r="T378" s="1">
        <v>1.0842000000000001</v>
      </c>
      <c r="U378" s="1">
        <v>1.02725</v>
      </c>
      <c r="V378" s="1">
        <v>1.0893999999999999</v>
      </c>
      <c r="W378" s="1">
        <v>1.1505700000000001</v>
      </c>
      <c r="X378" s="1">
        <v>1.16737</v>
      </c>
      <c r="Y378" s="1">
        <v>1.1091200000000001</v>
      </c>
      <c r="Z378" s="1">
        <v>1.1222300000000001</v>
      </c>
      <c r="AA378" s="1">
        <v>1.0842000000000001</v>
      </c>
      <c r="AB378" s="1">
        <v>1.02725</v>
      </c>
      <c r="AC378" s="1">
        <v>1.0893999999999999</v>
      </c>
      <c r="AD378" s="1">
        <v>1.1505700000000001</v>
      </c>
      <c r="AE378" s="1">
        <v>1.16737</v>
      </c>
      <c r="AF378" s="1">
        <v>1.1091200000000001</v>
      </c>
      <c r="AG378" s="1">
        <v>1.1222300000000001</v>
      </c>
      <c r="AH378" s="1">
        <v>1.0842000000000001</v>
      </c>
      <c r="AI378" s="1">
        <v>1.02725</v>
      </c>
      <c r="AL378" s="4" t="s">
        <v>21</v>
      </c>
      <c r="AM378" s="6" t="str" cm="1">
        <f t="array" ref="AM378">IFERROR((SUMPRODUCT(($B$358:$B$381=AM$356)*($F$355:$AI$355="")*$F$358:$AI$381)+IF(AM$356="P6",SUMPRODUCT(($F$355:$AI$355="P6")*$F$358:$AI$381),0))/(SUMPRODUCT(($B$358:$B$381=AM$356)*($F$355:$AI$355=""))+IF(AM$356="P6",COUNTIF($F$355:$AI$355,"P6")*ROWS($B$358:$B$381),0)),"")</f>
        <v/>
      </c>
      <c r="AN378" s="6" t="str" cm="1">
        <f t="array" ref="AN378">IFERROR((SUMPRODUCT(($B$358:$B$381=AN$356)*($F$355:$AI$355="")*$F$358:$AI$381)+IF(AN$356="P6",SUMPRODUCT(($F$355:$AI$355="P6")*$F$358:$AI$381),0))/(SUMPRODUCT(($B$358:$B$381=AN$356)*($F$355:$AI$355=""))+IF(AN$356="P6",COUNTIF($F$355:$AI$355,"P6")*ROWS($B$358:$B$381),0)),"")</f>
        <v/>
      </c>
      <c r="AO378" s="6" t="str" cm="1">
        <f t="array" ref="AO378">IFERROR((SUMPRODUCT(($B$358:$B$381=AO$356)*($F$355:$AI$355="")*$F$358:$AI$381)+IF(AO$356="P6",SUMPRODUCT(($F$355:$AI$355="P6")*$F$358:$AI$381),0))/(SUMPRODUCT(($B$358:$B$381=AO$356)*($F$355:$AI$355=""))+IF(AO$356="P6",COUNTIF($F$355:$AI$355,"P6")*ROWS($B$358:$B$381),0)),"")</f>
        <v/>
      </c>
      <c r="AP378" s="6" cm="1">
        <f t="array" ref="AP378">IFERROR((SUMPRODUCT(($B$358:$B$381=AP$356)*($F$355:$AI$355="")*$F$358:$AI$381)+IF(AP$356="P6",SUMPRODUCT(($F$355:$AI$355="P6")*$F$358:$AI$381),0))/(SUMPRODUCT(($B$358:$B$381=AP$356)*($F$355:$AI$355=""))+IF(AP$356="P6",COUNTIF($F$355:$AI$355,"P6")*ROWS($B$358:$B$381),0)),"")</f>
        <v>1.0443694708994711</v>
      </c>
      <c r="AQ378" s="6" cm="1">
        <f t="array" ref="AQ378">IFERROR((SUMPRODUCT(($B$358:$B$381=AQ$356)*($F$355:$AI$355="")*$F$358:$AI$381)+IF(AQ$356="P6",SUMPRODUCT(($F$355:$AI$355="P6")*$F$358:$AI$381),0))/(SUMPRODUCT(($B$358:$B$381=AQ$356)*($F$355:$AI$355=""))+IF(AQ$356="P6",COUNTIF($F$355:$AI$355,"P6")*ROWS($B$358:$B$381),0)),"")</f>
        <v>1.1146206122448983</v>
      </c>
      <c r="AR378" s="6" cm="1">
        <f t="array" ref="AR378">IFERROR((SUMPRODUCT(($B$358:$B$381=AR$356)*($F$355:$AI$355="")*$F$358:$AI$381)+IF(AR$356="P6",SUMPRODUCT(($F$355:$AI$355="P6")*$F$358:$AI$381),0))/(SUMPRODUCT(($B$358:$B$381=AR$356)*($F$355:$AI$355=""))+IF(AR$356="P6",COUNTIF($F$355:$AI$355,"P6")*ROWS($B$358:$B$381),0)),"")</f>
        <v>1.1696211979166669</v>
      </c>
    </row>
    <row r="379" spans="1:44" ht="14.25" customHeight="1" x14ac:dyDescent="0.35">
      <c r="A379" s="1" t="s">
        <v>14</v>
      </c>
      <c r="B379" s="1" t="s">
        <v>16</v>
      </c>
      <c r="C379" s="1" t="s">
        <v>13</v>
      </c>
      <c r="D379" s="1" t="s">
        <v>14</v>
      </c>
      <c r="E379" s="1" t="s">
        <v>40</v>
      </c>
      <c r="F379" s="1">
        <v>1.0208200000000001</v>
      </c>
      <c r="G379" s="1">
        <v>1.02684</v>
      </c>
      <c r="H379" s="1">
        <v>1.0901099999999999</v>
      </c>
      <c r="I379" s="1">
        <v>1.15839</v>
      </c>
      <c r="J379" s="1">
        <v>1.1519299999999999</v>
      </c>
      <c r="K379" s="1">
        <v>1.09049</v>
      </c>
      <c r="L379" s="1">
        <v>1.1181000000000001</v>
      </c>
      <c r="M379" s="1">
        <v>1.0825</v>
      </c>
      <c r="N379" s="1">
        <v>1.02684</v>
      </c>
      <c r="O379" s="1">
        <v>1.0901099999999999</v>
      </c>
      <c r="P379" s="1">
        <v>1.15839</v>
      </c>
      <c r="Q379" s="1">
        <v>1.1519299999999999</v>
      </c>
      <c r="R379" s="1">
        <v>1.09049</v>
      </c>
      <c r="S379" s="1">
        <v>1.1181000000000001</v>
      </c>
      <c r="T379" s="1">
        <v>1.0825</v>
      </c>
      <c r="U379" s="1">
        <v>1.02684</v>
      </c>
      <c r="V379" s="1">
        <v>1.0901099999999999</v>
      </c>
      <c r="W379" s="1">
        <v>1.15839</v>
      </c>
      <c r="X379" s="1">
        <v>1.1519299999999999</v>
      </c>
      <c r="Y379" s="1">
        <v>1.09049</v>
      </c>
      <c r="Z379" s="1">
        <v>1.1181000000000001</v>
      </c>
      <c r="AA379" s="1">
        <v>1.0825</v>
      </c>
      <c r="AB379" s="1">
        <v>1.02684</v>
      </c>
      <c r="AC379" s="1">
        <v>1.0901099999999999</v>
      </c>
      <c r="AD379" s="1">
        <v>1.15839</v>
      </c>
      <c r="AE379" s="1">
        <v>1.1519299999999999</v>
      </c>
      <c r="AF379" s="1">
        <v>1.09049</v>
      </c>
      <c r="AG379" s="1">
        <v>1.1181000000000001</v>
      </c>
      <c r="AH379" s="1">
        <v>1.0825</v>
      </c>
      <c r="AI379" s="1">
        <v>1.02684</v>
      </c>
      <c r="AL379" s="4" t="s">
        <v>23</v>
      </c>
      <c r="AM379" s="6" t="str" cm="1">
        <f t="array" ref="AM379">IFERROR((SUMPRODUCT(($B$358:$B$381=AM$356)*($F$355:$AI$355="")*$F$358:$AI$381)+IF(AM$356="P6",SUMPRODUCT(($F$355:$AI$355="P6")*$F$358:$AI$381),0))/(SUMPRODUCT(($B$358:$B$381=AM$356)*($F$355:$AI$355=""))+IF(AM$356="P6",COUNTIF($F$355:$AI$355,"P6")*ROWS($B$358:$B$381),0)),"")</f>
        <v/>
      </c>
      <c r="AN379" s="6" t="str" cm="1">
        <f t="array" ref="AN379">IFERROR((SUMPRODUCT(($B$358:$B$381=AN$356)*($F$355:$AI$355="")*$F$358:$AI$381)+IF(AN$356="P6",SUMPRODUCT(($F$355:$AI$355="P6")*$F$358:$AI$381),0))/(SUMPRODUCT(($B$358:$B$381=AN$356)*($F$355:$AI$355=""))+IF(AN$356="P6",COUNTIF($F$355:$AI$355,"P6")*ROWS($B$358:$B$381),0)),"")</f>
        <v/>
      </c>
      <c r="AO379" s="6" t="str" cm="1">
        <f t="array" ref="AO379">IFERROR((SUMPRODUCT(($B$358:$B$381=AO$356)*($F$355:$AI$355="")*$F$358:$AI$381)+IF(AO$356="P6",SUMPRODUCT(($F$355:$AI$355="P6")*$F$358:$AI$381),0))/(SUMPRODUCT(($B$358:$B$381=AO$356)*($F$355:$AI$355=""))+IF(AO$356="P6",COUNTIF($F$355:$AI$355,"P6")*ROWS($B$358:$B$381),0)),"")</f>
        <v/>
      </c>
      <c r="AP379" s="6" cm="1">
        <f t="array" ref="AP379">IFERROR((SUMPRODUCT(($B$358:$B$381=AP$356)*($F$355:$AI$355="")*$F$358:$AI$381)+IF(AP$356="P6",SUMPRODUCT(($F$355:$AI$355="P6")*$F$358:$AI$381),0))/(SUMPRODUCT(($B$358:$B$381=AP$356)*($F$355:$AI$355=""))+IF(AP$356="P6",COUNTIF($F$355:$AI$355,"P6")*ROWS($B$358:$B$381),0)),"")</f>
        <v>1.0443694708994711</v>
      </c>
      <c r="AQ379" s="6" cm="1">
        <f t="array" ref="AQ379">IFERROR((SUMPRODUCT(($B$358:$B$381=AQ$356)*($F$355:$AI$355="")*$F$358:$AI$381)+IF(AQ$356="P6",SUMPRODUCT(($F$355:$AI$355="P6")*$F$358:$AI$381),0))/(SUMPRODUCT(($B$358:$B$381=AQ$356)*($F$355:$AI$355=""))+IF(AQ$356="P6",COUNTIF($F$355:$AI$355,"P6")*ROWS($B$358:$B$381),0)),"")</f>
        <v>1.1146206122448983</v>
      </c>
      <c r="AR379" s="6" cm="1">
        <f t="array" ref="AR379">IFERROR((SUMPRODUCT(($B$358:$B$381=AR$356)*($F$355:$AI$355="")*$F$358:$AI$381)+IF(AR$356="P6",SUMPRODUCT(($F$355:$AI$355="P6")*$F$358:$AI$381),0))/(SUMPRODUCT(($B$358:$B$381=AR$356)*($F$355:$AI$355=""))+IF(AR$356="P6",COUNTIF($F$355:$AI$355,"P6")*ROWS($B$358:$B$381),0)),"")</f>
        <v>1.1696211979166669</v>
      </c>
    </row>
    <row r="380" spans="1:44" ht="14.25" customHeight="1" x14ac:dyDescent="0.35">
      <c r="A380" s="1" t="s">
        <v>15</v>
      </c>
      <c r="B380" s="1" t="s">
        <v>17</v>
      </c>
      <c r="C380" s="1" t="s">
        <v>14</v>
      </c>
      <c r="D380" s="1" t="s">
        <v>15</v>
      </c>
      <c r="E380" s="1" t="s">
        <v>41</v>
      </c>
      <c r="F380" s="1">
        <v>1.0345</v>
      </c>
      <c r="G380" s="1">
        <v>1.10345</v>
      </c>
      <c r="H380" s="1">
        <v>1.1876</v>
      </c>
      <c r="I380" s="1">
        <v>1.1876899999999999</v>
      </c>
      <c r="J380" s="1">
        <v>1.1665700000000001</v>
      </c>
      <c r="K380" s="1">
        <v>1.17313</v>
      </c>
      <c r="L380" s="1">
        <v>1.1947399999999999</v>
      </c>
      <c r="M380" s="1">
        <v>1.1618200000000001</v>
      </c>
      <c r="N380" s="1">
        <v>1.10345</v>
      </c>
      <c r="O380" s="1">
        <v>1.1876</v>
      </c>
      <c r="P380" s="1">
        <v>1.1876899999999999</v>
      </c>
      <c r="Q380" s="1">
        <v>1.1665700000000001</v>
      </c>
      <c r="R380" s="1">
        <v>1.17313</v>
      </c>
      <c r="S380" s="1">
        <v>1.1947399999999999</v>
      </c>
      <c r="T380" s="1">
        <v>1.1618200000000001</v>
      </c>
      <c r="U380" s="1">
        <v>1.10345</v>
      </c>
      <c r="V380" s="1">
        <v>1.1876</v>
      </c>
      <c r="W380" s="1">
        <v>1.1876899999999999</v>
      </c>
      <c r="X380" s="1">
        <v>1.1665700000000001</v>
      </c>
      <c r="Y380" s="1">
        <v>1.17313</v>
      </c>
      <c r="Z380" s="1">
        <v>1.1947399999999999</v>
      </c>
      <c r="AA380" s="1">
        <v>1.1618200000000001</v>
      </c>
      <c r="AB380" s="1">
        <v>1.10345</v>
      </c>
      <c r="AC380" s="1">
        <v>1.1876</v>
      </c>
      <c r="AD380" s="1">
        <v>1.1876899999999999</v>
      </c>
      <c r="AE380" s="1">
        <v>1.1665700000000001</v>
      </c>
      <c r="AF380" s="1">
        <v>1.17313</v>
      </c>
      <c r="AG380" s="1">
        <v>1.1947399999999999</v>
      </c>
      <c r="AH380" s="1">
        <v>1.1618200000000001</v>
      </c>
      <c r="AI380" s="1">
        <v>1.10345</v>
      </c>
      <c r="AL380" s="4" t="s">
        <v>25</v>
      </c>
      <c r="AM380" s="6" t="str" cm="1">
        <f t="array" ref="AM380">IFERROR((SUMPRODUCT(($B$358:$B$381=AM$356)*($F$355:$AI$355="")*$F$358:$AI$381)+IF(AM$356="P6",SUMPRODUCT(($F$355:$AI$355="P6")*$F$358:$AI$381),0))/(SUMPRODUCT(($B$358:$B$381=AM$356)*($F$355:$AI$355=""))+IF(AM$356="P6",COUNTIF($F$355:$AI$355,"P6")*ROWS($B$358:$B$381),0)),"")</f>
        <v/>
      </c>
      <c r="AN380" s="6" t="str" cm="1">
        <f t="array" ref="AN380">IFERROR((SUMPRODUCT(($B$358:$B$381=AN$356)*($F$355:$AI$355="")*$F$358:$AI$381)+IF(AN$356="P6",SUMPRODUCT(($F$355:$AI$355="P6")*$F$358:$AI$381),0))/(SUMPRODUCT(($B$358:$B$381=AN$356)*($F$355:$AI$355=""))+IF(AN$356="P6",COUNTIF($F$355:$AI$355,"P6")*ROWS($B$358:$B$381),0)),"")</f>
        <v/>
      </c>
      <c r="AO380" s="6" t="str" cm="1">
        <f t="array" ref="AO380">IFERROR((SUMPRODUCT(($B$358:$B$381=AO$356)*($F$355:$AI$355="")*$F$358:$AI$381)+IF(AO$356="P6",SUMPRODUCT(($F$355:$AI$355="P6")*$F$358:$AI$381),0))/(SUMPRODUCT(($B$358:$B$381=AO$356)*($F$355:$AI$355=""))+IF(AO$356="P6",COUNTIF($F$355:$AI$355,"P6")*ROWS($B$358:$B$381),0)),"")</f>
        <v/>
      </c>
      <c r="AP380" s="6" cm="1">
        <f t="array" ref="AP380">IFERROR((SUMPRODUCT(($B$358:$B$381=AP$356)*($F$355:$AI$355="")*$F$358:$AI$381)+IF(AP$356="P6",SUMPRODUCT(($F$355:$AI$355="P6")*$F$358:$AI$381),0))/(SUMPRODUCT(($B$358:$B$381=AP$356)*($F$355:$AI$355=""))+IF(AP$356="P6",COUNTIF($F$355:$AI$355,"P6")*ROWS($B$358:$B$381),0)),"")</f>
        <v>1.0443694708994711</v>
      </c>
      <c r="AQ380" s="6" cm="1">
        <f t="array" ref="AQ380">IFERROR((SUMPRODUCT(($B$358:$B$381=AQ$356)*($F$355:$AI$355="")*$F$358:$AI$381)+IF(AQ$356="P6",SUMPRODUCT(($F$355:$AI$355="P6")*$F$358:$AI$381),0))/(SUMPRODUCT(($B$358:$B$381=AQ$356)*($F$355:$AI$355=""))+IF(AQ$356="P6",COUNTIF($F$355:$AI$355,"P6")*ROWS($B$358:$B$381),0)),"")</f>
        <v>1.1146206122448983</v>
      </c>
      <c r="AR380" s="6" cm="1">
        <f t="array" ref="AR380">IFERROR((SUMPRODUCT(($B$358:$B$381=AR$356)*($F$355:$AI$355="")*$F$358:$AI$381)+IF(AR$356="P6",SUMPRODUCT(($F$355:$AI$355="P6")*$F$358:$AI$381),0))/(SUMPRODUCT(($B$358:$B$381=AR$356)*($F$355:$AI$355=""))+IF(AR$356="P6",COUNTIF($F$355:$AI$355,"P6")*ROWS($B$358:$B$381),0)),"")</f>
        <v>1.1696211979166669</v>
      </c>
    </row>
    <row r="381" spans="1:44" ht="14.25" customHeight="1" x14ac:dyDescent="0.35">
      <c r="A381" s="1" t="s">
        <v>15</v>
      </c>
      <c r="B381" s="1" t="s">
        <v>17</v>
      </c>
      <c r="C381" s="1" t="s">
        <v>14</v>
      </c>
      <c r="D381" s="1" t="s">
        <v>15</v>
      </c>
      <c r="E381" s="1" t="s">
        <v>42</v>
      </c>
      <c r="F381" s="1">
        <v>1.0720499999999999</v>
      </c>
      <c r="G381" s="1">
        <v>1.13619</v>
      </c>
      <c r="H381" s="1">
        <v>1.22658</v>
      </c>
      <c r="I381" s="1">
        <v>1.2190099999999999</v>
      </c>
      <c r="J381" s="1">
        <v>1.2148399999999999</v>
      </c>
      <c r="K381" s="1">
        <v>1.22065</v>
      </c>
      <c r="L381" s="1">
        <v>1.2250300000000001</v>
      </c>
      <c r="M381" s="1">
        <v>1.1943900000000001</v>
      </c>
      <c r="N381" s="1">
        <v>1.13619</v>
      </c>
      <c r="O381" s="1">
        <v>1.22658</v>
      </c>
      <c r="P381" s="1">
        <v>1.2190099999999999</v>
      </c>
      <c r="Q381" s="1">
        <v>1.2148399999999999</v>
      </c>
      <c r="R381" s="1">
        <v>1.22065</v>
      </c>
      <c r="S381" s="1">
        <v>1.2250300000000001</v>
      </c>
      <c r="T381" s="1">
        <v>1.1943900000000001</v>
      </c>
      <c r="U381" s="1">
        <v>1.13619</v>
      </c>
      <c r="V381" s="1">
        <v>1.22658</v>
      </c>
      <c r="W381" s="1">
        <v>1.2190099999999999</v>
      </c>
      <c r="X381" s="1">
        <v>1.2148399999999999</v>
      </c>
      <c r="Y381" s="1">
        <v>1.22065</v>
      </c>
      <c r="Z381" s="1">
        <v>1.2250300000000001</v>
      </c>
      <c r="AA381" s="1">
        <v>1.1943900000000001</v>
      </c>
      <c r="AB381" s="1">
        <v>1.13619</v>
      </c>
      <c r="AC381" s="1">
        <v>1.22658</v>
      </c>
      <c r="AD381" s="1">
        <v>1.2190099999999999</v>
      </c>
      <c r="AE381" s="1">
        <v>1.2148399999999999</v>
      </c>
      <c r="AF381" s="1">
        <v>1.22065</v>
      </c>
      <c r="AG381" s="1">
        <v>1.2250300000000001</v>
      </c>
      <c r="AH381" s="1">
        <v>1.1943900000000001</v>
      </c>
      <c r="AI381" s="1">
        <v>1.13619</v>
      </c>
      <c r="AL381" s="4" t="s">
        <v>27</v>
      </c>
      <c r="AM381" s="6" t="str" cm="1">
        <f t="array" ref="AM381">IFERROR((SUMPRODUCT(($B$358:$B$381=AM$356)*($F$355:$AI$355="")*$F$358:$AI$381)+IF(AM$356="P6",SUMPRODUCT(($F$355:$AI$355="P6")*$F$358:$AI$381),0))/(SUMPRODUCT(($B$358:$B$381=AM$356)*($F$355:$AI$355=""))+IF(AM$356="P6",COUNTIF($F$355:$AI$355,"P6")*ROWS($B$358:$B$381),0)),"")</f>
        <v/>
      </c>
      <c r="AN381" s="6" t="str" cm="1">
        <f t="array" ref="AN381">IFERROR((SUMPRODUCT(($B$358:$B$381=AN$356)*($F$355:$AI$355="")*$F$358:$AI$381)+IF(AN$356="P6",SUMPRODUCT(($F$355:$AI$355="P6")*$F$358:$AI$381),0))/(SUMPRODUCT(($B$358:$B$381=AN$356)*($F$355:$AI$355=""))+IF(AN$356="P6",COUNTIF($F$355:$AI$355,"P6")*ROWS($B$358:$B$381),0)),"")</f>
        <v/>
      </c>
      <c r="AO381" s="6" t="str" cm="1">
        <f t="array" ref="AO381">IFERROR((SUMPRODUCT(($B$358:$B$381=AO$356)*($F$355:$AI$355="")*$F$358:$AI$381)+IF(AO$356="P6",SUMPRODUCT(($F$355:$AI$355="P6")*$F$358:$AI$381),0))/(SUMPRODUCT(($B$358:$B$381=AO$356)*($F$355:$AI$355=""))+IF(AO$356="P6",COUNTIF($F$355:$AI$355,"P6")*ROWS($B$358:$B$381),0)),"")</f>
        <v/>
      </c>
      <c r="AP381" s="6" cm="1">
        <f t="array" ref="AP381">IFERROR((SUMPRODUCT(($B$358:$B$381=AP$356)*($F$355:$AI$355="")*$F$358:$AI$381)+IF(AP$356="P6",SUMPRODUCT(($F$355:$AI$355="P6")*$F$358:$AI$381),0))/(SUMPRODUCT(($B$358:$B$381=AP$356)*($F$355:$AI$355=""))+IF(AP$356="P6",COUNTIF($F$355:$AI$355,"P6")*ROWS($B$358:$B$381),0)),"")</f>
        <v>1.0443694708994711</v>
      </c>
      <c r="AQ381" s="6" cm="1">
        <f t="array" ref="AQ381">IFERROR((SUMPRODUCT(($B$358:$B$381=AQ$356)*($F$355:$AI$355="")*$F$358:$AI$381)+IF(AQ$356="P6",SUMPRODUCT(($F$355:$AI$355="P6")*$F$358:$AI$381),0))/(SUMPRODUCT(($B$358:$B$381=AQ$356)*($F$355:$AI$355=""))+IF(AQ$356="P6",COUNTIF($F$355:$AI$355,"P6")*ROWS($B$358:$B$381),0)),"")</f>
        <v>1.1146206122448983</v>
      </c>
      <c r="AR381" s="6" cm="1">
        <f t="array" ref="AR381">IFERROR((SUMPRODUCT(($B$358:$B$381=AR$356)*($F$355:$AI$355="")*$F$358:$AI$381)+IF(AR$356="P6",SUMPRODUCT(($F$355:$AI$355="P6")*$F$358:$AI$381),0))/(SUMPRODUCT(($B$358:$B$381=AR$356)*($F$355:$AI$355=""))+IF(AR$356="P6",COUNTIF($F$355:$AI$355,"P6")*ROWS($B$358:$B$381),0)),"")</f>
        <v>1.1696211979166669</v>
      </c>
    </row>
    <row r="382" spans="1:44" ht="14.25" customHeight="1" x14ac:dyDescent="0.35">
      <c r="AL382" s="4" t="s">
        <v>29</v>
      </c>
      <c r="AM382" s="6" t="str" cm="1">
        <f t="array" ref="AM382">IFERROR((SUMPRODUCT(($B$358:$B$381=AM$356)*($F$355:$AI$355="")*$F$358:$AI$381)+IF(AM$356="P6",SUMPRODUCT(($F$355:$AI$355="P6")*$F$358:$AI$381),0))/(SUMPRODUCT(($B$358:$B$381=AM$356)*($F$355:$AI$355=""))+IF(AM$356="P6",COUNTIF($F$355:$AI$355,"P6")*ROWS($B$358:$B$381),0)),"")</f>
        <v/>
      </c>
      <c r="AN382" s="6" t="str" cm="1">
        <f t="array" ref="AN382">IFERROR((SUMPRODUCT(($B$358:$B$381=AN$356)*($F$355:$AI$355="")*$F$358:$AI$381)+IF(AN$356="P6",SUMPRODUCT(($F$355:$AI$355="P6")*$F$358:$AI$381),0))/(SUMPRODUCT(($B$358:$B$381=AN$356)*($F$355:$AI$355=""))+IF(AN$356="P6",COUNTIF($F$355:$AI$355,"P6")*ROWS($B$358:$B$381),0)),"")</f>
        <v/>
      </c>
      <c r="AO382" s="6" t="str" cm="1">
        <f t="array" ref="AO382">IFERROR((SUMPRODUCT(($B$358:$B$381=AO$356)*($F$355:$AI$355="")*$F$358:$AI$381)+IF(AO$356="P6",SUMPRODUCT(($F$355:$AI$355="P6")*$F$358:$AI$381),0))/(SUMPRODUCT(($B$358:$B$381=AO$356)*($F$355:$AI$355=""))+IF(AO$356="P6",COUNTIF($F$355:$AI$355,"P6")*ROWS($B$358:$B$381),0)),"")</f>
        <v/>
      </c>
      <c r="AP382" s="6" cm="1">
        <f t="array" ref="AP382">IFERROR((SUMPRODUCT(($B$358:$B$381=AP$356)*($F$355:$AI$355="")*$F$358:$AI$381)+IF(AP$356="P6",SUMPRODUCT(($F$355:$AI$355="P6")*$F$358:$AI$381),0))/(SUMPRODUCT(($B$358:$B$381=AP$356)*($F$355:$AI$355=""))+IF(AP$356="P6",COUNTIF($F$355:$AI$355,"P6")*ROWS($B$358:$B$381),0)),"")</f>
        <v>1.0443694708994711</v>
      </c>
      <c r="AQ382" s="6" cm="1">
        <f t="array" ref="AQ382">IFERROR((SUMPRODUCT(($B$358:$B$381=AQ$356)*($F$355:$AI$355="")*$F$358:$AI$381)+IF(AQ$356="P6",SUMPRODUCT(($F$355:$AI$355="P6")*$F$358:$AI$381),0))/(SUMPRODUCT(($B$358:$B$381=AQ$356)*($F$355:$AI$355=""))+IF(AQ$356="P6",COUNTIF($F$355:$AI$355,"P6")*ROWS($B$358:$B$381),0)),"")</f>
        <v>1.1146206122448983</v>
      </c>
      <c r="AR382" s="6" cm="1">
        <f t="array" ref="AR382">IFERROR((SUMPRODUCT(($B$358:$B$381=AR$356)*($F$355:$AI$355="")*$F$358:$AI$381)+IF(AR$356="P6",SUMPRODUCT(($F$355:$AI$355="P6")*$F$358:$AI$381),0))/(SUMPRODUCT(($B$358:$B$381=AR$356)*($F$355:$AI$355=""))+IF(AR$356="P6",COUNTIF($F$355:$AI$355,"P6")*ROWS($B$358:$B$381),0)),"")</f>
        <v>1.1696211979166669</v>
      </c>
    </row>
    <row r="386" spans="1:44" ht="14.25" customHeight="1" x14ac:dyDescent="0.35">
      <c r="A386" s="15" t="s">
        <v>248</v>
      </c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</row>
    <row r="387" spans="1:44" ht="14.25" customHeight="1" x14ac:dyDescent="0.3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</row>
    <row r="388" spans="1:44" ht="14.25" customHeight="1" x14ac:dyDescent="0.35">
      <c r="AL388" s="10"/>
      <c r="AM388" s="10"/>
      <c r="AN388" s="10"/>
      <c r="AO388" s="10"/>
      <c r="AP388" s="10"/>
      <c r="AQ388" s="10"/>
      <c r="AR388" s="10"/>
    </row>
    <row r="389" spans="1:44" ht="14.25" customHeight="1" x14ac:dyDescent="0.35">
      <c r="F389" s="1" t="str">
        <f>IF(OR(F391="S",F391="D",F392=DATE(2023,12,6),F392=DATE(2023,12,8),F392=DATE(2023,12,25)),"P3","")</f>
        <v/>
      </c>
      <c r="G389" s="1" t="str">
        <f t="shared" ref="G389:AJ389" si="38">IF(OR(G391="S",G391="D",G392=DATE(2023,12,6),G392=DATE(2023,12,8),G392=DATE(2023,12,25)),"P3","")</f>
        <v>P3</v>
      </c>
      <c r="H389" s="1" t="str">
        <f t="shared" si="38"/>
        <v>P3</v>
      </c>
      <c r="I389" s="1" t="str">
        <f t="shared" si="38"/>
        <v/>
      </c>
      <c r="J389" s="1" t="str">
        <f t="shared" si="38"/>
        <v/>
      </c>
      <c r="K389" s="1" t="str">
        <f t="shared" si="38"/>
        <v>P3</v>
      </c>
      <c r="L389" s="1" t="str">
        <f t="shared" si="38"/>
        <v/>
      </c>
      <c r="M389" s="1" t="str">
        <f t="shared" si="38"/>
        <v>P3</v>
      </c>
      <c r="N389" s="1" t="str">
        <f t="shared" si="38"/>
        <v>P3</v>
      </c>
      <c r="O389" s="1" t="str">
        <f t="shared" si="38"/>
        <v>P3</v>
      </c>
      <c r="P389" s="1" t="str">
        <f t="shared" si="38"/>
        <v/>
      </c>
      <c r="Q389" s="1" t="str">
        <f t="shared" si="38"/>
        <v/>
      </c>
      <c r="R389" s="1" t="str">
        <f t="shared" si="38"/>
        <v/>
      </c>
      <c r="S389" s="1" t="str">
        <f t="shared" si="38"/>
        <v/>
      </c>
      <c r="T389" s="1" t="str">
        <f t="shared" si="38"/>
        <v/>
      </c>
      <c r="U389" s="1" t="str">
        <f t="shared" si="38"/>
        <v>P3</v>
      </c>
      <c r="V389" s="1" t="str">
        <f t="shared" si="38"/>
        <v>P3</v>
      </c>
      <c r="W389" s="1" t="str">
        <f t="shared" si="38"/>
        <v/>
      </c>
      <c r="X389" s="1" t="str">
        <f t="shared" si="38"/>
        <v/>
      </c>
      <c r="Y389" s="1" t="str">
        <f t="shared" si="38"/>
        <v/>
      </c>
      <c r="Z389" s="1" t="str">
        <f t="shared" si="38"/>
        <v/>
      </c>
      <c r="AA389" s="1" t="str">
        <f t="shared" si="38"/>
        <v/>
      </c>
      <c r="AB389" s="1" t="str">
        <f t="shared" si="38"/>
        <v>P3</v>
      </c>
      <c r="AC389" s="1" t="str">
        <f t="shared" si="38"/>
        <v>P3</v>
      </c>
      <c r="AD389" s="1" t="str">
        <f t="shared" si="38"/>
        <v>P3</v>
      </c>
      <c r="AE389" s="1" t="str">
        <f t="shared" si="38"/>
        <v/>
      </c>
      <c r="AF389" s="1" t="str">
        <f t="shared" si="38"/>
        <v/>
      </c>
      <c r="AG389" s="1" t="str">
        <f t="shared" si="38"/>
        <v/>
      </c>
      <c r="AH389" s="1" t="str">
        <f t="shared" si="38"/>
        <v/>
      </c>
      <c r="AI389" s="1" t="str">
        <f t="shared" si="38"/>
        <v>P3</v>
      </c>
      <c r="AJ389" s="1" t="str">
        <f t="shared" si="38"/>
        <v>P3</v>
      </c>
      <c r="AL389" s="10"/>
      <c r="AM389" s="10"/>
      <c r="AN389" s="10"/>
      <c r="AO389" s="10"/>
      <c r="AP389" s="10"/>
      <c r="AQ389" s="10"/>
      <c r="AR389" s="10"/>
    </row>
    <row r="390" spans="1:44" ht="14.25" customHeight="1" x14ac:dyDescent="0.35">
      <c r="F390" s="1" t="str">
        <f>IF(OR(F391="S",F391="D",F392=DATE(2023,12,6),F392=DATE(2023,12,8),F392=DATE(2023,12,25)),"P6","")</f>
        <v/>
      </c>
      <c r="G390" s="1" t="str">
        <f t="shared" ref="G390:AJ390" si="39">IF(OR(G391="S",G391="D",G392=DATE(2023,12,6),G392=DATE(2023,12,8),G392=DATE(2023,12,25)),"P6","")</f>
        <v>P6</v>
      </c>
      <c r="H390" s="1" t="str">
        <f t="shared" si="39"/>
        <v>P6</v>
      </c>
      <c r="I390" s="1" t="str">
        <f t="shared" si="39"/>
        <v/>
      </c>
      <c r="J390" s="1" t="str">
        <f t="shared" si="39"/>
        <v/>
      </c>
      <c r="K390" s="1" t="str">
        <f t="shared" si="39"/>
        <v>P6</v>
      </c>
      <c r="L390" s="1" t="str">
        <f t="shared" si="39"/>
        <v/>
      </c>
      <c r="M390" s="1" t="str">
        <f t="shared" si="39"/>
        <v>P6</v>
      </c>
      <c r="N390" s="1" t="str">
        <f t="shared" si="39"/>
        <v>P6</v>
      </c>
      <c r="O390" s="1" t="str">
        <f t="shared" si="39"/>
        <v>P6</v>
      </c>
      <c r="P390" s="1" t="str">
        <f t="shared" si="39"/>
        <v/>
      </c>
      <c r="Q390" s="1" t="str">
        <f t="shared" si="39"/>
        <v/>
      </c>
      <c r="R390" s="1" t="str">
        <f t="shared" si="39"/>
        <v/>
      </c>
      <c r="S390" s="1" t="str">
        <f t="shared" si="39"/>
        <v/>
      </c>
      <c r="T390" s="1" t="str">
        <f t="shared" si="39"/>
        <v/>
      </c>
      <c r="U390" s="1" t="str">
        <f t="shared" si="39"/>
        <v>P6</v>
      </c>
      <c r="V390" s="1" t="str">
        <f t="shared" si="39"/>
        <v>P6</v>
      </c>
      <c r="W390" s="1" t="str">
        <f t="shared" si="39"/>
        <v/>
      </c>
      <c r="X390" s="1" t="str">
        <f t="shared" si="39"/>
        <v/>
      </c>
      <c r="Y390" s="1" t="str">
        <f t="shared" si="39"/>
        <v/>
      </c>
      <c r="Z390" s="1" t="str">
        <f t="shared" si="39"/>
        <v/>
      </c>
      <c r="AA390" s="1" t="str">
        <f t="shared" si="39"/>
        <v/>
      </c>
      <c r="AB390" s="1" t="str">
        <f t="shared" si="39"/>
        <v>P6</v>
      </c>
      <c r="AC390" s="1" t="str">
        <f t="shared" si="39"/>
        <v>P6</v>
      </c>
      <c r="AD390" s="1" t="str">
        <f t="shared" si="39"/>
        <v>P6</v>
      </c>
      <c r="AE390" s="1" t="str">
        <f t="shared" si="39"/>
        <v/>
      </c>
      <c r="AF390" s="1" t="str">
        <f t="shared" si="39"/>
        <v/>
      </c>
      <c r="AG390" s="1" t="str">
        <f t="shared" si="39"/>
        <v/>
      </c>
      <c r="AH390" s="1" t="str">
        <f t="shared" si="39"/>
        <v/>
      </c>
      <c r="AI390" s="1" t="str">
        <f t="shared" si="39"/>
        <v>P6</v>
      </c>
      <c r="AJ390" s="1" t="str">
        <f t="shared" si="39"/>
        <v>P6</v>
      </c>
      <c r="AL390" s="14" t="s">
        <v>249</v>
      </c>
      <c r="AM390" s="14"/>
      <c r="AN390" s="14"/>
      <c r="AO390" s="14"/>
      <c r="AP390" s="14"/>
      <c r="AQ390" s="14"/>
      <c r="AR390" s="14"/>
    </row>
    <row r="391" spans="1:44" ht="14.25" customHeight="1" x14ac:dyDescent="0.35">
      <c r="F391" s="1" t="str">
        <f>CHOOSE(WEEKDAY(F392,2),"L","M","X","J","V","S","D")</f>
        <v>V</v>
      </c>
      <c r="G391" s="1" t="str">
        <f t="shared" ref="G391:AJ391" si="40">CHOOSE(WEEKDAY(G392,2),"L","M","X","J","V","S","D")</f>
        <v>S</v>
      </c>
      <c r="H391" s="1" t="str">
        <f t="shared" si="40"/>
        <v>D</v>
      </c>
      <c r="I391" s="1" t="str">
        <f t="shared" si="40"/>
        <v>L</v>
      </c>
      <c r="J391" s="1" t="str">
        <f t="shared" si="40"/>
        <v>M</v>
      </c>
      <c r="K391" s="1" t="str">
        <f t="shared" si="40"/>
        <v>X</v>
      </c>
      <c r="L391" s="1" t="str">
        <f t="shared" si="40"/>
        <v>J</v>
      </c>
      <c r="M391" s="1" t="str">
        <f t="shared" si="40"/>
        <v>V</v>
      </c>
      <c r="N391" s="1" t="str">
        <f t="shared" si="40"/>
        <v>S</v>
      </c>
      <c r="O391" s="1" t="str">
        <f t="shared" si="40"/>
        <v>D</v>
      </c>
      <c r="P391" s="1" t="str">
        <f t="shared" si="40"/>
        <v>L</v>
      </c>
      <c r="Q391" s="1" t="str">
        <f t="shared" si="40"/>
        <v>M</v>
      </c>
      <c r="R391" s="1" t="str">
        <f t="shared" si="40"/>
        <v>X</v>
      </c>
      <c r="S391" s="1" t="str">
        <f t="shared" si="40"/>
        <v>J</v>
      </c>
      <c r="T391" s="1" t="str">
        <f t="shared" si="40"/>
        <v>V</v>
      </c>
      <c r="U391" s="1" t="str">
        <f t="shared" si="40"/>
        <v>S</v>
      </c>
      <c r="V391" s="1" t="str">
        <f t="shared" si="40"/>
        <v>D</v>
      </c>
      <c r="W391" s="1" t="str">
        <f t="shared" si="40"/>
        <v>L</v>
      </c>
      <c r="X391" s="1" t="str">
        <f t="shared" si="40"/>
        <v>M</v>
      </c>
      <c r="Y391" s="1" t="str">
        <f t="shared" si="40"/>
        <v>X</v>
      </c>
      <c r="Z391" s="1" t="str">
        <f t="shared" si="40"/>
        <v>J</v>
      </c>
      <c r="AA391" s="1" t="str">
        <f t="shared" si="40"/>
        <v>V</v>
      </c>
      <c r="AB391" s="1" t="str">
        <f t="shared" si="40"/>
        <v>S</v>
      </c>
      <c r="AC391" s="1" t="str">
        <f t="shared" si="40"/>
        <v>D</v>
      </c>
      <c r="AD391" s="1" t="str">
        <f t="shared" si="40"/>
        <v>L</v>
      </c>
      <c r="AE391" s="1" t="str">
        <f t="shared" si="40"/>
        <v>M</v>
      </c>
      <c r="AF391" s="1" t="str">
        <f t="shared" si="40"/>
        <v>X</v>
      </c>
      <c r="AG391" s="1" t="str">
        <f t="shared" si="40"/>
        <v>J</v>
      </c>
      <c r="AH391" s="1" t="str">
        <f t="shared" si="40"/>
        <v>V</v>
      </c>
      <c r="AI391" s="1" t="str">
        <f t="shared" si="40"/>
        <v>S</v>
      </c>
      <c r="AJ391" s="1" t="str">
        <f t="shared" si="40"/>
        <v>D</v>
      </c>
      <c r="AL391" s="4"/>
      <c r="AM391" s="4" t="s">
        <v>13</v>
      </c>
      <c r="AN391" s="4" t="s">
        <v>14</v>
      </c>
      <c r="AO391" s="4" t="s">
        <v>15</v>
      </c>
      <c r="AP391" s="4" t="s">
        <v>16</v>
      </c>
      <c r="AQ391" s="4" t="s">
        <v>17</v>
      </c>
      <c r="AR391" s="4" t="s">
        <v>7</v>
      </c>
    </row>
    <row r="392" spans="1:44" ht="14.25" customHeight="1" x14ac:dyDescent="0.35">
      <c r="A392" s="3" t="s">
        <v>76</v>
      </c>
      <c r="B392" s="3" t="s">
        <v>77</v>
      </c>
      <c r="C392" s="3" t="s">
        <v>75</v>
      </c>
      <c r="D392" s="3" t="s">
        <v>74</v>
      </c>
      <c r="F392" s="8">
        <v>45261</v>
      </c>
      <c r="G392" s="8">
        <v>45262</v>
      </c>
      <c r="H392" s="8">
        <v>45263</v>
      </c>
      <c r="I392" s="8">
        <v>45264</v>
      </c>
      <c r="J392" s="8">
        <v>45265</v>
      </c>
      <c r="K392" s="8">
        <v>45266</v>
      </c>
      <c r="L392" s="8">
        <v>45267</v>
      </c>
      <c r="M392" s="8">
        <v>45268</v>
      </c>
      <c r="N392" s="8">
        <v>45269</v>
      </c>
      <c r="O392" s="8">
        <v>45270</v>
      </c>
      <c r="P392" s="8">
        <v>45271</v>
      </c>
      <c r="Q392" s="8">
        <v>45272</v>
      </c>
      <c r="R392" s="8">
        <v>45273</v>
      </c>
      <c r="S392" s="8">
        <v>45274</v>
      </c>
      <c r="T392" s="8">
        <v>45275</v>
      </c>
      <c r="U392" s="8">
        <v>45276</v>
      </c>
      <c r="V392" s="8">
        <v>45277</v>
      </c>
      <c r="W392" s="8">
        <v>45278</v>
      </c>
      <c r="X392" s="8">
        <v>45279</v>
      </c>
      <c r="Y392" s="8">
        <v>45280</v>
      </c>
      <c r="Z392" s="8">
        <v>45281</v>
      </c>
      <c r="AA392" s="8">
        <v>45282</v>
      </c>
      <c r="AB392" s="8">
        <v>45283</v>
      </c>
      <c r="AC392" s="8">
        <v>45284</v>
      </c>
      <c r="AD392" s="8">
        <v>45285</v>
      </c>
      <c r="AE392" s="8">
        <v>45286</v>
      </c>
      <c r="AF392" s="8">
        <v>45287</v>
      </c>
      <c r="AG392" s="8">
        <v>45288</v>
      </c>
      <c r="AH392" s="8">
        <v>45289</v>
      </c>
      <c r="AI392" s="8">
        <v>45290</v>
      </c>
      <c r="AJ392" s="8">
        <v>45291</v>
      </c>
      <c r="AL392" s="4" t="s">
        <v>19</v>
      </c>
      <c r="AM392" s="6" cm="1">
        <f t="array" ref="AM392">IFERROR((SUMPRODUCT(($C$393:$C$416=AM$391)*($F$389:$AJ$389="")*$F$393:$AJ$416)+IF(AM$391="P3",SUMPRODUCT(($F$389:$AJ$389="P3")*$F$393:$AJ$416),0))/(SUMPRODUCT(($C$393:$C$416=AM$391)*($F$389:$AJ$389=""))+IF(AM$391="P3",COUNTIF($F$389:$AJ$389,"P3")*ROWS($C$393:$C$416),0)),"")</f>
        <v>1.1418815972222225</v>
      </c>
      <c r="AN392" s="6" cm="1">
        <f t="array" ref="AN392">IFERROR((SUMPRODUCT(($C$393:$C$416=AN$391)*($F$389:$AJ$389="")*$F$393:$AJ$416)+IF(AN$391="P3",SUMPRODUCT(($F$389:$AJ$389="P3")*$F$393:$AJ$416),0))/(SUMPRODUCT(($C$393:$C$416=AN$391)*($F$389:$AJ$389=""))+IF(AN$391="P3",COUNTIF($F$389:$AJ$389,"P3")*ROWS($C$393:$C$416),0)),"")</f>
        <v>1.2164304166666664</v>
      </c>
      <c r="AO392" s="6" cm="1">
        <f t="array" ref="AO392">IFERROR((SUMPRODUCT(($C$393:$C$416=AO$391)*($F$389:$AJ$389="")*$F$393:$AJ$416)+IF(AO$391="P3",SUMPRODUCT(($F$389:$AJ$389="P3")*$F$393:$AJ$416),0))/(SUMPRODUCT(($C$393:$C$416=AO$391)*($F$389:$AJ$389=""))+IF(AO$391="P3",COUNTIF($F$389:$AJ$389,"P3")*ROWS($C$393:$C$416),0)),"")</f>
        <v>1.3167336184210527</v>
      </c>
      <c r="AP392" s="6" t="str" cm="1">
        <f t="array" ref="AP392">IFERROR((SUMPRODUCT(($C$393:$C$416=AP$391)*($F$389:$AJ$389="")*$F$393:$AJ$416)+IF(AP$391="P3",SUMPRODUCT(($F$389:$AJ$389="P3")*$F$393:$AJ$416),0))/(SUMPRODUCT(($C$393:$C$416=AP$391)*($F$389:$AJ$389=""))+IF(AP$391="P3",COUNTIF($F$389:$AJ$389,"P3")*ROWS($C$393:$C$416),0)),"")</f>
        <v/>
      </c>
      <c r="AQ392" s="6" t="str" cm="1">
        <f t="array" ref="AQ392">IFERROR((SUMPRODUCT(($C$393:$C$416=AQ$391)*($F$389:$AJ$389="")*$F$393:$AJ$416)+IF(AQ$391="P3",SUMPRODUCT(($F$389:$AJ$389="P3")*$F$393:$AJ$416),0))/(SUMPRODUCT(($C$393:$C$416=AQ$391)*($F$389:$AJ$389=""))+IF(AQ$391="P3",COUNTIF($F$389:$AJ$389,"P3")*ROWS($C$393:$C$416),0)),"")</f>
        <v/>
      </c>
      <c r="AR392" s="6" t="str" cm="1">
        <f t="array" ref="AR392">IFERROR((SUMPRODUCT(($C$393:$C$416=AR$391)*($F$389:$AJ$389="")*$F$393:$AJ$416)+IF(AR$391="P3",SUMPRODUCT(($F$389:$AJ$389="P3")*$F$393:$AJ$416),0))/(SUMPRODUCT(($C$393:$C$416=AR$391)*($F$389:$AJ$389=""))+IF(AR$391="P3",COUNTIF($F$389:$AJ$389,"P3")*ROWS($C$393:$C$416),0)),"")</f>
        <v/>
      </c>
    </row>
    <row r="393" spans="1:44" ht="14.25" customHeight="1" x14ac:dyDescent="0.35">
      <c r="A393" s="1" t="s">
        <v>7</v>
      </c>
      <c r="B393" s="1" t="s">
        <v>7</v>
      </c>
      <c r="C393" s="1" t="s">
        <v>15</v>
      </c>
      <c r="D393" s="1" t="s">
        <v>7</v>
      </c>
      <c r="E393" s="1" t="s">
        <v>8</v>
      </c>
      <c r="F393" s="1">
        <v>1.3326899999999999</v>
      </c>
      <c r="G393" s="1">
        <v>1.33707</v>
      </c>
      <c r="H393" s="1">
        <v>1.36032</v>
      </c>
      <c r="I393" s="1">
        <v>1.34788</v>
      </c>
      <c r="J393" s="1">
        <v>1.3393699999999999</v>
      </c>
      <c r="K393" s="1">
        <v>1.2656499999999999</v>
      </c>
      <c r="L393" s="1">
        <v>1.3412999999999999</v>
      </c>
      <c r="M393" s="1">
        <v>1.26885</v>
      </c>
      <c r="N393" s="1">
        <v>1.33707</v>
      </c>
      <c r="O393" s="1">
        <v>1.36032</v>
      </c>
      <c r="P393" s="1">
        <v>1.34788</v>
      </c>
      <c r="Q393" s="1">
        <v>1.3393699999999999</v>
      </c>
      <c r="R393" s="1">
        <v>1.3224</v>
      </c>
      <c r="S393" s="1">
        <v>1.3412999999999999</v>
      </c>
      <c r="T393" s="1">
        <v>1.3326899999999999</v>
      </c>
      <c r="U393" s="1">
        <v>1.33707</v>
      </c>
      <c r="V393" s="1">
        <v>1.36032</v>
      </c>
      <c r="W393" s="1">
        <v>1.34788</v>
      </c>
      <c r="X393" s="1">
        <v>1.3393699999999999</v>
      </c>
      <c r="Y393" s="1">
        <v>1.3224</v>
      </c>
      <c r="Z393" s="1">
        <v>1.3412999999999999</v>
      </c>
      <c r="AA393" s="1">
        <v>1.3326899999999999</v>
      </c>
      <c r="AB393" s="1">
        <v>1.33707</v>
      </c>
      <c r="AC393" s="1">
        <v>1.36032</v>
      </c>
      <c r="AD393" s="1">
        <v>1.3430800000000001</v>
      </c>
      <c r="AE393" s="1">
        <v>1.3393699999999999</v>
      </c>
      <c r="AF393" s="1">
        <v>1.3224</v>
      </c>
      <c r="AG393" s="1">
        <v>1.3412999999999999</v>
      </c>
      <c r="AH393" s="1">
        <v>1.3326899999999999</v>
      </c>
      <c r="AI393" s="1">
        <v>1.33707</v>
      </c>
      <c r="AJ393" s="1">
        <v>1.36032</v>
      </c>
      <c r="AL393" s="4" t="s">
        <v>21</v>
      </c>
      <c r="AM393" s="6" cm="1">
        <f t="array" ref="AM393">IFERROR((SUMPRODUCT(($D$393:$D$416=AM$391)*($F$390:$AJ$390="")*$F$393:$AJ$416)+IF(AM$391="P6",SUMPRODUCT(($F$390:$AJ$390="P6")*$F$393:$AJ$416),0))/(SUMPRODUCT(($D$393:$D$416=AM$391)*($F$390:$AJ$390=""))+IF(AM$391="P6",COUNTIF($F$390:$AJ$390,"P6")*ROWS($D$393:$D$416),0)),"")</f>
        <v>1.1422650000000005</v>
      </c>
      <c r="AN393" s="6" cm="1">
        <f t="array" ref="AN393">IFERROR((SUMPRODUCT(($D$393:$D$416=AN$391)*($F$390:$AJ$390="")*$F$393:$AJ$416)+IF(AN$391="P6",SUMPRODUCT(($F$390:$AJ$390="P6")*$F$393:$AJ$416),0))/(SUMPRODUCT(($D$393:$D$416=AN$391)*($F$390:$AJ$390=""))+IF(AN$391="P6",COUNTIF($F$390:$AJ$390,"P6")*ROWS($D$393:$D$416),0)),"")</f>
        <v>1.2265873015873006</v>
      </c>
      <c r="AO393" s="6" t="str" cm="1">
        <f t="array" ref="AO393">IFERROR((SUMPRODUCT(($D$393:$D$416=AO$391)*($F$390:$AJ$390="")*$F$393:$AJ$416)+IF(AO$391="P6",SUMPRODUCT(($F$390:$AJ$390="P6")*$F$393:$AJ$416),0))/(SUMPRODUCT(($D$393:$D$416=AO$391)*($F$390:$AJ$390=""))+IF(AO$391="P6",COUNTIF($F$390:$AJ$390,"P6")*ROWS($D$393:$D$416),0)),"")</f>
        <v/>
      </c>
      <c r="AP393" s="6" t="str" cm="1">
        <f t="array" ref="AP393">IFERROR((SUMPRODUCT(($D$393:$D$416=AP$391)*($F$390:$AJ$390="")*$F$393:$AJ$416)+IF(AP$391="P6",SUMPRODUCT(($F$390:$AJ$390="P6")*$F$393:$AJ$416),0))/(SUMPRODUCT(($D$393:$D$416=AP$391)*($F$390:$AJ$390=""))+IF(AP$391="P6",COUNTIF($F$390:$AJ$390,"P6")*ROWS($D$393:$D$416),0)),"")</f>
        <v/>
      </c>
      <c r="AQ393" s="6" t="str" cm="1">
        <f t="array" ref="AQ393">IFERROR((SUMPRODUCT(($D$393:$D$416=AQ$391)*($F$390:$AJ$390="")*$F$393:$AJ$416)+IF(AQ$391="P6",SUMPRODUCT(($F$390:$AJ$390="P6")*$F$393:$AJ$416),0))/(SUMPRODUCT(($D$393:$D$416=AQ$391)*($F$390:$AJ$390=""))+IF(AQ$391="P6",COUNTIF($F$390:$AJ$390,"P6")*ROWS($D$393:$D$416),0)),"")</f>
        <v/>
      </c>
      <c r="AR393" s="6" cm="1">
        <f t="array" ref="AR393">IFERROR((SUMPRODUCT(($D$393:$D$416=AR$391)*($F$390:$AJ$390="")*$F$393:$AJ$416)+IF(AR$391="P6",SUMPRODUCT(($F$390:$AJ$390="P6")*$F$393:$AJ$416),0))/(SUMPRODUCT(($D$393:$D$416=AR$391)*($F$390:$AJ$390=""))+IF(AR$391="P6",COUNTIF($F$390:$AJ$390,"P6")*ROWS($D$393:$D$416),0)),"")</f>
        <v>1.3167336184210527</v>
      </c>
    </row>
    <row r="394" spans="1:44" ht="14.25" customHeight="1" x14ac:dyDescent="0.35">
      <c r="A394" s="1" t="s">
        <v>7</v>
      </c>
      <c r="B394" s="1" t="s">
        <v>7</v>
      </c>
      <c r="C394" s="1" t="s">
        <v>15</v>
      </c>
      <c r="D394" s="1" t="s">
        <v>7</v>
      </c>
      <c r="E394" s="1" t="s">
        <v>9</v>
      </c>
      <c r="F394" s="1">
        <v>1.40204</v>
      </c>
      <c r="G394" s="1">
        <v>1.3915999999999999</v>
      </c>
      <c r="H394" s="1">
        <v>1.43458</v>
      </c>
      <c r="I394" s="1">
        <v>1.42066</v>
      </c>
      <c r="J394" s="1">
        <v>1.4071199999999999</v>
      </c>
      <c r="K394" s="1">
        <v>1.32029</v>
      </c>
      <c r="L394" s="1">
        <v>1.3859600000000001</v>
      </c>
      <c r="M394" s="1">
        <v>1.3246</v>
      </c>
      <c r="N394" s="1">
        <v>1.3915999999999999</v>
      </c>
      <c r="O394" s="1">
        <v>1.43458</v>
      </c>
      <c r="P394" s="1">
        <v>1.42066</v>
      </c>
      <c r="Q394" s="1">
        <v>1.4071199999999999</v>
      </c>
      <c r="R394" s="1">
        <v>1.3861600000000001</v>
      </c>
      <c r="S394" s="1">
        <v>1.3859600000000001</v>
      </c>
      <c r="T394" s="1">
        <v>1.40204</v>
      </c>
      <c r="U394" s="1">
        <v>1.3915999999999999</v>
      </c>
      <c r="V394" s="1">
        <v>1.43458</v>
      </c>
      <c r="W394" s="1">
        <v>1.42066</v>
      </c>
      <c r="X394" s="1">
        <v>1.4071199999999999</v>
      </c>
      <c r="Y394" s="1">
        <v>1.3861600000000001</v>
      </c>
      <c r="Z394" s="1">
        <v>1.3859600000000001</v>
      </c>
      <c r="AA394" s="1">
        <v>1.40204</v>
      </c>
      <c r="AB394" s="1">
        <v>1.3915999999999999</v>
      </c>
      <c r="AC394" s="1">
        <v>1.43458</v>
      </c>
      <c r="AD394" s="1">
        <v>1.4123699999999999</v>
      </c>
      <c r="AE394" s="1">
        <v>1.4071199999999999</v>
      </c>
      <c r="AF394" s="1">
        <v>1.3861600000000001</v>
      </c>
      <c r="AG394" s="1">
        <v>1.3859600000000001</v>
      </c>
      <c r="AH394" s="1">
        <v>1.40204</v>
      </c>
      <c r="AI394" s="1">
        <v>1.3915999999999999</v>
      </c>
      <c r="AJ394" s="1">
        <v>1.43458</v>
      </c>
      <c r="AL394" s="4" t="s">
        <v>23</v>
      </c>
      <c r="AM394" s="6" cm="1">
        <f t="array" ref="AM394">IFERROR((SUMPRODUCT(($D$393:$D$416=AM$391)*($F$390:$AJ$390="")*$F$393:$AJ$416)+IF(AM$391="P6",SUMPRODUCT(($F$390:$AJ$390="P6")*$F$393:$AJ$416),0))/(SUMPRODUCT(($D$393:$D$416=AM$391)*($F$390:$AJ$390=""))+IF(AM$391="P6",COUNTIF($F$390:$AJ$390,"P6")*ROWS($D$393:$D$416),0)),"")</f>
        <v>1.1422650000000005</v>
      </c>
      <c r="AN394" s="6" cm="1">
        <f t="array" ref="AN394">IFERROR((SUMPRODUCT(($D$393:$D$416=AN$391)*($F$390:$AJ$390="")*$F$393:$AJ$416)+IF(AN$391="P6",SUMPRODUCT(($F$390:$AJ$390="P6")*$F$393:$AJ$416),0))/(SUMPRODUCT(($D$393:$D$416=AN$391)*($F$390:$AJ$390=""))+IF(AN$391="P6",COUNTIF($F$390:$AJ$390,"P6")*ROWS($D$393:$D$416),0)),"")</f>
        <v>1.2265873015873006</v>
      </c>
      <c r="AO394" s="5" t="str" cm="1">
        <f t="array" ref="AO394">IFERROR((SUMPRODUCT(($D$393:$D$416=AO$391)*($F$390:$AJ$390="")*$F$393:$AJ$416)+IF(AO$391="P6",SUMPRODUCT(($F$390:$AJ$390="P6")*$F$393:$AJ$416),0))/(SUMPRODUCT(($D$393:$D$416=AO$391)*($F$390:$AJ$390=""))+IF(AO$391="P6",COUNTIF($F$390:$AJ$390,"P6")*ROWS($D$393:$D$416),0)),"")</f>
        <v/>
      </c>
      <c r="AP394" s="5" t="str" cm="1">
        <f t="array" ref="AP394">IFERROR((SUMPRODUCT(($D$393:$D$416=AP$391)*($F$390:$AJ$390="")*$F$393:$AJ$416)+IF(AP$391="P6",SUMPRODUCT(($F$390:$AJ$390="P6")*$F$393:$AJ$416),0))/(SUMPRODUCT(($D$393:$D$416=AP$391)*($F$390:$AJ$390=""))+IF(AP$391="P6",COUNTIF($F$390:$AJ$390,"P6")*ROWS($D$393:$D$416),0)),"")</f>
        <v/>
      </c>
      <c r="AQ394" s="5" t="str" cm="1">
        <f t="array" ref="AQ394">IFERROR((SUMPRODUCT(($D$393:$D$416=AQ$391)*($F$390:$AJ$390="")*$F$393:$AJ$416)+IF(AQ$391="P6",SUMPRODUCT(($F$390:$AJ$390="P6")*$F$393:$AJ$416),0))/(SUMPRODUCT(($D$393:$D$416=AQ$391)*($F$390:$AJ$390=""))+IF(AQ$391="P6",COUNTIF($F$390:$AJ$390,"P6")*ROWS($D$393:$D$416),0)),"")</f>
        <v/>
      </c>
      <c r="AR394" s="6" cm="1">
        <f t="array" ref="AR394">IFERROR((SUMPRODUCT(($D$393:$D$416=AR$391)*($F$390:$AJ$390="")*$F$393:$AJ$416)+IF(AR$391="P6",SUMPRODUCT(($F$390:$AJ$390="P6")*$F$393:$AJ$416),0))/(SUMPRODUCT(($D$393:$D$416=AR$391)*($F$390:$AJ$390=""))+IF(AR$391="P6",COUNTIF($F$390:$AJ$390,"P6")*ROWS($D$393:$D$416),0)),"")</f>
        <v>1.3167336184210527</v>
      </c>
    </row>
    <row r="395" spans="1:44" ht="14.25" customHeight="1" x14ac:dyDescent="0.35">
      <c r="A395" s="1" t="s">
        <v>7</v>
      </c>
      <c r="B395" s="1" t="s">
        <v>7</v>
      </c>
      <c r="C395" s="1" t="s">
        <v>15</v>
      </c>
      <c r="D395" s="1" t="s">
        <v>7</v>
      </c>
      <c r="E395" s="1" t="s">
        <v>10</v>
      </c>
      <c r="F395" s="1">
        <v>1.4337500000000001</v>
      </c>
      <c r="G395" s="1">
        <v>1.4456500000000001</v>
      </c>
      <c r="H395" s="1">
        <v>1.47794</v>
      </c>
      <c r="I395" s="1">
        <v>1.4661500000000001</v>
      </c>
      <c r="J395" s="1">
        <v>1.4374800000000001</v>
      </c>
      <c r="K395" s="1">
        <v>1.36747</v>
      </c>
      <c r="L395" s="1">
        <v>1.41839</v>
      </c>
      <c r="M395" s="1">
        <v>1.3715999999999999</v>
      </c>
      <c r="N395" s="1">
        <v>1.4456500000000001</v>
      </c>
      <c r="O395" s="1">
        <v>1.47794</v>
      </c>
      <c r="P395" s="1">
        <v>1.4661500000000001</v>
      </c>
      <c r="Q395" s="1">
        <v>1.4374800000000001</v>
      </c>
      <c r="R395" s="1">
        <v>1.4274800000000001</v>
      </c>
      <c r="S395" s="1">
        <v>1.41839</v>
      </c>
      <c r="T395" s="1">
        <v>1.4337500000000001</v>
      </c>
      <c r="U395" s="1">
        <v>1.4456500000000001</v>
      </c>
      <c r="V395" s="1">
        <v>1.47794</v>
      </c>
      <c r="W395" s="1">
        <v>1.4661500000000001</v>
      </c>
      <c r="X395" s="1">
        <v>1.4374800000000001</v>
      </c>
      <c r="Y395" s="1">
        <v>1.4274800000000001</v>
      </c>
      <c r="Z395" s="1">
        <v>1.41839</v>
      </c>
      <c r="AA395" s="1">
        <v>1.4337500000000001</v>
      </c>
      <c r="AB395" s="1">
        <v>1.4456500000000001</v>
      </c>
      <c r="AC395" s="1">
        <v>1.47794</v>
      </c>
      <c r="AD395" s="1">
        <v>1.4671799999999999</v>
      </c>
      <c r="AE395" s="1">
        <v>1.4374800000000001</v>
      </c>
      <c r="AF395" s="1">
        <v>1.4274800000000001</v>
      </c>
      <c r="AG395" s="1">
        <v>1.41839</v>
      </c>
      <c r="AH395" s="1">
        <v>1.4337500000000001</v>
      </c>
      <c r="AI395" s="1">
        <v>1.4456500000000001</v>
      </c>
      <c r="AJ395" s="1">
        <v>1.47794</v>
      </c>
      <c r="AL395" s="4" t="s">
        <v>25</v>
      </c>
      <c r="AM395" s="6" cm="1">
        <f t="array" ref="AM395">IFERROR((SUMPRODUCT(($D$393:$D$416=AM$391)*($F$390:$AJ$390="")*$F$393:$AJ$416)+IF(AM$391="P6",SUMPRODUCT(($F$390:$AJ$390="P6")*$F$393:$AJ$416),0))/(SUMPRODUCT(($D$393:$D$416=AM$391)*($F$390:$AJ$390=""))+IF(AM$391="P6",COUNTIF($F$390:$AJ$390,"P6")*ROWS($D$393:$D$416),0)),"")</f>
        <v>1.1422650000000005</v>
      </c>
      <c r="AN395" s="6" cm="1">
        <f t="array" ref="AN395">IFERROR((SUMPRODUCT(($D$393:$D$416=AN$391)*($F$390:$AJ$390="")*$F$393:$AJ$416)+IF(AN$391="P6",SUMPRODUCT(($F$390:$AJ$390="P6")*$F$393:$AJ$416),0))/(SUMPRODUCT(($D$393:$D$416=AN$391)*($F$390:$AJ$390=""))+IF(AN$391="P6",COUNTIF($F$390:$AJ$390,"P6")*ROWS($D$393:$D$416),0)),"")</f>
        <v>1.2265873015873006</v>
      </c>
      <c r="AO395" s="5" t="str" cm="1">
        <f t="array" ref="AO395">IFERROR((SUMPRODUCT(($D$393:$D$416=AO$391)*($F$390:$AJ$390="")*$F$393:$AJ$416)+IF(AO$391="P6",SUMPRODUCT(($F$390:$AJ$390="P6")*$F$393:$AJ$416),0))/(SUMPRODUCT(($D$393:$D$416=AO$391)*($F$390:$AJ$390=""))+IF(AO$391="P6",COUNTIF($F$390:$AJ$390,"P6")*ROWS($D$393:$D$416),0)),"")</f>
        <v/>
      </c>
      <c r="AP395" s="5" t="str" cm="1">
        <f t="array" ref="AP395">IFERROR((SUMPRODUCT(($D$393:$D$416=AP$391)*($F$390:$AJ$390="")*$F$393:$AJ$416)+IF(AP$391="P6",SUMPRODUCT(($F$390:$AJ$390="P6")*$F$393:$AJ$416),0))/(SUMPRODUCT(($D$393:$D$416=AP$391)*($F$390:$AJ$390=""))+IF(AP$391="P6",COUNTIF($F$390:$AJ$390,"P6")*ROWS($D$393:$D$416),0)),"")</f>
        <v/>
      </c>
      <c r="AQ395" s="5" t="str" cm="1">
        <f t="array" ref="AQ395">IFERROR((SUMPRODUCT(($D$393:$D$416=AQ$391)*($F$390:$AJ$390="")*$F$393:$AJ$416)+IF(AQ$391="P6",SUMPRODUCT(($F$390:$AJ$390="P6")*$F$393:$AJ$416),0))/(SUMPRODUCT(($D$393:$D$416=AQ$391)*($F$390:$AJ$390=""))+IF(AQ$391="P6",COUNTIF($F$390:$AJ$390,"P6")*ROWS($D$393:$D$416),0)),"")</f>
        <v/>
      </c>
      <c r="AR395" s="6" cm="1">
        <f t="array" ref="AR395">IFERROR((SUMPRODUCT(($D$393:$D$416=AR$391)*($F$390:$AJ$390="")*$F$393:$AJ$416)+IF(AR$391="P6",SUMPRODUCT(($F$390:$AJ$390="P6")*$F$393:$AJ$416),0))/(SUMPRODUCT(($D$393:$D$416=AR$391)*($F$390:$AJ$390=""))+IF(AR$391="P6",COUNTIF($F$390:$AJ$390,"P6")*ROWS($D$393:$D$416),0)),"")</f>
        <v>1.3167336184210527</v>
      </c>
    </row>
    <row r="396" spans="1:44" ht="14.25" customHeight="1" x14ac:dyDescent="0.35">
      <c r="A396" s="1" t="s">
        <v>7</v>
      </c>
      <c r="B396" s="1" t="s">
        <v>7</v>
      </c>
      <c r="C396" s="1" t="s">
        <v>15</v>
      </c>
      <c r="D396" s="1" t="s">
        <v>7</v>
      </c>
      <c r="E396" s="1" t="s">
        <v>11</v>
      </c>
      <c r="F396" s="1">
        <v>1.4492499999999999</v>
      </c>
      <c r="G396" s="1">
        <v>1.46959</v>
      </c>
      <c r="H396" s="1">
        <v>1.5214099999999999</v>
      </c>
      <c r="I396" s="1">
        <v>1.4973099999999999</v>
      </c>
      <c r="J396" s="1">
        <v>1.4469399999999999</v>
      </c>
      <c r="K396" s="1">
        <v>1.3958600000000001</v>
      </c>
      <c r="L396" s="1">
        <v>1.4463900000000001</v>
      </c>
      <c r="M396" s="1">
        <v>1.39235</v>
      </c>
      <c r="N396" s="1">
        <v>1.46959</v>
      </c>
      <c r="O396" s="1">
        <v>1.5214099999999999</v>
      </c>
      <c r="P396" s="1">
        <v>1.4973099999999999</v>
      </c>
      <c r="Q396" s="1">
        <v>1.4469399999999999</v>
      </c>
      <c r="R396" s="1">
        <v>1.4401900000000001</v>
      </c>
      <c r="S396" s="1">
        <v>1.4463900000000001</v>
      </c>
      <c r="T396" s="1">
        <v>1.4492499999999999</v>
      </c>
      <c r="U396" s="1">
        <v>1.46959</v>
      </c>
      <c r="V396" s="1">
        <v>1.5214099999999999</v>
      </c>
      <c r="W396" s="1">
        <v>1.4973099999999999</v>
      </c>
      <c r="X396" s="1">
        <v>1.4469399999999999</v>
      </c>
      <c r="Y396" s="1">
        <v>1.4401900000000001</v>
      </c>
      <c r="Z396" s="1">
        <v>1.4463900000000001</v>
      </c>
      <c r="AA396" s="1">
        <v>1.4492499999999999</v>
      </c>
      <c r="AB396" s="1">
        <v>1.46959</v>
      </c>
      <c r="AC396" s="1">
        <v>1.5214099999999999</v>
      </c>
      <c r="AD396" s="1">
        <v>1.5201499999999999</v>
      </c>
      <c r="AE396" s="1">
        <v>1.4469399999999999</v>
      </c>
      <c r="AF396" s="1">
        <v>1.4401900000000001</v>
      </c>
      <c r="AG396" s="1">
        <v>1.4463900000000001</v>
      </c>
      <c r="AH396" s="1">
        <v>1.4492499999999999</v>
      </c>
      <c r="AI396" s="1">
        <v>1.46959</v>
      </c>
      <c r="AJ396" s="1">
        <v>1.5214099999999999</v>
      </c>
      <c r="AL396" s="4" t="s">
        <v>27</v>
      </c>
      <c r="AM396" s="6" cm="1">
        <f t="array" ref="AM396">IFERROR((SUMPRODUCT(($D$393:$D$416=AM$391)*($F$390:$AJ$390="")*$F$393:$AJ$416)+IF(AM$391="P6",SUMPRODUCT(($F$390:$AJ$390="P6")*$F$393:$AJ$416),0))/(SUMPRODUCT(($D$393:$D$416=AM$391)*($F$390:$AJ$390=""))+IF(AM$391="P6",COUNTIF($F$390:$AJ$390,"P6")*ROWS($D$393:$D$416),0)),"")</f>
        <v>1.1422650000000005</v>
      </c>
      <c r="AN396" s="6" cm="1">
        <f t="array" ref="AN396">IFERROR((SUMPRODUCT(($D$393:$D$416=AN$391)*($F$390:$AJ$390="")*$F$393:$AJ$416)+IF(AN$391="P6",SUMPRODUCT(($F$390:$AJ$390="P6")*$F$393:$AJ$416),0))/(SUMPRODUCT(($D$393:$D$416=AN$391)*($F$390:$AJ$390=""))+IF(AN$391="P6",COUNTIF($F$390:$AJ$390,"P6")*ROWS($D$393:$D$416),0)),"")</f>
        <v>1.2265873015873006</v>
      </c>
      <c r="AO396" s="5" t="str" cm="1">
        <f t="array" ref="AO396">IFERROR((SUMPRODUCT(($D$393:$D$416=AO$391)*($F$390:$AJ$390="")*$F$393:$AJ$416)+IF(AO$391="P6",SUMPRODUCT(($F$390:$AJ$390="P6")*$F$393:$AJ$416),0))/(SUMPRODUCT(($D$393:$D$416=AO$391)*($F$390:$AJ$390=""))+IF(AO$391="P6",COUNTIF($F$390:$AJ$390,"P6")*ROWS($D$393:$D$416),0)),"")</f>
        <v/>
      </c>
      <c r="AP396" s="5" t="str" cm="1">
        <f t="array" ref="AP396">IFERROR((SUMPRODUCT(($D$393:$D$416=AP$391)*($F$390:$AJ$390="")*$F$393:$AJ$416)+IF(AP$391="P6",SUMPRODUCT(($F$390:$AJ$390="P6")*$F$393:$AJ$416),0))/(SUMPRODUCT(($D$393:$D$416=AP$391)*($F$390:$AJ$390=""))+IF(AP$391="P6",COUNTIF($F$390:$AJ$390,"P6")*ROWS($D$393:$D$416),0)),"")</f>
        <v/>
      </c>
      <c r="AQ396" s="5" t="str" cm="1">
        <f t="array" ref="AQ396">IFERROR((SUMPRODUCT(($D$393:$D$416=AQ$391)*($F$390:$AJ$390="")*$F$393:$AJ$416)+IF(AQ$391="P6",SUMPRODUCT(($F$390:$AJ$390="P6")*$F$393:$AJ$416),0))/(SUMPRODUCT(($D$393:$D$416=AQ$391)*($F$390:$AJ$390=""))+IF(AQ$391="P6",COUNTIF($F$390:$AJ$390,"P6")*ROWS($D$393:$D$416),0)),"")</f>
        <v/>
      </c>
      <c r="AR396" s="6" cm="1">
        <f t="array" ref="AR396">IFERROR((SUMPRODUCT(($D$393:$D$416=AR$391)*($F$390:$AJ$390="")*$F$393:$AJ$416)+IF(AR$391="P6",SUMPRODUCT(($F$390:$AJ$390="P6")*$F$393:$AJ$416),0))/(SUMPRODUCT(($D$393:$D$416=AR$391)*($F$390:$AJ$390=""))+IF(AR$391="P6",COUNTIF($F$390:$AJ$390,"P6")*ROWS($D$393:$D$416),0)),"")</f>
        <v>1.3167336184210527</v>
      </c>
    </row>
    <row r="397" spans="1:44" ht="14.25" customHeight="1" x14ac:dyDescent="0.35">
      <c r="A397" s="1" t="s">
        <v>7</v>
      </c>
      <c r="B397" s="1" t="s">
        <v>7</v>
      </c>
      <c r="C397" s="1" t="s">
        <v>15</v>
      </c>
      <c r="D397" s="1" t="s">
        <v>7</v>
      </c>
      <c r="E397" s="1" t="s">
        <v>12</v>
      </c>
      <c r="F397" s="1">
        <v>1.4447700000000001</v>
      </c>
      <c r="G397" s="1">
        <v>1.48797</v>
      </c>
      <c r="H397" s="1">
        <v>1.5457000000000001</v>
      </c>
      <c r="I397" s="1">
        <v>1.5039100000000001</v>
      </c>
      <c r="J397" s="1">
        <v>1.4534800000000001</v>
      </c>
      <c r="K397" s="1">
        <v>1.4041399999999999</v>
      </c>
      <c r="L397" s="1">
        <v>1.45923</v>
      </c>
      <c r="M397" s="1">
        <v>1.39947</v>
      </c>
      <c r="N397" s="1">
        <v>1.48797</v>
      </c>
      <c r="O397" s="1">
        <v>1.5457000000000001</v>
      </c>
      <c r="P397" s="1">
        <v>1.5039100000000001</v>
      </c>
      <c r="Q397" s="1">
        <v>1.4534800000000001</v>
      </c>
      <c r="R397" s="1">
        <v>1.4507399999999999</v>
      </c>
      <c r="S397" s="1">
        <v>1.45923</v>
      </c>
      <c r="T397" s="1">
        <v>1.4447700000000001</v>
      </c>
      <c r="U397" s="1">
        <v>1.48797</v>
      </c>
      <c r="V397" s="1">
        <v>1.5457000000000001</v>
      </c>
      <c r="W397" s="1">
        <v>1.5039100000000001</v>
      </c>
      <c r="X397" s="1">
        <v>1.4534800000000001</v>
      </c>
      <c r="Y397" s="1">
        <v>1.4507399999999999</v>
      </c>
      <c r="Z397" s="1">
        <v>1.45923</v>
      </c>
      <c r="AA397" s="1">
        <v>1.4447700000000001</v>
      </c>
      <c r="AB397" s="1">
        <v>1.48797</v>
      </c>
      <c r="AC397" s="1">
        <v>1.5457000000000001</v>
      </c>
      <c r="AD397" s="1">
        <v>1.54487</v>
      </c>
      <c r="AE397" s="1">
        <v>1.4534800000000001</v>
      </c>
      <c r="AF397" s="1">
        <v>1.4507399999999999</v>
      </c>
      <c r="AG397" s="1">
        <v>1.45923</v>
      </c>
      <c r="AH397" s="1">
        <v>1.4447700000000001</v>
      </c>
      <c r="AI397" s="1">
        <v>1.48797</v>
      </c>
      <c r="AJ397" s="1">
        <v>1.5457000000000001</v>
      </c>
      <c r="AL397" s="4" t="s">
        <v>29</v>
      </c>
      <c r="AM397" s="6" cm="1">
        <f t="array" ref="AM397">IFERROR((SUMPRODUCT(($D$393:$D$416=AM$391)*($F$390:$AJ$390="")*$F$393:$AJ$416)+IF(AM$391="P6",SUMPRODUCT(($F$390:$AJ$390="P6")*$F$393:$AJ$416),0))/(SUMPRODUCT(($D$393:$D$416=AM$391)*($F$390:$AJ$390=""))+IF(AM$391="P6",COUNTIF($F$390:$AJ$390,"P6")*ROWS($D$393:$D$416),0)),"")</f>
        <v>1.1422650000000005</v>
      </c>
      <c r="AN397" s="6" cm="1">
        <f t="array" ref="AN397">IFERROR((SUMPRODUCT(($D$393:$D$416=AN$391)*($F$390:$AJ$390="")*$F$393:$AJ$416)+IF(AN$391="P6",SUMPRODUCT(($F$390:$AJ$390="P6")*$F$393:$AJ$416),0))/(SUMPRODUCT(($D$393:$D$416=AN$391)*($F$390:$AJ$390=""))+IF(AN$391="P6",COUNTIF($F$390:$AJ$390,"P6")*ROWS($D$393:$D$416),0)),"")</f>
        <v>1.2265873015873006</v>
      </c>
      <c r="AO397" s="5" t="str" cm="1">
        <f t="array" ref="AO397">IFERROR((SUMPRODUCT(($D$393:$D$416=AO$391)*($F$390:$AJ$390="")*$F$393:$AJ$416)+IF(AO$391="P6",SUMPRODUCT(($F$390:$AJ$390="P6")*$F$393:$AJ$416),0))/(SUMPRODUCT(($D$393:$D$416=AO$391)*($F$390:$AJ$390=""))+IF(AO$391="P6",COUNTIF($F$390:$AJ$390,"P6")*ROWS($D$393:$D$416),0)),"")</f>
        <v/>
      </c>
      <c r="AP397" s="5" t="str" cm="1">
        <f t="array" ref="AP397">IFERROR((SUMPRODUCT(($D$393:$D$416=AP$391)*($F$390:$AJ$390="")*$F$393:$AJ$416)+IF(AP$391="P6",SUMPRODUCT(($F$390:$AJ$390="P6")*$F$393:$AJ$416),0))/(SUMPRODUCT(($D$393:$D$416=AP$391)*($F$390:$AJ$390=""))+IF(AP$391="P6",COUNTIF($F$390:$AJ$390,"P6")*ROWS($D$393:$D$416),0)),"")</f>
        <v/>
      </c>
      <c r="AQ397" s="5" t="str" cm="1">
        <f t="array" ref="AQ397">IFERROR((SUMPRODUCT(($D$393:$D$416=AQ$391)*($F$390:$AJ$390="")*$F$393:$AJ$416)+IF(AQ$391="P6",SUMPRODUCT(($F$390:$AJ$390="P6")*$F$393:$AJ$416),0))/(SUMPRODUCT(($D$393:$D$416=AQ$391)*($F$390:$AJ$390=""))+IF(AQ$391="P6",COUNTIF($F$390:$AJ$390,"P6")*ROWS($D$393:$D$416),0)),"")</f>
        <v/>
      </c>
      <c r="AR397" s="6" cm="1">
        <f t="array" ref="AR397">IFERROR((SUMPRODUCT(($D$393:$D$416=AR$391)*($F$390:$AJ$390="")*$F$393:$AJ$416)+IF(AR$391="P6",SUMPRODUCT(($F$390:$AJ$390="P6")*$F$393:$AJ$416),0))/(SUMPRODUCT(($D$393:$D$416=AR$391)*($F$390:$AJ$390=""))+IF(AR$391="P6",COUNTIF($F$390:$AJ$390,"P6")*ROWS($D$393:$D$416),0)),"")</f>
        <v>1.3167336184210527</v>
      </c>
    </row>
    <row r="398" spans="1:44" ht="14.25" customHeight="1" x14ac:dyDescent="0.35">
      <c r="A398" s="1" t="s">
        <v>7</v>
      </c>
      <c r="B398" s="1" t="s">
        <v>7</v>
      </c>
      <c r="C398" s="1" t="s">
        <v>15</v>
      </c>
      <c r="D398" s="1" t="s">
        <v>7</v>
      </c>
      <c r="E398" s="1" t="s">
        <v>18</v>
      </c>
      <c r="F398" s="1">
        <v>1.4274199999999999</v>
      </c>
      <c r="G398" s="1">
        <v>1.46957</v>
      </c>
      <c r="H398" s="1">
        <v>1.5343800000000001</v>
      </c>
      <c r="I398" s="1">
        <v>1.4644699999999999</v>
      </c>
      <c r="J398" s="1">
        <v>1.4357800000000001</v>
      </c>
      <c r="K398" s="1">
        <v>1.3877299999999999</v>
      </c>
      <c r="L398" s="1">
        <v>1.41038</v>
      </c>
      <c r="M398" s="1">
        <v>1.3882399999999999</v>
      </c>
      <c r="N398" s="1">
        <v>1.46957</v>
      </c>
      <c r="O398" s="1">
        <v>1.5343800000000001</v>
      </c>
      <c r="P398" s="1">
        <v>1.4644699999999999</v>
      </c>
      <c r="Q398" s="1">
        <v>1.4357800000000001</v>
      </c>
      <c r="R398" s="1">
        <v>1.41717</v>
      </c>
      <c r="S398" s="1">
        <v>1.41038</v>
      </c>
      <c r="T398" s="1">
        <v>1.4274199999999999</v>
      </c>
      <c r="U398" s="1">
        <v>1.46957</v>
      </c>
      <c r="V398" s="1">
        <v>1.5343800000000001</v>
      </c>
      <c r="W398" s="1">
        <v>1.4644699999999999</v>
      </c>
      <c r="X398" s="1">
        <v>1.4357800000000001</v>
      </c>
      <c r="Y398" s="1">
        <v>1.41717</v>
      </c>
      <c r="Z398" s="1">
        <v>1.41038</v>
      </c>
      <c r="AA398" s="1">
        <v>1.4274199999999999</v>
      </c>
      <c r="AB398" s="1">
        <v>1.46957</v>
      </c>
      <c r="AC398" s="1">
        <v>1.5343800000000001</v>
      </c>
      <c r="AD398" s="1">
        <v>1.52789</v>
      </c>
      <c r="AE398" s="1">
        <v>1.4357800000000001</v>
      </c>
      <c r="AF398" s="1">
        <v>1.41717</v>
      </c>
      <c r="AG398" s="1">
        <v>1.41038</v>
      </c>
      <c r="AH398" s="1">
        <v>1.4274199999999999</v>
      </c>
      <c r="AI398" s="1">
        <v>1.46957</v>
      </c>
      <c r="AJ398" s="1">
        <v>1.5343800000000001</v>
      </c>
      <c r="AL398" s="10"/>
      <c r="AM398" s="10"/>
      <c r="AN398" s="10"/>
      <c r="AO398" s="10"/>
      <c r="AP398" s="10"/>
      <c r="AQ398" s="10"/>
      <c r="AR398" s="10"/>
    </row>
    <row r="399" spans="1:44" ht="14.25" customHeight="1" x14ac:dyDescent="0.35">
      <c r="A399" s="1" t="s">
        <v>7</v>
      </c>
      <c r="B399" s="1" t="s">
        <v>7</v>
      </c>
      <c r="C399" s="1" t="s">
        <v>15</v>
      </c>
      <c r="D399" s="1" t="s">
        <v>7</v>
      </c>
      <c r="E399" s="1" t="s">
        <v>20</v>
      </c>
      <c r="F399" s="1">
        <v>1.3386</v>
      </c>
      <c r="G399" s="1">
        <v>1.4233499999999999</v>
      </c>
      <c r="H399" s="1">
        <v>1.4942899999999999</v>
      </c>
      <c r="I399" s="1">
        <v>1.32612</v>
      </c>
      <c r="J399" s="1">
        <v>1.3366400000000001</v>
      </c>
      <c r="K399" s="1">
        <v>1.3416999999999999</v>
      </c>
      <c r="L399" s="1">
        <v>1.29199</v>
      </c>
      <c r="M399" s="1">
        <v>1.3407100000000001</v>
      </c>
      <c r="N399" s="1">
        <v>1.4233499999999999</v>
      </c>
      <c r="O399" s="1">
        <v>1.4942899999999999</v>
      </c>
      <c r="P399" s="1">
        <v>1.32612</v>
      </c>
      <c r="Q399" s="1">
        <v>1.3366400000000001</v>
      </c>
      <c r="R399" s="1">
        <v>1.3050299999999999</v>
      </c>
      <c r="S399" s="1">
        <v>1.29199</v>
      </c>
      <c r="T399" s="1">
        <v>1.3386</v>
      </c>
      <c r="U399" s="1">
        <v>1.4233499999999999</v>
      </c>
      <c r="V399" s="1">
        <v>1.4942899999999999</v>
      </c>
      <c r="W399" s="1">
        <v>1.32612</v>
      </c>
      <c r="X399" s="1">
        <v>1.3366400000000001</v>
      </c>
      <c r="Y399" s="1">
        <v>1.3050299999999999</v>
      </c>
      <c r="Z399" s="1">
        <v>1.29199</v>
      </c>
      <c r="AA399" s="1">
        <v>1.3386</v>
      </c>
      <c r="AB399" s="1">
        <v>1.4233499999999999</v>
      </c>
      <c r="AC399" s="1">
        <v>1.4942899999999999</v>
      </c>
      <c r="AD399" s="1">
        <v>1.50543</v>
      </c>
      <c r="AE399" s="1">
        <v>1.3366400000000001</v>
      </c>
      <c r="AF399" s="1">
        <v>1.3050299999999999</v>
      </c>
      <c r="AG399" s="1">
        <v>1.29199</v>
      </c>
      <c r="AH399" s="1">
        <v>1.3386</v>
      </c>
      <c r="AI399" s="1">
        <v>1.4233499999999999</v>
      </c>
      <c r="AJ399" s="1">
        <v>1.4942899999999999</v>
      </c>
      <c r="AL399" s="10"/>
      <c r="AM399" s="10"/>
      <c r="AN399" s="10"/>
      <c r="AO399" s="10"/>
      <c r="AP399" s="10"/>
      <c r="AQ399" s="10"/>
      <c r="AR399" s="10"/>
    </row>
    <row r="400" spans="1:44" ht="14.25" customHeight="1" x14ac:dyDescent="0.35">
      <c r="A400" s="1" t="s">
        <v>7</v>
      </c>
      <c r="B400" s="1" t="s">
        <v>7</v>
      </c>
      <c r="C400" s="1" t="s">
        <v>15</v>
      </c>
      <c r="D400" s="1" t="s">
        <v>7</v>
      </c>
      <c r="E400" s="1" t="s">
        <v>22</v>
      </c>
      <c r="F400" s="1">
        <v>1.2515799999999999</v>
      </c>
      <c r="G400" s="1">
        <v>1.36046</v>
      </c>
      <c r="H400" s="1">
        <v>1.4239200000000001</v>
      </c>
      <c r="I400" s="1">
        <v>1.2189300000000001</v>
      </c>
      <c r="J400" s="1">
        <v>1.2312399999999999</v>
      </c>
      <c r="K400" s="1">
        <v>1.28986</v>
      </c>
      <c r="L400" s="1">
        <v>1.1904600000000001</v>
      </c>
      <c r="M400" s="1">
        <v>1.2857000000000001</v>
      </c>
      <c r="N400" s="1">
        <v>1.36046</v>
      </c>
      <c r="O400" s="1">
        <v>1.4239200000000001</v>
      </c>
      <c r="P400" s="1">
        <v>1.2189300000000001</v>
      </c>
      <c r="Q400" s="1">
        <v>1.2312399999999999</v>
      </c>
      <c r="R400" s="1">
        <v>1.1739900000000001</v>
      </c>
      <c r="S400" s="1">
        <v>1.1904600000000001</v>
      </c>
      <c r="T400" s="1">
        <v>1.2515799999999999</v>
      </c>
      <c r="U400" s="1">
        <v>1.36046</v>
      </c>
      <c r="V400" s="1">
        <v>1.4239200000000001</v>
      </c>
      <c r="W400" s="1">
        <v>1.2189300000000001</v>
      </c>
      <c r="X400" s="1">
        <v>1.2312399999999999</v>
      </c>
      <c r="Y400" s="1">
        <v>1.1739900000000001</v>
      </c>
      <c r="Z400" s="1">
        <v>1.1904600000000001</v>
      </c>
      <c r="AA400" s="1">
        <v>1.2515799999999999</v>
      </c>
      <c r="AB400" s="1">
        <v>1.36046</v>
      </c>
      <c r="AC400" s="1">
        <v>1.4239200000000001</v>
      </c>
      <c r="AD400" s="1">
        <v>1.43696</v>
      </c>
      <c r="AE400" s="1">
        <v>1.2312399999999999</v>
      </c>
      <c r="AF400" s="1">
        <v>1.1739900000000001</v>
      </c>
      <c r="AG400" s="1">
        <v>1.1904600000000001</v>
      </c>
      <c r="AH400" s="1">
        <v>1.2515799999999999</v>
      </c>
      <c r="AI400" s="1">
        <v>1.36046</v>
      </c>
      <c r="AJ400" s="1">
        <v>1.4239200000000001</v>
      </c>
      <c r="AL400" s="14" t="s">
        <v>250</v>
      </c>
      <c r="AM400" s="14"/>
      <c r="AN400" s="14"/>
      <c r="AO400" s="14"/>
      <c r="AP400" s="14"/>
      <c r="AQ400" s="14"/>
      <c r="AR400" s="14"/>
    </row>
    <row r="401" spans="1:44" ht="14.25" customHeight="1" x14ac:dyDescent="0.35">
      <c r="A401" s="1" t="s">
        <v>15</v>
      </c>
      <c r="B401" s="1" t="s">
        <v>16</v>
      </c>
      <c r="C401" s="1" t="s">
        <v>14</v>
      </c>
      <c r="D401" s="1" t="s">
        <v>14</v>
      </c>
      <c r="E401" s="1" t="s">
        <v>24</v>
      </c>
      <c r="F401" s="1">
        <v>1.2544500000000001</v>
      </c>
      <c r="G401" s="1">
        <v>1.2969900000000001</v>
      </c>
      <c r="H401" s="1">
        <v>1.36497</v>
      </c>
      <c r="I401" s="1">
        <v>1.2297199999999999</v>
      </c>
      <c r="J401" s="1">
        <v>1.2319599999999999</v>
      </c>
      <c r="K401" s="1">
        <v>1.2436400000000001</v>
      </c>
      <c r="L401" s="1">
        <v>1.2058899999999999</v>
      </c>
      <c r="M401" s="1">
        <v>1.2575700000000001</v>
      </c>
      <c r="N401" s="1">
        <v>1.2969900000000001</v>
      </c>
      <c r="O401" s="1">
        <v>1.36497</v>
      </c>
      <c r="P401" s="1">
        <v>1.2297199999999999</v>
      </c>
      <c r="Q401" s="1">
        <v>1.2319599999999999</v>
      </c>
      <c r="R401" s="1">
        <v>1.22455</v>
      </c>
      <c r="S401" s="1">
        <v>1.2058899999999999</v>
      </c>
      <c r="T401" s="1">
        <v>1.2544500000000001</v>
      </c>
      <c r="U401" s="1">
        <v>1.2969900000000001</v>
      </c>
      <c r="V401" s="1">
        <v>1.36497</v>
      </c>
      <c r="W401" s="1">
        <v>1.2297199999999999</v>
      </c>
      <c r="X401" s="1">
        <v>1.2319599999999999</v>
      </c>
      <c r="Y401" s="1">
        <v>1.22455</v>
      </c>
      <c r="Z401" s="1">
        <v>1.2058899999999999</v>
      </c>
      <c r="AA401" s="1">
        <v>1.2544500000000001</v>
      </c>
      <c r="AB401" s="1">
        <v>1.2969900000000001</v>
      </c>
      <c r="AC401" s="1">
        <v>1.36497</v>
      </c>
      <c r="AD401" s="1">
        <v>1.3779399999999999</v>
      </c>
      <c r="AE401" s="1">
        <v>1.2319599999999999</v>
      </c>
      <c r="AF401" s="1">
        <v>1.22455</v>
      </c>
      <c r="AG401" s="1">
        <v>1.2058899999999999</v>
      </c>
      <c r="AH401" s="1">
        <v>1.2544500000000001</v>
      </c>
      <c r="AI401" s="1">
        <v>1.2969900000000001</v>
      </c>
      <c r="AJ401" s="1">
        <v>1.36497</v>
      </c>
      <c r="AL401" s="4"/>
      <c r="AM401" s="4" t="s">
        <v>13</v>
      </c>
      <c r="AN401" s="4" t="s">
        <v>14</v>
      </c>
      <c r="AO401" s="4" t="s">
        <v>15</v>
      </c>
      <c r="AP401" s="4" t="s">
        <v>16</v>
      </c>
      <c r="AQ401" s="4" t="s">
        <v>17</v>
      </c>
      <c r="AR401" s="4" t="s">
        <v>7</v>
      </c>
    </row>
    <row r="402" spans="1:44" ht="14.25" customHeight="1" x14ac:dyDescent="0.35">
      <c r="A402" s="1" t="s">
        <v>15</v>
      </c>
      <c r="B402" s="1" t="s">
        <v>16</v>
      </c>
      <c r="C402" s="1" t="s">
        <v>14</v>
      </c>
      <c r="D402" s="1" t="s">
        <v>13</v>
      </c>
      <c r="E402" s="1" t="s">
        <v>26</v>
      </c>
      <c r="F402" s="1">
        <v>1.1691499999999999</v>
      </c>
      <c r="G402" s="1">
        <v>1.2016100000000001</v>
      </c>
      <c r="H402" s="1">
        <v>1.2550699999999999</v>
      </c>
      <c r="I402" s="1">
        <v>1.12897</v>
      </c>
      <c r="J402" s="1">
        <v>1.1401699999999999</v>
      </c>
      <c r="K402" s="1">
        <v>1.16255</v>
      </c>
      <c r="L402" s="1">
        <v>1.1386799999999999</v>
      </c>
      <c r="M402" s="1">
        <v>1.1842299999999999</v>
      </c>
      <c r="N402" s="1">
        <v>1.2016100000000001</v>
      </c>
      <c r="O402" s="1">
        <v>1.2550699999999999</v>
      </c>
      <c r="P402" s="1">
        <v>1.12897</v>
      </c>
      <c r="Q402" s="1">
        <v>1.1401699999999999</v>
      </c>
      <c r="R402" s="1">
        <v>1.1456900000000001</v>
      </c>
      <c r="S402" s="1">
        <v>1.1386799999999999</v>
      </c>
      <c r="T402" s="1">
        <v>1.1691499999999999</v>
      </c>
      <c r="U402" s="1">
        <v>1.2016100000000001</v>
      </c>
      <c r="V402" s="1">
        <v>1.2550699999999999</v>
      </c>
      <c r="W402" s="1">
        <v>1.12897</v>
      </c>
      <c r="X402" s="1">
        <v>1.1401699999999999</v>
      </c>
      <c r="Y402" s="1">
        <v>1.1456900000000001</v>
      </c>
      <c r="Z402" s="1">
        <v>1.1386799999999999</v>
      </c>
      <c r="AA402" s="1">
        <v>1.1691499999999999</v>
      </c>
      <c r="AB402" s="1">
        <v>1.2016100000000001</v>
      </c>
      <c r="AC402" s="1">
        <v>1.2550699999999999</v>
      </c>
      <c r="AD402" s="1">
        <v>1.2579400000000001</v>
      </c>
      <c r="AE402" s="1">
        <v>1.1401699999999999</v>
      </c>
      <c r="AF402" s="1">
        <v>1.1456900000000001</v>
      </c>
      <c r="AG402" s="1">
        <v>1.1386799999999999</v>
      </c>
      <c r="AH402" s="1">
        <v>1.1691499999999999</v>
      </c>
      <c r="AI402" s="1">
        <v>1.2016100000000001</v>
      </c>
      <c r="AJ402" s="1">
        <v>1.2550699999999999</v>
      </c>
      <c r="AL402" s="4" t="s">
        <v>19</v>
      </c>
      <c r="AM402" s="6" cm="1">
        <f t="array" ref="AM402">IFERROR((SUMPRODUCT(($C$393:$C$416=AM$391)*($F$389:$AJ$389="")*$F$393:$AJ$416)+IF(AM$391="P3",SUMPRODUCT(($F$389:$AJ$389="P3")*$F$393:$AJ$416),0))/(SUMPRODUCT(($C$393:$C$416=AM$391)*($F$389:$AJ$389=""))+IF(AM$391="P3",COUNTIF($F$389:$AJ$389,"P3")*ROWS($C$393:$C$416),0)),"")</f>
        <v>1.1418815972222225</v>
      </c>
      <c r="AN402" s="6" cm="1">
        <f t="array" ref="AN402">IFERROR((SUMPRODUCT(($C$393:$C$416=AN$391)*($F$389:$AJ$389="")*$F$393:$AJ$416)+IF(AN$391="P3",SUMPRODUCT(($F$389:$AJ$389="P3")*$F$393:$AJ$416),0))/(SUMPRODUCT(($C$393:$C$416=AN$391)*($F$389:$AJ$389=""))+IF(AN$391="P3",COUNTIF($F$389:$AJ$389,"P3")*ROWS($C$393:$C$416),0)),"")</f>
        <v>1.2164304166666664</v>
      </c>
      <c r="AO402" s="6" cm="1">
        <f t="array" ref="AO402">IFERROR((SUMPRODUCT(($C$393:$C$416=AO$391)*($F$389:$AJ$389="")*$F$393:$AJ$416)+IF(AO$391="P3",SUMPRODUCT(($F$389:$AJ$389="P3")*$F$393:$AJ$416),0))/(SUMPRODUCT(($C$393:$C$416=AO$391)*($F$389:$AJ$389=""))+IF(AO$391="P3",COUNTIF($F$389:$AJ$389,"P3")*ROWS($C$393:$C$416),0)),"")</f>
        <v>1.3167336184210527</v>
      </c>
      <c r="AP402" s="6" t="str" cm="1">
        <f t="array" ref="AP402">IFERROR((SUMPRODUCT(($C$393:$C$416=AP$391)*($F$389:$AJ$389="")*$F$393:$AJ$416)+IF(AP$391="P3",SUMPRODUCT(($F$389:$AJ$389="P3")*$F$393:$AJ$416),0))/(SUMPRODUCT(($C$393:$C$416=AP$391)*($F$389:$AJ$389=""))+IF(AP$391="P3",COUNTIF($F$389:$AJ$389,"P3")*ROWS($C$393:$C$416),0)),"")</f>
        <v/>
      </c>
      <c r="AQ402" s="6" t="str" cm="1">
        <f t="array" ref="AQ402">IFERROR((SUMPRODUCT(($C$393:$C$416=AQ$391)*($F$389:$AJ$389="")*$F$393:$AJ$416)+IF(AQ$391="P3",SUMPRODUCT(($F$389:$AJ$389="P3")*$F$393:$AJ$416),0))/(SUMPRODUCT(($C$393:$C$416=AQ$391)*($F$389:$AJ$389=""))+IF(AQ$391="P3",COUNTIF($F$389:$AJ$389,"P3")*ROWS($C$393:$C$416),0)),"")</f>
        <v/>
      </c>
      <c r="AR402" s="6" t="str" cm="1">
        <f t="array" ref="AR402">IFERROR((SUMPRODUCT(($C$393:$C$416=AR$391)*($F$389:$AJ$389="")*$F$393:$AJ$416)+IF(AR$391="P3",SUMPRODUCT(($F$389:$AJ$389="P3")*$F$393:$AJ$416),0))/(SUMPRODUCT(($C$393:$C$416=AR$391)*($F$389:$AJ$389=""))+IF(AR$391="P3",COUNTIF($F$389:$AJ$389,"P3")*ROWS($C$393:$C$416),0)),"")</f>
        <v/>
      </c>
    </row>
    <row r="403" spans="1:44" ht="14.25" customHeight="1" x14ac:dyDescent="0.35">
      <c r="A403" s="1" t="s">
        <v>14</v>
      </c>
      <c r="B403" s="1" t="s">
        <v>15</v>
      </c>
      <c r="C403" s="1" t="s">
        <v>13</v>
      </c>
      <c r="D403" s="1" t="s">
        <v>13</v>
      </c>
      <c r="E403" s="1" t="s">
        <v>28</v>
      </c>
      <c r="F403" s="1">
        <v>1.10504</v>
      </c>
      <c r="G403" s="1">
        <v>1.12866</v>
      </c>
      <c r="H403" s="1">
        <v>1.1768799999999999</v>
      </c>
      <c r="I403" s="1">
        <v>1.0663899999999999</v>
      </c>
      <c r="J403" s="1">
        <v>1.0945199999999999</v>
      </c>
      <c r="K403" s="1">
        <v>1.10006</v>
      </c>
      <c r="L403" s="1">
        <v>1.07511</v>
      </c>
      <c r="M403" s="1">
        <v>1.1258699999999999</v>
      </c>
      <c r="N403" s="1">
        <v>1.12866</v>
      </c>
      <c r="O403" s="1">
        <v>1.1768799999999999</v>
      </c>
      <c r="P403" s="1">
        <v>1.0663899999999999</v>
      </c>
      <c r="Q403" s="1">
        <v>1.0945199999999999</v>
      </c>
      <c r="R403" s="1">
        <v>1.0813999999999999</v>
      </c>
      <c r="S403" s="1">
        <v>1.07511</v>
      </c>
      <c r="T403" s="1">
        <v>1.10504</v>
      </c>
      <c r="U403" s="1">
        <v>1.12866</v>
      </c>
      <c r="V403" s="1">
        <v>1.1768799999999999</v>
      </c>
      <c r="W403" s="1">
        <v>1.0663899999999999</v>
      </c>
      <c r="X403" s="1">
        <v>1.0945199999999999</v>
      </c>
      <c r="Y403" s="1">
        <v>1.0813999999999999</v>
      </c>
      <c r="Z403" s="1">
        <v>1.07511</v>
      </c>
      <c r="AA403" s="1">
        <v>1.10504</v>
      </c>
      <c r="AB403" s="1">
        <v>1.12866</v>
      </c>
      <c r="AC403" s="1">
        <v>1.1768799999999999</v>
      </c>
      <c r="AD403" s="1">
        <v>1.1457999999999999</v>
      </c>
      <c r="AE403" s="1">
        <v>1.0945199999999999</v>
      </c>
      <c r="AF403" s="1">
        <v>1.0813999999999999</v>
      </c>
      <c r="AG403" s="1">
        <v>1.07511</v>
      </c>
      <c r="AH403" s="1">
        <v>1.10504</v>
      </c>
      <c r="AI403" s="1">
        <v>1.12866</v>
      </c>
      <c r="AJ403" s="1">
        <v>1.1768799999999999</v>
      </c>
      <c r="AL403" s="4" t="s">
        <v>21</v>
      </c>
      <c r="AM403" s="6" t="str" cm="1">
        <f t="array" ref="AM403">IFERROR((SUMPRODUCT(($A$393:$A$416=AM$391)*($F$390:$AJ$390="")*$F$393:$AJ$416)+IF(AM$391="P6",SUMPRODUCT(($F$390:$AJ$390="P6")*$F$393:$AJ$416),0))/(SUMPRODUCT(($A$393:$A$416=AM$391)*($F$390:$AJ$390=""))+IF(AM$391="P6",COUNTIF($F$390:$AJ$390,"P6")*ROWS($A$393:$A$416),0)),"")</f>
        <v/>
      </c>
      <c r="AN403" s="6" cm="1">
        <f t="array" ref="AN403">IFERROR((SUMPRODUCT(($A$393:$A$416=AN$391)*($F$390:$AJ$390="")*$F$393:$AJ$416)+IF(AN$391="P6",SUMPRODUCT(($F$390:$AJ$390="P6")*$F$393:$AJ$416),0))/(SUMPRODUCT(($A$393:$A$416=AN$391)*($F$390:$AJ$390=""))+IF(AN$391="P6",COUNTIF($F$390:$AJ$390,"P6")*ROWS($A$393:$A$416),0)),"")</f>
        <v>1.1384008641975312</v>
      </c>
      <c r="AO403" s="6" cm="1">
        <f t="array" ref="AO403">IFERROR((SUMPRODUCT(($A$393:$A$416=AO$391)*($F$390:$AJ$390="")*$F$393:$AJ$416)+IF(AO$391="P6",SUMPRODUCT(($F$390:$AJ$390="P6")*$F$393:$AJ$416),0))/(SUMPRODUCT(($A$393:$A$416=AO$391)*($F$390:$AJ$390=""))+IF(AO$391="P6",COUNTIF($F$390:$AJ$390,"P6")*ROWS($A$393:$A$416),0)),"")</f>
        <v>1.2315554761904752</v>
      </c>
      <c r="AP403" s="6" t="str" cm="1">
        <f t="array" ref="AP403">IFERROR((SUMPRODUCT(($A$393:$A$416=AP$391)*($F$390:$AJ$390="")*$F$393:$AJ$416)+IF(AP$391="P6",SUMPRODUCT(($F$390:$AJ$390="P6")*$F$393:$AJ$416),0))/(SUMPRODUCT(($A$393:$A$416=AP$391)*($F$390:$AJ$390=""))+IF(AP$391="P6",COUNTIF($F$390:$AJ$390,"P6")*ROWS($A$393:$A$416),0)),"")</f>
        <v/>
      </c>
      <c r="AQ403" s="6" t="str" cm="1">
        <f t="array" ref="AQ403">IFERROR((SUMPRODUCT(($A$393:$A$416=AQ$391)*($F$390:$AJ$390="")*$F$393:$AJ$416)+IF(AQ$391="P6",SUMPRODUCT(($F$390:$AJ$390="P6")*$F$393:$AJ$416),0))/(SUMPRODUCT(($A$393:$A$416=AQ$391)*($F$390:$AJ$390=""))+IF(AQ$391="P6",COUNTIF($F$390:$AJ$390,"P6")*ROWS($A$393:$A$416),0)),"")</f>
        <v/>
      </c>
      <c r="AR403" s="6" cm="1">
        <f t="array" ref="AR403">IFERROR((SUMPRODUCT(($A$393:$A$416=AR$391)*($F$390:$AJ$390="")*$F$393:$AJ$416)+IF(AR$391="P6",SUMPRODUCT(($F$390:$AJ$390="P6")*$F$393:$AJ$416),0))/(SUMPRODUCT(($A$393:$A$416=AR$391)*($F$390:$AJ$390=""))+IF(AR$391="P6",COUNTIF($F$390:$AJ$390,"P6")*ROWS($A$393:$A$416),0)),"")</f>
        <v>1.3167336184210527</v>
      </c>
    </row>
    <row r="404" spans="1:44" ht="14.25" customHeight="1" x14ac:dyDescent="0.35">
      <c r="A404" s="1" t="s">
        <v>14</v>
      </c>
      <c r="B404" s="1" t="s">
        <v>15</v>
      </c>
      <c r="C404" s="1" t="s">
        <v>13</v>
      </c>
      <c r="D404" s="1" t="s">
        <v>13</v>
      </c>
      <c r="E404" s="1" t="s">
        <v>30</v>
      </c>
      <c r="F404" s="1">
        <v>1.1021700000000001</v>
      </c>
      <c r="G404" s="1">
        <v>1.0986</v>
      </c>
      <c r="H404" s="1">
        <v>1.1570100000000001</v>
      </c>
      <c r="I404" s="1">
        <v>1.07643</v>
      </c>
      <c r="J404" s="1">
        <v>1.09165</v>
      </c>
      <c r="K404" s="1">
        <v>1.0920399999999999</v>
      </c>
      <c r="L404" s="1">
        <v>1.0524500000000001</v>
      </c>
      <c r="M404" s="1">
        <v>1.1225499999999999</v>
      </c>
      <c r="N404" s="1">
        <v>1.0986</v>
      </c>
      <c r="O404" s="1">
        <v>1.1570100000000001</v>
      </c>
      <c r="P404" s="1">
        <v>1.07643</v>
      </c>
      <c r="Q404" s="1">
        <v>1.09165</v>
      </c>
      <c r="R404" s="1">
        <v>1.0745899999999999</v>
      </c>
      <c r="S404" s="1">
        <v>1.0524500000000001</v>
      </c>
      <c r="T404" s="1">
        <v>1.1021700000000001</v>
      </c>
      <c r="U404" s="1">
        <v>1.0986</v>
      </c>
      <c r="V404" s="1">
        <v>1.1570100000000001</v>
      </c>
      <c r="W404" s="1">
        <v>1.07643</v>
      </c>
      <c r="X404" s="1">
        <v>1.09165</v>
      </c>
      <c r="Y404" s="1">
        <v>1.0745899999999999</v>
      </c>
      <c r="Z404" s="1">
        <v>1.0524500000000001</v>
      </c>
      <c r="AA404" s="1">
        <v>1.1021700000000001</v>
      </c>
      <c r="AB404" s="1">
        <v>1.0986</v>
      </c>
      <c r="AC404" s="1">
        <v>1.1570100000000001</v>
      </c>
      <c r="AD404" s="1">
        <v>1.1016999999999999</v>
      </c>
      <c r="AE404" s="1">
        <v>1.09165</v>
      </c>
      <c r="AF404" s="1">
        <v>1.0745899999999999</v>
      </c>
      <c r="AG404" s="1">
        <v>1.0524500000000001</v>
      </c>
      <c r="AH404" s="1">
        <v>1.1021700000000001</v>
      </c>
      <c r="AI404" s="1">
        <v>1.0986</v>
      </c>
      <c r="AJ404" s="1">
        <v>1.1570100000000001</v>
      </c>
      <c r="AL404" s="4" t="s">
        <v>23</v>
      </c>
      <c r="AM404" s="6" t="str" cm="1">
        <f t="array" ref="AM404">IFERROR((SUMPRODUCT(($A$393:$A$416=AM$391)*($F$390:$AJ$390="")*$F$393:$AJ$416)+IF(AM$391="P6",SUMPRODUCT(($F$390:$AJ$390="P6")*$F$393:$AJ$416),0))/(SUMPRODUCT(($A$393:$A$416=AM$391)*($F$390:$AJ$390=""))+IF(AM$391="P6",COUNTIF($F$390:$AJ$390,"P6")*ROWS($A$393:$A$416),0)),"")</f>
        <v/>
      </c>
      <c r="AN404" s="6" cm="1">
        <f t="array" ref="AN404">IFERROR((SUMPRODUCT(($A$393:$A$416=AN$391)*($F$390:$AJ$390="")*$F$393:$AJ$416)+IF(AN$391="P6",SUMPRODUCT(($F$390:$AJ$390="P6")*$F$393:$AJ$416),0))/(SUMPRODUCT(($A$393:$A$416=AN$391)*($F$390:$AJ$390=""))+IF(AN$391="P6",COUNTIF($F$390:$AJ$390,"P6")*ROWS($A$393:$A$416),0)),"")</f>
        <v>1.1384008641975312</v>
      </c>
      <c r="AO404" s="6" cm="1">
        <f t="array" ref="AO404">IFERROR((SUMPRODUCT(($A$393:$A$416=AO$391)*($F$390:$AJ$390="")*$F$393:$AJ$416)+IF(AO$391="P6",SUMPRODUCT(($F$390:$AJ$390="P6")*$F$393:$AJ$416),0))/(SUMPRODUCT(($A$393:$A$416=AO$391)*($F$390:$AJ$390=""))+IF(AO$391="P6",COUNTIF($F$390:$AJ$390,"P6")*ROWS($A$393:$A$416),0)),"")</f>
        <v>1.2315554761904752</v>
      </c>
      <c r="AP404" s="6" t="str" cm="1">
        <f t="array" ref="AP404">IFERROR((SUMPRODUCT(($A$393:$A$416=AP$391)*($F$390:$AJ$390="")*$F$393:$AJ$416)+IF(AP$391="P6",SUMPRODUCT(($F$390:$AJ$390="P6")*$F$393:$AJ$416),0))/(SUMPRODUCT(($A$393:$A$416=AP$391)*($F$390:$AJ$390=""))+IF(AP$391="P6",COUNTIF($F$390:$AJ$390,"P6")*ROWS($A$393:$A$416),0)),"")</f>
        <v/>
      </c>
      <c r="AQ404" s="6" t="str" cm="1">
        <f t="array" ref="AQ404">IFERROR((SUMPRODUCT(($A$393:$A$416=AQ$391)*($F$390:$AJ$390="")*$F$393:$AJ$416)+IF(AQ$391="P6",SUMPRODUCT(($F$390:$AJ$390="P6")*$F$393:$AJ$416),0))/(SUMPRODUCT(($A$393:$A$416=AQ$391)*($F$390:$AJ$390=""))+IF(AQ$391="P6",COUNTIF($F$390:$AJ$390,"P6")*ROWS($A$393:$A$416),0)),"")</f>
        <v/>
      </c>
      <c r="AR404" s="6" cm="1">
        <f t="array" ref="AR404">IFERROR((SUMPRODUCT(($A$393:$A$416=AR$391)*($F$390:$AJ$390="")*$F$393:$AJ$416)+IF(AR$391="P6",SUMPRODUCT(($F$390:$AJ$390="P6")*$F$393:$AJ$416),0))/(SUMPRODUCT(($A$393:$A$416=AR$391)*($F$390:$AJ$390=""))+IF(AR$391="P6",COUNTIF($F$390:$AJ$390,"P6")*ROWS($A$393:$A$416),0)),"")</f>
        <v>1.3167336184210527</v>
      </c>
    </row>
    <row r="405" spans="1:44" ht="14.25" customHeight="1" x14ac:dyDescent="0.35">
      <c r="A405" s="1" t="s">
        <v>14</v>
      </c>
      <c r="B405" s="1" t="s">
        <v>15</v>
      </c>
      <c r="C405" s="1" t="s">
        <v>13</v>
      </c>
      <c r="D405" s="1" t="s">
        <v>13</v>
      </c>
      <c r="E405" s="1" t="s">
        <v>31</v>
      </c>
      <c r="F405" s="1">
        <v>1.09274</v>
      </c>
      <c r="G405" s="1">
        <v>1.09273</v>
      </c>
      <c r="H405" s="1">
        <v>1.14967</v>
      </c>
      <c r="I405" s="1">
        <v>1.07741</v>
      </c>
      <c r="J405" s="1">
        <v>1.08761</v>
      </c>
      <c r="K405" s="1">
        <v>1.1066400000000001</v>
      </c>
      <c r="L405" s="1">
        <v>1.03525</v>
      </c>
      <c r="M405" s="1">
        <v>1.12483</v>
      </c>
      <c r="N405" s="1">
        <v>1.09273</v>
      </c>
      <c r="O405" s="1">
        <v>1.14967</v>
      </c>
      <c r="P405" s="1">
        <v>1.07741</v>
      </c>
      <c r="Q405" s="1">
        <v>1.08761</v>
      </c>
      <c r="R405" s="1">
        <v>1.0288299999999999</v>
      </c>
      <c r="S405" s="1">
        <v>1.03525</v>
      </c>
      <c r="T405" s="1">
        <v>1.09274</v>
      </c>
      <c r="U405" s="1">
        <v>1.09273</v>
      </c>
      <c r="V405" s="1">
        <v>1.14967</v>
      </c>
      <c r="W405" s="1">
        <v>1.07741</v>
      </c>
      <c r="X405" s="1">
        <v>1.08761</v>
      </c>
      <c r="Y405" s="1">
        <v>1.0288299999999999</v>
      </c>
      <c r="Z405" s="1">
        <v>1.03525</v>
      </c>
      <c r="AA405" s="1">
        <v>1.09274</v>
      </c>
      <c r="AB405" s="1">
        <v>1.09273</v>
      </c>
      <c r="AC405" s="1">
        <v>1.14967</v>
      </c>
      <c r="AD405" s="1">
        <v>1.08954</v>
      </c>
      <c r="AE405" s="1">
        <v>1.08761</v>
      </c>
      <c r="AF405" s="1">
        <v>1.0288299999999999</v>
      </c>
      <c r="AG405" s="1">
        <v>1.03525</v>
      </c>
      <c r="AH405" s="1">
        <v>1.09274</v>
      </c>
      <c r="AI405" s="1">
        <v>1.09273</v>
      </c>
      <c r="AJ405" s="1">
        <v>1.14967</v>
      </c>
      <c r="AL405" s="4" t="s">
        <v>25</v>
      </c>
      <c r="AM405" s="6" t="str" cm="1">
        <f t="array" ref="AM405">IFERROR((SUMPRODUCT(($A$393:$A$416=AM$391)*($F$390:$AJ$390="")*$F$393:$AJ$416)+IF(AM$391="P6",SUMPRODUCT(($F$390:$AJ$390="P6")*$F$393:$AJ$416),0))/(SUMPRODUCT(($A$393:$A$416=AM$391)*($F$390:$AJ$390=""))+IF(AM$391="P6",COUNTIF($F$390:$AJ$390,"P6")*ROWS($A$393:$A$416),0)),"")</f>
        <v/>
      </c>
      <c r="AN405" s="6" cm="1">
        <f t="array" ref="AN405">IFERROR((SUMPRODUCT(($A$393:$A$416=AN$391)*($F$390:$AJ$390="")*$F$393:$AJ$416)+IF(AN$391="P6",SUMPRODUCT(($F$390:$AJ$390="P6")*$F$393:$AJ$416),0))/(SUMPRODUCT(($A$393:$A$416=AN$391)*($F$390:$AJ$390=""))+IF(AN$391="P6",COUNTIF($F$390:$AJ$390,"P6")*ROWS($A$393:$A$416),0)),"")</f>
        <v>1.1384008641975312</v>
      </c>
      <c r="AO405" s="6" cm="1">
        <f t="array" ref="AO405">IFERROR((SUMPRODUCT(($A$393:$A$416=AO$391)*($F$390:$AJ$390="")*$F$393:$AJ$416)+IF(AO$391="P6",SUMPRODUCT(($F$390:$AJ$390="P6")*$F$393:$AJ$416),0))/(SUMPRODUCT(($A$393:$A$416=AO$391)*($F$390:$AJ$390=""))+IF(AO$391="P6",COUNTIF($F$390:$AJ$390,"P6")*ROWS($A$393:$A$416),0)),"")</f>
        <v>1.2315554761904752</v>
      </c>
      <c r="AP405" s="6" t="str" cm="1">
        <f t="array" ref="AP405">IFERROR((SUMPRODUCT(($A$393:$A$416=AP$391)*($F$390:$AJ$390="")*$F$393:$AJ$416)+IF(AP$391="P6",SUMPRODUCT(($F$390:$AJ$390="P6")*$F$393:$AJ$416),0))/(SUMPRODUCT(($A$393:$A$416=AP$391)*($F$390:$AJ$390=""))+IF(AP$391="P6",COUNTIF($F$390:$AJ$390,"P6")*ROWS($A$393:$A$416),0)),"")</f>
        <v/>
      </c>
      <c r="AQ405" s="6" t="str" cm="1">
        <f t="array" ref="AQ405">IFERROR((SUMPRODUCT(($A$393:$A$416=AQ$391)*($F$390:$AJ$390="")*$F$393:$AJ$416)+IF(AQ$391="P6",SUMPRODUCT(($F$390:$AJ$390="P6")*$F$393:$AJ$416),0))/(SUMPRODUCT(($A$393:$A$416=AQ$391)*($F$390:$AJ$390=""))+IF(AQ$391="P6",COUNTIF($F$390:$AJ$390,"P6")*ROWS($A$393:$A$416),0)),"")</f>
        <v/>
      </c>
      <c r="AR405" s="6" cm="1">
        <f t="array" ref="AR405">IFERROR((SUMPRODUCT(($A$393:$A$416=AR$391)*($F$390:$AJ$390="")*$F$393:$AJ$416)+IF(AR$391="P6",SUMPRODUCT(($F$390:$AJ$390="P6")*$F$393:$AJ$416),0))/(SUMPRODUCT(($A$393:$A$416=AR$391)*($F$390:$AJ$390=""))+IF(AR$391="P6",COUNTIF($F$390:$AJ$390,"P6")*ROWS($A$393:$A$416),0)),"")</f>
        <v>1.3167336184210527</v>
      </c>
    </row>
    <row r="406" spans="1:44" ht="14.25" customHeight="1" x14ac:dyDescent="0.35">
      <c r="A406" s="1" t="s">
        <v>14</v>
      </c>
      <c r="B406" s="1" t="s">
        <v>15</v>
      </c>
      <c r="C406" s="1" t="s">
        <v>13</v>
      </c>
      <c r="D406" s="1" t="s">
        <v>13</v>
      </c>
      <c r="E406" s="1" t="s">
        <v>32</v>
      </c>
      <c r="F406" s="1">
        <v>1.08161</v>
      </c>
      <c r="G406" s="1">
        <v>1.08236</v>
      </c>
      <c r="H406" s="1">
        <v>1.13944</v>
      </c>
      <c r="I406" s="1">
        <v>1.0585800000000001</v>
      </c>
      <c r="J406" s="1">
        <v>1.0678700000000001</v>
      </c>
      <c r="K406" s="1">
        <v>1.1044</v>
      </c>
      <c r="L406" s="1">
        <v>1.03007</v>
      </c>
      <c r="M406" s="1">
        <v>1.1229</v>
      </c>
      <c r="N406" s="1">
        <v>1.08236</v>
      </c>
      <c r="O406" s="1">
        <v>1.13944</v>
      </c>
      <c r="P406" s="1">
        <v>1.0585800000000001</v>
      </c>
      <c r="Q406" s="1">
        <v>1.0678700000000001</v>
      </c>
      <c r="R406" s="1">
        <v>1.05019</v>
      </c>
      <c r="S406" s="1">
        <v>1.03007</v>
      </c>
      <c r="T406" s="1">
        <v>1.08161</v>
      </c>
      <c r="U406" s="1">
        <v>1.08236</v>
      </c>
      <c r="V406" s="1">
        <v>1.13944</v>
      </c>
      <c r="W406" s="1">
        <v>1.0585800000000001</v>
      </c>
      <c r="X406" s="1">
        <v>1.0678700000000001</v>
      </c>
      <c r="Y406" s="1">
        <v>1.05019</v>
      </c>
      <c r="Z406" s="1">
        <v>1.03007</v>
      </c>
      <c r="AA406" s="1">
        <v>1.08161</v>
      </c>
      <c r="AB406" s="1">
        <v>1.08236</v>
      </c>
      <c r="AC406" s="1">
        <v>1.13944</v>
      </c>
      <c r="AD406" s="1">
        <v>1.0773299999999999</v>
      </c>
      <c r="AE406" s="1">
        <v>1.0678700000000001</v>
      </c>
      <c r="AF406" s="1">
        <v>1.05019</v>
      </c>
      <c r="AG406" s="1">
        <v>1.03007</v>
      </c>
      <c r="AH406" s="1">
        <v>1.08161</v>
      </c>
      <c r="AI406" s="1">
        <v>1.08236</v>
      </c>
      <c r="AJ406" s="1">
        <v>1.13944</v>
      </c>
      <c r="AL406" s="4" t="s">
        <v>27</v>
      </c>
      <c r="AM406" s="6" t="str" cm="1">
        <f t="array" ref="AM406">IFERROR((SUMPRODUCT(($A$393:$A$416=AM$391)*($F$390:$AJ$390="")*$F$393:$AJ$416)+IF(AM$391="P6",SUMPRODUCT(($F$390:$AJ$390="P6")*$F$393:$AJ$416),0))/(SUMPRODUCT(($A$393:$A$416=AM$391)*($F$390:$AJ$390=""))+IF(AM$391="P6",COUNTIF($F$390:$AJ$390,"P6")*ROWS($A$393:$A$416),0)),"")</f>
        <v/>
      </c>
      <c r="AN406" s="6" cm="1">
        <f t="array" ref="AN406">IFERROR((SUMPRODUCT(($A$393:$A$416=AN$391)*($F$390:$AJ$390="")*$F$393:$AJ$416)+IF(AN$391="P6",SUMPRODUCT(($F$390:$AJ$390="P6")*$F$393:$AJ$416),0))/(SUMPRODUCT(($A$393:$A$416=AN$391)*($F$390:$AJ$390=""))+IF(AN$391="P6",COUNTIF($F$390:$AJ$390,"P6")*ROWS($A$393:$A$416),0)),"")</f>
        <v>1.1384008641975312</v>
      </c>
      <c r="AO406" s="6" cm="1">
        <f t="array" ref="AO406">IFERROR((SUMPRODUCT(($A$393:$A$416=AO$391)*($F$390:$AJ$390="")*$F$393:$AJ$416)+IF(AO$391="P6",SUMPRODUCT(($F$390:$AJ$390="P6")*$F$393:$AJ$416),0))/(SUMPRODUCT(($A$393:$A$416=AO$391)*($F$390:$AJ$390=""))+IF(AO$391="P6",COUNTIF($F$390:$AJ$390,"P6")*ROWS($A$393:$A$416),0)),"")</f>
        <v>1.2315554761904752</v>
      </c>
      <c r="AP406" s="6" t="str" cm="1">
        <f t="array" ref="AP406">IFERROR((SUMPRODUCT(($A$393:$A$416=AP$391)*($F$390:$AJ$390="")*$F$393:$AJ$416)+IF(AP$391="P6",SUMPRODUCT(($F$390:$AJ$390="P6")*$F$393:$AJ$416),0))/(SUMPRODUCT(($A$393:$A$416=AP$391)*($F$390:$AJ$390=""))+IF(AP$391="P6",COUNTIF($F$390:$AJ$390,"P6")*ROWS($A$393:$A$416),0)),"")</f>
        <v/>
      </c>
      <c r="AQ406" s="6" t="str" cm="1">
        <f t="array" ref="AQ406">IFERROR((SUMPRODUCT(($A$393:$A$416=AQ$391)*($F$390:$AJ$390="")*$F$393:$AJ$416)+IF(AQ$391="P6",SUMPRODUCT(($F$390:$AJ$390="P6")*$F$393:$AJ$416),0))/(SUMPRODUCT(($A$393:$A$416=AQ$391)*($F$390:$AJ$390=""))+IF(AQ$391="P6",COUNTIF($F$390:$AJ$390,"P6")*ROWS($A$393:$A$416),0)),"")</f>
        <v/>
      </c>
      <c r="AR406" s="6" cm="1">
        <f t="array" ref="AR406">IFERROR((SUMPRODUCT(($A$393:$A$416=AR$391)*($F$390:$AJ$390="")*$F$393:$AJ$416)+IF(AR$391="P6",SUMPRODUCT(($F$390:$AJ$390="P6")*$F$393:$AJ$416),0))/(SUMPRODUCT(($A$393:$A$416=AR$391)*($F$390:$AJ$390=""))+IF(AR$391="P6",COUNTIF($F$390:$AJ$390,"P6")*ROWS($A$393:$A$416),0)),"")</f>
        <v>1.3167336184210527</v>
      </c>
    </row>
    <row r="407" spans="1:44" ht="14.25" customHeight="1" x14ac:dyDescent="0.35">
      <c r="A407" s="1" t="s">
        <v>14</v>
      </c>
      <c r="B407" s="1" t="s">
        <v>15</v>
      </c>
      <c r="C407" s="1" t="s">
        <v>14</v>
      </c>
      <c r="D407" s="1" t="s">
        <v>14</v>
      </c>
      <c r="E407" s="1" t="s">
        <v>33</v>
      </c>
      <c r="F407" s="1">
        <v>1.11574</v>
      </c>
      <c r="G407" s="1">
        <v>1.0920000000000001</v>
      </c>
      <c r="H407" s="1">
        <v>1.1532199999999999</v>
      </c>
      <c r="I407" s="1">
        <v>1.1314599999999999</v>
      </c>
      <c r="J407" s="1">
        <v>1.1161099999999999</v>
      </c>
      <c r="K407" s="1">
        <v>1.1151500000000001</v>
      </c>
      <c r="L407" s="1">
        <v>1.08765</v>
      </c>
      <c r="M407" s="1">
        <v>1.13673</v>
      </c>
      <c r="N407" s="1">
        <v>1.0920000000000001</v>
      </c>
      <c r="O407" s="1">
        <v>1.1532199999999999</v>
      </c>
      <c r="P407" s="1">
        <v>1.1314599999999999</v>
      </c>
      <c r="Q407" s="1">
        <v>1.1161099999999999</v>
      </c>
      <c r="R407" s="1">
        <v>1.1058699999999999</v>
      </c>
      <c r="S407" s="1">
        <v>1.08765</v>
      </c>
      <c r="T407" s="1">
        <v>1.11574</v>
      </c>
      <c r="U407" s="1">
        <v>1.0920000000000001</v>
      </c>
      <c r="V407" s="1">
        <v>1.1532199999999999</v>
      </c>
      <c r="W407" s="1">
        <v>1.1314599999999999</v>
      </c>
      <c r="X407" s="1">
        <v>1.1161099999999999</v>
      </c>
      <c r="Y407" s="1">
        <v>1.1058699999999999</v>
      </c>
      <c r="Z407" s="1">
        <v>1.08765</v>
      </c>
      <c r="AA407" s="1">
        <v>1.11574</v>
      </c>
      <c r="AB407" s="1">
        <v>1.0920000000000001</v>
      </c>
      <c r="AC407" s="1">
        <v>1.1532199999999999</v>
      </c>
      <c r="AD407" s="1">
        <v>1.0900300000000001</v>
      </c>
      <c r="AE407" s="1">
        <v>1.1161099999999999</v>
      </c>
      <c r="AF407" s="1">
        <v>1.1058699999999999</v>
      </c>
      <c r="AG407" s="1">
        <v>1.08765</v>
      </c>
      <c r="AH407" s="1">
        <v>1.11574</v>
      </c>
      <c r="AI407" s="1">
        <v>1.0920000000000001</v>
      </c>
      <c r="AJ407" s="1">
        <v>1.1532199999999999</v>
      </c>
      <c r="AL407" s="4" t="s">
        <v>29</v>
      </c>
      <c r="AM407" s="6" t="str" cm="1">
        <f t="array" ref="AM407">IFERROR((SUMPRODUCT(($A$393:$A$416=AM$391)*($F$390:$AJ$390="")*$F$393:$AJ$416)+IF(AM$391="P6",SUMPRODUCT(($F$390:$AJ$390="P6")*$F$393:$AJ$416),0))/(SUMPRODUCT(($A$393:$A$416=AM$391)*($F$390:$AJ$390=""))+IF(AM$391="P6",COUNTIF($F$390:$AJ$390,"P6")*ROWS($A$393:$A$416),0)),"")</f>
        <v/>
      </c>
      <c r="AN407" s="6" cm="1">
        <f t="array" ref="AN407">IFERROR((SUMPRODUCT(($A$393:$A$416=AN$391)*($F$390:$AJ$390="")*$F$393:$AJ$416)+IF(AN$391="P6",SUMPRODUCT(($F$390:$AJ$390="P6")*$F$393:$AJ$416),0))/(SUMPRODUCT(($A$393:$A$416=AN$391)*($F$390:$AJ$390=""))+IF(AN$391="P6",COUNTIF($F$390:$AJ$390,"P6")*ROWS($A$393:$A$416),0)),"")</f>
        <v>1.1384008641975312</v>
      </c>
      <c r="AO407" s="6" cm="1">
        <f t="array" ref="AO407">IFERROR((SUMPRODUCT(($A$393:$A$416=AO$391)*($F$390:$AJ$390="")*$F$393:$AJ$416)+IF(AO$391="P6",SUMPRODUCT(($F$390:$AJ$390="P6")*$F$393:$AJ$416),0))/(SUMPRODUCT(($A$393:$A$416=AO$391)*($F$390:$AJ$390=""))+IF(AO$391="P6",COUNTIF($F$390:$AJ$390,"P6")*ROWS($A$393:$A$416),0)),"")</f>
        <v>1.2315554761904752</v>
      </c>
      <c r="AP407" s="6" t="str" cm="1">
        <f t="array" ref="AP407">IFERROR((SUMPRODUCT(($A$393:$A$416=AP$391)*($F$390:$AJ$390="")*$F$393:$AJ$416)+IF(AP$391="P6",SUMPRODUCT(($F$390:$AJ$390="P6")*$F$393:$AJ$416),0))/(SUMPRODUCT(($A$393:$A$416=AP$391)*($F$390:$AJ$390=""))+IF(AP$391="P6",COUNTIF($F$390:$AJ$390,"P6")*ROWS($A$393:$A$416),0)),"")</f>
        <v/>
      </c>
      <c r="AQ407" s="6" t="str" cm="1">
        <f t="array" ref="AQ407">IFERROR((SUMPRODUCT(($A$393:$A$416=AQ$391)*($F$390:$AJ$390="")*$F$393:$AJ$416)+IF(AQ$391="P6",SUMPRODUCT(($F$390:$AJ$390="P6")*$F$393:$AJ$416),0))/(SUMPRODUCT(($A$393:$A$416=AQ$391)*($F$390:$AJ$390=""))+IF(AQ$391="P6",COUNTIF($F$390:$AJ$390,"P6")*ROWS($A$393:$A$416),0)),"")</f>
        <v/>
      </c>
      <c r="AR407" s="6" cm="1">
        <f t="array" ref="AR407">IFERROR((SUMPRODUCT(($A$393:$A$416=AR$391)*($F$390:$AJ$390="")*$F$393:$AJ$416)+IF(AR$391="P6",SUMPRODUCT(($F$390:$AJ$390="P6")*$F$393:$AJ$416),0))/(SUMPRODUCT(($A$393:$A$416=AR$391)*($F$390:$AJ$390=""))+IF(AR$391="P6",COUNTIF($F$390:$AJ$390,"P6")*ROWS($A$393:$A$416),0)),"")</f>
        <v>1.3167336184210527</v>
      </c>
    </row>
    <row r="408" spans="1:44" ht="14.25" customHeight="1" x14ac:dyDescent="0.35">
      <c r="A408" s="1" t="s">
        <v>15</v>
      </c>
      <c r="B408" s="1" t="s">
        <v>16</v>
      </c>
      <c r="C408" s="1" t="s">
        <v>14</v>
      </c>
      <c r="D408" s="1" t="s">
        <v>14</v>
      </c>
      <c r="E408" s="1" t="s">
        <v>34</v>
      </c>
      <c r="F408" s="1">
        <v>1.1691400000000001</v>
      </c>
      <c r="G408" s="1">
        <v>1.15679</v>
      </c>
      <c r="H408" s="1">
        <v>1.2145900000000001</v>
      </c>
      <c r="I408" s="1">
        <v>1.17336</v>
      </c>
      <c r="J408" s="1">
        <v>1.1715800000000001</v>
      </c>
      <c r="K408" s="1">
        <v>1.1579699999999999</v>
      </c>
      <c r="L408" s="1">
        <v>1.13605</v>
      </c>
      <c r="M408" s="1">
        <v>1.1835800000000001</v>
      </c>
      <c r="N408" s="1">
        <v>1.15679</v>
      </c>
      <c r="O408" s="1">
        <v>1.2145900000000001</v>
      </c>
      <c r="P408" s="1">
        <v>1.17336</v>
      </c>
      <c r="Q408" s="1">
        <v>1.1715800000000001</v>
      </c>
      <c r="R408" s="1">
        <v>1.16153</v>
      </c>
      <c r="S408" s="1">
        <v>1.13605</v>
      </c>
      <c r="T408" s="1">
        <v>1.1691400000000001</v>
      </c>
      <c r="U408" s="1">
        <v>1.15679</v>
      </c>
      <c r="V408" s="1">
        <v>1.2145900000000001</v>
      </c>
      <c r="W408" s="1">
        <v>1.17336</v>
      </c>
      <c r="X408" s="1">
        <v>1.1715800000000001</v>
      </c>
      <c r="Y408" s="1">
        <v>1.16153</v>
      </c>
      <c r="Z408" s="1">
        <v>1.13605</v>
      </c>
      <c r="AA408" s="1">
        <v>1.1691400000000001</v>
      </c>
      <c r="AB408" s="1">
        <v>1.15679</v>
      </c>
      <c r="AC408" s="1">
        <v>1.2145900000000001</v>
      </c>
      <c r="AD408" s="1">
        <v>1.1546099999999999</v>
      </c>
      <c r="AE408" s="1">
        <v>1.1715800000000001</v>
      </c>
      <c r="AF408" s="1">
        <v>1.16153</v>
      </c>
      <c r="AG408" s="1">
        <v>1.13605</v>
      </c>
      <c r="AH408" s="1">
        <v>1.1691400000000001</v>
      </c>
      <c r="AI408" s="1">
        <v>1.15679</v>
      </c>
      <c r="AJ408" s="1">
        <v>1.2145900000000001</v>
      </c>
      <c r="AL408" s="10"/>
      <c r="AM408" s="10"/>
      <c r="AN408" s="10"/>
      <c r="AO408" s="10"/>
      <c r="AP408" s="10"/>
      <c r="AQ408" s="10"/>
      <c r="AR408" s="10"/>
    </row>
    <row r="409" spans="1:44" ht="14.25" customHeight="1" x14ac:dyDescent="0.35">
      <c r="A409" s="1" t="s">
        <v>15</v>
      </c>
      <c r="B409" s="1" t="s">
        <v>16</v>
      </c>
      <c r="C409" s="1" t="s">
        <v>14</v>
      </c>
      <c r="D409" s="1" t="s">
        <v>14</v>
      </c>
      <c r="E409" s="1" t="s">
        <v>35</v>
      </c>
      <c r="F409" s="1">
        <v>1.22132</v>
      </c>
      <c r="G409" s="1">
        <v>1.21455</v>
      </c>
      <c r="H409" s="1">
        <v>1.2440800000000001</v>
      </c>
      <c r="I409" s="1">
        <v>1.2185999999999999</v>
      </c>
      <c r="J409" s="1">
        <v>1.2289000000000001</v>
      </c>
      <c r="K409" s="1">
        <v>1.19424</v>
      </c>
      <c r="L409" s="1">
        <v>1.1753499999999999</v>
      </c>
      <c r="M409" s="1">
        <v>1.2038</v>
      </c>
      <c r="N409" s="1">
        <v>1.21455</v>
      </c>
      <c r="O409" s="1">
        <v>1.2440800000000001</v>
      </c>
      <c r="P409" s="1">
        <v>1.2185999999999999</v>
      </c>
      <c r="Q409" s="1">
        <v>1.2289000000000001</v>
      </c>
      <c r="R409" s="1">
        <v>1.2099</v>
      </c>
      <c r="S409" s="1">
        <v>1.1753499999999999</v>
      </c>
      <c r="T409" s="1">
        <v>1.22132</v>
      </c>
      <c r="U409" s="1">
        <v>1.21455</v>
      </c>
      <c r="V409" s="1">
        <v>1.2440800000000001</v>
      </c>
      <c r="W409" s="1">
        <v>1.2185999999999999</v>
      </c>
      <c r="X409" s="1">
        <v>1.2289000000000001</v>
      </c>
      <c r="Y409" s="1">
        <v>1.2099</v>
      </c>
      <c r="Z409" s="1">
        <v>1.1753499999999999</v>
      </c>
      <c r="AA409" s="1">
        <v>1.22132</v>
      </c>
      <c r="AB409" s="1">
        <v>1.21455</v>
      </c>
      <c r="AC409" s="1">
        <v>1.2440800000000001</v>
      </c>
      <c r="AD409" s="1">
        <v>1.2136</v>
      </c>
      <c r="AE409" s="1">
        <v>1.2289000000000001</v>
      </c>
      <c r="AF409" s="1">
        <v>1.2099</v>
      </c>
      <c r="AG409" s="1">
        <v>1.1753499999999999</v>
      </c>
      <c r="AH409" s="1">
        <v>1.22132</v>
      </c>
      <c r="AI409" s="1">
        <v>1.21455</v>
      </c>
      <c r="AJ409" s="1">
        <v>1.2440800000000001</v>
      </c>
      <c r="AL409" s="10"/>
      <c r="AM409" s="10"/>
      <c r="AN409" s="10"/>
      <c r="AO409" s="10"/>
      <c r="AP409" s="10"/>
      <c r="AQ409" s="10"/>
      <c r="AR409" s="10"/>
    </row>
    <row r="410" spans="1:44" ht="14.25" customHeight="1" x14ac:dyDescent="0.35">
      <c r="A410" s="1" t="s">
        <v>15</v>
      </c>
      <c r="B410" s="1" t="s">
        <v>16</v>
      </c>
      <c r="C410" s="1" t="s">
        <v>14</v>
      </c>
      <c r="D410" s="1" t="s">
        <v>14</v>
      </c>
      <c r="E410" s="1" t="s">
        <v>36</v>
      </c>
      <c r="F410" s="1">
        <v>1.2565500000000001</v>
      </c>
      <c r="G410" s="1">
        <v>1.2563200000000001</v>
      </c>
      <c r="H410" s="1">
        <v>1.25502</v>
      </c>
      <c r="I410" s="1">
        <v>1.25353</v>
      </c>
      <c r="J410" s="1">
        <v>1.25983</v>
      </c>
      <c r="K410" s="1">
        <v>1.20709</v>
      </c>
      <c r="L410" s="1">
        <v>1.21793</v>
      </c>
      <c r="M410" s="1">
        <v>1.21194</v>
      </c>
      <c r="N410" s="1">
        <v>1.2563200000000001</v>
      </c>
      <c r="O410" s="1">
        <v>1.25502</v>
      </c>
      <c r="P410" s="1">
        <v>1.25353</v>
      </c>
      <c r="Q410" s="1">
        <v>1.25983</v>
      </c>
      <c r="R410" s="1">
        <v>1.2092700000000001</v>
      </c>
      <c r="S410" s="1">
        <v>1.21793</v>
      </c>
      <c r="T410" s="1">
        <v>1.2565500000000001</v>
      </c>
      <c r="U410" s="1">
        <v>1.2563200000000001</v>
      </c>
      <c r="V410" s="1">
        <v>1.25502</v>
      </c>
      <c r="W410" s="1">
        <v>1.25353</v>
      </c>
      <c r="X410" s="1">
        <v>1.25983</v>
      </c>
      <c r="Y410" s="1">
        <v>1.2092700000000001</v>
      </c>
      <c r="Z410" s="1">
        <v>1.21793</v>
      </c>
      <c r="AA410" s="1">
        <v>1.2565500000000001</v>
      </c>
      <c r="AB410" s="1">
        <v>1.2563200000000001</v>
      </c>
      <c r="AC410" s="1">
        <v>1.25502</v>
      </c>
      <c r="AD410" s="1">
        <v>1.25587</v>
      </c>
      <c r="AE410" s="1">
        <v>1.25983</v>
      </c>
      <c r="AF410" s="1">
        <v>1.2092700000000001</v>
      </c>
      <c r="AG410" s="1">
        <v>1.21793</v>
      </c>
      <c r="AH410" s="1">
        <v>1.2565500000000001</v>
      </c>
      <c r="AI410" s="1">
        <v>1.2563200000000001</v>
      </c>
      <c r="AJ410" s="1">
        <v>1.25502</v>
      </c>
      <c r="AL410" s="14" t="s">
        <v>251</v>
      </c>
      <c r="AM410" s="14"/>
      <c r="AN410" s="14"/>
      <c r="AO410" s="14"/>
      <c r="AP410" s="14"/>
      <c r="AQ410" s="14"/>
      <c r="AR410" s="14"/>
    </row>
    <row r="411" spans="1:44" ht="14.25" customHeight="1" x14ac:dyDescent="0.35">
      <c r="A411" s="1" t="s">
        <v>14</v>
      </c>
      <c r="B411" s="1" t="s">
        <v>15</v>
      </c>
      <c r="C411" s="1" t="s">
        <v>13</v>
      </c>
      <c r="D411" s="1" t="s">
        <v>13</v>
      </c>
      <c r="E411" s="1" t="s">
        <v>37</v>
      </c>
      <c r="F411" s="1">
        <v>1.2165600000000001</v>
      </c>
      <c r="G411" s="1">
        <v>1.27332</v>
      </c>
      <c r="H411" s="1">
        <v>1.25099</v>
      </c>
      <c r="I411" s="1">
        <v>1.19661</v>
      </c>
      <c r="J411" s="1">
        <v>1.1896800000000001</v>
      </c>
      <c r="K411" s="1">
        <v>1.19279</v>
      </c>
      <c r="L411" s="1">
        <v>1.1805000000000001</v>
      </c>
      <c r="M411" s="1">
        <v>1.1805699999999999</v>
      </c>
      <c r="N411" s="1">
        <v>1.27332</v>
      </c>
      <c r="O411" s="1">
        <v>1.25099</v>
      </c>
      <c r="P411" s="1">
        <v>1.19661</v>
      </c>
      <c r="Q411" s="1">
        <v>1.1896800000000001</v>
      </c>
      <c r="R411" s="1">
        <v>1.2171799999999999</v>
      </c>
      <c r="S411" s="1">
        <v>1.1805000000000001</v>
      </c>
      <c r="T411" s="1">
        <v>1.2165600000000001</v>
      </c>
      <c r="U411" s="1">
        <v>1.27332</v>
      </c>
      <c r="V411" s="1">
        <v>1.25099</v>
      </c>
      <c r="W411" s="1">
        <v>1.19661</v>
      </c>
      <c r="X411" s="1">
        <v>1.1896800000000001</v>
      </c>
      <c r="Y411" s="1">
        <v>1.2171799999999999</v>
      </c>
      <c r="Z411" s="1">
        <v>1.1805000000000001</v>
      </c>
      <c r="AA411" s="1">
        <v>1.2165600000000001</v>
      </c>
      <c r="AB411" s="1">
        <v>1.27332</v>
      </c>
      <c r="AC411" s="1">
        <v>1.25099</v>
      </c>
      <c r="AD411" s="1">
        <v>1.25539</v>
      </c>
      <c r="AE411" s="1">
        <v>1.1896800000000001</v>
      </c>
      <c r="AF411" s="1">
        <v>1.2171799999999999</v>
      </c>
      <c r="AG411" s="1">
        <v>1.1805000000000001</v>
      </c>
      <c r="AH411" s="1">
        <v>1.2165600000000001</v>
      </c>
      <c r="AI411" s="1">
        <v>1.27332</v>
      </c>
      <c r="AJ411" s="1">
        <v>1.25099</v>
      </c>
      <c r="AL411" s="4"/>
      <c r="AM411" s="4" t="s">
        <v>13</v>
      </c>
      <c r="AN411" s="4" t="s">
        <v>14</v>
      </c>
      <c r="AO411" s="4" t="s">
        <v>15</v>
      </c>
      <c r="AP411" s="4" t="s">
        <v>16</v>
      </c>
      <c r="AQ411" s="4" t="s">
        <v>17</v>
      </c>
      <c r="AR411" s="4" t="s">
        <v>7</v>
      </c>
    </row>
    <row r="412" spans="1:44" ht="14.25" customHeight="1" x14ac:dyDescent="0.35">
      <c r="A412" s="1" t="s">
        <v>14</v>
      </c>
      <c r="B412" s="1" t="s">
        <v>15</v>
      </c>
      <c r="C412" s="1" t="s">
        <v>13</v>
      </c>
      <c r="D412" s="1" t="s">
        <v>13</v>
      </c>
      <c r="E412" s="1" t="s">
        <v>38</v>
      </c>
      <c r="F412" s="1">
        <v>1.2289600000000001</v>
      </c>
      <c r="G412" s="1">
        <v>1.29922</v>
      </c>
      <c r="H412" s="1">
        <v>1.2574399999999999</v>
      </c>
      <c r="I412" s="1">
        <v>1.2066600000000001</v>
      </c>
      <c r="J412" s="1">
        <v>1.2106300000000001</v>
      </c>
      <c r="K412" s="1">
        <v>1.1987300000000001</v>
      </c>
      <c r="L412" s="1">
        <v>1.2037899999999999</v>
      </c>
      <c r="M412" s="1">
        <v>1.1862699999999999</v>
      </c>
      <c r="N412" s="1">
        <v>1.29922</v>
      </c>
      <c r="O412" s="1">
        <v>1.2574399999999999</v>
      </c>
      <c r="P412" s="1">
        <v>1.2066600000000001</v>
      </c>
      <c r="Q412" s="1">
        <v>1.2106300000000001</v>
      </c>
      <c r="R412" s="1">
        <v>1.2285299999999999</v>
      </c>
      <c r="S412" s="1">
        <v>1.2037899999999999</v>
      </c>
      <c r="T412" s="1">
        <v>1.2289600000000001</v>
      </c>
      <c r="U412" s="1">
        <v>1.29922</v>
      </c>
      <c r="V412" s="1">
        <v>1.2574399999999999</v>
      </c>
      <c r="W412" s="1">
        <v>1.2066600000000001</v>
      </c>
      <c r="X412" s="1">
        <v>1.2106300000000001</v>
      </c>
      <c r="Y412" s="1">
        <v>1.2285299999999999</v>
      </c>
      <c r="Z412" s="1">
        <v>1.2037899999999999</v>
      </c>
      <c r="AA412" s="1">
        <v>1.2289600000000001</v>
      </c>
      <c r="AB412" s="1">
        <v>1.29922</v>
      </c>
      <c r="AC412" s="1">
        <v>1.2574399999999999</v>
      </c>
      <c r="AD412" s="1">
        <v>1.27603</v>
      </c>
      <c r="AE412" s="1">
        <v>1.2106300000000001</v>
      </c>
      <c r="AF412" s="1">
        <v>1.2285299999999999</v>
      </c>
      <c r="AG412" s="1">
        <v>1.2037899999999999</v>
      </c>
      <c r="AH412" s="1">
        <v>1.2289600000000001</v>
      </c>
      <c r="AI412" s="1">
        <v>1.29922</v>
      </c>
      <c r="AJ412" s="1">
        <v>1.2574399999999999</v>
      </c>
      <c r="AL412" s="4" t="s">
        <v>19</v>
      </c>
      <c r="AM412" s="6" cm="1">
        <f t="array" ref="AM412">IFERROR((SUMPRODUCT(($C$393:$C$416=AM$391)*($F$389:$AJ$389="")*$F$393:$AJ$416)+IF(AM$391="P3",SUMPRODUCT(($F$389:$AJ$389="P3")*$F$393:$AJ$416),0))/(SUMPRODUCT(($C$393:$C$416=AM$391)*($F$389:$AJ$389=""))+IF(AM$391="P3",COUNTIF($F$389:$AJ$389,"P3")*ROWS($C$393:$C$416),0)),"")</f>
        <v>1.1418815972222225</v>
      </c>
      <c r="AN412" s="6" cm="1">
        <f t="array" ref="AN412">IFERROR((SUMPRODUCT(($C$393:$C$416=AN$391)*($F$389:$AJ$389="")*$F$393:$AJ$416)+IF(AN$391="P3",SUMPRODUCT(($F$389:$AJ$389="P3")*$F$393:$AJ$416),0))/(SUMPRODUCT(($C$393:$C$416=AN$391)*($F$389:$AJ$389=""))+IF(AN$391="P3",COUNTIF($F$389:$AJ$389,"P3")*ROWS($C$393:$C$416),0)),"")</f>
        <v>1.2164304166666664</v>
      </c>
      <c r="AO412" s="6" cm="1">
        <f t="array" ref="AO412">IFERROR((SUMPRODUCT(($C$393:$C$416=AO$391)*($F$389:$AJ$389="")*$F$393:$AJ$416)+IF(AO$391="P3",SUMPRODUCT(($F$389:$AJ$389="P3")*$F$393:$AJ$416),0))/(SUMPRODUCT(($C$393:$C$416=AO$391)*($F$389:$AJ$389=""))+IF(AO$391="P3",COUNTIF($F$389:$AJ$389,"P3")*ROWS($C$393:$C$416),0)),"")</f>
        <v>1.3167336184210527</v>
      </c>
      <c r="AP412" s="6" t="str" cm="1">
        <f t="array" ref="AP412">IFERROR((SUMPRODUCT(($C$393:$C$416=AP$391)*($F$389:$AJ$389="")*$F$393:$AJ$416)+IF(AP$391="P3",SUMPRODUCT(($F$389:$AJ$389="P3")*$F$393:$AJ$416),0))/(SUMPRODUCT(($C$393:$C$416=AP$391)*($F$389:$AJ$389=""))+IF(AP$391="P3",COUNTIF($F$389:$AJ$389,"P3")*ROWS($C$393:$C$416),0)),"")</f>
        <v/>
      </c>
      <c r="AQ412" s="6" t="str" cm="1">
        <f t="array" ref="AQ412">IFERROR((SUMPRODUCT(($C$393:$C$416=AQ$391)*($F$389:$AJ$389="")*$F$393:$AJ$416)+IF(AQ$391="P3",SUMPRODUCT(($F$389:$AJ$389="P3")*$F$393:$AJ$416),0))/(SUMPRODUCT(($C$393:$C$416=AQ$391)*($F$389:$AJ$389=""))+IF(AQ$391="P3",COUNTIF($F$389:$AJ$389,"P3")*ROWS($C$393:$C$416),0)),"")</f>
        <v/>
      </c>
      <c r="AR412" s="6" t="str" cm="1">
        <f t="array" ref="AR412">IFERROR((SUMPRODUCT(($C$393:$C$416=AR$391)*($F$389:$AJ$389="")*$F$393:$AJ$416)+IF(AR$391="P3",SUMPRODUCT(($F$389:$AJ$389="P3")*$F$393:$AJ$416),0))/(SUMPRODUCT(($C$393:$C$416=AR$391)*($F$389:$AJ$389=""))+IF(AR$391="P3",COUNTIF($F$389:$AJ$389,"P3")*ROWS($C$393:$C$416),0)),"")</f>
        <v/>
      </c>
    </row>
    <row r="413" spans="1:44" ht="14.25" customHeight="1" x14ac:dyDescent="0.35">
      <c r="A413" s="1" t="s">
        <v>14</v>
      </c>
      <c r="B413" s="1" t="s">
        <v>15</v>
      </c>
      <c r="C413" s="1" t="s">
        <v>13</v>
      </c>
      <c r="D413" s="1" t="s">
        <v>13</v>
      </c>
      <c r="E413" s="1" t="s">
        <v>39</v>
      </c>
      <c r="F413" s="1">
        <v>1.2362</v>
      </c>
      <c r="G413" s="1">
        <v>1.3042499999999999</v>
      </c>
      <c r="H413" s="1">
        <v>1.2505900000000001</v>
      </c>
      <c r="I413" s="1">
        <v>1.20655</v>
      </c>
      <c r="J413" s="1">
        <v>1.2171799999999999</v>
      </c>
      <c r="K413" s="1">
        <v>1.2065699999999999</v>
      </c>
      <c r="L413" s="1">
        <v>1.21956</v>
      </c>
      <c r="M413" s="1">
        <v>1.1887000000000001</v>
      </c>
      <c r="N413" s="1">
        <v>1.3042499999999999</v>
      </c>
      <c r="O413" s="1">
        <v>1.2505900000000001</v>
      </c>
      <c r="P413" s="1">
        <v>1.20655</v>
      </c>
      <c r="Q413" s="1">
        <v>1.2171799999999999</v>
      </c>
      <c r="R413" s="1">
        <v>1.20564</v>
      </c>
      <c r="S413" s="1">
        <v>1.21956</v>
      </c>
      <c r="T413" s="1">
        <v>1.2362</v>
      </c>
      <c r="U413" s="1">
        <v>1.3042499999999999</v>
      </c>
      <c r="V413" s="1">
        <v>1.2505900000000001</v>
      </c>
      <c r="W413" s="1">
        <v>1.20655</v>
      </c>
      <c r="X413" s="1">
        <v>1.2171799999999999</v>
      </c>
      <c r="Y413" s="1">
        <v>1.20564</v>
      </c>
      <c r="Z413" s="1">
        <v>1.21956</v>
      </c>
      <c r="AA413" s="1">
        <v>1.2362</v>
      </c>
      <c r="AB413" s="1">
        <v>1.3042499999999999</v>
      </c>
      <c r="AC413" s="1">
        <v>1.2505900000000001</v>
      </c>
      <c r="AD413" s="1">
        <v>1.2927999999999999</v>
      </c>
      <c r="AE413" s="1">
        <v>1.2171799999999999</v>
      </c>
      <c r="AF413" s="1">
        <v>1.20564</v>
      </c>
      <c r="AG413" s="1">
        <v>1.21956</v>
      </c>
      <c r="AH413" s="1">
        <v>1.2362</v>
      </c>
      <c r="AI413" s="1">
        <v>1.3042499999999999</v>
      </c>
      <c r="AJ413" s="1">
        <v>1.2505900000000001</v>
      </c>
      <c r="AL413" s="4" t="s">
        <v>21</v>
      </c>
      <c r="AM413" s="6" t="str" cm="1">
        <f t="array" ref="AM413">IFERROR((SUMPRODUCT(($B$393:$B$416=AM$391)*($F$390:$AJ$390="")*$F$393:$AJ$416)+IF(AM$391="P6",SUMPRODUCT(($F$390:$AJ$390="P6")*$F$393:$AJ$416),0))/(SUMPRODUCT(($B$393:$B$416=AM$391)*($F$390:$AJ$390=""))+IF(AM$391="P6",COUNTIF($F$390:$AJ$390,"P6")*ROWS($B$393:$B$416),0)),"")</f>
        <v/>
      </c>
      <c r="AN413" s="6" t="str" cm="1">
        <f t="array" ref="AN413">IFERROR((SUMPRODUCT(($B$393:$B$416=AN$391)*($F$390:$AJ$390="")*$F$393:$AJ$416)+IF(AN$391="P6",SUMPRODUCT(($F$390:$AJ$390="P6")*$F$393:$AJ$416),0))/(SUMPRODUCT(($B$393:$B$416=AN$391)*($F$390:$AJ$390=""))+IF(AN$391="P6",COUNTIF($F$390:$AJ$390,"P6")*ROWS($B$393:$B$416),0)),"")</f>
        <v/>
      </c>
      <c r="AO413" s="6" cm="1">
        <f t="array" ref="AO413">IFERROR((SUMPRODUCT(($B$393:$B$416=AO$391)*($F$390:$AJ$390="")*$F$393:$AJ$416)+IF(AO$391="P6",SUMPRODUCT(($F$390:$AJ$390="P6")*$F$393:$AJ$416),0))/(SUMPRODUCT(($B$393:$B$416=AO$391)*($F$390:$AJ$390=""))+IF(AO$391="P6",COUNTIF($F$390:$AJ$390,"P6")*ROWS($B$393:$B$416),0)),"")</f>
        <v>1.1384008641975312</v>
      </c>
      <c r="AP413" s="6" cm="1">
        <f t="array" ref="AP413">IFERROR((SUMPRODUCT(($B$393:$B$416=AP$391)*($F$390:$AJ$390="")*$F$393:$AJ$416)+IF(AP$391="P6",SUMPRODUCT(($F$390:$AJ$390="P6")*$F$393:$AJ$416),0))/(SUMPRODUCT(($B$393:$B$416=AP$391)*($F$390:$AJ$390=""))+IF(AP$391="P6",COUNTIF($F$390:$AJ$390,"P6")*ROWS($B$393:$B$416),0)),"")</f>
        <v>1.2315554761904752</v>
      </c>
      <c r="AQ413" s="6" t="str" cm="1">
        <f t="array" ref="AQ413">IFERROR((SUMPRODUCT(($B$393:$B$416=AQ$391)*($F$390:$AJ$390="")*$F$393:$AJ$416)+IF(AQ$391="P6",SUMPRODUCT(($F$390:$AJ$390="P6")*$F$393:$AJ$416),0))/(SUMPRODUCT(($B$393:$B$416=AQ$391)*($F$390:$AJ$390=""))+IF(AQ$391="P6",COUNTIF($F$390:$AJ$390,"P6")*ROWS($B$393:$B$416),0)),"")</f>
        <v/>
      </c>
      <c r="AR413" s="6" cm="1">
        <f t="array" ref="AR413">IFERROR((SUMPRODUCT(($B$393:$B$416=AR$391)*($F$390:$AJ$390="")*$F$393:$AJ$416)+IF(AR$391="P6",SUMPRODUCT(($F$390:$AJ$390="P6")*$F$393:$AJ$416),0))/(SUMPRODUCT(($B$393:$B$416=AR$391)*($F$390:$AJ$390=""))+IF(AR$391="P6",COUNTIF($F$390:$AJ$390,"P6")*ROWS($B$393:$B$416),0)),"")</f>
        <v>1.3167336184210527</v>
      </c>
    </row>
    <row r="414" spans="1:44" ht="14.25" customHeight="1" x14ac:dyDescent="0.35">
      <c r="A414" s="1" t="s">
        <v>14</v>
      </c>
      <c r="B414" s="1" t="s">
        <v>15</v>
      </c>
      <c r="C414" s="1" t="s">
        <v>13</v>
      </c>
      <c r="D414" s="1" t="s">
        <v>13</v>
      </c>
      <c r="E414" s="1" t="s">
        <v>40</v>
      </c>
      <c r="F414" s="1">
        <v>1.23248</v>
      </c>
      <c r="G414" s="1">
        <v>1.2815799999999999</v>
      </c>
      <c r="H414" s="1">
        <v>1.23491</v>
      </c>
      <c r="I414" s="1">
        <v>1.19862</v>
      </c>
      <c r="J414" s="1">
        <v>1.21906</v>
      </c>
      <c r="K414" s="1">
        <v>1.22245</v>
      </c>
      <c r="L414" s="1">
        <v>1.21383</v>
      </c>
      <c r="M414" s="1">
        <v>1.1823300000000001</v>
      </c>
      <c r="N414" s="1">
        <v>1.2815799999999999</v>
      </c>
      <c r="O414" s="1">
        <v>1.23491</v>
      </c>
      <c r="P414" s="1">
        <v>1.19862</v>
      </c>
      <c r="Q414" s="1">
        <v>1.21906</v>
      </c>
      <c r="R414" s="1">
        <v>1.19068</v>
      </c>
      <c r="S414" s="1">
        <v>1.21383</v>
      </c>
      <c r="T414" s="1">
        <v>1.23248</v>
      </c>
      <c r="U414" s="1">
        <v>1.2815799999999999</v>
      </c>
      <c r="V414" s="1">
        <v>1.23491</v>
      </c>
      <c r="W414" s="1">
        <v>1.19862</v>
      </c>
      <c r="X414" s="1">
        <v>1.21906</v>
      </c>
      <c r="Y414" s="1">
        <v>1.19068</v>
      </c>
      <c r="Z414" s="1">
        <v>1.21383</v>
      </c>
      <c r="AA414" s="1">
        <v>1.23248</v>
      </c>
      <c r="AB414" s="1">
        <v>1.2815799999999999</v>
      </c>
      <c r="AC414" s="1">
        <v>1.23491</v>
      </c>
      <c r="AD414" s="1">
        <v>1.29521</v>
      </c>
      <c r="AE414" s="1">
        <v>1.21906</v>
      </c>
      <c r="AF414" s="1">
        <v>1.19068</v>
      </c>
      <c r="AG414" s="1">
        <v>1.21383</v>
      </c>
      <c r="AH414" s="1">
        <v>1.23248</v>
      </c>
      <c r="AI414" s="1">
        <v>1.2815799999999999</v>
      </c>
      <c r="AJ414" s="1">
        <v>1.23491</v>
      </c>
      <c r="AL414" s="4" t="s">
        <v>23</v>
      </c>
      <c r="AM414" s="6" t="str" cm="1">
        <f t="array" ref="AM414">IFERROR((SUMPRODUCT(($B$393:$B$416=AM$391)*($F$390:$AJ$390="")*$F$393:$AJ$416)+IF(AM$391="P6",SUMPRODUCT(($F$390:$AJ$390="P6")*$F$393:$AJ$416),0))/(SUMPRODUCT(($B$393:$B$416=AM$391)*($F$390:$AJ$390=""))+IF(AM$391="P6",COUNTIF($F$390:$AJ$390,"P6")*ROWS($B$393:$B$416),0)),"")</f>
        <v/>
      </c>
      <c r="AN414" s="6" t="str" cm="1">
        <f t="array" ref="AN414">IFERROR((SUMPRODUCT(($B$393:$B$416=AN$391)*($F$390:$AJ$390="")*$F$393:$AJ$416)+IF(AN$391="P6",SUMPRODUCT(($F$390:$AJ$390="P6")*$F$393:$AJ$416),0))/(SUMPRODUCT(($B$393:$B$416=AN$391)*($F$390:$AJ$390=""))+IF(AN$391="P6",COUNTIF($F$390:$AJ$390,"P6")*ROWS($B$393:$B$416),0)),"")</f>
        <v/>
      </c>
      <c r="AO414" s="6" cm="1">
        <f t="array" ref="AO414">IFERROR((SUMPRODUCT(($B$393:$B$416=AO$391)*($F$390:$AJ$390="")*$F$393:$AJ$416)+IF(AO$391="P6",SUMPRODUCT(($F$390:$AJ$390="P6")*$F$393:$AJ$416),0))/(SUMPRODUCT(($B$393:$B$416=AO$391)*($F$390:$AJ$390=""))+IF(AO$391="P6",COUNTIF($F$390:$AJ$390,"P6")*ROWS($B$393:$B$416),0)),"")</f>
        <v>1.1384008641975312</v>
      </c>
      <c r="AP414" s="6" cm="1">
        <f t="array" ref="AP414">IFERROR((SUMPRODUCT(($B$393:$B$416=AP$391)*($F$390:$AJ$390="")*$F$393:$AJ$416)+IF(AP$391="P6",SUMPRODUCT(($F$390:$AJ$390="P6")*$F$393:$AJ$416),0))/(SUMPRODUCT(($B$393:$B$416=AP$391)*($F$390:$AJ$390=""))+IF(AP$391="P6",COUNTIF($F$390:$AJ$390,"P6")*ROWS($B$393:$B$416),0)),"")</f>
        <v>1.2315554761904752</v>
      </c>
      <c r="AQ414" s="6" t="str" cm="1">
        <f t="array" ref="AQ414">IFERROR((SUMPRODUCT(($B$393:$B$416=AQ$391)*($F$390:$AJ$390="")*$F$393:$AJ$416)+IF(AQ$391="P6",SUMPRODUCT(($F$390:$AJ$390="P6")*$F$393:$AJ$416),0))/(SUMPRODUCT(($B$393:$B$416=AQ$391)*($F$390:$AJ$390=""))+IF(AQ$391="P6",COUNTIF($F$390:$AJ$390,"P6")*ROWS($B$393:$B$416),0)),"")</f>
        <v/>
      </c>
      <c r="AR414" s="6" cm="1">
        <f t="array" ref="AR414">IFERROR((SUMPRODUCT(($B$393:$B$416=AR$391)*($F$390:$AJ$390="")*$F$393:$AJ$416)+IF(AR$391="P6",SUMPRODUCT(($F$390:$AJ$390="P6")*$F$393:$AJ$416),0))/(SUMPRODUCT(($B$393:$B$416=AR$391)*($F$390:$AJ$390=""))+IF(AR$391="P6",COUNTIF($F$390:$AJ$390,"P6")*ROWS($B$393:$B$416),0)),"")</f>
        <v>1.3167336184210527</v>
      </c>
    </row>
    <row r="415" spans="1:44" ht="14.25" customHeight="1" x14ac:dyDescent="0.35">
      <c r="A415" s="1" t="s">
        <v>15</v>
      </c>
      <c r="B415" s="1" t="s">
        <v>16</v>
      </c>
      <c r="C415" s="1" t="s">
        <v>14</v>
      </c>
      <c r="D415" s="1" t="s">
        <v>14</v>
      </c>
      <c r="E415" s="1" t="s">
        <v>41</v>
      </c>
      <c r="F415" s="1">
        <v>1.3197700000000001</v>
      </c>
      <c r="G415" s="1">
        <v>1.3018799999999999</v>
      </c>
      <c r="H415" s="1">
        <v>1.23804</v>
      </c>
      <c r="I415" s="1">
        <v>1.2783899999999999</v>
      </c>
      <c r="J415" s="1">
        <v>1.3063899999999999</v>
      </c>
      <c r="K415" s="1">
        <v>1.25888</v>
      </c>
      <c r="L415" s="1">
        <v>1.2990999999999999</v>
      </c>
      <c r="M415" s="1">
        <v>1.2028399999999999</v>
      </c>
      <c r="N415" s="1">
        <v>1.3018799999999999</v>
      </c>
      <c r="O415" s="1">
        <v>1.23804</v>
      </c>
      <c r="P415" s="1">
        <v>1.2783899999999999</v>
      </c>
      <c r="Q415" s="1">
        <v>1.3063899999999999</v>
      </c>
      <c r="R415" s="1">
        <v>1.2772399999999999</v>
      </c>
      <c r="S415" s="1">
        <v>1.2990999999999999</v>
      </c>
      <c r="T415" s="1">
        <v>1.3197700000000001</v>
      </c>
      <c r="U415" s="1">
        <v>1.3018799999999999</v>
      </c>
      <c r="V415" s="1">
        <v>1.23804</v>
      </c>
      <c r="W415" s="1">
        <v>1.2783899999999999</v>
      </c>
      <c r="X415" s="1">
        <v>1.3063899999999999</v>
      </c>
      <c r="Y415" s="1">
        <v>1.2772399999999999</v>
      </c>
      <c r="Z415" s="1">
        <v>1.2990999999999999</v>
      </c>
      <c r="AA415" s="1">
        <v>1.3197700000000001</v>
      </c>
      <c r="AB415" s="1">
        <v>1.3018799999999999</v>
      </c>
      <c r="AC415" s="1">
        <v>1.23804</v>
      </c>
      <c r="AD415" s="1">
        <v>1.3204199999999999</v>
      </c>
      <c r="AE415" s="1">
        <v>1.3063899999999999</v>
      </c>
      <c r="AF415" s="1">
        <v>1.2772399999999999</v>
      </c>
      <c r="AG415" s="1">
        <v>1.2990999999999999</v>
      </c>
      <c r="AH415" s="1">
        <v>1.3197700000000001</v>
      </c>
      <c r="AI415" s="1">
        <v>1.3018799999999999</v>
      </c>
      <c r="AJ415" s="1">
        <v>1.23804</v>
      </c>
      <c r="AL415" s="4" t="s">
        <v>25</v>
      </c>
      <c r="AM415" s="6" t="str" cm="1">
        <f t="array" ref="AM415">IFERROR((SUMPRODUCT(($B$393:$B$416=AM$391)*($F$390:$AJ$390="")*$F$393:$AJ$416)+IF(AM$391="P6",SUMPRODUCT(($F$390:$AJ$390="P6")*$F$393:$AJ$416),0))/(SUMPRODUCT(($B$393:$B$416=AM$391)*($F$390:$AJ$390=""))+IF(AM$391="P6",COUNTIF($F$390:$AJ$390,"P6")*ROWS($B$393:$B$416),0)),"")</f>
        <v/>
      </c>
      <c r="AN415" s="6" t="str" cm="1">
        <f t="array" ref="AN415">IFERROR((SUMPRODUCT(($B$393:$B$416=AN$391)*($F$390:$AJ$390="")*$F$393:$AJ$416)+IF(AN$391="P6",SUMPRODUCT(($F$390:$AJ$390="P6")*$F$393:$AJ$416),0))/(SUMPRODUCT(($B$393:$B$416=AN$391)*($F$390:$AJ$390=""))+IF(AN$391="P6",COUNTIF($F$390:$AJ$390,"P6")*ROWS($B$393:$B$416),0)),"")</f>
        <v/>
      </c>
      <c r="AO415" s="6" cm="1">
        <f t="array" ref="AO415">IFERROR((SUMPRODUCT(($B$393:$B$416=AO$391)*($F$390:$AJ$390="")*$F$393:$AJ$416)+IF(AO$391="P6",SUMPRODUCT(($F$390:$AJ$390="P6")*$F$393:$AJ$416),0))/(SUMPRODUCT(($B$393:$B$416=AO$391)*($F$390:$AJ$390=""))+IF(AO$391="P6",COUNTIF($F$390:$AJ$390,"P6")*ROWS($B$393:$B$416),0)),"")</f>
        <v>1.1384008641975312</v>
      </c>
      <c r="AP415" s="6" cm="1">
        <f t="array" ref="AP415">IFERROR((SUMPRODUCT(($B$393:$B$416=AP$391)*($F$390:$AJ$390="")*$F$393:$AJ$416)+IF(AP$391="P6",SUMPRODUCT(($F$390:$AJ$390="P6")*$F$393:$AJ$416),0))/(SUMPRODUCT(($B$393:$B$416=AP$391)*($F$390:$AJ$390=""))+IF(AP$391="P6",COUNTIF($F$390:$AJ$390,"P6")*ROWS($B$393:$B$416),0)),"")</f>
        <v>1.2315554761904752</v>
      </c>
      <c r="AQ415" s="6" t="str" cm="1">
        <f t="array" ref="AQ415">IFERROR((SUMPRODUCT(($B$393:$B$416=AQ$391)*($F$390:$AJ$390="")*$F$393:$AJ$416)+IF(AQ$391="P6",SUMPRODUCT(($F$390:$AJ$390="P6")*$F$393:$AJ$416),0))/(SUMPRODUCT(($B$393:$B$416=AQ$391)*($F$390:$AJ$390=""))+IF(AQ$391="P6",COUNTIF($F$390:$AJ$390,"P6")*ROWS($B$393:$B$416),0)),"")</f>
        <v/>
      </c>
      <c r="AR415" s="6" cm="1">
        <f t="array" ref="AR415">IFERROR((SUMPRODUCT(($B$393:$B$416=AR$391)*($F$390:$AJ$390="")*$F$393:$AJ$416)+IF(AR$391="P6",SUMPRODUCT(($F$390:$AJ$390="P6")*$F$393:$AJ$416),0))/(SUMPRODUCT(($B$393:$B$416=AR$391)*($F$390:$AJ$390=""))+IF(AR$391="P6",COUNTIF($F$390:$AJ$390,"P6")*ROWS($B$393:$B$416),0)),"")</f>
        <v>1.3167336184210527</v>
      </c>
    </row>
    <row r="416" spans="1:44" ht="14.25" customHeight="1" x14ac:dyDescent="0.35">
      <c r="A416" s="1" t="s">
        <v>15</v>
      </c>
      <c r="B416" s="1" t="s">
        <v>16</v>
      </c>
      <c r="C416" s="1" t="s">
        <v>14</v>
      </c>
      <c r="D416" s="1" t="s">
        <v>14</v>
      </c>
      <c r="E416" s="1" t="s">
        <v>42</v>
      </c>
      <c r="F416" s="1">
        <v>1.3535699999999999</v>
      </c>
      <c r="G416" s="1">
        <v>1.31925</v>
      </c>
      <c r="H416" s="1">
        <v>1.2671699999999999</v>
      </c>
      <c r="I416" s="1">
        <v>1.31707</v>
      </c>
      <c r="J416" s="1">
        <v>1.3498000000000001</v>
      </c>
      <c r="K416" s="1">
        <v>1.28491</v>
      </c>
      <c r="L416" s="1">
        <v>1.33104</v>
      </c>
      <c r="M416" s="1">
        <v>1.22617</v>
      </c>
      <c r="N416" s="1">
        <v>1.31925</v>
      </c>
      <c r="O416" s="1">
        <v>1.2671699999999999</v>
      </c>
      <c r="P416" s="1">
        <v>1.31707</v>
      </c>
      <c r="Q416" s="1">
        <v>1.3498000000000001</v>
      </c>
      <c r="R416" s="1">
        <v>1.31535</v>
      </c>
      <c r="S416" s="1">
        <v>1.33104</v>
      </c>
      <c r="T416" s="1">
        <v>1.3535699999999999</v>
      </c>
      <c r="U416" s="1">
        <v>1.31925</v>
      </c>
      <c r="V416" s="1">
        <v>1.2671699999999999</v>
      </c>
      <c r="W416" s="1">
        <v>1.31707</v>
      </c>
      <c r="X416" s="1">
        <v>1.3498000000000001</v>
      </c>
      <c r="Y416" s="1">
        <v>1.31535</v>
      </c>
      <c r="Z416" s="1">
        <v>1.33104</v>
      </c>
      <c r="AA416" s="1">
        <v>1.3535699999999999</v>
      </c>
      <c r="AB416" s="1">
        <v>1.31925</v>
      </c>
      <c r="AC416" s="1">
        <v>1.2671699999999999</v>
      </c>
      <c r="AD416" s="1">
        <v>1.34541</v>
      </c>
      <c r="AE416" s="1">
        <v>1.3498000000000001</v>
      </c>
      <c r="AF416" s="1">
        <v>1.31535</v>
      </c>
      <c r="AG416" s="1">
        <v>1.33104</v>
      </c>
      <c r="AH416" s="1">
        <v>1.3535699999999999</v>
      </c>
      <c r="AI416" s="1">
        <v>1.31925</v>
      </c>
      <c r="AJ416" s="1">
        <v>1.2671699999999999</v>
      </c>
      <c r="AL416" s="4" t="s">
        <v>27</v>
      </c>
      <c r="AM416" s="6" t="str" cm="1">
        <f t="array" ref="AM416">IFERROR((SUMPRODUCT(($B$393:$B$416=AM$391)*($F$390:$AJ$390="")*$F$393:$AJ$416)+IF(AM$391="P6",SUMPRODUCT(($F$390:$AJ$390="P6")*$F$393:$AJ$416),0))/(SUMPRODUCT(($B$393:$B$416=AM$391)*($F$390:$AJ$390=""))+IF(AM$391="P6",COUNTIF($F$390:$AJ$390,"P6")*ROWS($B$393:$B$416),0)),"")</f>
        <v/>
      </c>
      <c r="AN416" s="6" t="str" cm="1">
        <f t="array" ref="AN416">IFERROR((SUMPRODUCT(($B$393:$B$416=AN$391)*($F$390:$AJ$390="")*$F$393:$AJ$416)+IF(AN$391="P6",SUMPRODUCT(($F$390:$AJ$390="P6")*$F$393:$AJ$416),0))/(SUMPRODUCT(($B$393:$B$416=AN$391)*($F$390:$AJ$390=""))+IF(AN$391="P6",COUNTIF($F$390:$AJ$390,"P6")*ROWS($B$393:$B$416),0)),"")</f>
        <v/>
      </c>
      <c r="AO416" s="6" cm="1">
        <f t="array" ref="AO416">IFERROR((SUMPRODUCT(($B$393:$B$416=AO$391)*($F$390:$AJ$390="")*$F$393:$AJ$416)+IF(AO$391="P6",SUMPRODUCT(($F$390:$AJ$390="P6")*$F$393:$AJ$416),0))/(SUMPRODUCT(($B$393:$B$416=AO$391)*($F$390:$AJ$390=""))+IF(AO$391="P6",COUNTIF($F$390:$AJ$390,"P6")*ROWS($B$393:$B$416),0)),"")</f>
        <v>1.1384008641975312</v>
      </c>
      <c r="AP416" s="6" cm="1">
        <f t="array" ref="AP416">IFERROR((SUMPRODUCT(($B$393:$B$416=AP$391)*($F$390:$AJ$390="")*$F$393:$AJ$416)+IF(AP$391="P6",SUMPRODUCT(($F$390:$AJ$390="P6")*$F$393:$AJ$416),0))/(SUMPRODUCT(($B$393:$B$416=AP$391)*($F$390:$AJ$390=""))+IF(AP$391="P6",COUNTIF($F$390:$AJ$390,"P6")*ROWS($B$393:$B$416),0)),"")</f>
        <v>1.2315554761904752</v>
      </c>
      <c r="AQ416" s="6" t="str" cm="1">
        <f t="array" ref="AQ416">IFERROR((SUMPRODUCT(($B$393:$B$416=AQ$391)*($F$390:$AJ$390="")*$F$393:$AJ$416)+IF(AQ$391="P6",SUMPRODUCT(($F$390:$AJ$390="P6")*$F$393:$AJ$416),0))/(SUMPRODUCT(($B$393:$B$416=AQ$391)*($F$390:$AJ$390=""))+IF(AQ$391="P6",COUNTIF($F$390:$AJ$390,"P6")*ROWS($B$393:$B$416),0)),"")</f>
        <v/>
      </c>
      <c r="AR416" s="6" cm="1">
        <f t="array" ref="AR416">IFERROR((SUMPRODUCT(($B$393:$B$416=AR$391)*($F$390:$AJ$390="")*$F$393:$AJ$416)+IF(AR$391="P6",SUMPRODUCT(($F$390:$AJ$390="P6")*$F$393:$AJ$416),0))/(SUMPRODUCT(($B$393:$B$416=AR$391)*($F$390:$AJ$390=""))+IF(AR$391="P6",COUNTIF($F$390:$AJ$390,"P6")*ROWS($B$393:$B$416),0)),"")</f>
        <v>1.3167336184210527</v>
      </c>
    </row>
    <row r="417" spans="38:44" ht="14.25" customHeight="1" x14ac:dyDescent="0.35">
      <c r="AL417" s="4" t="s">
        <v>29</v>
      </c>
      <c r="AM417" s="6" t="str" cm="1">
        <f t="array" ref="AM417">IFERROR((SUMPRODUCT(($B$393:$B$416=AM$391)*($F$390:$AJ$390="")*$F$393:$AJ$416)+IF(AM$391="P6",SUMPRODUCT(($F$390:$AJ$390="P6")*$F$393:$AJ$416),0))/(SUMPRODUCT(($B$393:$B$416=AM$391)*($F$390:$AJ$390=""))+IF(AM$391="P6",COUNTIF($F$390:$AJ$390,"P6")*ROWS($B$393:$B$416),0)),"")</f>
        <v/>
      </c>
      <c r="AN417" s="6" t="str" cm="1">
        <f t="array" ref="AN417">IFERROR((SUMPRODUCT(($B$393:$B$416=AN$391)*($F$390:$AJ$390="")*$F$393:$AJ$416)+IF(AN$391="P6",SUMPRODUCT(($F$390:$AJ$390="P6")*$F$393:$AJ$416),0))/(SUMPRODUCT(($B$393:$B$416=AN$391)*($F$390:$AJ$390=""))+IF(AN$391="P6",COUNTIF($F$390:$AJ$390,"P6")*ROWS($B$393:$B$416),0)),"")</f>
        <v/>
      </c>
      <c r="AO417" s="6" cm="1">
        <f t="array" ref="AO417">IFERROR((SUMPRODUCT(($B$393:$B$416=AO$391)*($F$390:$AJ$390="")*$F$393:$AJ$416)+IF(AO$391="P6",SUMPRODUCT(($F$390:$AJ$390="P6")*$F$393:$AJ$416),0))/(SUMPRODUCT(($B$393:$B$416=AO$391)*($F$390:$AJ$390=""))+IF(AO$391="P6",COUNTIF($F$390:$AJ$390,"P6")*ROWS($B$393:$B$416),0)),"")</f>
        <v>1.1384008641975312</v>
      </c>
      <c r="AP417" s="6" cm="1">
        <f t="array" ref="AP417">IFERROR((SUMPRODUCT(($B$393:$B$416=AP$391)*($F$390:$AJ$390="")*$F$393:$AJ$416)+IF(AP$391="P6",SUMPRODUCT(($F$390:$AJ$390="P6")*$F$393:$AJ$416),0))/(SUMPRODUCT(($B$393:$B$416=AP$391)*($F$390:$AJ$390=""))+IF(AP$391="P6",COUNTIF($F$390:$AJ$390,"P6")*ROWS($B$393:$B$416),0)),"")</f>
        <v>1.2315554761904752</v>
      </c>
      <c r="AQ417" s="6" t="str" cm="1">
        <f t="array" ref="AQ417">IFERROR((SUMPRODUCT(($B$393:$B$416=AQ$391)*($F$390:$AJ$390="")*$F$393:$AJ$416)+IF(AQ$391="P6",SUMPRODUCT(($F$390:$AJ$390="P6")*$F$393:$AJ$416),0))/(SUMPRODUCT(($B$393:$B$416=AQ$391)*($F$390:$AJ$390=""))+IF(AQ$391="P6",COUNTIF($F$390:$AJ$390,"P6")*ROWS($B$393:$B$416),0)),"")</f>
        <v/>
      </c>
      <c r="AR417" s="6" cm="1">
        <f t="array" ref="AR417">IFERROR((SUMPRODUCT(($B$393:$B$416=AR$391)*($F$390:$AJ$390="")*$F$393:$AJ$416)+IF(AR$391="P6",SUMPRODUCT(($F$390:$AJ$390="P6")*$F$393:$AJ$416),0))/(SUMPRODUCT(($B$393:$B$416=AR$391)*($F$390:$AJ$390=""))+IF(AR$391="P6",COUNTIF($F$390:$AJ$390,"P6")*ROWS($B$393:$B$416),0)),"")</f>
        <v>1.3167336184210527</v>
      </c>
    </row>
  </sheetData>
  <mergeCells count="53">
    <mergeCell ref="AL375:AR375"/>
    <mergeCell ref="A386:AR387"/>
    <mergeCell ref="AL390:AR390"/>
    <mergeCell ref="AL400:AR400"/>
    <mergeCell ref="AL410:AR410"/>
    <mergeCell ref="AL365:AR365"/>
    <mergeCell ref="AL270:AR270"/>
    <mergeCell ref="A281:AR282"/>
    <mergeCell ref="AL285:AR285"/>
    <mergeCell ref="AL295:AR295"/>
    <mergeCell ref="AL305:AR305"/>
    <mergeCell ref="A316:AR317"/>
    <mergeCell ref="AL320:AR320"/>
    <mergeCell ref="AL330:AR330"/>
    <mergeCell ref="AL340:AR340"/>
    <mergeCell ref="A351:AR352"/>
    <mergeCell ref="AL355:AR355"/>
    <mergeCell ref="AL260:AR260"/>
    <mergeCell ref="AL165:AR165"/>
    <mergeCell ref="A176:AR177"/>
    <mergeCell ref="AL180:AR180"/>
    <mergeCell ref="AL190:AR190"/>
    <mergeCell ref="AL200:AR200"/>
    <mergeCell ref="A211:AR212"/>
    <mergeCell ref="AL215:AR215"/>
    <mergeCell ref="AL225:AR225"/>
    <mergeCell ref="AL235:AR235"/>
    <mergeCell ref="A246:AR247"/>
    <mergeCell ref="AL250:AR250"/>
    <mergeCell ref="AL155:AR155"/>
    <mergeCell ref="AL60:AR60"/>
    <mergeCell ref="A71:AR72"/>
    <mergeCell ref="AL75:AR75"/>
    <mergeCell ref="AL85:AR85"/>
    <mergeCell ref="AL95:AR95"/>
    <mergeCell ref="A106:AR107"/>
    <mergeCell ref="AL110:AR110"/>
    <mergeCell ref="AL120:AR120"/>
    <mergeCell ref="AL130:AR130"/>
    <mergeCell ref="A141:AR142"/>
    <mergeCell ref="AL145:AR145"/>
    <mergeCell ref="BC10:BI10"/>
    <mergeCell ref="AL15:AR15"/>
    <mergeCell ref="AL50:AR50"/>
    <mergeCell ref="A1:AR2"/>
    <mergeCell ref="AT1:AW1"/>
    <mergeCell ref="AX1:BB1"/>
    <mergeCell ref="AL5:AR5"/>
    <mergeCell ref="AL25:AR25"/>
    <mergeCell ref="BC26:BI26"/>
    <mergeCell ref="A36:AR37"/>
    <mergeCell ref="AL40:AR40"/>
    <mergeCell ref="BC42:BI42"/>
  </mergeCells>
  <conditionalFormatting sqref="A1 AS1:XFD10 AL3:AR4 A3:AK24 AL5:AL12 AS11:BC11 BJ11:XFD11 AS12:XFD22 AL15:AL22 BB23:BJ26 AS23:BA36 BK23:XFD36 A25:AL35 BB27:BC27 BJ27 BB28:BJ36 A36 AS37:XFD38 AL38:AR39 A38:AK67 BB39:BJ42 AS39:BA52 BK39:XFD52 AL40:AL47 BB43:BC43 BJ43 BB44:BJ52 AL50:AL57 AS53:XFD1048576 AL60:AL67 A68:AL70 A71 AL73:AR74 A73:AK102 AL75:AL82 AL85:AL92 AL95:AL102 A103:AL105 A106 AL108:AR109 A108:AK137 AL110:AL117 AL120:AL127 AL130:AL137 A138:AL140 A141 AL143:AR144 A143:AK172 AL145:AL152 AL155:AL162 AL165:AL172 A173:AL175 A176 AL178:AR179 A178:AK207 AL180:AL187 AL190:AL197 AL200:AL207 A208:AL210 A211 AL213:AR214 A213:AK242 AL215:AL222 AL225:AL232 AL235:AL242 A243:AL245 A246 AL248:AR249 A248:AK277 AL250:AL257 AL260:AL267 AL270:AL277 A278:AL280 A281 AL283:AR284 A283:AK312 AL285:AL292 AL295:AL302 AL305:AL312 A313:AL315 A316 AL318:AR319 A318:AK347 AL320:AL327 AL330:AL337 AL340:AL347 A348:AL350 A351 AL353:AR354 A353:AK382 AL355:AL362 AL365:AL372 AL375:AL382 A383:AL385 A386 AL388:AR389 A388:AK417 AL390:AL397 AL400:AL407 AL410:AL417 A418:AL1048576">
    <cfRule type="cellIs" dxfId="599" priority="149" operator="equal">
      <formula>"P5"</formula>
    </cfRule>
    <cfRule type="cellIs" dxfId="598" priority="148" operator="equal">
      <formula>"P4"</formula>
    </cfRule>
    <cfRule type="cellIs" dxfId="597" priority="147" operator="equal">
      <formula>"P3"</formula>
    </cfRule>
    <cfRule type="cellIs" dxfId="596" priority="146" operator="equal">
      <formula>"P2"</formula>
    </cfRule>
    <cfRule type="cellIs" dxfId="595" priority="145" operator="equal">
      <formula>"P1"</formula>
    </cfRule>
    <cfRule type="cellIs" dxfId="594" priority="150" operator="equal">
      <formula>"P6"</formula>
    </cfRule>
  </conditionalFormatting>
  <conditionalFormatting sqref="AL13:AR14">
    <cfRule type="cellIs" dxfId="593" priority="141" operator="equal">
      <formula>"P3"</formula>
    </cfRule>
    <cfRule type="cellIs" dxfId="592" priority="144" operator="equal">
      <formula>"P6"</formula>
    </cfRule>
    <cfRule type="cellIs" dxfId="591" priority="143" operator="equal">
      <formula>"P5"</formula>
    </cfRule>
    <cfRule type="cellIs" dxfId="590" priority="142" operator="equal">
      <formula>"P4"</formula>
    </cfRule>
    <cfRule type="cellIs" dxfId="589" priority="140" operator="equal">
      <formula>"P2"</formula>
    </cfRule>
    <cfRule type="cellIs" dxfId="588" priority="139" operator="equal">
      <formula>"P1"</formula>
    </cfRule>
  </conditionalFormatting>
  <conditionalFormatting sqref="AL23:AR24">
    <cfRule type="cellIs" dxfId="587" priority="138" operator="equal">
      <formula>"P6"</formula>
    </cfRule>
    <cfRule type="cellIs" dxfId="586" priority="137" operator="equal">
      <formula>"P5"</formula>
    </cfRule>
    <cfRule type="cellIs" dxfId="585" priority="136" operator="equal">
      <formula>"P4"</formula>
    </cfRule>
    <cfRule type="cellIs" dxfId="584" priority="135" operator="equal">
      <formula>"P3"</formula>
    </cfRule>
    <cfRule type="cellIs" dxfId="583" priority="134" operator="equal">
      <formula>"P2"</formula>
    </cfRule>
    <cfRule type="cellIs" dxfId="582" priority="133" operator="equal">
      <formula>"P1"</formula>
    </cfRule>
  </conditionalFormatting>
  <conditionalFormatting sqref="AL48:AR49">
    <cfRule type="cellIs" dxfId="581" priority="132" operator="equal">
      <formula>"P6"</formula>
    </cfRule>
    <cfRule type="cellIs" dxfId="580" priority="131" operator="equal">
      <formula>"P5"</formula>
    </cfRule>
    <cfRule type="cellIs" dxfId="579" priority="130" operator="equal">
      <formula>"P4"</formula>
    </cfRule>
    <cfRule type="cellIs" dxfId="578" priority="129" operator="equal">
      <formula>"P3"</formula>
    </cfRule>
    <cfRule type="cellIs" dxfId="577" priority="128" operator="equal">
      <formula>"P2"</formula>
    </cfRule>
    <cfRule type="cellIs" dxfId="576" priority="127" operator="equal">
      <formula>"P1"</formula>
    </cfRule>
  </conditionalFormatting>
  <conditionalFormatting sqref="AL58:AR59">
    <cfRule type="cellIs" dxfId="575" priority="123" operator="equal">
      <formula>"P3"</formula>
    </cfRule>
    <cfRule type="cellIs" dxfId="574" priority="126" operator="equal">
      <formula>"P6"</formula>
    </cfRule>
    <cfRule type="cellIs" dxfId="573" priority="125" operator="equal">
      <formula>"P5"</formula>
    </cfRule>
    <cfRule type="cellIs" dxfId="572" priority="124" operator="equal">
      <formula>"P4"</formula>
    </cfRule>
    <cfRule type="cellIs" dxfId="571" priority="122" operator="equal">
      <formula>"P2"</formula>
    </cfRule>
    <cfRule type="cellIs" dxfId="570" priority="121" operator="equal">
      <formula>"P1"</formula>
    </cfRule>
  </conditionalFormatting>
  <conditionalFormatting sqref="AL83:AR84">
    <cfRule type="cellIs" dxfId="569" priority="116" operator="equal">
      <formula>"P2"</formula>
    </cfRule>
    <cfRule type="cellIs" dxfId="568" priority="120" operator="equal">
      <formula>"P6"</formula>
    </cfRule>
    <cfRule type="cellIs" dxfId="567" priority="119" operator="equal">
      <formula>"P5"</formula>
    </cfRule>
    <cfRule type="cellIs" dxfId="566" priority="118" operator="equal">
      <formula>"P4"</formula>
    </cfRule>
    <cfRule type="cellIs" dxfId="565" priority="117" operator="equal">
      <formula>"P3"</formula>
    </cfRule>
    <cfRule type="cellIs" dxfId="564" priority="115" operator="equal">
      <formula>"P1"</formula>
    </cfRule>
  </conditionalFormatting>
  <conditionalFormatting sqref="AL93:AR94">
    <cfRule type="cellIs" dxfId="563" priority="114" operator="equal">
      <formula>"P6"</formula>
    </cfRule>
    <cfRule type="cellIs" dxfId="562" priority="113" operator="equal">
      <formula>"P5"</formula>
    </cfRule>
    <cfRule type="cellIs" dxfId="561" priority="112" operator="equal">
      <formula>"P4"</formula>
    </cfRule>
    <cfRule type="cellIs" dxfId="560" priority="111" operator="equal">
      <formula>"P3"</formula>
    </cfRule>
    <cfRule type="cellIs" dxfId="559" priority="110" operator="equal">
      <formula>"P2"</formula>
    </cfRule>
    <cfRule type="cellIs" dxfId="558" priority="109" operator="equal">
      <formula>"P1"</formula>
    </cfRule>
  </conditionalFormatting>
  <conditionalFormatting sqref="AL118:AR119">
    <cfRule type="cellIs" dxfId="557" priority="108" operator="equal">
      <formula>"P6"</formula>
    </cfRule>
    <cfRule type="cellIs" dxfId="556" priority="107" operator="equal">
      <formula>"P5"</formula>
    </cfRule>
    <cfRule type="cellIs" dxfId="555" priority="106" operator="equal">
      <formula>"P4"</formula>
    </cfRule>
    <cfRule type="cellIs" dxfId="554" priority="105" operator="equal">
      <formula>"P3"</formula>
    </cfRule>
    <cfRule type="cellIs" dxfId="553" priority="104" operator="equal">
      <formula>"P2"</formula>
    </cfRule>
    <cfRule type="cellIs" dxfId="552" priority="103" operator="equal">
      <formula>"P1"</formula>
    </cfRule>
  </conditionalFormatting>
  <conditionalFormatting sqref="AL128:AR129">
    <cfRule type="cellIs" dxfId="551" priority="102" operator="equal">
      <formula>"P6"</formula>
    </cfRule>
    <cfRule type="cellIs" dxfId="550" priority="101" operator="equal">
      <formula>"P5"</formula>
    </cfRule>
    <cfRule type="cellIs" dxfId="549" priority="100" operator="equal">
      <formula>"P4"</formula>
    </cfRule>
    <cfRule type="cellIs" dxfId="548" priority="99" operator="equal">
      <formula>"P3"</formula>
    </cfRule>
    <cfRule type="cellIs" dxfId="547" priority="98" operator="equal">
      <formula>"P2"</formula>
    </cfRule>
    <cfRule type="cellIs" dxfId="546" priority="97" operator="equal">
      <formula>"P1"</formula>
    </cfRule>
  </conditionalFormatting>
  <conditionalFormatting sqref="AL153:AR154">
    <cfRule type="cellIs" dxfId="545" priority="96" operator="equal">
      <formula>"P6"</formula>
    </cfRule>
    <cfRule type="cellIs" dxfId="544" priority="95" operator="equal">
      <formula>"P5"</formula>
    </cfRule>
    <cfRule type="cellIs" dxfId="543" priority="93" operator="equal">
      <formula>"P3"</formula>
    </cfRule>
    <cfRule type="cellIs" dxfId="542" priority="94" operator="equal">
      <formula>"P4"</formula>
    </cfRule>
    <cfRule type="cellIs" dxfId="541" priority="92" operator="equal">
      <formula>"P2"</formula>
    </cfRule>
    <cfRule type="cellIs" dxfId="540" priority="91" operator="equal">
      <formula>"P1"</formula>
    </cfRule>
  </conditionalFormatting>
  <conditionalFormatting sqref="AL163:AR164">
    <cfRule type="cellIs" dxfId="539" priority="90" operator="equal">
      <formula>"P6"</formula>
    </cfRule>
    <cfRule type="cellIs" dxfId="538" priority="89" operator="equal">
      <formula>"P5"</formula>
    </cfRule>
    <cfRule type="cellIs" dxfId="537" priority="88" operator="equal">
      <formula>"P4"</formula>
    </cfRule>
    <cfRule type="cellIs" dxfId="536" priority="87" operator="equal">
      <formula>"P3"</formula>
    </cfRule>
    <cfRule type="cellIs" dxfId="535" priority="86" operator="equal">
      <formula>"P2"</formula>
    </cfRule>
    <cfRule type="cellIs" dxfId="534" priority="85" operator="equal">
      <formula>"P1"</formula>
    </cfRule>
  </conditionalFormatting>
  <conditionalFormatting sqref="AL188:AR189">
    <cfRule type="cellIs" dxfId="533" priority="84" operator="equal">
      <formula>"P6"</formula>
    </cfRule>
    <cfRule type="cellIs" dxfId="532" priority="83" operator="equal">
      <formula>"P5"</formula>
    </cfRule>
    <cfRule type="cellIs" dxfId="531" priority="82" operator="equal">
      <formula>"P4"</formula>
    </cfRule>
    <cfRule type="cellIs" dxfId="530" priority="81" operator="equal">
      <formula>"P3"</formula>
    </cfRule>
    <cfRule type="cellIs" dxfId="529" priority="80" operator="equal">
      <formula>"P2"</formula>
    </cfRule>
    <cfRule type="cellIs" dxfId="528" priority="79" operator="equal">
      <formula>"P1"</formula>
    </cfRule>
  </conditionalFormatting>
  <conditionalFormatting sqref="AL198:AR199">
    <cfRule type="cellIs" dxfId="527" priority="73" operator="equal">
      <formula>"P1"</formula>
    </cfRule>
    <cfRule type="cellIs" dxfId="526" priority="74" operator="equal">
      <formula>"P2"</formula>
    </cfRule>
    <cfRule type="cellIs" dxfId="525" priority="75" operator="equal">
      <formula>"P3"</formula>
    </cfRule>
    <cfRule type="cellIs" dxfId="524" priority="76" operator="equal">
      <formula>"P4"</formula>
    </cfRule>
    <cfRule type="cellIs" dxfId="523" priority="77" operator="equal">
      <formula>"P5"</formula>
    </cfRule>
    <cfRule type="cellIs" dxfId="522" priority="78" operator="equal">
      <formula>"P6"</formula>
    </cfRule>
  </conditionalFormatting>
  <conditionalFormatting sqref="AL223:AR224">
    <cfRule type="cellIs" dxfId="521" priority="72" operator="equal">
      <formula>"P6"</formula>
    </cfRule>
    <cfRule type="cellIs" dxfId="520" priority="71" operator="equal">
      <formula>"P5"</formula>
    </cfRule>
    <cfRule type="cellIs" dxfId="519" priority="70" operator="equal">
      <formula>"P4"</formula>
    </cfRule>
    <cfRule type="cellIs" dxfId="518" priority="69" operator="equal">
      <formula>"P3"</formula>
    </cfRule>
    <cfRule type="cellIs" dxfId="517" priority="68" operator="equal">
      <formula>"P2"</formula>
    </cfRule>
    <cfRule type="cellIs" dxfId="516" priority="67" operator="equal">
      <formula>"P1"</formula>
    </cfRule>
  </conditionalFormatting>
  <conditionalFormatting sqref="AL233:AR234">
    <cfRule type="cellIs" dxfId="515" priority="66" operator="equal">
      <formula>"P6"</formula>
    </cfRule>
    <cfRule type="cellIs" dxfId="514" priority="65" operator="equal">
      <formula>"P5"</formula>
    </cfRule>
    <cfRule type="cellIs" dxfId="513" priority="64" operator="equal">
      <formula>"P4"</formula>
    </cfRule>
    <cfRule type="cellIs" dxfId="512" priority="63" operator="equal">
      <formula>"P3"</formula>
    </cfRule>
    <cfRule type="cellIs" dxfId="511" priority="62" operator="equal">
      <formula>"P2"</formula>
    </cfRule>
    <cfRule type="cellIs" dxfId="510" priority="61" operator="equal">
      <formula>"P1"</formula>
    </cfRule>
  </conditionalFormatting>
  <conditionalFormatting sqref="AL258:AR259">
    <cfRule type="cellIs" dxfId="509" priority="60" operator="equal">
      <formula>"P6"</formula>
    </cfRule>
    <cfRule type="cellIs" dxfId="508" priority="59" operator="equal">
      <formula>"P5"</formula>
    </cfRule>
    <cfRule type="cellIs" dxfId="507" priority="57" operator="equal">
      <formula>"P3"</formula>
    </cfRule>
    <cfRule type="cellIs" dxfId="506" priority="58" operator="equal">
      <formula>"P4"</formula>
    </cfRule>
    <cfRule type="cellIs" dxfId="505" priority="56" operator="equal">
      <formula>"P2"</formula>
    </cfRule>
    <cfRule type="cellIs" dxfId="504" priority="55" operator="equal">
      <formula>"P1"</formula>
    </cfRule>
  </conditionalFormatting>
  <conditionalFormatting sqref="AL268:AR269">
    <cfRule type="cellIs" dxfId="503" priority="54" operator="equal">
      <formula>"P6"</formula>
    </cfRule>
    <cfRule type="cellIs" dxfId="502" priority="53" operator="equal">
      <formula>"P5"</formula>
    </cfRule>
    <cfRule type="cellIs" dxfId="501" priority="52" operator="equal">
      <formula>"P4"</formula>
    </cfRule>
    <cfRule type="cellIs" dxfId="500" priority="51" operator="equal">
      <formula>"P3"</formula>
    </cfRule>
    <cfRule type="cellIs" dxfId="499" priority="50" operator="equal">
      <formula>"P2"</formula>
    </cfRule>
    <cfRule type="cellIs" dxfId="498" priority="49" operator="equal">
      <formula>"P1"</formula>
    </cfRule>
  </conditionalFormatting>
  <conditionalFormatting sqref="AL293:AR294">
    <cfRule type="cellIs" dxfId="497" priority="48" operator="equal">
      <formula>"P6"</formula>
    </cfRule>
    <cfRule type="cellIs" dxfId="496" priority="47" operator="equal">
      <formula>"P5"</formula>
    </cfRule>
    <cfRule type="cellIs" dxfId="495" priority="46" operator="equal">
      <formula>"P4"</formula>
    </cfRule>
    <cfRule type="cellIs" dxfId="494" priority="45" operator="equal">
      <formula>"P3"</formula>
    </cfRule>
    <cfRule type="cellIs" dxfId="493" priority="44" operator="equal">
      <formula>"P2"</formula>
    </cfRule>
    <cfRule type="cellIs" dxfId="492" priority="43" operator="equal">
      <formula>"P1"</formula>
    </cfRule>
  </conditionalFormatting>
  <conditionalFormatting sqref="AL303:AR304">
    <cfRule type="cellIs" dxfId="491" priority="42" operator="equal">
      <formula>"P6"</formula>
    </cfRule>
    <cfRule type="cellIs" dxfId="490" priority="41" operator="equal">
      <formula>"P5"</formula>
    </cfRule>
    <cfRule type="cellIs" dxfId="489" priority="40" operator="equal">
      <formula>"P4"</formula>
    </cfRule>
    <cfRule type="cellIs" dxfId="488" priority="39" operator="equal">
      <formula>"P3"</formula>
    </cfRule>
    <cfRule type="cellIs" dxfId="487" priority="38" operator="equal">
      <formula>"P2"</formula>
    </cfRule>
    <cfRule type="cellIs" dxfId="486" priority="37" operator="equal">
      <formula>"P1"</formula>
    </cfRule>
  </conditionalFormatting>
  <conditionalFormatting sqref="AL328:AR329">
    <cfRule type="cellIs" dxfId="485" priority="36" operator="equal">
      <formula>"P6"</formula>
    </cfRule>
    <cfRule type="cellIs" dxfId="484" priority="35" operator="equal">
      <formula>"P5"</formula>
    </cfRule>
    <cfRule type="cellIs" dxfId="483" priority="34" operator="equal">
      <formula>"P4"</formula>
    </cfRule>
    <cfRule type="cellIs" dxfId="482" priority="33" operator="equal">
      <formula>"P3"</formula>
    </cfRule>
    <cfRule type="cellIs" dxfId="481" priority="32" operator="equal">
      <formula>"P2"</formula>
    </cfRule>
    <cfRule type="cellIs" dxfId="480" priority="31" operator="equal">
      <formula>"P1"</formula>
    </cfRule>
  </conditionalFormatting>
  <conditionalFormatting sqref="AL338:AR339">
    <cfRule type="cellIs" dxfId="479" priority="30" operator="equal">
      <formula>"P6"</formula>
    </cfRule>
    <cfRule type="cellIs" dxfId="478" priority="29" operator="equal">
      <formula>"P5"</formula>
    </cfRule>
    <cfRule type="cellIs" dxfId="477" priority="28" operator="equal">
      <formula>"P4"</formula>
    </cfRule>
    <cfRule type="cellIs" dxfId="476" priority="27" operator="equal">
      <formula>"P3"</formula>
    </cfRule>
    <cfRule type="cellIs" dxfId="475" priority="26" operator="equal">
      <formula>"P2"</formula>
    </cfRule>
    <cfRule type="cellIs" dxfId="474" priority="25" operator="equal">
      <formula>"P1"</formula>
    </cfRule>
  </conditionalFormatting>
  <conditionalFormatting sqref="AL363:AR364">
    <cfRule type="cellIs" dxfId="473" priority="24" operator="equal">
      <formula>"P6"</formula>
    </cfRule>
    <cfRule type="cellIs" dxfId="472" priority="23" operator="equal">
      <formula>"P5"</formula>
    </cfRule>
    <cfRule type="cellIs" dxfId="471" priority="22" operator="equal">
      <formula>"P4"</formula>
    </cfRule>
    <cfRule type="cellIs" dxfId="470" priority="21" operator="equal">
      <formula>"P3"</formula>
    </cfRule>
    <cfRule type="cellIs" dxfId="469" priority="20" operator="equal">
      <formula>"P2"</formula>
    </cfRule>
    <cfRule type="cellIs" dxfId="468" priority="19" operator="equal">
      <formula>"P1"</formula>
    </cfRule>
  </conditionalFormatting>
  <conditionalFormatting sqref="AL373:AR374">
    <cfRule type="cellIs" dxfId="467" priority="18" operator="equal">
      <formula>"P6"</formula>
    </cfRule>
    <cfRule type="cellIs" dxfId="466" priority="17" operator="equal">
      <formula>"P5"</formula>
    </cfRule>
    <cfRule type="cellIs" dxfId="465" priority="16" operator="equal">
      <formula>"P4"</formula>
    </cfRule>
    <cfRule type="cellIs" dxfId="464" priority="15" operator="equal">
      <formula>"P3"</formula>
    </cfRule>
    <cfRule type="cellIs" dxfId="463" priority="14" operator="equal">
      <formula>"P2"</formula>
    </cfRule>
    <cfRule type="cellIs" dxfId="462" priority="13" operator="equal">
      <formula>"P1"</formula>
    </cfRule>
  </conditionalFormatting>
  <conditionalFormatting sqref="AL398:AR399">
    <cfRule type="cellIs" dxfId="461" priority="12" operator="equal">
      <formula>"P6"</formula>
    </cfRule>
    <cfRule type="cellIs" dxfId="460" priority="11" operator="equal">
      <formula>"P5"</formula>
    </cfRule>
    <cfRule type="cellIs" dxfId="459" priority="9" operator="equal">
      <formula>"P3"</formula>
    </cfRule>
    <cfRule type="cellIs" dxfId="458" priority="8" operator="equal">
      <formula>"P2"</formula>
    </cfRule>
    <cfRule type="cellIs" dxfId="457" priority="7" operator="equal">
      <formula>"P1"</formula>
    </cfRule>
    <cfRule type="cellIs" dxfId="456" priority="10" operator="equal">
      <formula>"P4"</formula>
    </cfRule>
  </conditionalFormatting>
  <conditionalFormatting sqref="AL408:AR409">
    <cfRule type="cellIs" dxfId="455" priority="1" operator="equal">
      <formula>"P1"</formula>
    </cfRule>
    <cfRule type="cellIs" dxfId="454" priority="6" operator="equal">
      <formula>"P6"</formula>
    </cfRule>
    <cfRule type="cellIs" dxfId="453" priority="5" operator="equal">
      <formula>"P5"</formula>
    </cfRule>
    <cfRule type="cellIs" dxfId="452" priority="4" operator="equal">
      <formula>"P4"</formula>
    </cfRule>
    <cfRule type="cellIs" dxfId="451" priority="3" operator="equal">
      <formula>"P3"</formula>
    </cfRule>
    <cfRule type="cellIs" dxfId="450" priority="2" operator="equal">
      <formula>"P2"</formula>
    </cfRule>
  </conditionalFormatting>
  <hyperlinks>
    <hyperlink ref="AX1" r:id="rId1" display="https://www.esios.ree.es/es/descargas?date_type=datos&amp;start_date=01-04-2026&amp;end_date=30-04-2026" xr:uid="{55E2B54C-30AD-4AB3-A4A6-5ED67DA751F7}"/>
  </hyperlinks>
  <pageMargins left="0.7" right="0.7" top="0.75" bottom="0.75" header="0.3" footer="0.3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326D8-C162-46AA-8451-D826CAADFD03}">
  <dimension ref="A1:BJ417"/>
  <sheetViews>
    <sheetView topLeftCell="AK12" zoomScale="57" workbookViewId="0">
      <selection activeCell="BC10" sqref="BC10:BI50"/>
    </sheetView>
  </sheetViews>
  <sheetFormatPr baseColWidth="10" defaultColWidth="10.90625" defaultRowHeight="14.25" customHeight="1" x14ac:dyDescent="0.35"/>
  <cols>
    <col min="1" max="2" width="10.90625" style="1"/>
    <col min="3" max="3" width="3.36328125" style="1" bestFit="1" customWidth="1"/>
    <col min="4" max="4" width="10.26953125" style="1" bestFit="1" customWidth="1"/>
    <col min="5" max="5" width="12.26953125" style="1" bestFit="1" customWidth="1"/>
    <col min="6" max="6" width="11.36328125" style="1" bestFit="1" customWidth="1"/>
    <col min="7" max="7" width="11.36328125" style="1" customWidth="1"/>
    <col min="8" max="36" width="11.36328125" style="1" bestFit="1" customWidth="1"/>
    <col min="37" max="37" width="10.90625" style="1"/>
    <col min="38" max="38" width="6.08984375" style="1" bestFit="1" customWidth="1"/>
    <col min="39" max="44" width="9.36328125" style="1" bestFit="1" customWidth="1"/>
    <col min="45" max="46" width="10.90625" style="1"/>
    <col min="47" max="47" width="4.453125" style="1" bestFit="1" customWidth="1"/>
    <col min="48" max="48" width="11" style="1" bestFit="1" customWidth="1"/>
    <col min="49" max="49" width="11.54296875" style="1" bestFit="1" customWidth="1"/>
    <col min="50" max="16384" width="10.90625" style="1"/>
  </cols>
  <sheetData>
    <row r="1" spans="1:62" ht="14.25" customHeight="1" x14ac:dyDescent="0.35">
      <c r="A1" s="15" t="s">
        <v>73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T1" s="16" t="s">
        <v>57</v>
      </c>
      <c r="AU1" s="16"/>
      <c r="AV1" s="16"/>
      <c r="AW1" s="16"/>
      <c r="AX1" s="17" t="s">
        <v>58</v>
      </c>
      <c r="AY1" s="17"/>
      <c r="AZ1" s="17"/>
      <c r="BA1" s="17"/>
      <c r="BB1" s="17"/>
      <c r="BC1" s="12"/>
    </row>
    <row r="2" spans="1:62" ht="14.25" customHeight="1" x14ac:dyDescent="0.3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62" ht="14.25" customHeight="1" x14ac:dyDescent="0.35">
      <c r="AL3" s="10"/>
      <c r="AM3" s="10"/>
      <c r="AN3" s="10"/>
      <c r="AO3" s="10"/>
      <c r="AP3" s="10"/>
      <c r="AQ3" s="10"/>
      <c r="AR3" s="10"/>
    </row>
    <row r="4" spans="1:62" ht="14.25" customHeight="1" x14ac:dyDescent="0.35">
      <c r="F4" s="1" t="str">
        <f>IF(OR(F6="S",F6="D",F7=DATE(2024,1,1)),"P3","")</f>
        <v>P3</v>
      </c>
      <c r="G4" s="1" t="str">
        <f t="shared" ref="G4:AJ4" si="0">IF(OR(G6="S",G6="D",G7=DATE(2024,1,1)),"P3","")</f>
        <v/>
      </c>
      <c r="H4" s="1" t="str">
        <f t="shared" si="0"/>
        <v/>
      </c>
      <c r="I4" s="1" t="str">
        <f t="shared" si="0"/>
        <v/>
      </c>
      <c r="J4" s="1" t="str">
        <f t="shared" si="0"/>
        <v/>
      </c>
      <c r="K4" s="1" t="str">
        <f t="shared" si="0"/>
        <v>P3</v>
      </c>
      <c r="L4" s="1" t="str">
        <f t="shared" si="0"/>
        <v>P3</v>
      </c>
      <c r="M4" s="1" t="str">
        <f t="shared" si="0"/>
        <v/>
      </c>
      <c r="N4" s="1" t="str">
        <f t="shared" si="0"/>
        <v/>
      </c>
      <c r="O4" s="1" t="str">
        <f t="shared" si="0"/>
        <v/>
      </c>
      <c r="P4" s="1" t="str">
        <f t="shared" si="0"/>
        <v/>
      </c>
      <c r="Q4" s="1" t="str">
        <f t="shared" si="0"/>
        <v/>
      </c>
      <c r="R4" s="1" t="str">
        <f t="shared" si="0"/>
        <v>P3</v>
      </c>
      <c r="S4" s="1" t="str">
        <f t="shared" si="0"/>
        <v>P3</v>
      </c>
      <c r="T4" s="1" t="str">
        <f t="shared" si="0"/>
        <v/>
      </c>
      <c r="U4" s="1" t="str">
        <f t="shared" si="0"/>
        <v/>
      </c>
      <c r="V4" s="1" t="str">
        <f t="shared" si="0"/>
        <v/>
      </c>
      <c r="W4" s="1" t="str">
        <f t="shared" si="0"/>
        <v/>
      </c>
      <c r="X4" s="1" t="str">
        <f t="shared" si="0"/>
        <v/>
      </c>
      <c r="Y4" s="1" t="str">
        <f t="shared" si="0"/>
        <v>P3</v>
      </c>
      <c r="Z4" s="1" t="str">
        <f t="shared" si="0"/>
        <v>P3</v>
      </c>
      <c r="AA4" s="1" t="str">
        <f t="shared" si="0"/>
        <v/>
      </c>
      <c r="AB4" s="1" t="str">
        <f t="shared" si="0"/>
        <v/>
      </c>
      <c r="AC4" s="1" t="str">
        <f t="shared" si="0"/>
        <v/>
      </c>
      <c r="AD4" s="1" t="str">
        <f t="shared" si="0"/>
        <v/>
      </c>
      <c r="AE4" s="1" t="str">
        <f t="shared" si="0"/>
        <v/>
      </c>
      <c r="AF4" s="1" t="str">
        <f t="shared" si="0"/>
        <v>P3</v>
      </c>
      <c r="AG4" s="1" t="str">
        <f t="shared" si="0"/>
        <v>P3</v>
      </c>
      <c r="AH4" s="1" t="str">
        <f t="shared" si="0"/>
        <v/>
      </c>
      <c r="AI4" s="1" t="str">
        <f t="shared" si="0"/>
        <v/>
      </c>
      <c r="AJ4" s="1" t="str">
        <f t="shared" si="0"/>
        <v/>
      </c>
      <c r="AL4" s="10"/>
      <c r="AM4" s="10"/>
      <c r="AN4" s="10"/>
      <c r="AO4" s="10"/>
      <c r="AP4" s="10"/>
      <c r="AQ4" s="10"/>
      <c r="AR4" s="10"/>
    </row>
    <row r="5" spans="1:62" ht="14.5" x14ac:dyDescent="0.35">
      <c r="F5" s="1" t="str">
        <f>IF(OR(F6="S",F6="D",F7=DATE(2024,1,1)),"P6","")</f>
        <v>P6</v>
      </c>
      <c r="G5" s="1" t="str">
        <f t="shared" ref="G5:AJ5" si="1">IF(OR(G6="S",G6="D",G7=DATE(2024,1,1)),"P6","")</f>
        <v/>
      </c>
      <c r="H5" s="1" t="str">
        <f t="shared" si="1"/>
        <v/>
      </c>
      <c r="I5" s="1" t="str">
        <f t="shared" si="1"/>
        <v/>
      </c>
      <c r="J5" s="1" t="str">
        <f t="shared" si="1"/>
        <v/>
      </c>
      <c r="K5" s="1" t="str">
        <f t="shared" si="1"/>
        <v>P6</v>
      </c>
      <c r="L5" s="1" t="str">
        <f t="shared" si="1"/>
        <v>P6</v>
      </c>
      <c r="M5" s="1" t="str">
        <f t="shared" si="1"/>
        <v/>
      </c>
      <c r="N5" s="1" t="str">
        <f t="shared" si="1"/>
        <v/>
      </c>
      <c r="O5" s="1" t="str">
        <f t="shared" si="1"/>
        <v/>
      </c>
      <c r="P5" s="1" t="str">
        <f t="shared" si="1"/>
        <v/>
      </c>
      <c r="Q5" s="1" t="str">
        <f t="shared" si="1"/>
        <v/>
      </c>
      <c r="R5" s="1" t="str">
        <f t="shared" si="1"/>
        <v>P6</v>
      </c>
      <c r="S5" s="1" t="str">
        <f t="shared" si="1"/>
        <v>P6</v>
      </c>
      <c r="T5" s="1" t="str">
        <f t="shared" si="1"/>
        <v/>
      </c>
      <c r="U5" s="1" t="str">
        <f t="shared" si="1"/>
        <v/>
      </c>
      <c r="V5" s="1" t="str">
        <f t="shared" si="1"/>
        <v/>
      </c>
      <c r="W5" s="1" t="str">
        <f t="shared" si="1"/>
        <v/>
      </c>
      <c r="X5" s="1" t="str">
        <f t="shared" si="1"/>
        <v/>
      </c>
      <c r="Y5" s="1" t="str">
        <f t="shared" si="1"/>
        <v>P6</v>
      </c>
      <c r="Z5" s="1" t="str">
        <f t="shared" si="1"/>
        <v>P6</v>
      </c>
      <c r="AA5" s="1" t="str">
        <f t="shared" si="1"/>
        <v/>
      </c>
      <c r="AB5" s="1" t="str">
        <f t="shared" si="1"/>
        <v/>
      </c>
      <c r="AC5" s="1" t="str">
        <f t="shared" si="1"/>
        <v/>
      </c>
      <c r="AD5" s="1" t="str">
        <f t="shared" si="1"/>
        <v/>
      </c>
      <c r="AE5" s="1" t="str">
        <f t="shared" si="1"/>
        <v/>
      </c>
      <c r="AF5" s="1" t="str">
        <f t="shared" si="1"/>
        <v>P6</v>
      </c>
      <c r="AG5" s="1" t="str">
        <f t="shared" si="1"/>
        <v>P6</v>
      </c>
      <c r="AH5" s="1" t="str">
        <f t="shared" si="1"/>
        <v/>
      </c>
      <c r="AI5" s="1" t="str">
        <f t="shared" si="1"/>
        <v/>
      </c>
      <c r="AJ5" s="1" t="str">
        <f t="shared" si="1"/>
        <v/>
      </c>
      <c r="AL5" s="14" t="s">
        <v>154</v>
      </c>
      <c r="AM5" s="14"/>
      <c r="AN5" s="14"/>
      <c r="AO5" s="14"/>
      <c r="AP5" s="14"/>
      <c r="AQ5" s="14"/>
      <c r="AR5" s="14"/>
    </row>
    <row r="6" spans="1:62" ht="14.5" x14ac:dyDescent="0.35">
      <c r="F6" s="1" t="str">
        <f>CHOOSE(WEEKDAY(F7,2),"L","M","X","J","V","S","D")</f>
        <v>L</v>
      </c>
      <c r="G6" s="1" t="str">
        <f t="shared" ref="G6:AJ6" si="2">CHOOSE(WEEKDAY(G7,2),"L","M","X","J","V","S","D")</f>
        <v>M</v>
      </c>
      <c r="H6" s="1" t="str">
        <f t="shared" si="2"/>
        <v>X</v>
      </c>
      <c r="I6" s="1" t="str">
        <f t="shared" si="2"/>
        <v>J</v>
      </c>
      <c r="J6" s="1" t="str">
        <f t="shared" si="2"/>
        <v>V</v>
      </c>
      <c r="K6" s="1" t="str">
        <f t="shared" si="2"/>
        <v>S</v>
      </c>
      <c r="L6" s="1" t="str">
        <f t="shared" si="2"/>
        <v>D</v>
      </c>
      <c r="M6" s="1" t="str">
        <f t="shared" si="2"/>
        <v>L</v>
      </c>
      <c r="N6" s="1" t="str">
        <f t="shared" si="2"/>
        <v>M</v>
      </c>
      <c r="O6" s="1" t="str">
        <f t="shared" si="2"/>
        <v>X</v>
      </c>
      <c r="P6" s="1" t="str">
        <f t="shared" si="2"/>
        <v>J</v>
      </c>
      <c r="Q6" s="1" t="str">
        <f t="shared" si="2"/>
        <v>V</v>
      </c>
      <c r="R6" s="1" t="str">
        <f t="shared" si="2"/>
        <v>S</v>
      </c>
      <c r="S6" s="1" t="str">
        <f t="shared" si="2"/>
        <v>D</v>
      </c>
      <c r="T6" s="1" t="str">
        <f t="shared" si="2"/>
        <v>L</v>
      </c>
      <c r="U6" s="1" t="str">
        <f t="shared" si="2"/>
        <v>M</v>
      </c>
      <c r="V6" s="1" t="str">
        <f t="shared" si="2"/>
        <v>X</v>
      </c>
      <c r="W6" s="1" t="str">
        <f t="shared" si="2"/>
        <v>J</v>
      </c>
      <c r="X6" s="1" t="str">
        <f t="shared" si="2"/>
        <v>V</v>
      </c>
      <c r="Y6" s="1" t="str">
        <f t="shared" si="2"/>
        <v>S</v>
      </c>
      <c r="Z6" s="1" t="str">
        <f t="shared" si="2"/>
        <v>D</v>
      </c>
      <c r="AA6" s="1" t="str">
        <f t="shared" si="2"/>
        <v>L</v>
      </c>
      <c r="AB6" s="1" t="str">
        <f t="shared" si="2"/>
        <v>M</v>
      </c>
      <c r="AC6" s="1" t="str">
        <f t="shared" si="2"/>
        <v>X</v>
      </c>
      <c r="AD6" s="1" t="str">
        <f t="shared" si="2"/>
        <v>J</v>
      </c>
      <c r="AE6" s="1" t="str">
        <f t="shared" si="2"/>
        <v>V</v>
      </c>
      <c r="AF6" s="1" t="str">
        <f t="shared" si="2"/>
        <v>S</v>
      </c>
      <c r="AG6" s="1" t="str">
        <f t="shared" si="2"/>
        <v>D</v>
      </c>
      <c r="AH6" s="1" t="str">
        <f t="shared" si="2"/>
        <v>L</v>
      </c>
      <c r="AI6" s="1" t="str">
        <f t="shared" si="2"/>
        <v>M</v>
      </c>
      <c r="AJ6" s="1" t="str">
        <f t="shared" si="2"/>
        <v>X</v>
      </c>
      <c r="AL6" s="4"/>
      <c r="AM6" s="4" t="s">
        <v>13</v>
      </c>
      <c r="AN6" s="4" t="s">
        <v>14</v>
      </c>
      <c r="AO6" s="4" t="s">
        <v>15</v>
      </c>
      <c r="AP6" s="4" t="s">
        <v>16</v>
      </c>
      <c r="AQ6" s="4" t="s">
        <v>17</v>
      </c>
      <c r="AR6" s="4" t="s">
        <v>7</v>
      </c>
    </row>
    <row r="7" spans="1:62" s="3" customFormat="1" ht="14.5" x14ac:dyDescent="0.35">
      <c r="A7" s="3" t="s">
        <v>76</v>
      </c>
      <c r="B7" s="3" t="s">
        <v>77</v>
      </c>
      <c r="C7" s="3" t="s">
        <v>75</v>
      </c>
      <c r="D7" s="3" t="s">
        <v>74</v>
      </c>
      <c r="F7" s="3">
        <v>45292</v>
      </c>
      <c r="G7" s="3">
        <v>45293</v>
      </c>
      <c r="H7" s="3">
        <v>45294</v>
      </c>
      <c r="I7" s="3">
        <v>45295</v>
      </c>
      <c r="J7" s="3">
        <v>45296</v>
      </c>
      <c r="K7" s="3">
        <v>45297</v>
      </c>
      <c r="L7" s="3">
        <v>45298</v>
      </c>
      <c r="M7" s="3">
        <v>45299</v>
      </c>
      <c r="N7" s="3">
        <v>45300</v>
      </c>
      <c r="O7" s="3">
        <v>45301</v>
      </c>
      <c r="P7" s="3">
        <v>45302</v>
      </c>
      <c r="Q7" s="3">
        <v>45303</v>
      </c>
      <c r="R7" s="3">
        <v>45304</v>
      </c>
      <c r="S7" s="3">
        <v>45305</v>
      </c>
      <c r="T7" s="3">
        <v>45306</v>
      </c>
      <c r="U7" s="3">
        <v>45307</v>
      </c>
      <c r="V7" s="3">
        <v>45308</v>
      </c>
      <c r="W7" s="3">
        <v>45309</v>
      </c>
      <c r="X7" s="3">
        <v>45310</v>
      </c>
      <c r="Y7" s="3">
        <v>45311</v>
      </c>
      <c r="Z7" s="3">
        <v>45312</v>
      </c>
      <c r="AA7" s="3">
        <v>45313</v>
      </c>
      <c r="AB7" s="3">
        <v>45314</v>
      </c>
      <c r="AC7" s="3">
        <v>45315</v>
      </c>
      <c r="AD7" s="3">
        <v>45316</v>
      </c>
      <c r="AE7" s="3">
        <v>45317</v>
      </c>
      <c r="AF7" s="3">
        <v>45318</v>
      </c>
      <c r="AG7" s="3">
        <v>45319</v>
      </c>
      <c r="AH7" s="3">
        <v>45320</v>
      </c>
      <c r="AI7" s="3">
        <v>45321</v>
      </c>
      <c r="AJ7" s="3">
        <v>45322</v>
      </c>
      <c r="AL7" s="4" t="s">
        <v>19</v>
      </c>
      <c r="AM7" s="6" cm="1">
        <f t="array" ref="AM7">IFERROR((SUMPRODUCT(($C$8:$C$31=AM$6)*($F$4:$AJ$4="")*$F$8:$AJ$31)+IF(AM$6="P3",SUMPRODUCT(($F$4:$AJ$4="P3")*$F$8:$AJ$31),0))/(SUMPRODUCT(($C$8:$C$31=AM$6)*($F$4:$AJ$4=""))+IF(AM$6="P3",COUNTIF($F$4:$AJ$4,"P3")*ROWS($C$8:$C$31),0)),"")</f>
        <v>1.1596659090909085</v>
      </c>
      <c r="AN7" s="6" cm="1">
        <f t="array" ref="AN7">IFERROR((SUMPRODUCT(($C$8:$C$31=AN$6)*($F$4:$AJ$4="")*$F$8:$AJ$31)+IF(AN$6="P3",SUMPRODUCT(($F$4:$AJ$4="P3")*$F$8:$AJ$31),0))/(SUMPRODUCT(($C$8:$C$31=AN$6)*($F$4:$AJ$4=""))+IF(AN$6="P3",COUNTIF($F$4:$AJ$4,"P3")*ROWS($C$8:$C$31),0)),"")</f>
        <v>1.2165014204545455</v>
      </c>
      <c r="AO7" s="6" cm="1">
        <f t="array" ref="AO7">IFERROR((SUMPRODUCT(($C$8:$C$31=AO$6)*($F$4:$AJ$4="")*$F$8:$AJ$31)+IF(AO$6="P3",SUMPRODUCT(($F$4:$AJ$4="P3")*$F$8:$AJ$31),0))/(SUMPRODUCT(($C$8:$C$31=AO$6)*($F$4:$AJ$4=""))+IF(AO$6="P3",COUNTIF($F$4:$AJ$4,"P3")*ROWS($C$8:$C$31),0)),"")</f>
        <v>1.345214897959184</v>
      </c>
      <c r="AP7" s="6" t="str" cm="1">
        <f t="array" ref="AP7">IFERROR((SUMPRODUCT(($C$8:$C$31=AP$6)*($F$4:$AJ$4="")*$F$8:$AJ$31)+IF(AP$6="P3",SUMPRODUCT(($F$4:$AJ$4="P3")*$F$8:$AJ$31),0))/(SUMPRODUCT(($C$8:$C$31=AP$6)*($F$4:$AJ$4=""))+IF(AP$6="P3",COUNTIF($F$4:$AJ$4,"P3")*ROWS($C$8:$C$31),0)),"")</f>
        <v/>
      </c>
      <c r="AQ7" s="6" t="str" cm="1">
        <f t="array" ref="AQ7">IFERROR((SUMPRODUCT(($C$8:$C$31=AQ$6)*($F$4:$AJ$4="")*$F$8:$AJ$31)+IF(AQ$6="P3",SUMPRODUCT(($F$4:$AJ$4="P3")*$F$8:$AJ$31),0))/(SUMPRODUCT(($C$8:$C$31=AQ$6)*($F$4:$AJ$4=""))+IF(AQ$6="P3",COUNTIF($F$4:$AJ$4,"P3")*ROWS($C$8:$C$31),0)),"")</f>
        <v/>
      </c>
      <c r="AR7" s="6" t="str" cm="1">
        <f t="array" ref="AR7">IFERROR((SUMPRODUCT(($C$8:$C$31=AR$6)*($F$4:$AJ$4="")*$F$8:$AJ$31)+IF(AR$6="P3",SUMPRODUCT(($F$4:$AJ$4="P3")*$F$8:$AJ$31),0))/(SUMPRODUCT(($C$8:$C$31=AR$6)*($F$4:$AJ$4=""))+IF(AR$6="P3",COUNTIF($F$4:$AJ$4,"P3")*ROWS($C$8:$C$31),0)),"")</f>
        <v/>
      </c>
      <c r="BB7" s="11"/>
      <c r="BC7" s="11"/>
      <c r="BD7" s="11"/>
      <c r="BE7" s="11"/>
      <c r="BF7" s="11"/>
      <c r="BG7" s="11"/>
      <c r="BH7" s="11"/>
      <c r="BI7" s="11"/>
      <c r="BJ7" s="11"/>
    </row>
    <row r="8" spans="1:62" ht="14.5" x14ac:dyDescent="0.35">
      <c r="A8" s="1" t="s">
        <v>7</v>
      </c>
      <c r="B8" s="1" t="s">
        <v>7</v>
      </c>
      <c r="C8" s="1" t="s">
        <v>15</v>
      </c>
      <c r="D8" s="1" t="s">
        <v>7</v>
      </c>
      <c r="E8" s="1" t="s">
        <v>8</v>
      </c>
      <c r="F8" s="1">
        <v>1.31969</v>
      </c>
      <c r="G8" s="1">
        <v>1.33117</v>
      </c>
      <c r="H8" s="1">
        <v>1.3271999999999999</v>
      </c>
      <c r="I8" s="1">
        <v>1.3076000000000001</v>
      </c>
      <c r="J8" s="1">
        <v>1.34144</v>
      </c>
      <c r="K8" s="1">
        <v>1.3034600000000001</v>
      </c>
      <c r="L8" s="1">
        <v>1.4039900000000001</v>
      </c>
      <c r="M8" s="1">
        <v>1.4023000000000001</v>
      </c>
      <c r="N8" s="1">
        <v>1.33117</v>
      </c>
      <c r="O8" s="1">
        <v>1.3271999999999999</v>
      </c>
      <c r="P8" s="1">
        <v>1.3076000000000001</v>
      </c>
      <c r="Q8" s="1">
        <v>1.34144</v>
      </c>
      <c r="R8" s="1">
        <v>1.41628</v>
      </c>
      <c r="S8" s="1">
        <v>1.4039900000000001</v>
      </c>
      <c r="T8" s="1">
        <v>1.4023000000000001</v>
      </c>
      <c r="U8" s="1">
        <v>1.33117</v>
      </c>
      <c r="V8" s="1">
        <v>1.3271999999999999</v>
      </c>
      <c r="W8" s="1">
        <v>1.3076000000000001</v>
      </c>
      <c r="X8" s="1">
        <v>1.34144</v>
      </c>
      <c r="Y8" s="1">
        <v>1.41628</v>
      </c>
      <c r="Z8" s="1">
        <v>1.4039900000000001</v>
      </c>
      <c r="AA8" s="1">
        <v>1.4023000000000001</v>
      </c>
      <c r="AB8" s="1">
        <v>1.33117</v>
      </c>
      <c r="AC8" s="1">
        <v>1.3271999999999999</v>
      </c>
      <c r="AD8" s="1">
        <v>1.3076000000000001</v>
      </c>
      <c r="AE8" s="1">
        <v>1.34144</v>
      </c>
      <c r="AF8" s="1">
        <v>1.41628</v>
      </c>
      <c r="AG8" s="1">
        <v>1.4039900000000001</v>
      </c>
      <c r="AH8" s="1">
        <v>1.4023000000000001</v>
      </c>
      <c r="AI8" s="1">
        <v>1.33117</v>
      </c>
      <c r="AJ8" s="1">
        <v>1.3271999999999999</v>
      </c>
      <c r="AL8" s="4" t="s">
        <v>21</v>
      </c>
      <c r="AM8" s="6" cm="1">
        <f t="array" ref="AM8">IFERROR((SUMPRODUCT(($D$8:$D$31=AM$6)*($F$5:$AJ$5="")*$F$8:$AJ$31)+IF(AM$6="P6",SUMPRODUCT(($F$5:$AJ$5="P6")*$F$8:$AJ$31),0))/(SUMPRODUCT(($D$8:$D$31=AM$6)*($F$5:$AJ$5=""))+IF(AM$6="P6",COUNTIF($F$5:$AJ$5,"P6")*ROWS($D$8:$D$31),0)),"")</f>
        <v>1.1613654040404033</v>
      </c>
      <c r="AN8" s="6" cm="1">
        <f t="array" ref="AN8">IFERROR((SUMPRODUCT(($D$8:$D$31=AN$6)*($F$5:$AJ$5="")*$F$8:$AJ$31)+IF(AN$6="P6",SUMPRODUCT(($F$5:$AJ$5="P6")*$F$8:$AJ$31),0))/(SUMPRODUCT(($D$8:$D$31=AN$6)*($F$5:$AJ$5=""))+IF(AN$6="P6",COUNTIF($F$5:$AJ$5,"P6")*ROWS($D$8:$D$31),0)),"")</f>
        <v>1.2224357142857143</v>
      </c>
      <c r="AO8" s="6" t="str">
        <f>IFERROR((SUMPRODUCT(($D$8:$D$31=AO$6)*($F$5:$AJ$5="")*$F$8:$AJ$31)+IF(AO$6="P6",SUMPRODUCT(($F$5:$AJ$5="P6")*$F$8:$AJ$31),0))/(SUMPRODUCT(($D$8:$D$31=AO$6)*($F$5:$AJ$5=""))+IF(AO$6="P6",COUNTIF($F$5:$AJ$5,"P6")*ROWS($D$8:$D$31),0)),"")</f>
        <v/>
      </c>
      <c r="AP8" s="6" t="str">
        <f>IFERROR((SUMPRODUCT(($D$8:$D$31=AP$6)*($F$5:$AJ$5="")*$F$8:$AJ$31)+IF(AP$6="P6",SUMPRODUCT(($F$5:$AJ$5="P6")*$F$8:$AJ$31),0))/(SUMPRODUCT(($D$8:$D$31=AP$6)*($F$5:$AJ$5=""))+IF(AP$6="P6",COUNTIF($F$5:$AJ$5,"P6")*ROWS($D$8:$D$31),0)),"")</f>
        <v/>
      </c>
      <c r="AQ8" s="6" t="str">
        <f>IFERROR((SUMPRODUCT(($D$8:$D$31=AQ$6)*($F$5:$AJ$5="")*$F$8:$AJ$31)+IF(AQ$6="P6",SUMPRODUCT(($F$5:$AJ$5="P6")*$F$8:$AJ$31),0))/(SUMPRODUCT(($D$8:$D$31=AQ$6)*($F$5:$AJ$5=""))+IF(AQ$6="P6",COUNTIF($F$5:$AJ$5,"P6")*ROWS($D$8:$D$31),0)),"")</f>
        <v/>
      </c>
      <c r="AR8" s="6">
        <f>IFERROR((SUMPRODUCT(($D$8:$D$31=AR$6)*($F$5:$AJ$5="")*$F$8:$AJ$31)+IF(AR$6="P6",SUMPRODUCT(($F$5:$AJ$5="P6")*$F$8:$AJ$31),0))/(SUMPRODUCT(($D$8:$D$31=AR$6)*($F$5:$AJ$5=""))+IF(AR$6="P6",COUNTIF($F$5:$AJ$5,"P6")*ROWS($D$8:$D$31),0)),"")</f>
        <v>1.345214897959184</v>
      </c>
      <c r="BB8" s="10"/>
      <c r="BC8" s="10"/>
      <c r="BD8" s="10"/>
      <c r="BE8" s="10"/>
      <c r="BF8" s="10"/>
      <c r="BG8" s="10"/>
      <c r="BH8" s="10"/>
      <c r="BI8" s="10"/>
      <c r="BJ8" s="10"/>
    </row>
    <row r="9" spans="1:62" ht="14.5" x14ac:dyDescent="0.35">
      <c r="A9" s="1" t="s">
        <v>7</v>
      </c>
      <c r="B9" s="1" t="s">
        <v>7</v>
      </c>
      <c r="C9" s="1" t="s">
        <v>15</v>
      </c>
      <c r="D9" s="1" t="s">
        <v>7</v>
      </c>
      <c r="E9" s="1" t="s">
        <v>9</v>
      </c>
      <c r="F9" s="1">
        <v>1.3515200000000001</v>
      </c>
      <c r="G9" s="1">
        <v>1.3893</v>
      </c>
      <c r="H9" s="1">
        <v>1.37056</v>
      </c>
      <c r="I9" s="1">
        <v>1.35856</v>
      </c>
      <c r="J9" s="1">
        <v>1.3907099999999999</v>
      </c>
      <c r="K9" s="1">
        <v>1.3494900000000001</v>
      </c>
      <c r="L9" s="1">
        <v>1.45241</v>
      </c>
      <c r="M9" s="1">
        <v>1.4774700000000001</v>
      </c>
      <c r="N9" s="1">
        <v>1.3893</v>
      </c>
      <c r="O9" s="1">
        <v>1.37056</v>
      </c>
      <c r="P9" s="1">
        <v>1.35856</v>
      </c>
      <c r="Q9" s="1">
        <v>1.3907099999999999</v>
      </c>
      <c r="R9" s="1">
        <v>1.48369</v>
      </c>
      <c r="S9" s="1">
        <v>1.45241</v>
      </c>
      <c r="T9" s="1">
        <v>1.4774700000000001</v>
      </c>
      <c r="U9" s="1">
        <v>1.3893</v>
      </c>
      <c r="V9" s="1">
        <v>1.37056</v>
      </c>
      <c r="W9" s="1">
        <v>1.35856</v>
      </c>
      <c r="X9" s="1">
        <v>1.3907099999999999</v>
      </c>
      <c r="Y9" s="1">
        <v>1.48369</v>
      </c>
      <c r="Z9" s="1">
        <v>1.45241</v>
      </c>
      <c r="AA9" s="1">
        <v>1.4774700000000001</v>
      </c>
      <c r="AB9" s="1">
        <v>1.3893</v>
      </c>
      <c r="AC9" s="1">
        <v>1.37056</v>
      </c>
      <c r="AD9" s="1">
        <v>1.35856</v>
      </c>
      <c r="AE9" s="1">
        <v>1.3907099999999999</v>
      </c>
      <c r="AF9" s="1">
        <v>1.48369</v>
      </c>
      <c r="AG9" s="1">
        <v>1.45241</v>
      </c>
      <c r="AH9" s="1">
        <v>1.4774700000000001</v>
      </c>
      <c r="AI9" s="1">
        <v>1.3893</v>
      </c>
      <c r="AJ9" s="1">
        <v>1.37056</v>
      </c>
      <c r="AL9" s="4" t="s">
        <v>23</v>
      </c>
      <c r="AM9" s="6" cm="1">
        <f t="array" ref="AM9">IFERROR((SUMPRODUCT(($D$8:$D$31=AM$6)*($F$5:$AJ$5="")*$F$8:$AJ$31)+IF(AM$6="P6",SUMPRODUCT(($F$5:$AJ$5="P6")*$F$8:$AJ$31),0))/(SUMPRODUCT(($D$8:$D$31=AM$6)*($F$5:$AJ$5=""))+IF(AM$6="P6",COUNTIF($F$5:$AJ$5,"P6")*ROWS($D$8:$D$31),0)),"")</f>
        <v>1.1613654040404033</v>
      </c>
      <c r="AN9" s="6">
        <f>IFERROR((SUMPRODUCT(($D$8:$D$31=AN$6)*($F$5:$AJ$5="")*$F$8:$AJ$31)+IF(AN$6="P6",SUMPRODUCT(($F$5:$AJ$5="P6")*$F$8:$AJ$31),0))/(SUMPRODUCT(($D$8:$D$31=AN$6)*($F$5:$AJ$5=""))+IF(AN$6="P6",COUNTIF($F$5:$AJ$5,"P6")*ROWS($D$8:$D$31),0)),"")</f>
        <v>1.2224357142857143</v>
      </c>
      <c r="AO9" s="5"/>
      <c r="AP9" s="5"/>
      <c r="AQ9" s="5"/>
      <c r="AR9" s="6">
        <f>IFERROR((SUMPRODUCT(($D$8:$D$31=AR$6)*($F$5:$AJ$5="")*$F$8:$AJ$31)+IF(AR$6="P6",SUMPRODUCT(($F$5:$AJ$5="P6")*$F$8:$AJ$31),0))/(SUMPRODUCT(($D$8:$D$31=AR$6)*($F$5:$AJ$5=""))+IF(AR$6="P6",COUNTIF($F$5:$AJ$5,"P6")*ROWS($D$8:$D$31),0)),"")</f>
        <v>1.345214897959184</v>
      </c>
      <c r="BB9" s="10"/>
      <c r="BC9" s="10"/>
      <c r="BD9" s="10"/>
      <c r="BE9" s="10"/>
      <c r="BF9" s="10"/>
      <c r="BG9" s="10"/>
      <c r="BH9" s="10"/>
      <c r="BI9" s="10"/>
      <c r="BJ9" s="10"/>
    </row>
    <row r="10" spans="1:62" ht="14.5" x14ac:dyDescent="0.35">
      <c r="A10" s="1" t="s">
        <v>7</v>
      </c>
      <c r="B10" s="1" t="s">
        <v>7</v>
      </c>
      <c r="C10" s="1" t="s">
        <v>15</v>
      </c>
      <c r="D10" s="1" t="s">
        <v>7</v>
      </c>
      <c r="E10" s="1" t="s">
        <v>10</v>
      </c>
      <c r="F10" s="1">
        <v>1.42876</v>
      </c>
      <c r="G10" s="1">
        <v>1.42801</v>
      </c>
      <c r="H10" s="1">
        <v>1.4065700000000001</v>
      </c>
      <c r="I10" s="1">
        <v>1.3942600000000001</v>
      </c>
      <c r="J10" s="1">
        <v>1.43299</v>
      </c>
      <c r="K10" s="1">
        <v>1.4034599999999999</v>
      </c>
      <c r="L10" s="1">
        <v>1.51681</v>
      </c>
      <c r="M10" s="1">
        <v>1.50712</v>
      </c>
      <c r="N10" s="1">
        <v>1.42801</v>
      </c>
      <c r="O10" s="1">
        <v>1.4065700000000001</v>
      </c>
      <c r="P10" s="1">
        <v>1.3942600000000001</v>
      </c>
      <c r="Q10" s="1">
        <v>1.43299</v>
      </c>
      <c r="R10" s="1">
        <v>1.5284</v>
      </c>
      <c r="S10" s="1">
        <v>1.51681</v>
      </c>
      <c r="T10" s="1">
        <v>1.50712</v>
      </c>
      <c r="U10" s="1">
        <v>1.42801</v>
      </c>
      <c r="V10" s="1">
        <v>1.4065700000000001</v>
      </c>
      <c r="W10" s="1">
        <v>1.3942600000000001</v>
      </c>
      <c r="X10" s="1">
        <v>1.43299</v>
      </c>
      <c r="Y10" s="1">
        <v>1.5284</v>
      </c>
      <c r="Z10" s="1">
        <v>1.51681</v>
      </c>
      <c r="AA10" s="1">
        <v>1.50712</v>
      </c>
      <c r="AB10" s="1">
        <v>1.42801</v>
      </c>
      <c r="AC10" s="1">
        <v>1.4065700000000001</v>
      </c>
      <c r="AD10" s="1">
        <v>1.3942600000000001</v>
      </c>
      <c r="AE10" s="1">
        <v>1.43299</v>
      </c>
      <c r="AF10" s="1">
        <v>1.5284</v>
      </c>
      <c r="AG10" s="1">
        <v>1.51681</v>
      </c>
      <c r="AH10" s="1">
        <v>1.50712</v>
      </c>
      <c r="AI10" s="1">
        <v>1.42801</v>
      </c>
      <c r="AJ10" s="1">
        <v>1.4065700000000001</v>
      </c>
      <c r="AL10" s="4" t="s">
        <v>25</v>
      </c>
      <c r="AM10" s="6" cm="1">
        <f t="array" ref="AM10">IFERROR((SUMPRODUCT(($D$8:$D$31=AM$6)*($F$5:$AJ$5="")*$F$8:$AJ$31)+IF(AM$6="P6",SUMPRODUCT(($F$5:$AJ$5="P6")*$F$8:$AJ$31),0))/(SUMPRODUCT(($D$8:$D$31=AM$6)*($F$5:$AJ$5=""))+IF(AM$6="P6",COUNTIF($F$5:$AJ$5,"P6")*ROWS($D$8:$D$31),0)),"")</f>
        <v>1.1613654040404033</v>
      </c>
      <c r="AN10" s="6">
        <f>IFERROR((SUMPRODUCT(($D$8:$D$31=AN$6)*($F$5:$AJ$5="")*$F$8:$AJ$31)+IF(AN$6="P6",SUMPRODUCT(($F$5:$AJ$5="P6")*$F$8:$AJ$31),0))/(SUMPRODUCT(($D$8:$D$31=AN$6)*($F$5:$AJ$5=""))+IF(AN$6="P6",COUNTIF($F$5:$AJ$5,"P6")*ROWS($D$8:$D$31),0)),"")</f>
        <v>1.2224357142857143</v>
      </c>
      <c r="AO10" s="5"/>
      <c r="AP10" s="5"/>
      <c r="AQ10" s="5"/>
      <c r="AR10" s="6">
        <f>IFERROR((SUMPRODUCT(($D$8:$D$31=AR$6)*($F$5:$AJ$5="")*$F$8:$AJ$31)+IF(AR$6="P6",SUMPRODUCT(($F$5:$AJ$5="P6")*$F$8:$AJ$31),0))/(SUMPRODUCT(($D$8:$D$31=AR$6)*($F$5:$AJ$5=""))+IF(AR$6="P6",COUNTIF($F$5:$AJ$5,"P6")*ROWS($D$8:$D$31),0)),"")</f>
        <v>1.345214897959184</v>
      </c>
      <c r="BB10" s="10"/>
      <c r="BC10" s="13" t="s">
        <v>201</v>
      </c>
      <c r="BD10" s="13"/>
      <c r="BE10" s="13"/>
      <c r="BF10" s="13"/>
      <c r="BG10" s="13"/>
      <c r="BH10" s="13"/>
      <c r="BI10" s="13"/>
      <c r="BJ10" s="10"/>
    </row>
    <row r="11" spans="1:62" ht="14.5" x14ac:dyDescent="0.35">
      <c r="A11" s="1" t="s">
        <v>7</v>
      </c>
      <c r="B11" s="1" t="s">
        <v>7</v>
      </c>
      <c r="C11" s="1" t="s">
        <v>15</v>
      </c>
      <c r="D11" s="1" t="s">
        <v>7</v>
      </c>
      <c r="E11" s="1" t="s">
        <v>11</v>
      </c>
      <c r="F11" s="1">
        <v>1.49112</v>
      </c>
      <c r="G11" s="1">
        <v>1.45621</v>
      </c>
      <c r="H11" s="1">
        <v>1.4223300000000001</v>
      </c>
      <c r="I11" s="1">
        <v>1.4176500000000001</v>
      </c>
      <c r="J11" s="1">
        <v>1.4464699999999999</v>
      </c>
      <c r="K11" s="1">
        <v>1.4377800000000001</v>
      </c>
      <c r="L11" s="1">
        <v>1.54304</v>
      </c>
      <c r="M11" s="1">
        <v>1.5199400000000001</v>
      </c>
      <c r="N11" s="1">
        <v>1.45621</v>
      </c>
      <c r="O11" s="1">
        <v>1.4223300000000001</v>
      </c>
      <c r="P11" s="1">
        <v>1.4176500000000001</v>
      </c>
      <c r="Q11" s="1">
        <v>1.4464699999999999</v>
      </c>
      <c r="R11" s="1">
        <v>1.5567</v>
      </c>
      <c r="S11" s="1">
        <v>1.54304</v>
      </c>
      <c r="T11" s="1">
        <v>1.5199400000000001</v>
      </c>
      <c r="U11" s="1">
        <v>1.45621</v>
      </c>
      <c r="V11" s="1">
        <v>1.4223300000000001</v>
      </c>
      <c r="W11" s="1">
        <v>1.4176500000000001</v>
      </c>
      <c r="X11" s="1">
        <v>1.4464699999999999</v>
      </c>
      <c r="Y11" s="1">
        <v>1.5567</v>
      </c>
      <c r="Z11" s="1">
        <v>1.54304</v>
      </c>
      <c r="AA11" s="1">
        <v>1.5199400000000001</v>
      </c>
      <c r="AB11" s="1">
        <v>1.45621</v>
      </c>
      <c r="AC11" s="1">
        <v>1.4223300000000001</v>
      </c>
      <c r="AD11" s="1">
        <v>1.4176500000000001</v>
      </c>
      <c r="AE11" s="1">
        <v>1.4464699999999999</v>
      </c>
      <c r="AF11" s="1">
        <v>1.5567</v>
      </c>
      <c r="AG11" s="1">
        <v>1.54304</v>
      </c>
      <c r="AH11" s="1">
        <v>1.5199400000000001</v>
      </c>
      <c r="AI11" s="1">
        <v>1.45621</v>
      </c>
      <c r="AJ11" s="1">
        <v>1.4223300000000001</v>
      </c>
      <c r="AL11" s="4" t="s">
        <v>27</v>
      </c>
      <c r="AM11" s="6" cm="1">
        <f t="array" ref="AM11">IFERROR((SUMPRODUCT(($D$8:$D$31=AM$6)*($F$5:$AJ$5="")*$F$8:$AJ$31)+IF(AM$6="P6",SUMPRODUCT(($F$5:$AJ$5="P6")*$F$8:$AJ$31),0))/(SUMPRODUCT(($D$8:$D$31=AM$6)*($F$5:$AJ$5=""))+IF(AM$6="P6",COUNTIF($F$5:$AJ$5,"P6")*ROWS($D$8:$D$31),0)),"")</f>
        <v>1.1613654040404033</v>
      </c>
      <c r="AN11" s="6">
        <f>IFERROR((SUMPRODUCT(($D$8:$D$31=AN$6)*($F$5:$AJ$5="")*$F$8:$AJ$31)+IF(AN$6="P6",SUMPRODUCT(($F$5:$AJ$5="P6")*$F$8:$AJ$31),0))/(SUMPRODUCT(($D$8:$D$31=AN$6)*($F$5:$AJ$5=""))+IF(AN$6="P6",COUNTIF($F$5:$AJ$5,"P6")*ROWS($D$8:$D$31),0)),"")</f>
        <v>1.2224357142857143</v>
      </c>
      <c r="AO11" s="5"/>
      <c r="AP11" s="5"/>
      <c r="AQ11" s="5"/>
      <c r="AR11" s="6">
        <f>IFERROR((SUMPRODUCT(($D$8:$D$31=AR$6)*($F$5:$AJ$5="")*$F$8:$AJ$31)+IF(AR$6="P6",SUMPRODUCT(($F$5:$AJ$5="P6")*$F$8:$AJ$31),0))/(SUMPRODUCT(($D$8:$D$31=AR$6)*($F$5:$AJ$5=""))+IF(AR$6="P6",COUNTIF($F$5:$AJ$5,"P6")*ROWS($D$8:$D$31),0)),"")</f>
        <v>1.345214897959184</v>
      </c>
      <c r="BB11" s="10"/>
      <c r="BC11" s="4"/>
      <c r="BD11" s="4" t="s">
        <v>13</v>
      </c>
      <c r="BE11" s="4" t="s">
        <v>14</v>
      </c>
      <c r="BF11" s="4" t="s">
        <v>15</v>
      </c>
      <c r="BG11" s="4" t="s">
        <v>16</v>
      </c>
      <c r="BH11" s="4" t="s">
        <v>17</v>
      </c>
      <c r="BI11" s="4" t="s">
        <v>7</v>
      </c>
      <c r="BJ11" s="10"/>
    </row>
    <row r="12" spans="1:62" ht="14.5" x14ac:dyDescent="0.35">
      <c r="A12" s="1" t="s">
        <v>7</v>
      </c>
      <c r="B12" s="1" t="s">
        <v>7</v>
      </c>
      <c r="C12" s="1" t="s">
        <v>15</v>
      </c>
      <c r="D12" s="1" t="s">
        <v>7</v>
      </c>
      <c r="E12" s="1" t="s">
        <v>12</v>
      </c>
      <c r="F12" s="1">
        <v>1.5334700000000001</v>
      </c>
      <c r="G12" s="1">
        <v>1.4619500000000001</v>
      </c>
      <c r="H12" s="1">
        <v>1.41059</v>
      </c>
      <c r="I12" s="1">
        <v>1.4198999999999999</v>
      </c>
      <c r="J12" s="1">
        <v>1.43879</v>
      </c>
      <c r="K12" s="1">
        <v>1.4596800000000001</v>
      </c>
      <c r="L12" s="1">
        <v>1.55504</v>
      </c>
      <c r="M12" s="1">
        <v>1.5142100000000001</v>
      </c>
      <c r="N12" s="1">
        <v>1.4619500000000001</v>
      </c>
      <c r="O12" s="1">
        <v>1.41059</v>
      </c>
      <c r="P12" s="1">
        <v>1.4198999999999999</v>
      </c>
      <c r="Q12" s="1">
        <v>1.43879</v>
      </c>
      <c r="R12" s="1">
        <v>1.5578000000000001</v>
      </c>
      <c r="S12" s="1">
        <v>1.55504</v>
      </c>
      <c r="T12" s="1">
        <v>1.5142100000000001</v>
      </c>
      <c r="U12" s="1">
        <v>1.4619500000000001</v>
      </c>
      <c r="V12" s="1">
        <v>1.41059</v>
      </c>
      <c r="W12" s="1">
        <v>1.4198999999999999</v>
      </c>
      <c r="X12" s="1">
        <v>1.43879</v>
      </c>
      <c r="Y12" s="1">
        <v>1.5578000000000001</v>
      </c>
      <c r="Z12" s="1">
        <v>1.55504</v>
      </c>
      <c r="AA12" s="1">
        <v>1.5142100000000001</v>
      </c>
      <c r="AB12" s="1">
        <v>1.4619500000000001</v>
      </c>
      <c r="AC12" s="1">
        <v>1.41059</v>
      </c>
      <c r="AD12" s="1">
        <v>1.4198999999999999</v>
      </c>
      <c r="AE12" s="1">
        <v>1.43879</v>
      </c>
      <c r="AF12" s="1">
        <v>1.5578000000000001</v>
      </c>
      <c r="AG12" s="1">
        <v>1.55504</v>
      </c>
      <c r="AH12" s="1">
        <v>1.5142100000000001</v>
      </c>
      <c r="AI12" s="1">
        <v>1.4619500000000001</v>
      </c>
      <c r="AJ12" s="1">
        <v>1.41059</v>
      </c>
      <c r="AL12" s="4" t="s">
        <v>29</v>
      </c>
      <c r="AM12" s="6" cm="1">
        <f t="array" ref="AM12">IFERROR((SUMPRODUCT(($D$8:$D$31=AM$6)*($F$5:$AJ$5="")*$F$8:$AJ$31)+IF(AM$6="P6",SUMPRODUCT(($F$5:$AJ$5="P6")*$F$8:$AJ$31),0))/(SUMPRODUCT(($D$8:$D$31=AM$6)*($F$5:$AJ$5=""))+IF(AM$6="P6",COUNTIF($F$5:$AJ$5,"P6")*ROWS($D$8:$D$31),0)),"")</f>
        <v>1.1613654040404033</v>
      </c>
      <c r="AN12" s="6">
        <f>IFERROR((SUMPRODUCT(($D$8:$D$31=AN$6)*($F$5:$AJ$5="")*$F$8:$AJ$31)+IF(AN$6="P6",SUMPRODUCT(($F$5:$AJ$5="P6")*$F$8:$AJ$31),0))/(SUMPRODUCT(($D$8:$D$31=AN$6)*($F$5:$AJ$5=""))+IF(AN$6="P6",COUNTIF($F$5:$AJ$5,"P6")*ROWS($D$8:$D$31),0)),"")</f>
        <v>1.2224357142857143</v>
      </c>
      <c r="AO12" s="5"/>
      <c r="AP12" s="5"/>
      <c r="AQ12" s="5"/>
      <c r="AR12" s="6" cm="1">
        <f t="array" ref="AR12">IFERROR((SUMPRODUCT(($D$8:$D$31=AR$6)*($F$5:$AJ$5="")*$F$8:$AJ$31)+IF(AR$6="P6",SUMPRODUCT(($F$5:$AJ$5="P6")*$F$8:$AJ$31),0))/(SUMPRODUCT(($D$8:$D$31=AR$6)*($F$5:$AJ$5=""))+IF(AR$6="P6",COUNTIF($F$5:$AJ$5,"P6")*ROWS($D$8:$D$31),0)),"")</f>
        <v>1.345214897959184</v>
      </c>
      <c r="BB12" s="10"/>
      <c r="BC12" s="4" t="s">
        <v>19</v>
      </c>
      <c r="BD12" s="6">
        <f>AVERAGE(AM7,AM42,AM77,AM112,AM147,AM182,AM217,AM252,AM287,AM322,AM357,AM392)</f>
        <v>0.99438191962325106</v>
      </c>
      <c r="BE12" s="6">
        <f>AVERAGE(AN7,AN42,AN77,AN112,AN147,AN182,AN217,AN252,AN287,AN322,AN357,AN392)</f>
        <v>1.0671415106039042</v>
      </c>
      <c r="BF12" s="6">
        <f>AVERAGE(AO7,AO42,AO77,AO112,AO147,AO182,AO217,AO252,AO287,AO322,AO357,AO392)</f>
        <v>1.0790150296930847</v>
      </c>
      <c r="BG12" s="6"/>
      <c r="BH12" s="6"/>
      <c r="BI12" s="6"/>
      <c r="BJ12" s="10"/>
    </row>
    <row r="13" spans="1:62" ht="14.5" x14ac:dyDescent="0.35">
      <c r="A13" s="1" t="s">
        <v>7</v>
      </c>
      <c r="B13" s="1" t="s">
        <v>7</v>
      </c>
      <c r="C13" s="1" t="s">
        <v>15</v>
      </c>
      <c r="D13" s="1" t="s">
        <v>7</v>
      </c>
      <c r="E13" s="1" t="s">
        <v>18</v>
      </c>
      <c r="F13" s="1">
        <v>1.5436799999999999</v>
      </c>
      <c r="G13" s="1">
        <v>1.43435</v>
      </c>
      <c r="H13" s="1">
        <v>1.37469</v>
      </c>
      <c r="I13" s="1">
        <v>1.38764</v>
      </c>
      <c r="J13" s="1">
        <v>1.4010899999999999</v>
      </c>
      <c r="K13" s="1">
        <v>1.4635</v>
      </c>
      <c r="L13" s="1">
        <v>1.5421199999999999</v>
      </c>
      <c r="M13" s="1">
        <v>1.4762599999999999</v>
      </c>
      <c r="N13" s="1">
        <v>1.43435</v>
      </c>
      <c r="O13" s="1">
        <v>1.37469</v>
      </c>
      <c r="P13" s="1">
        <v>1.38764</v>
      </c>
      <c r="Q13" s="1">
        <v>1.4010899999999999</v>
      </c>
      <c r="R13" s="1">
        <v>1.55399</v>
      </c>
      <c r="S13" s="1">
        <v>1.5421199999999999</v>
      </c>
      <c r="T13" s="1">
        <v>1.4762599999999999</v>
      </c>
      <c r="U13" s="1">
        <v>1.43435</v>
      </c>
      <c r="V13" s="1">
        <v>1.37469</v>
      </c>
      <c r="W13" s="1">
        <v>1.38764</v>
      </c>
      <c r="X13" s="1">
        <v>1.4010899999999999</v>
      </c>
      <c r="Y13" s="1">
        <v>1.55399</v>
      </c>
      <c r="Z13" s="1">
        <v>1.5421199999999999</v>
      </c>
      <c r="AA13" s="1">
        <v>1.4762599999999999</v>
      </c>
      <c r="AB13" s="1">
        <v>1.43435</v>
      </c>
      <c r="AC13" s="1">
        <v>1.37469</v>
      </c>
      <c r="AD13" s="1">
        <v>1.38764</v>
      </c>
      <c r="AE13" s="1">
        <v>1.4010899999999999</v>
      </c>
      <c r="AF13" s="1">
        <v>1.55399</v>
      </c>
      <c r="AG13" s="1">
        <v>1.5421199999999999</v>
      </c>
      <c r="AH13" s="1">
        <v>1.4762599999999999</v>
      </c>
      <c r="AI13" s="1">
        <v>1.43435</v>
      </c>
      <c r="AJ13" s="1">
        <v>1.37469</v>
      </c>
      <c r="AL13" s="10"/>
      <c r="AM13" s="10"/>
      <c r="AN13" s="10"/>
      <c r="AO13" s="10"/>
      <c r="AP13" s="10"/>
      <c r="AQ13" s="10"/>
      <c r="AR13" s="10"/>
      <c r="BB13" s="10"/>
      <c r="BC13" s="4" t="s">
        <v>21</v>
      </c>
      <c r="BD13" s="6">
        <f>AVERAGE(AM8,AM43,AM78,AM113,AM148,AM183,AM218,AM253,AM288,AM323,AM358,AM393)</f>
        <v>1.0848762709261341</v>
      </c>
      <c r="BE13" s="6">
        <f t="shared" ref="BE13:BI17" si="3">AVERAGE(AN8,AN43,AN113,AN148,AN183,AN218,AN253,AN288,AN323,AN358,AN393)</f>
        <v>1.1157200977225674</v>
      </c>
      <c r="BF13" s="6">
        <f t="shared" si="3"/>
        <v>0.95458025132275115</v>
      </c>
      <c r="BG13" s="6">
        <f t="shared" si="3"/>
        <v>0.93292078932925826</v>
      </c>
      <c r="BH13" s="6">
        <f t="shared" si="3"/>
        <v>1.1336926275174106</v>
      </c>
      <c r="BI13" s="6">
        <f t="shared" si="3"/>
        <v>1.071328486046645</v>
      </c>
      <c r="BJ13" s="10"/>
    </row>
    <row r="14" spans="1:62" ht="14.5" x14ac:dyDescent="0.35">
      <c r="A14" s="1" t="s">
        <v>7</v>
      </c>
      <c r="B14" s="1" t="s">
        <v>7</v>
      </c>
      <c r="C14" s="1" t="s">
        <v>15</v>
      </c>
      <c r="D14" s="1" t="s">
        <v>7</v>
      </c>
      <c r="E14" s="1" t="s">
        <v>20</v>
      </c>
      <c r="F14" s="1">
        <v>1.51892</v>
      </c>
      <c r="G14" s="1">
        <v>1.32507</v>
      </c>
      <c r="H14" s="1">
        <v>1.2621199999999999</v>
      </c>
      <c r="I14" s="1">
        <v>1.26709</v>
      </c>
      <c r="J14" s="1">
        <v>1.2783199999999999</v>
      </c>
      <c r="K14" s="1">
        <v>1.4420500000000001</v>
      </c>
      <c r="L14" s="1">
        <v>1.52213</v>
      </c>
      <c r="M14" s="1">
        <v>1.3380799999999999</v>
      </c>
      <c r="N14" s="1">
        <v>1.32507</v>
      </c>
      <c r="O14" s="1">
        <v>1.2621199999999999</v>
      </c>
      <c r="P14" s="1">
        <v>1.26709</v>
      </c>
      <c r="Q14" s="1">
        <v>1.2783199999999999</v>
      </c>
      <c r="R14" s="1">
        <v>1.50936</v>
      </c>
      <c r="S14" s="1">
        <v>1.52213</v>
      </c>
      <c r="T14" s="1">
        <v>1.3380799999999999</v>
      </c>
      <c r="U14" s="1">
        <v>1.32507</v>
      </c>
      <c r="V14" s="1">
        <v>1.2621199999999999</v>
      </c>
      <c r="W14" s="1">
        <v>1.26709</v>
      </c>
      <c r="X14" s="1">
        <v>1.2783199999999999</v>
      </c>
      <c r="Y14" s="1">
        <v>1.50936</v>
      </c>
      <c r="Z14" s="1">
        <v>1.52213</v>
      </c>
      <c r="AA14" s="1">
        <v>1.3380799999999999</v>
      </c>
      <c r="AB14" s="1">
        <v>1.32507</v>
      </c>
      <c r="AC14" s="1">
        <v>1.2621199999999999</v>
      </c>
      <c r="AD14" s="1">
        <v>1.26709</v>
      </c>
      <c r="AE14" s="1">
        <v>1.2783199999999999</v>
      </c>
      <c r="AF14" s="1">
        <v>1.50936</v>
      </c>
      <c r="AG14" s="1">
        <v>1.52213</v>
      </c>
      <c r="AH14" s="1">
        <v>1.3380799999999999</v>
      </c>
      <c r="AI14" s="1">
        <v>1.32507</v>
      </c>
      <c r="AJ14" s="1">
        <v>1.2621199999999999</v>
      </c>
      <c r="AL14" s="10"/>
      <c r="AM14" s="10"/>
      <c r="AN14" s="10"/>
      <c r="AO14" s="10"/>
      <c r="AP14" s="10"/>
      <c r="AQ14" s="10"/>
      <c r="AR14" s="10"/>
      <c r="AU14" s="1" cm="1">
        <f t="array" ref="AU14">SUMPRODUCT(($D$8:$D$31=AM$6)*($F$5:$AJ$5=""))+IF(AM$6="P6",COUNTIF($F$5:$AJ$5,"P6")*ROWS($D$8:$D$31),0)</f>
        <v>198</v>
      </c>
      <c r="AV14" s="1" cm="1">
        <f t="array" ref="AV14">SUMPRODUCT(($D$8:$D$31=AM$6)*($F$5:$AJ$5="")*$F$8:$AJ$31)+IF(AM$6="P6",SUMPRODUCT(($F$5:$AJ$5="P6")*$F$8:$AJ$31))</f>
        <v>229.95034999999984</v>
      </c>
      <c r="AW14" s="7">
        <f>AV14/AU14</f>
        <v>1.1613654040404033</v>
      </c>
      <c r="BB14" s="10"/>
      <c r="BC14" s="4" t="s">
        <v>23</v>
      </c>
      <c r="BD14" s="6">
        <f>AVERAGE(AM9,AM44,AM79,AM114,AM149,AM184,AM219,AM254,AM289,AM324,AM359,AM394)</f>
        <v>1.0848762709261341</v>
      </c>
      <c r="BE14" s="6">
        <f t="shared" si="3"/>
        <v>1.1157200977225674</v>
      </c>
      <c r="BF14" s="6">
        <f t="shared" si="3"/>
        <v>0.95458025132275115</v>
      </c>
      <c r="BG14" s="6">
        <f t="shared" si="3"/>
        <v>0.93292078932925826</v>
      </c>
      <c r="BH14" s="6">
        <f t="shared" si="3"/>
        <v>1.1336926275174106</v>
      </c>
      <c r="BI14" s="6">
        <f t="shared" si="3"/>
        <v>1.071328486046645</v>
      </c>
      <c r="BJ14" s="10"/>
    </row>
    <row r="15" spans="1:62" ht="14.5" x14ac:dyDescent="0.35">
      <c r="A15" s="1" t="s">
        <v>7</v>
      </c>
      <c r="B15" s="1" t="s">
        <v>7</v>
      </c>
      <c r="C15" s="1" t="s">
        <v>15</v>
      </c>
      <c r="D15" s="1" t="s">
        <v>7</v>
      </c>
      <c r="E15" s="1" t="s">
        <v>22</v>
      </c>
      <c r="F15" s="1">
        <v>1.4563299999999999</v>
      </c>
      <c r="G15" s="1">
        <v>1.2156400000000001</v>
      </c>
      <c r="H15" s="1">
        <v>1.1803399999999999</v>
      </c>
      <c r="I15" s="1">
        <v>1.19225</v>
      </c>
      <c r="J15" s="1">
        <v>1.1812</v>
      </c>
      <c r="K15" s="1">
        <v>1.40618</v>
      </c>
      <c r="L15" s="1">
        <v>1.4609099999999999</v>
      </c>
      <c r="M15" s="1">
        <v>1.21991</v>
      </c>
      <c r="N15" s="1">
        <v>1.2156400000000001</v>
      </c>
      <c r="O15" s="1">
        <v>1.1803399999999999</v>
      </c>
      <c r="P15" s="1">
        <v>1.19225</v>
      </c>
      <c r="Q15" s="1">
        <v>1.1812</v>
      </c>
      <c r="R15" s="1">
        <v>1.4414899999999999</v>
      </c>
      <c r="S15" s="1">
        <v>1.4609099999999999</v>
      </c>
      <c r="T15" s="1">
        <v>1.21991</v>
      </c>
      <c r="U15" s="1">
        <v>1.2156400000000001</v>
      </c>
      <c r="V15" s="1">
        <v>1.1803399999999999</v>
      </c>
      <c r="W15" s="1">
        <v>1.19225</v>
      </c>
      <c r="X15" s="1">
        <v>1.1812</v>
      </c>
      <c r="Y15" s="1">
        <v>1.4414899999999999</v>
      </c>
      <c r="Z15" s="1">
        <v>1.4609099999999999</v>
      </c>
      <c r="AA15" s="1">
        <v>1.21991</v>
      </c>
      <c r="AB15" s="1">
        <v>1.2156400000000001</v>
      </c>
      <c r="AC15" s="1">
        <v>1.1803399999999999</v>
      </c>
      <c r="AD15" s="1">
        <v>1.19225</v>
      </c>
      <c r="AE15" s="1">
        <v>1.1812</v>
      </c>
      <c r="AF15" s="1">
        <v>1.4414899999999999</v>
      </c>
      <c r="AG15" s="1">
        <v>1.4609099999999999</v>
      </c>
      <c r="AH15" s="1">
        <v>1.21991</v>
      </c>
      <c r="AI15" s="1">
        <v>1.2156400000000001</v>
      </c>
      <c r="AJ15" s="1">
        <v>1.1803399999999999</v>
      </c>
      <c r="AL15" s="14" t="s">
        <v>155</v>
      </c>
      <c r="AM15" s="14"/>
      <c r="AN15" s="14"/>
      <c r="AO15" s="14"/>
      <c r="AP15" s="14"/>
      <c r="AQ15" s="14"/>
      <c r="AR15" s="14"/>
      <c r="AU15" s="1" cm="1">
        <f t="array" ref="AU15">SUMPRODUCT(($D$8:$D$31=AN$6)*($F$5:$AJ$5=""))+IF(AN$6="P6",COUNTIF($F$5:$AJ$5,"P6")*ROWS($D$8:$D$31),0)</f>
        <v>154</v>
      </c>
      <c r="BB15" s="10"/>
      <c r="BC15" s="4" t="s">
        <v>25</v>
      </c>
      <c r="BD15" s="6">
        <f>AVERAGE(AM10,AM45,AM80,AM115,AM150,AM185,AM220,AM255,AM290,AM325,AM360,AM395)</f>
        <v>1.0848762709261341</v>
      </c>
      <c r="BE15" s="6">
        <f t="shared" si="3"/>
        <v>1.1157200977225674</v>
      </c>
      <c r="BF15" s="6">
        <f t="shared" si="3"/>
        <v>0.95458025132275115</v>
      </c>
      <c r="BG15" s="6">
        <f t="shared" si="3"/>
        <v>0.93292078932925826</v>
      </c>
      <c r="BH15" s="6">
        <f t="shared" si="3"/>
        <v>1.1336926275174106</v>
      </c>
      <c r="BI15" s="6">
        <f t="shared" si="3"/>
        <v>1.071328486046645</v>
      </c>
      <c r="BJ15" s="10"/>
    </row>
    <row r="16" spans="1:62" ht="14.5" x14ac:dyDescent="0.35">
      <c r="A16" s="1" t="s">
        <v>16</v>
      </c>
      <c r="B16" s="1" t="s">
        <v>16</v>
      </c>
      <c r="C16" s="1" t="s">
        <v>14</v>
      </c>
      <c r="D16" s="1" t="s">
        <v>14</v>
      </c>
      <c r="E16" s="1" t="s">
        <v>24</v>
      </c>
      <c r="F16" s="1">
        <v>1.4110499999999999</v>
      </c>
      <c r="G16" s="1">
        <v>1.2575499999999999</v>
      </c>
      <c r="H16" s="1">
        <v>1.21618</v>
      </c>
      <c r="I16" s="1">
        <v>1.2270099999999999</v>
      </c>
      <c r="J16" s="1">
        <v>1.2111799999999999</v>
      </c>
      <c r="K16" s="1">
        <v>1.3846799999999999</v>
      </c>
      <c r="L16" s="1">
        <v>1.3958600000000001</v>
      </c>
      <c r="M16" s="1">
        <v>1.2481800000000001</v>
      </c>
      <c r="N16" s="1">
        <v>1.2575499999999999</v>
      </c>
      <c r="O16" s="1">
        <v>1.21618</v>
      </c>
      <c r="P16" s="1">
        <v>1.2270099999999999</v>
      </c>
      <c r="Q16" s="1">
        <v>1.2111799999999999</v>
      </c>
      <c r="R16" s="1">
        <v>1.3709199999999999</v>
      </c>
      <c r="S16" s="1">
        <v>1.3958600000000001</v>
      </c>
      <c r="T16" s="1">
        <v>1.2481800000000001</v>
      </c>
      <c r="U16" s="1">
        <v>1.2575499999999999</v>
      </c>
      <c r="V16" s="1">
        <v>1.21618</v>
      </c>
      <c r="W16" s="1">
        <v>1.2270099999999999</v>
      </c>
      <c r="X16" s="1">
        <v>1.2111799999999999</v>
      </c>
      <c r="Y16" s="1">
        <v>1.3709199999999999</v>
      </c>
      <c r="Z16" s="1">
        <v>1.3958600000000001</v>
      </c>
      <c r="AA16" s="1">
        <v>1.2481800000000001</v>
      </c>
      <c r="AB16" s="1">
        <v>1.2575499999999999</v>
      </c>
      <c r="AC16" s="1">
        <v>1.21618</v>
      </c>
      <c r="AD16" s="1">
        <v>1.2270099999999999</v>
      </c>
      <c r="AE16" s="1">
        <v>1.2111799999999999</v>
      </c>
      <c r="AF16" s="1">
        <v>1.3709199999999999</v>
      </c>
      <c r="AG16" s="1">
        <v>1.3958600000000001</v>
      </c>
      <c r="AH16" s="1">
        <v>1.2481800000000001</v>
      </c>
      <c r="AI16" s="1">
        <v>1.2575499999999999</v>
      </c>
      <c r="AJ16" s="1">
        <v>1.21618</v>
      </c>
      <c r="AL16" s="4"/>
      <c r="AM16" s="4" t="s">
        <v>13</v>
      </c>
      <c r="AN16" s="4" t="s">
        <v>14</v>
      </c>
      <c r="AO16" s="4" t="s">
        <v>15</v>
      </c>
      <c r="AP16" s="4" t="s">
        <v>16</v>
      </c>
      <c r="AQ16" s="4" t="s">
        <v>17</v>
      </c>
      <c r="AR16" s="4" t="s">
        <v>7</v>
      </c>
      <c r="AU16" s="1" cm="1">
        <f t="array" ref="AU16">SUMPRODUCT(($D$8:$D$31=AR$6)*($F$5:$AJ$5=""))+IF(AR$6="P6",COUNTIF($F$5:$AJ$5,"P6")*ROWS($D$8:$D$31),0)</f>
        <v>392</v>
      </c>
      <c r="BB16" s="10"/>
      <c r="BC16" s="4" t="s">
        <v>27</v>
      </c>
      <c r="BD16" s="6">
        <f>AVERAGE(AM11,AM46,AM81,AM116,AM151,AM186,AM221,AM256,AM291,AM326,AM361,AM396)</f>
        <v>1.0848762709261341</v>
      </c>
      <c r="BE16" s="6">
        <f t="shared" si="3"/>
        <v>1.1157200977225674</v>
      </c>
      <c r="BF16" s="6">
        <f t="shared" si="3"/>
        <v>0.95458025132275115</v>
      </c>
      <c r="BG16" s="6">
        <f t="shared" si="3"/>
        <v>0.93292078932925826</v>
      </c>
      <c r="BH16" s="6">
        <f t="shared" si="3"/>
        <v>1.1336926275174106</v>
      </c>
      <c r="BI16" s="6">
        <f t="shared" si="3"/>
        <v>1.071328486046645</v>
      </c>
      <c r="BJ16" s="10"/>
    </row>
    <row r="17" spans="1:62" ht="14.5" x14ac:dyDescent="0.35">
      <c r="A17" s="1" t="s">
        <v>16</v>
      </c>
      <c r="B17" s="1" t="s">
        <v>16</v>
      </c>
      <c r="C17" s="1" t="s">
        <v>14</v>
      </c>
      <c r="D17" s="1" t="s">
        <v>13</v>
      </c>
      <c r="E17" s="1" t="s">
        <v>26</v>
      </c>
      <c r="F17" s="1">
        <v>1.28637</v>
      </c>
      <c r="G17" s="1">
        <v>1.19584</v>
      </c>
      <c r="H17" s="1">
        <v>1.16123</v>
      </c>
      <c r="I17" s="1">
        <v>1.1716599999999999</v>
      </c>
      <c r="J17" s="1">
        <v>1.1587400000000001</v>
      </c>
      <c r="K17" s="1">
        <v>1.29057</v>
      </c>
      <c r="L17" s="1">
        <v>1.28366</v>
      </c>
      <c r="M17" s="1">
        <v>1.1855500000000001</v>
      </c>
      <c r="N17" s="1">
        <v>1.19584</v>
      </c>
      <c r="O17" s="1">
        <v>1.16123</v>
      </c>
      <c r="P17" s="1">
        <v>1.1716599999999999</v>
      </c>
      <c r="Q17" s="1">
        <v>1.1587400000000001</v>
      </c>
      <c r="R17" s="1">
        <v>1.2545999999999999</v>
      </c>
      <c r="S17" s="1">
        <v>1.28366</v>
      </c>
      <c r="T17" s="1">
        <v>1.1855500000000001</v>
      </c>
      <c r="U17" s="1">
        <v>1.19584</v>
      </c>
      <c r="V17" s="1">
        <v>1.16123</v>
      </c>
      <c r="W17" s="1">
        <v>1.1716599999999999</v>
      </c>
      <c r="X17" s="1">
        <v>1.1587400000000001</v>
      </c>
      <c r="Y17" s="1">
        <v>1.2545999999999999</v>
      </c>
      <c r="Z17" s="1">
        <v>1.28366</v>
      </c>
      <c r="AA17" s="1">
        <v>1.1855500000000001</v>
      </c>
      <c r="AB17" s="1">
        <v>1.19584</v>
      </c>
      <c r="AC17" s="1">
        <v>1.16123</v>
      </c>
      <c r="AD17" s="1">
        <v>1.1716599999999999</v>
      </c>
      <c r="AE17" s="1">
        <v>1.1587400000000001</v>
      </c>
      <c r="AF17" s="1">
        <v>1.2545999999999999</v>
      </c>
      <c r="AG17" s="1">
        <v>1.28366</v>
      </c>
      <c r="AH17" s="1">
        <v>1.1855500000000001</v>
      </c>
      <c r="AI17" s="1">
        <v>1.19584</v>
      </c>
      <c r="AJ17" s="1">
        <v>1.16123</v>
      </c>
      <c r="AL17" s="4" t="s">
        <v>19</v>
      </c>
      <c r="AM17" s="6" cm="1">
        <f t="array" ref="AM17">IFERROR((SUMPRODUCT(($C$8:$C$31=AM$6)*($F$4:$AJ$4="")*$F$8:$AJ$31)+IF(AM$6="P3",SUMPRODUCT(($F$4:$AJ$4="P3")*$F$8:$AJ$31),0))/(SUMPRODUCT(($C$8:$C$31=AM$6)*($F$4:$AJ$4=""))+IF(AM$6="P3",COUNTIF($F$4:$AJ$4,"P3")*ROWS($C$8:$C$31),0)),"")</f>
        <v>1.1596659090909085</v>
      </c>
      <c r="AN17" s="6" cm="1">
        <f t="array" ref="AN17">IFERROR((SUMPRODUCT(($C$8:$C$31=AN$6)*($F$4:$AJ$4="")*$F$8:$AJ$31)+IF(AN$6="P3",SUMPRODUCT(($F$4:$AJ$4="P3")*$F$8:$AJ$31),0))/(SUMPRODUCT(($C$8:$C$31=AN$6)*($F$4:$AJ$4=""))+IF(AN$6="P3",COUNTIF($F$4:$AJ$4,"P3")*ROWS($C$8:$C$31),0)),"")</f>
        <v>1.2165014204545455</v>
      </c>
      <c r="AO17" s="6" cm="1">
        <f t="array" ref="AO17">IFERROR((SUMPRODUCT(($C$8:$C$31=AO$6)*($F$4:$AJ$4="")*$F$8:$AJ$31)+IF(AO$6="P3",SUMPRODUCT(($F$4:$AJ$4="P3")*$F$8:$AJ$31),0))/(SUMPRODUCT(($C$8:$C$31=AO$6)*($F$4:$AJ$4=""))+IF(AO$6="P3",COUNTIF($F$4:$AJ$4,"P3")*ROWS($C$8:$C$31),0)),"")</f>
        <v>1.345214897959184</v>
      </c>
      <c r="AP17" s="6" t="str" cm="1">
        <f t="array" ref="AP17">IFERROR((SUMPRODUCT(($C$8:$C$31=AP$6)*($F$4:$AJ$4="")*$F$8:$AJ$31)+IF(AP$6="P3",SUMPRODUCT(($F$4:$AJ$4="P3")*$F$8:$AJ$31),0))/(SUMPRODUCT(($C$8:$C$31=AP$6)*($F$4:$AJ$4=""))+IF(AP$6="P3",COUNTIF($F$4:$AJ$4,"P3")*ROWS($C$8:$C$31),0)),"")</f>
        <v/>
      </c>
      <c r="AQ17" s="6" t="str" cm="1">
        <f t="array" ref="AQ17">IFERROR((SUMPRODUCT(($C$8:$C$31=AQ$6)*($F$4:$AJ$4="")*$F$8:$AJ$31)+IF(AQ$6="P3",SUMPRODUCT(($F$4:$AJ$4="P3")*$F$8:$AJ$31),0))/(SUMPRODUCT(($C$8:$C$31=AQ$6)*($F$4:$AJ$4=""))+IF(AQ$6="P3",COUNTIF($F$4:$AJ$4,"P3")*ROWS($C$8:$C$31),0)),"")</f>
        <v/>
      </c>
      <c r="AR17" s="6" t="str" cm="1">
        <f t="array" ref="AR17">IFERROR((SUMPRODUCT(($C$8:$C$31=AR$6)*($F$4:$AJ$4="")*$F$8:$AJ$31)+IF(AR$6="P3",SUMPRODUCT(($F$4:$AJ$4="P3")*$F$8:$AJ$31),0))/(SUMPRODUCT(($C$8:$C$31=AR$6)*($F$4:$AJ$4=""))+IF(AR$6="P3",COUNTIF($F$4:$AJ$4,"P3")*ROWS($C$8:$C$31),0)),"")</f>
        <v/>
      </c>
      <c r="BB17" s="10"/>
      <c r="BC17" s="4" t="s">
        <v>29</v>
      </c>
      <c r="BD17" s="6">
        <f>AVERAGE(AM12,AM47,AM82,AM117,AM152,AM187,AM222,AM257,AM292,AM327,AM362,AM397)</f>
        <v>1.0848762709261341</v>
      </c>
      <c r="BE17" s="6">
        <f t="shared" si="3"/>
        <v>1.1157200977225674</v>
      </c>
      <c r="BF17" s="6">
        <f t="shared" si="3"/>
        <v>0.95458025132275115</v>
      </c>
      <c r="BG17" s="6">
        <f t="shared" si="3"/>
        <v>0.93292078932925826</v>
      </c>
      <c r="BH17" s="6">
        <f t="shared" si="3"/>
        <v>1.1336926275174106</v>
      </c>
      <c r="BI17" s="6">
        <f t="shared" si="3"/>
        <v>1.071328486046645</v>
      </c>
      <c r="BJ17" s="10"/>
    </row>
    <row r="18" spans="1:62" ht="14.5" x14ac:dyDescent="0.35">
      <c r="A18" s="1" t="s">
        <v>14</v>
      </c>
      <c r="B18" s="1" t="s">
        <v>15</v>
      </c>
      <c r="C18" s="1" t="s">
        <v>13</v>
      </c>
      <c r="D18" s="1" t="s">
        <v>13</v>
      </c>
      <c r="E18" s="1" t="s">
        <v>28</v>
      </c>
      <c r="F18" s="1">
        <v>1.15303</v>
      </c>
      <c r="G18" s="1">
        <v>1.1179699999999999</v>
      </c>
      <c r="H18" s="1">
        <v>1.0861799999999999</v>
      </c>
      <c r="I18" s="1">
        <v>1.1070500000000001</v>
      </c>
      <c r="J18" s="1">
        <v>1.09836</v>
      </c>
      <c r="K18" s="1">
        <v>1.1888000000000001</v>
      </c>
      <c r="L18" s="1">
        <v>1.17184</v>
      </c>
      <c r="M18" s="1">
        <v>1.1214599999999999</v>
      </c>
      <c r="N18" s="1">
        <v>1.1179699999999999</v>
      </c>
      <c r="O18" s="1">
        <v>1.0861799999999999</v>
      </c>
      <c r="P18" s="1">
        <v>1.1070500000000001</v>
      </c>
      <c r="Q18" s="1">
        <v>1.09836</v>
      </c>
      <c r="R18" s="1">
        <v>1.1526799999999999</v>
      </c>
      <c r="S18" s="1">
        <v>1.17184</v>
      </c>
      <c r="T18" s="1">
        <v>1.1214599999999999</v>
      </c>
      <c r="U18" s="1">
        <v>1.1179699999999999</v>
      </c>
      <c r="V18" s="1">
        <v>1.0861799999999999</v>
      </c>
      <c r="W18" s="1">
        <v>1.1070500000000001</v>
      </c>
      <c r="X18" s="1">
        <v>1.09836</v>
      </c>
      <c r="Y18" s="1">
        <v>1.1526799999999999</v>
      </c>
      <c r="Z18" s="1">
        <v>1.17184</v>
      </c>
      <c r="AA18" s="1">
        <v>1.1214599999999999</v>
      </c>
      <c r="AB18" s="1">
        <v>1.1179699999999999</v>
      </c>
      <c r="AC18" s="1">
        <v>1.0861799999999999</v>
      </c>
      <c r="AD18" s="1">
        <v>1.1070500000000001</v>
      </c>
      <c r="AE18" s="1">
        <v>1.09836</v>
      </c>
      <c r="AF18" s="1">
        <v>1.1526799999999999</v>
      </c>
      <c r="AG18" s="1">
        <v>1.17184</v>
      </c>
      <c r="AH18" s="1">
        <v>1.1214599999999999</v>
      </c>
      <c r="AI18" s="1">
        <v>1.1179699999999999</v>
      </c>
      <c r="AJ18" s="1">
        <v>1.0861799999999999</v>
      </c>
      <c r="AL18" s="4" t="s">
        <v>21</v>
      </c>
      <c r="AM18" s="6" t="str" cm="1">
        <f t="array" ref="AM18">IFERROR((SUMPRODUCT(($A$8:$A$31=AM$16)*($F$5:$AJ$5="")*$F$8:$AJ$31)+IF(AM$16="P6",SUMPRODUCT(($F$5:$AJ$5="P6")*$F$8:$AJ$31),0))/(SUMPRODUCT(($A$8:$A$31=AM$16)*($F$5:$AJ$5=""))+IF(AM$16="P6",COUNTIF($F$5:$AJ$5,"P6")*ROWS($A$8:$A$31),0)),"")</f>
        <v/>
      </c>
      <c r="AN18" s="6" cm="1">
        <f t="array" ref="AN18">IFERROR((SUMPRODUCT(($A$8:$A$31=AN$16)*($F$5:$AJ$5="")*$F$8:$AJ$31)+IF(AN$16="P6",SUMPRODUCT(($F$5:$AJ$5="P6")*$F$8:$AJ$31),0))/(SUMPRODUCT(($A$8:$A$31=AN$16)*($F$5:$AJ$5=""))+IF(AN$16="P6",COUNTIF($F$5:$AJ$5,"P6")*ROWS($A$8:$A$31),0)),"")</f>
        <v>1.153195757575757</v>
      </c>
      <c r="AO18" s="6" t="str" cm="1">
        <f t="array" ref="AO18">IFERROR((SUMPRODUCT(($A$8:$A$31=AO$16)*($F$5:$AJ$5="")*$F$8:$AJ$31)+IF(AO$16="P6",SUMPRODUCT(($F$5:$AJ$5="P6")*$F$8:$AJ$31),0))/(SUMPRODUCT(($A$8:$A$31=AO$16)*($F$5:$AJ$5=""))+IF(AO$16="P6",COUNTIF($F$5:$AJ$5,"P6")*ROWS($A$8:$A$31),0)),"")</f>
        <v/>
      </c>
      <c r="AP18" s="6" cm="1">
        <f t="array" ref="AP18">IFERROR((SUMPRODUCT(($A$8:$A$31=AP$16)*($F$5:$AJ$5="")*$F$8:$AJ$31)+IF(AP$16="P6",SUMPRODUCT(($F$5:$AJ$5="P6")*$F$8:$AJ$31),0))/(SUMPRODUCT(($A$8:$A$31=AP$16)*($F$5:$AJ$5=""))+IF(AP$16="P6",COUNTIF($F$5:$AJ$5,"P6")*ROWS($A$8:$A$31),0)),"")</f>
        <v>1.2329395454545458</v>
      </c>
      <c r="AQ18" s="6" t="str" cm="1">
        <f t="array" ref="AQ18">IFERROR((SUMPRODUCT(($A$8:$A$31=AQ$16)*($F$5:$AJ$5="")*$F$8:$AJ$31)+IF(AQ$16="P6",SUMPRODUCT(($F$5:$AJ$5="P6")*$F$8:$AJ$31),0))/(SUMPRODUCT(($A$8:$A$31=AQ$16)*($F$5:$AJ$5=""))+IF(AQ$16="P6",COUNTIF($F$5:$AJ$5,"P6")*ROWS($A$8:$A$31),0)),"")</f>
        <v/>
      </c>
      <c r="AR18" s="6" cm="1">
        <f t="array" ref="AR18">IFERROR((SUMPRODUCT(($A$8:$A$31=AR$16)*($F$5:$AJ$5="")*$F$8:$AJ$31)+IF(AR$16="P6",SUMPRODUCT(($F$5:$AJ$5="P6")*$F$8:$AJ$31),0))/(SUMPRODUCT(($A$8:$A$31=AR$16)*($F$5:$AJ$5=""))+IF(AR$16="P6",COUNTIF($F$5:$AJ$5,"P6")*ROWS($A$8:$A$31),0)),"")</f>
        <v>1.345214897959184</v>
      </c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 ht="14.5" x14ac:dyDescent="0.35">
      <c r="A19" s="1" t="s">
        <v>14</v>
      </c>
      <c r="B19" s="1" t="s">
        <v>15</v>
      </c>
      <c r="C19" s="1" t="s">
        <v>13</v>
      </c>
      <c r="D19" s="1" t="s">
        <v>13</v>
      </c>
      <c r="E19" s="1" t="s">
        <v>30</v>
      </c>
      <c r="F19" s="1">
        <v>1.1049599999999999</v>
      </c>
      <c r="G19" s="1">
        <v>1.1074299999999999</v>
      </c>
      <c r="H19" s="1">
        <v>1.0795999999999999</v>
      </c>
      <c r="I19" s="1">
        <v>1.0999099999999999</v>
      </c>
      <c r="J19" s="1">
        <v>1.10067</v>
      </c>
      <c r="K19" s="1">
        <v>1.1505000000000001</v>
      </c>
      <c r="L19" s="1">
        <v>1.13639</v>
      </c>
      <c r="M19" s="1">
        <v>1.0936300000000001</v>
      </c>
      <c r="N19" s="1">
        <v>1.1074299999999999</v>
      </c>
      <c r="O19" s="1">
        <v>1.0795999999999999</v>
      </c>
      <c r="P19" s="1">
        <v>1.0999099999999999</v>
      </c>
      <c r="Q19" s="1">
        <v>1.10067</v>
      </c>
      <c r="R19" s="1">
        <v>1.12523</v>
      </c>
      <c r="S19" s="1">
        <v>1.13639</v>
      </c>
      <c r="T19" s="1">
        <v>1.0936300000000001</v>
      </c>
      <c r="U19" s="1">
        <v>1.1074299999999999</v>
      </c>
      <c r="V19" s="1">
        <v>1.0795999999999999</v>
      </c>
      <c r="W19" s="1">
        <v>1.0999099999999999</v>
      </c>
      <c r="X19" s="1">
        <v>1.10067</v>
      </c>
      <c r="Y19" s="1">
        <v>1.12523</v>
      </c>
      <c r="Z19" s="1">
        <v>1.13639</v>
      </c>
      <c r="AA19" s="1">
        <v>1.0936300000000001</v>
      </c>
      <c r="AB19" s="1">
        <v>1.1074299999999999</v>
      </c>
      <c r="AC19" s="1">
        <v>1.0795999999999999</v>
      </c>
      <c r="AD19" s="1">
        <v>1.0999099999999999</v>
      </c>
      <c r="AE19" s="1">
        <v>1.10067</v>
      </c>
      <c r="AF19" s="1">
        <v>1.12523</v>
      </c>
      <c r="AG19" s="1">
        <v>1.13639</v>
      </c>
      <c r="AH19" s="1">
        <v>1.0936300000000001</v>
      </c>
      <c r="AI19" s="1">
        <v>1.1074299999999999</v>
      </c>
      <c r="AJ19" s="1">
        <v>1.0795999999999999</v>
      </c>
      <c r="AL19" s="4" t="s">
        <v>23</v>
      </c>
      <c r="AM19" s="6" t="str" cm="1">
        <f t="array" ref="AM19">IFERROR((SUMPRODUCT(($A$8:$A$31=AM$16)*($F$5:$AJ$5="")*$F$8:$AJ$31)+IF(AM$16="P6",SUMPRODUCT(($F$5:$AJ$5="P6")*$F$8:$AJ$31),0))/(SUMPRODUCT(($A$8:$A$31=AM$16)*($F$5:$AJ$5=""))+IF(AM$16="P6",COUNTIF($F$5:$AJ$5,"P6")*ROWS($A$8:$A$31),0)),"")</f>
        <v/>
      </c>
      <c r="AN19" s="6" cm="1">
        <f t="array" ref="AN19">IFERROR((SUMPRODUCT(($A$8:$A$31=AN$16)*($F$5:$AJ$5="")*$F$8:$AJ$31)+IF(AN$16="P6",SUMPRODUCT(($F$5:$AJ$5="P6")*$F$8:$AJ$31),0))/(SUMPRODUCT(($A$8:$A$31=AN$16)*($F$5:$AJ$5=""))+IF(AN$16="P6",COUNTIF($F$5:$AJ$5,"P6")*ROWS($A$8:$A$31),0)),"")</f>
        <v>1.153195757575757</v>
      </c>
      <c r="AO19" s="6" t="str" cm="1">
        <f t="array" ref="AO19">IFERROR((SUMPRODUCT(($A$8:$A$31=AO$16)*($F$5:$AJ$5="")*$F$8:$AJ$31)+IF(AO$16="P6",SUMPRODUCT(($F$5:$AJ$5="P6")*$F$8:$AJ$31),0))/(SUMPRODUCT(($A$8:$A$31=AO$16)*($F$5:$AJ$5=""))+IF(AO$16="P6",COUNTIF($F$5:$AJ$5,"P6")*ROWS($A$8:$A$31),0)),"")</f>
        <v/>
      </c>
      <c r="AP19" s="6" cm="1">
        <f t="array" ref="AP19">IFERROR((SUMPRODUCT(($A$8:$A$31=AP$16)*($F$5:$AJ$5="")*$F$8:$AJ$31)+IF(AP$16="P6",SUMPRODUCT(($F$5:$AJ$5="P6")*$F$8:$AJ$31),0))/(SUMPRODUCT(($A$8:$A$31=AP$16)*($F$5:$AJ$5=""))+IF(AP$16="P6",COUNTIF($F$5:$AJ$5,"P6")*ROWS($A$8:$A$31),0)),"")</f>
        <v>1.2329395454545458</v>
      </c>
      <c r="AQ19" s="6" t="str" cm="1">
        <f t="array" ref="AQ19">IFERROR((SUMPRODUCT(($A$8:$A$31=AQ$16)*($F$5:$AJ$5="")*$F$8:$AJ$31)+IF(AQ$16="P6",SUMPRODUCT(($F$5:$AJ$5="P6")*$F$8:$AJ$31),0))/(SUMPRODUCT(($A$8:$A$31=AQ$16)*($F$5:$AJ$5=""))+IF(AQ$16="P6",COUNTIF($F$5:$AJ$5,"P6")*ROWS($A$8:$A$31),0)),"")</f>
        <v/>
      </c>
      <c r="AR19" s="6" cm="1">
        <f t="array" ref="AR19">IFERROR((SUMPRODUCT(($A$8:$A$31=AR$16)*($F$5:$AJ$5="")*$F$8:$AJ$31)+IF(AR$16="P6",SUMPRODUCT(($F$5:$AJ$5="P6")*$F$8:$AJ$31),0))/(SUMPRODUCT(($A$8:$A$31=AR$16)*($F$5:$AJ$5=""))+IF(AR$16="P6",COUNTIF($F$5:$AJ$5,"P6")*ROWS($A$8:$A$31),0)),"")</f>
        <v>1.345214897959184</v>
      </c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 ht="14.5" x14ac:dyDescent="0.35">
      <c r="A20" s="1" t="s">
        <v>14</v>
      </c>
      <c r="B20" s="1" t="s">
        <v>15</v>
      </c>
      <c r="C20" s="1" t="s">
        <v>13</v>
      </c>
      <c r="D20" s="1" t="s">
        <v>13</v>
      </c>
      <c r="E20" s="1" t="s">
        <v>31</v>
      </c>
      <c r="F20" s="1">
        <v>1.09009</v>
      </c>
      <c r="G20" s="1">
        <v>1.0914200000000001</v>
      </c>
      <c r="H20" s="1">
        <v>1.0592299999999999</v>
      </c>
      <c r="I20" s="1">
        <v>1.08891</v>
      </c>
      <c r="J20" s="1">
        <v>1.0765</v>
      </c>
      <c r="K20" s="1">
        <v>1.13385</v>
      </c>
      <c r="L20" s="1">
        <v>1.1263700000000001</v>
      </c>
      <c r="M20" s="1">
        <v>1.08457</v>
      </c>
      <c r="N20" s="1">
        <v>1.0914200000000001</v>
      </c>
      <c r="O20" s="1">
        <v>1.0592299999999999</v>
      </c>
      <c r="P20" s="1">
        <v>1.08891</v>
      </c>
      <c r="Q20" s="1">
        <v>1.0765</v>
      </c>
      <c r="R20" s="1">
        <v>1.12053</v>
      </c>
      <c r="S20" s="1">
        <v>1.1263700000000001</v>
      </c>
      <c r="T20" s="1">
        <v>1.08457</v>
      </c>
      <c r="U20" s="1">
        <v>1.0914200000000001</v>
      </c>
      <c r="V20" s="1">
        <v>1.0592299999999999</v>
      </c>
      <c r="W20" s="1">
        <v>1.08891</v>
      </c>
      <c r="X20" s="1">
        <v>1.0765</v>
      </c>
      <c r="Y20" s="1">
        <v>1.12053</v>
      </c>
      <c r="Z20" s="1">
        <v>1.1263700000000001</v>
      </c>
      <c r="AA20" s="1">
        <v>1.08457</v>
      </c>
      <c r="AB20" s="1">
        <v>1.0914200000000001</v>
      </c>
      <c r="AC20" s="1">
        <v>1.0592299999999999</v>
      </c>
      <c r="AD20" s="1">
        <v>1.08891</v>
      </c>
      <c r="AE20" s="1">
        <v>1.0765</v>
      </c>
      <c r="AF20" s="1">
        <v>1.12053</v>
      </c>
      <c r="AG20" s="1">
        <v>1.1263700000000001</v>
      </c>
      <c r="AH20" s="1">
        <v>1.08457</v>
      </c>
      <c r="AI20" s="1">
        <v>1.0914200000000001</v>
      </c>
      <c r="AJ20" s="1">
        <v>1.0592299999999999</v>
      </c>
      <c r="AL20" s="4" t="s">
        <v>25</v>
      </c>
      <c r="AM20" s="6" t="str" cm="1">
        <f t="array" ref="AM20">IFERROR((SUMPRODUCT(($A$8:$A$31=AM$16)*($F$5:$AJ$5="")*$F$8:$AJ$31)+IF(AM$16="P6",SUMPRODUCT(($F$5:$AJ$5="P6")*$F$8:$AJ$31),0))/(SUMPRODUCT(($A$8:$A$31=AM$16)*($F$5:$AJ$5=""))+IF(AM$16="P6",COUNTIF($F$5:$AJ$5,"P6")*ROWS($A$8:$A$31),0)),"")</f>
        <v/>
      </c>
      <c r="AN20" s="6" cm="1">
        <f t="array" ref="AN20">IFERROR((SUMPRODUCT(($A$8:$A$31=AN$16)*($F$5:$AJ$5="")*$F$8:$AJ$31)+IF(AN$16="P6",SUMPRODUCT(($F$5:$AJ$5="P6")*$F$8:$AJ$31),0))/(SUMPRODUCT(($A$8:$A$31=AN$16)*($F$5:$AJ$5=""))+IF(AN$16="P6",COUNTIF($F$5:$AJ$5,"P6")*ROWS($A$8:$A$31),0)),"")</f>
        <v>1.153195757575757</v>
      </c>
      <c r="AO20" s="6" t="str" cm="1">
        <f t="array" ref="AO20">IFERROR((SUMPRODUCT(($A$8:$A$31=AO$16)*($F$5:$AJ$5="")*$F$8:$AJ$31)+IF(AO$16="P6",SUMPRODUCT(($F$5:$AJ$5="P6")*$F$8:$AJ$31),0))/(SUMPRODUCT(($A$8:$A$31=AO$16)*($F$5:$AJ$5=""))+IF(AO$16="P6",COUNTIF($F$5:$AJ$5,"P6")*ROWS($A$8:$A$31),0)),"")</f>
        <v/>
      </c>
      <c r="AP20" s="6" cm="1">
        <f t="array" ref="AP20">IFERROR((SUMPRODUCT(($A$8:$A$31=AP$16)*($F$5:$AJ$5="")*$F$8:$AJ$31)+IF(AP$16="P6",SUMPRODUCT(($F$5:$AJ$5="P6")*$F$8:$AJ$31),0))/(SUMPRODUCT(($A$8:$A$31=AP$16)*($F$5:$AJ$5=""))+IF(AP$16="P6",COUNTIF($F$5:$AJ$5,"P6")*ROWS($A$8:$A$31),0)),"")</f>
        <v>1.2329395454545458</v>
      </c>
      <c r="AQ20" s="6" t="str" cm="1">
        <f t="array" ref="AQ20">IFERROR((SUMPRODUCT(($A$8:$A$31=AQ$16)*($F$5:$AJ$5="")*$F$8:$AJ$31)+IF(AQ$16="P6",SUMPRODUCT(($F$5:$AJ$5="P6")*$F$8:$AJ$31),0))/(SUMPRODUCT(($A$8:$A$31=AQ$16)*($F$5:$AJ$5=""))+IF(AQ$16="P6",COUNTIF($F$5:$AJ$5,"P6")*ROWS($A$8:$A$31),0)),"")</f>
        <v/>
      </c>
      <c r="AR20" s="6" cm="1">
        <f t="array" ref="AR20">IFERROR((SUMPRODUCT(($A$8:$A$31=AR$16)*($F$5:$AJ$5="")*$F$8:$AJ$31)+IF(AR$16="P6",SUMPRODUCT(($F$5:$AJ$5="P6")*$F$8:$AJ$31),0))/(SUMPRODUCT(($A$8:$A$31=AR$16)*($F$5:$AJ$5=""))+IF(AR$16="P6",COUNTIF($F$5:$AJ$5,"P6")*ROWS($A$8:$A$31),0)),"")</f>
        <v>1.345214897959184</v>
      </c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 ht="14.5" x14ac:dyDescent="0.35">
      <c r="A21" s="1" t="s">
        <v>14</v>
      </c>
      <c r="B21" s="1" t="s">
        <v>15</v>
      </c>
      <c r="C21" s="1" t="s">
        <v>13</v>
      </c>
      <c r="D21" s="1" t="s">
        <v>13</v>
      </c>
      <c r="E21" s="1" t="s">
        <v>32</v>
      </c>
      <c r="F21" s="1">
        <v>1.0803</v>
      </c>
      <c r="G21" s="1">
        <v>1.07907</v>
      </c>
      <c r="H21" s="1">
        <v>1.04582</v>
      </c>
      <c r="I21" s="1">
        <v>1.07969</v>
      </c>
      <c r="J21" s="1">
        <v>1.06613</v>
      </c>
      <c r="K21" s="1">
        <v>1.1169500000000001</v>
      </c>
      <c r="L21" s="1">
        <v>1.11432</v>
      </c>
      <c r="M21" s="1">
        <v>1.0883799999999999</v>
      </c>
      <c r="N21" s="1">
        <v>1.07907</v>
      </c>
      <c r="O21" s="1">
        <v>1.04582</v>
      </c>
      <c r="P21" s="1">
        <v>1.07969</v>
      </c>
      <c r="Q21" s="1">
        <v>1.06613</v>
      </c>
      <c r="R21" s="1">
        <v>1.1013599999999999</v>
      </c>
      <c r="S21" s="1">
        <v>1.11432</v>
      </c>
      <c r="T21" s="1">
        <v>1.0883799999999999</v>
      </c>
      <c r="U21" s="1">
        <v>1.07907</v>
      </c>
      <c r="V21" s="1">
        <v>1.04582</v>
      </c>
      <c r="W21" s="1">
        <v>1.07969</v>
      </c>
      <c r="X21" s="1">
        <v>1.06613</v>
      </c>
      <c r="Y21" s="1">
        <v>1.1013599999999999</v>
      </c>
      <c r="Z21" s="1">
        <v>1.11432</v>
      </c>
      <c r="AA21" s="1">
        <v>1.0883799999999999</v>
      </c>
      <c r="AB21" s="1">
        <v>1.07907</v>
      </c>
      <c r="AC21" s="1">
        <v>1.04582</v>
      </c>
      <c r="AD21" s="1">
        <v>1.07969</v>
      </c>
      <c r="AE21" s="1">
        <v>1.06613</v>
      </c>
      <c r="AF21" s="1">
        <v>1.1013599999999999</v>
      </c>
      <c r="AG21" s="1">
        <v>1.11432</v>
      </c>
      <c r="AH21" s="1">
        <v>1.0883799999999999</v>
      </c>
      <c r="AI21" s="1">
        <v>1.07907</v>
      </c>
      <c r="AJ21" s="1">
        <v>1.04582</v>
      </c>
      <c r="AL21" s="4" t="s">
        <v>27</v>
      </c>
      <c r="AM21" s="6" t="str" cm="1">
        <f t="array" ref="AM21">IFERROR((SUMPRODUCT(($A$8:$A$31=AM$16)*($F$5:$AJ$5="")*$F$8:$AJ$31)+IF(AM$16="P6",SUMPRODUCT(($F$5:$AJ$5="P6")*$F$8:$AJ$31),0))/(SUMPRODUCT(($A$8:$A$31=AM$16)*($F$5:$AJ$5=""))+IF(AM$16="P6",COUNTIF($F$5:$AJ$5,"P6")*ROWS($A$8:$A$31),0)),"")</f>
        <v/>
      </c>
      <c r="AN21" s="6" cm="1">
        <f t="array" ref="AN21">IFERROR((SUMPRODUCT(($A$8:$A$31=AN$16)*($F$5:$AJ$5="")*$F$8:$AJ$31)+IF(AN$16="P6",SUMPRODUCT(($F$5:$AJ$5="P6")*$F$8:$AJ$31),0))/(SUMPRODUCT(($A$8:$A$31=AN$16)*($F$5:$AJ$5=""))+IF(AN$16="P6",COUNTIF($F$5:$AJ$5,"P6")*ROWS($A$8:$A$31),0)),"")</f>
        <v>1.153195757575757</v>
      </c>
      <c r="AO21" s="6" t="str" cm="1">
        <f t="array" ref="AO21">IFERROR((SUMPRODUCT(($A$8:$A$31=AO$16)*($F$5:$AJ$5="")*$F$8:$AJ$31)+IF(AO$16="P6",SUMPRODUCT(($F$5:$AJ$5="P6")*$F$8:$AJ$31),0))/(SUMPRODUCT(($A$8:$A$31=AO$16)*($F$5:$AJ$5=""))+IF(AO$16="P6",COUNTIF($F$5:$AJ$5,"P6")*ROWS($A$8:$A$31),0)),"")</f>
        <v/>
      </c>
      <c r="AP21" s="6" cm="1">
        <f t="array" ref="AP21">IFERROR((SUMPRODUCT(($A$8:$A$31=AP$16)*($F$5:$AJ$5="")*$F$8:$AJ$31)+IF(AP$16="P6",SUMPRODUCT(($F$5:$AJ$5="P6")*$F$8:$AJ$31),0))/(SUMPRODUCT(($A$8:$A$31=AP$16)*($F$5:$AJ$5=""))+IF(AP$16="P6",COUNTIF($F$5:$AJ$5,"P6")*ROWS($A$8:$A$31),0)),"")</f>
        <v>1.2329395454545458</v>
      </c>
      <c r="AQ21" s="6" t="str" cm="1">
        <f t="array" ref="AQ21">IFERROR((SUMPRODUCT(($A$8:$A$31=AQ$16)*($F$5:$AJ$5="")*$F$8:$AJ$31)+IF(AQ$16="P6",SUMPRODUCT(($F$5:$AJ$5="P6")*$F$8:$AJ$31),0))/(SUMPRODUCT(($A$8:$A$31=AQ$16)*($F$5:$AJ$5=""))+IF(AQ$16="P6",COUNTIF($F$5:$AJ$5,"P6")*ROWS($A$8:$A$31),0)),"")</f>
        <v/>
      </c>
      <c r="AR21" s="6" cm="1">
        <f t="array" ref="AR21">IFERROR((SUMPRODUCT(($A$8:$A$31=AR$16)*($F$5:$AJ$5="")*$F$8:$AJ$31)+IF(AR$16="P6",SUMPRODUCT(($F$5:$AJ$5="P6")*$F$8:$AJ$31),0))/(SUMPRODUCT(($A$8:$A$31=AR$16)*($F$5:$AJ$5=""))+IF(AR$16="P6",COUNTIF($F$5:$AJ$5,"P6")*ROWS($A$8:$A$31),0)),"")</f>
        <v>1.345214897959184</v>
      </c>
    </row>
    <row r="22" spans="1:62" ht="14.5" x14ac:dyDescent="0.35">
      <c r="A22" s="1" t="s">
        <v>14</v>
      </c>
      <c r="B22" s="1" t="s">
        <v>15</v>
      </c>
      <c r="C22" s="1" t="s">
        <v>14</v>
      </c>
      <c r="D22" s="1" t="s">
        <v>14</v>
      </c>
      <c r="E22" s="1" t="s">
        <v>33</v>
      </c>
      <c r="F22" s="1">
        <v>1.09504</v>
      </c>
      <c r="G22" s="1">
        <v>1.1093200000000001</v>
      </c>
      <c r="H22" s="1">
        <v>1.07396</v>
      </c>
      <c r="I22" s="1">
        <v>1.1124799999999999</v>
      </c>
      <c r="J22" s="1">
        <v>1.0882799999999999</v>
      </c>
      <c r="K22" s="1">
        <v>1.1361699999999999</v>
      </c>
      <c r="L22" s="1">
        <v>1.1206400000000001</v>
      </c>
      <c r="M22" s="1">
        <v>1.1280300000000001</v>
      </c>
      <c r="N22" s="1">
        <v>1.1093200000000001</v>
      </c>
      <c r="O22" s="1">
        <v>1.07396</v>
      </c>
      <c r="P22" s="1">
        <v>1.1124799999999999</v>
      </c>
      <c r="Q22" s="1">
        <v>1.0882799999999999</v>
      </c>
      <c r="R22" s="1">
        <v>1.11039</v>
      </c>
      <c r="S22" s="1">
        <v>1.1206400000000001</v>
      </c>
      <c r="T22" s="1">
        <v>1.1280300000000001</v>
      </c>
      <c r="U22" s="1">
        <v>1.1093200000000001</v>
      </c>
      <c r="V22" s="1">
        <v>1.07396</v>
      </c>
      <c r="W22" s="1">
        <v>1.1124799999999999</v>
      </c>
      <c r="X22" s="1">
        <v>1.0882799999999999</v>
      </c>
      <c r="Y22" s="1">
        <v>1.11039</v>
      </c>
      <c r="Z22" s="1">
        <v>1.1206400000000001</v>
      </c>
      <c r="AA22" s="1">
        <v>1.1280300000000001</v>
      </c>
      <c r="AB22" s="1">
        <v>1.1093200000000001</v>
      </c>
      <c r="AC22" s="1">
        <v>1.07396</v>
      </c>
      <c r="AD22" s="1">
        <v>1.1124799999999999</v>
      </c>
      <c r="AE22" s="1">
        <v>1.0882799999999999</v>
      </c>
      <c r="AF22" s="1">
        <v>1.11039</v>
      </c>
      <c r="AG22" s="1">
        <v>1.1206400000000001</v>
      </c>
      <c r="AH22" s="1">
        <v>1.1280300000000001</v>
      </c>
      <c r="AI22" s="1">
        <v>1.1093200000000001</v>
      </c>
      <c r="AJ22" s="1">
        <v>1.07396</v>
      </c>
      <c r="AL22" s="4" t="s">
        <v>29</v>
      </c>
      <c r="AM22" s="6" t="str" cm="1">
        <f t="array" ref="AM22">IFERROR((SUMPRODUCT(($A$8:$A$31=AM$16)*($F$5:$AJ$5="")*$F$8:$AJ$31)+IF(AM$16="P6",SUMPRODUCT(($F$5:$AJ$5="P6")*$F$8:$AJ$31),0))/(SUMPRODUCT(($A$8:$A$31=AM$16)*($F$5:$AJ$5=""))+IF(AM$16="P6",COUNTIF($F$5:$AJ$5,"P6")*ROWS($A$8:$A$31),0)),"")</f>
        <v/>
      </c>
      <c r="AN22" s="6" cm="1">
        <f t="array" ref="AN22">IFERROR((SUMPRODUCT(($A$8:$A$31=AN$16)*($F$5:$AJ$5="")*$F$8:$AJ$31)+IF(AN$16="P6",SUMPRODUCT(($F$5:$AJ$5="P6")*$F$8:$AJ$31),0))/(SUMPRODUCT(($A$8:$A$31=AN$16)*($F$5:$AJ$5=""))+IF(AN$16="P6",COUNTIF($F$5:$AJ$5,"P6")*ROWS($A$8:$A$31),0)),"")</f>
        <v>1.153195757575757</v>
      </c>
      <c r="AO22" s="6" t="str" cm="1">
        <f t="array" ref="AO22">IFERROR((SUMPRODUCT(($A$8:$A$31=AO$16)*($F$5:$AJ$5="")*$F$8:$AJ$31)+IF(AO$16="P6",SUMPRODUCT(($F$5:$AJ$5="P6")*$F$8:$AJ$31),0))/(SUMPRODUCT(($A$8:$A$31=AO$16)*($F$5:$AJ$5=""))+IF(AO$16="P6",COUNTIF($F$5:$AJ$5,"P6")*ROWS($A$8:$A$31),0)),"")</f>
        <v/>
      </c>
      <c r="AP22" s="6" cm="1">
        <f t="array" ref="AP22">IFERROR((SUMPRODUCT(($A$8:$A$31=AP$16)*($F$5:$AJ$5="")*$F$8:$AJ$31)+IF(AP$16="P6",SUMPRODUCT(($F$5:$AJ$5="P6")*$F$8:$AJ$31),0))/(SUMPRODUCT(($A$8:$A$31=AP$16)*($F$5:$AJ$5=""))+IF(AP$16="P6",COUNTIF($F$5:$AJ$5,"P6")*ROWS($A$8:$A$31),0)),"")</f>
        <v>1.2329395454545458</v>
      </c>
      <c r="AQ22" s="6" t="str" cm="1">
        <f t="array" ref="AQ22">IFERROR((SUMPRODUCT(($A$8:$A$31=AQ$16)*($F$5:$AJ$5="")*$F$8:$AJ$31)+IF(AQ$16="P6",SUMPRODUCT(($F$5:$AJ$5="P6")*$F$8:$AJ$31),0))/(SUMPRODUCT(($A$8:$A$31=AQ$16)*($F$5:$AJ$5=""))+IF(AQ$16="P6",COUNTIF($F$5:$AJ$5,"P6")*ROWS($A$8:$A$31),0)),"")</f>
        <v/>
      </c>
      <c r="AR22" s="6" cm="1">
        <f t="array" ref="AR22">IFERROR((SUMPRODUCT(($A$8:$A$31=AR$16)*($F$5:$AJ$5="")*$F$8:$AJ$31)+IF(AR$16="P6",SUMPRODUCT(($F$5:$AJ$5="P6")*$F$8:$AJ$31),0))/(SUMPRODUCT(($A$8:$A$31=AR$16)*($F$5:$AJ$5=""))+IF(AR$16="P6",COUNTIF($F$5:$AJ$5,"P6")*ROWS($A$8:$A$31),0)),"")</f>
        <v>1.345214897959184</v>
      </c>
    </row>
    <row r="23" spans="1:62" ht="14.5" x14ac:dyDescent="0.35">
      <c r="A23" s="1" t="s">
        <v>16</v>
      </c>
      <c r="B23" s="1" t="s">
        <v>16</v>
      </c>
      <c r="C23" s="1" t="s">
        <v>14</v>
      </c>
      <c r="D23" s="1" t="s">
        <v>14</v>
      </c>
      <c r="E23" s="1" t="s">
        <v>34</v>
      </c>
      <c r="F23" s="1">
        <v>1.1633899999999999</v>
      </c>
      <c r="G23" s="1">
        <v>1.1510499999999999</v>
      </c>
      <c r="H23" s="1">
        <v>1.11673</v>
      </c>
      <c r="I23" s="1">
        <v>1.1673500000000001</v>
      </c>
      <c r="J23" s="1">
        <v>1.1293500000000001</v>
      </c>
      <c r="K23" s="1">
        <v>1.19946</v>
      </c>
      <c r="L23" s="1">
        <v>1.1866699999999999</v>
      </c>
      <c r="M23" s="1">
        <v>1.1688000000000001</v>
      </c>
      <c r="N23" s="1">
        <v>1.1510499999999999</v>
      </c>
      <c r="O23" s="1">
        <v>1.11673</v>
      </c>
      <c r="P23" s="1">
        <v>1.1673500000000001</v>
      </c>
      <c r="Q23" s="1">
        <v>1.1293500000000001</v>
      </c>
      <c r="R23" s="1">
        <v>1.1693899999999999</v>
      </c>
      <c r="S23" s="1">
        <v>1.1866699999999999</v>
      </c>
      <c r="T23" s="1">
        <v>1.1688000000000001</v>
      </c>
      <c r="U23" s="1">
        <v>1.1510499999999999</v>
      </c>
      <c r="V23" s="1">
        <v>1.11673</v>
      </c>
      <c r="W23" s="1">
        <v>1.1673500000000001</v>
      </c>
      <c r="X23" s="1">
        <v>1.1293500000000001</v>
      </c>
      <c r="Y23" s="1">
        <v>1.1693899999999999</v>
      </c>
      <c r="Z23" s="1">
        <v>1.1866699999999999</v>
      </c>
      <c r="AA23" s="1">
        <v>1.1688000000000001</v>
      </c>
      <c r="AB23" s="1">
        <v>1.1510499999999999</v>
      </c>
      <c r="AC23" s="1">
        <v>1.11673</v>
      </c>
      <c r="AD23" s="1">
        <v>1.1673500000000001</v>
      </c>
      <c r="AE23" s="1">
        <v>1.1293500000000001</v>
      </c>
      <c r="AF23" s="1">
        <v>1.1693899999999999</v>
      </c>
      <c r="AG23" s="1">
        <v>1.1866699999999999</v>
      </c>
      <c r="AH23" s="1">
        <v>1.1688000000000001</v>
      </c>
      <c r="AI23" s="1">
        <v>1.1510499999999999</v>
      </c>
      <c r="AJ23" s="1">
        <v>1.11673</v>
      </c>
      <c r="AL23" s="10"/>
      <c r="AM23" s="10"/>
      <c r="AN23" s="10"/>
      <c r="AO23" s="10"/>
      <c r="AP23" s="10"/>
      <c r="AQ23" s="10"/>
      <c r="AR23" s="10"/>
      <c r="BB23" s="11"/>
      <c r="BC23" s="11"/>
      <c r="BD23" s="11"/>
      <c r="BE23" s="11"/>
      <c r="BF23" s="11"/>
      <c r="BG23" s="11"/>
      <c r="BH23" s="11"/>
      <c r="BI23" s="11"/>
      <c r="BJ23" s="11"/>
    </row>
    <row r="24" spans="1:62" ht="14.5" x14ac:dyDescent="0.35">
      <c r="A24" s="1" t="s">
        <v>16</v>
      </c>
      <c r="B24" s="1" t="s">
        <v>16</v>
      </c>
      <c r="C24" s="1" t="s">
        <v>14</v>
      </c>
      <c r="D24" s="1" t="s">
        <v>14</v>
      </c>
      <c r="E24" s="1" t="s">
        <v>35</v>
      </c>
      <c r="F24" s="1">
        <v>1.2311799999999999</v>
      </c>
      <c r="G24" s="1">
        <v>1.19354</v>
      </c>
      <c r="H24" s="1">
        <v>1.1479299999999999</v>
      </c>
      <c r="I24" s="1">
        <v>1.2234100000000001</v>
      </c>
      <c r="J24" s="1">
        <v>1.16167</v>
      </c>
      <c r="K24" s="1">
        <v>1.2426999999999999</v>
      </c>
      <c r="L24" s="1">
        <v>1.24122</v>
      </c>
      <c r="M24" s="1">
        <v>1.1994199999999999</v>
      </c>
      <c r="N24" s="1">
        <v>1.19354</v>
      </c>
      <c r="O24" s="1">
        <v>1.1479299999999999</v>
      </c>
      <c r="P24" s="1">
        <v>1.2234100000000001</v>
      </c>
      <c r="Q24" s="1">
        <v>1.16167</v>
      </c>
      <c r="R24" s="1">
        <v>1.24532</v>
      </c>
      <c r="S24" s="1">
        <v>1.24122</v>
      </c>
      <c r="T24" s="1">
        <v>1.1994199999999999</v>
      </c>
      <c r="U24" s="1">
        <v>1.19354</v>
      </c>
      <c r="V24" s="1">
        <v>1.1479299999999999</v>
      </c>
      <c r="W24" s="1">
        <v>1.2234100000000001</v>
      </c>
      <c r="X24" s="1">
        <v>1.16167</v>
      </c>
      <c r="Y24" s="1">
        <v>1.24532</v>
      </c>
      <c r="Z24" s="1">
        <v>1.24122</v>
      </c>
      <c r="AA24" s="1">
        <v>1.1994199999999999</v>
      </c>
      <c r="AB24" s="1">
        <v>1.19354</v>
      </c>
      <c r="AC24" s="1">
        <v>1.1479299999999999</v>
      </c>
      <c r="AD24" s="1">
        <v>1.2234100000000001</v>
      </c>
      <c r="AE24" s="1">
        <v>1.16167</v>
      </c>
      <c r="AF24" s="1">
        <v>1.24532</v>
      </c>
      <c r="AG24" s="1">
        <v>1.24122</v>
      </c>
      <c r="AH24" s="1">
        <v>1.1994199999999999</v>
      </c>
      <c r="AI24" s="1">
        <v>1.19354</v>
      </c>
      <c r="AJ24" s="1">
        <v>1.1479299999999999</v>
      </c>
      <c r="AL24" s="10"/>
      <c r="AM24" s="10"/>
      <c r="AN24" s="10"/>
      <c r="AO24" s="10"/>
      <c r="AP24" s="10"/>
      <c r="AQ24" s="10"/>
      <c r="AR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14.5" x14ac:dyDescent="0.35">
      <c r="A25" s="1" t="s">
        <v>16</v>
      </c>
      <c r="B25" s="1" t="s">
        <v>16</v>
      </c>
      <c r="C25" s="1" t="s">
        <v>14</v>
      </c>
      <c r="D25" s="1" t="s">
        <v>14</v>
      </c>
      <c r="E25" s="1" t="s">
        <v>36</v>
      </c>
      <c r="F25" s="1">
        <v>1.28488</v>
      </c>
      <c r="G25" s="1">
        <v>1.2386200000000001</v>
      </c>
      <c r="H25" s="1">
        <v>1.17716</v>
      </c>
      <c r="I25" s="1">
        <v>1.26122</v>
      </c>
      <c r="J25" s="1">
        <v>1.1971400000000001</v>
      </c>
      <c r="K25" s="1">
        <v>1.28935</v>
      </c>
      <c r="L25" s="1">
        <v>1.27515</v>
      </c>
      <c r="M25" s="1">
        <v>1.2131400000000001</v>
      </c>
      <c r="N25" s="1">
        <v>1.2386200000000001</v>
      </c>
      <c r="O25" s="1">
        <v>1.17716</v>
      </c>
      <c r="P25" s="1">
        <v>1.26122</v>
      </c>
      <c r="Q25" s="1">
        <v>1.1971400000000001</v>
      </c>
      <c r="R25" s="1">
        <v>1.3110599999999999</v>
      </c>
      <c r="S25" s="1">
        <v>1.27515</v>
      </c>
      <c r="T25" s="1">
        <v>1.2131400000000001</v>
      </c>
      <c r="U25" s="1">
        <v>1.2386200000000001</v>
      </c>
      <c r="V25" s="1">
        <v>1.17716</v>
      </c>
      <c r="W25" s="1">
        <v>1.26122</v>
      </c>
      <c r="X25" s="1">
        <v>1.1971400000000001</v>
      </c>
      <c r="Y25" s="1">
        <v>1.3110599999999999</v>
      </c>
      <c r="Z25" s="1">
        <v>1.27515</v>
      </c>
      <c r="AA25" s="1">
        <v>1.2131400000000001</v>
      </c>
      <c r="AB25" s="1">
        <v>1.2386200000000001</v>
      </c>
      <c r="AC25" s="1">
        <v>1.17716</v>
      </c>
      <c r="AD25" s="1">
        <v>1.26122</v>
      </c>
      <c r="AE25" s="1">
        <v>1.1971400000000001</v>
      </c>
      <c r="AF25" s="1">
        <v>1.3110599999999999</v>
      </c>
      <c r="AG25" s="1">
        <v>1.27515</v>
      </c>
      <c r="AH25" s="1">
        <v>1.2131400000000001</v>
      </c>
      <c r="AI25" s="1">
        <v>1.2386200000000001</v>
      </c>
      <c r="AJ25" s="1">
        <v>1.17716</v>
      </c>
      <c r="AL25" s="14" t="s">
        <v>156</v>
      </c>
      <c r="AM25" s="14"/>
      <c r="AN25" s="14"/>
      <c r="AO25" s="14"/>
      <c r="AP25" s="14"/>
      <c r="AQ25" s="14"/>
      <c r="AR25" s="14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14.5" x14ac:dyDescent="0.35">
      <c r="A26" s="1" t="s">
        <v>14</v>
      </c>
      <c r="B26" s="1" t="s">
        <v>15</v>
      </c>
      <c r="C26" s="1" t="s">
        <v>13</v>
      </c>
      <c r="D26" s="1" t="s">
        <v>13</v>
      </c>
      <c r="E26" s="1" t="s">
        <v>37</v>
      </c>
      <c r="F26" s="1">
        <v>1.29654</v>
      </c>
      <c r="G26" s="1">
        <v>1.24678</v>
      </c>
      <c r="H26" s="1">
        <v>1.1732</v>
      </c>
      <c r="I26" s="1">
        <v>1.2375499999999999</v>
      </c>
      <c r="J26" s="1">
        <v>1.1996800000000001</v>
      </c>
      <c r="K26" s="1">
        <v>1.2804199999999999</v>
      </c>
      <c r="L26" s="1">
        <v>1.27705</v>
      </c>
      <c r="M26" s="1">
        <v>1.1953499999999999</v>
      </c>
      <c r="N26" s="1">
        <v>1.24678</v>
      </c>
      <c r="O26" s="1">
        <v>1.1732</v>
      </c>
      <c r="P26" s="1">
        <v>1.2375499999999999</v>
      </c>
      <c r="Q26" s="1">
        <v>1.1996800000000001</v>
      </c>
      <c r="R26" s="1">
        <v>1.32345</v>
      </c>
      <c r="S26" s="1">
        <v>1.27705</v>
      </c>
      <c r="T26" s="1">
        <v>1.1953499999999999</v>
      </c>
      <c r="U26" s="1">
        <v>1.24678</v>
      </c>
      <c r="V26" s="1">
        <v>1.1732</v>
      </c>
      <c r="W26" s="1">
        <v>1.2375499999999999</v>
      </c>
      <c r="X26" s="1">
        <v>1.1996800000000001</v>
      </c>
      <c r="Y26" s="1">
        <v>1.32345</v>
      </c>
      <c r="Z26" s="1">
        <v>1.27705</v>
      </c>
      <c r="AA26" s="1">
        <v>1.1953499999999999</v>
      </c>
      <c r="AB26" s="1">
        <v>1.24678</v>
      </c>
      <c r="AC26" s="1">
        <v>1.1732</v>
      </c>
      <c r="AD26" s="1">
        <v>1.2375499999999999</v>
      </c>
      <c r="AE26" s="1">
        <v>1.1996800000000001</v>
      </c>
      <c r="AF26" s="1">
        <v>1.32345</v>
      </c>
      <c r="AG26" s="1">
        <v>1.27705</v>
      </c>
      <c r="AH26" s="1">
        <v>1.1953499999999999</v>
      </c>
      <c r="AI26" s="1">
        <v>1.24678</v>
      </c>
      <c r="AJ26" s="1">
        <v>1.1732</v>
      </c>
      <c r="AL26" s="4"/>
      <c r="AM26" s="4" t="s">
        <v>13</v>
      </c>
      <c r="AN26" s="4" t="s">
        <v>14</v>
      </c>
      <c r="AO26" s="4" t="s">
        <v>15</v>
      </c>
      <c r="AP26" s="4" t="s">
        <v>16</v>
      </c>
      <c r="AQ26" s="4" t="s">
        <v>17</v>
      </c>
      <c r="AR26" s="4" t="s">
        <v>7</v>
      </c>
      <c r="BB26" s="10"/>
      <c r="BC26" s="13" t="s">
        <v>202</v>
      </c>
      <c r="BD26" s="13"/>
      <c r="BE26" s="13"/>
      <c r="BF26" s="13"/>
      <c r="BG26" s="13"/>
      <c r="BH26" s="13"/>
      <c r="BI26" s="13"/>
      <c r="BJ26" s="10"/>
    </row>
    <row r="27" spans="1:62" ht="14.5" x14ac:dyDescent="0.35">
      <c r="A27" s="1" t="s">
        <v>14</v>
      </c>
      <c r="B27" s="1" t="s">
        <v>15</v>
      </c>
      <c r="C27" s="1" t="s">
        <v>13</v>
      </c>
      <c r="D27" s="1" t="s">
        <v>13</v>
      </c>
      <c r="E27" s="1" t="s">
        <v>38</v>
      </c>
      <c r="F27" s="1">
        <v>1.3048</v>
      </c>
      <c r="G27" s="1">
        <v>1.24596</v>
      </c>
      <c r="H27" s="1">
        <v>1.19102</v>
      </c>
      <c r="I27" s="1">
        <v>1.2525900000000001</v>
      </c>
      <c r="J27" s="1">
        <v>1.23689</v>
      </c>
      <c r="K27" s="1">
        <v>1.28122</v>
      </c>
      <c r="L27" s="1">
        <v>1.2783100000000001</v>
      </c>
      <c r="M27" s="1">
        <v>1.2199199999999999</v>
      </c>
      <c r="N27" s="1">
        <v>1.24596</v>
      </c>
      <c r="O27" s="1">
        <v>1.19102</v>
      </c>
      <c r="P27" s="1">
        <v>1.2525900000000001</v>
      </c>
      <c r="Q27" s="1">
        <v>1.23689</v>
      </c>
      <c r="R27" s="1">
        <v>1.3491899999999999</v>
      </c>
      <c r="S27" s="1">
        <v>1.2783100000000001</v>
      </c>
      <c r="T27" s="1">
        <v>1.2199199999999999</v>
      </c>
      <c r="U27" s="1">
        <v>1.24596</v>
      </c>
      <c r="V27" s="1">
        <v>1.19102</v>
      </c>
      <c r="W27" s="1">
        <v>1.2525900000000001</v>
      </c>
      <c r="X27" s="1">
        <v>1.23689</v>
      </c>
      <c r="Y27" s="1">
        <v>1.3491899999999999</v>
      </c>
      <c r="Z27" s="1">
        <v>1.2783100000000001</v>
      </c>
      <c r="AA27" s="1">
        <v>1.2199199999999999</v>
      </c>
      <c r="AB27" s="1">
        <v>1.24596</v>
      </c>
      <c r="AC27" s="1">
        <v>1.19102</v>
      </c>
      <c r="AD27" s="1">
        <v>1.2525900000000001</v>
      </c>
      <c r="AE27" s="1">
        <v>1.23689</v>
      </c>
      <c r="AF27" s="1">
        <v>1.3491899999999999</v>
      </c>
      <c r="AG27" s="1">
        <v>1.2783100000000001</v>
      </c>
      <c r="AH27" s="1">
        <v>1.2199199999999999</v>
      </c>
      <c r="AI27" s="1">
        <v>1.24596</v>
      </c>
      <c r="AJ27" s="1">
        <v>1.19102</v>
      </c>
      <c r="AL27" s="4" t="s">
        <v>19</v>
      </c>
      <c r="AM27" s="6" cm="1">
        <f t="array" ref="AM27">IFERROR((SUMPRODUCT(($C$8:$C$31=AM$6)*($F$4:$AJ$4="")*$F$8:$AJ$31)+IF(AM$6="P3",SUMPRODUCT(($F$4:$AJ$4="P3")*$F$8:$AJ$31),0))/(SUMPRODUCT(($C$8:$C$31=AM$6)*($F$4:$AJ$4=""))+IF(AM$6="P3",COUNTIF($F$4:$AJ$4,"P3")*ROWS($C$8:$C$31),0)),"")</f>
        <v>1.1596659090909085</v>
      </c>
      <c r="AN27" s="6" cm="1">
        <f t="array" ref="AN27">IFERROR((SUMPRODUCT(($C$8:$C$31=AN$6)*($F$4:$AJ$4="")*$F$8:$AJ$31)+IF(AN$6="P3",SUMPRODUCT(($F$4:$AJ$4="P3")*$F$8:$AJ$31),0))/(SUMPRODUCT(($C$8:$C$31=AN$6)*($F$4:$AJ$4=""))+IF(AN$6="P3",COUNTIF($F$4:$AJ$4,"P3")*ROWS($C$8:$C$31),0)),"")</f>
        <v>1.2165014204545455</v>
      </c>
      <c r="AO27" s="6" cm="1">
        <f t="array" ref="AO27">IFERROR((SUMPRODUCT(($C$8:$C$31=AO$6)*($F$4:$AJ$4="")*$F$8:$AJ$31)+IF(AO$6="P3",SUMPRODUCT(($F$4:$AJ$4="P3")*$F$8:$AJ$31),0))/(SUMPRODUCT(($C$8:$C$31=AO$6)*($F$4:$AJ$4=""))+IF(AO$6="P3",COUNTIF($F$4:$AJ$4,"P3")*ROWS($C$8:$C$31),0)),"")</f>
        <v>1.345214897959184</v>
      </c>
      <c r="AP27" s="6" t="str" cm="1">
        <f t="array" ref="AP27">IFERROR((SUMPRODUCT(($C$8:$C$31=AP$6)*($F$4:$AJ$4="")*$F$8:$AJ$31)+IF(AP$6="P3",SUMPRODUCT(($F$4:$AJ$4="P3")*$F$8:$AJ$31),0))/(SUMPRODUCT(($C$8:$C$31=AP$6)*($F$4:$AJ$4=""))+IF(AP$6="P3",COUNTIF($F$4:$AJ$4,"P3")*ROWS($C$8:$C$31),0)),"")</f>
        <v/>
      </c>
      <c r="AQ27" s="6" t="str" cm="1">
        <f t="array" ref="AQ27">IFERROR((SUMPRODUCT(($C$8:$C$31=AQ$6)*($F$4:$AJ$4="")*$F$8:$AJ$31)+IF(AQ$6="P3",SUMPRODUCT(($F$4:$AJ$4="P3")*$F$8:$AJ$31),0))/(SUMPRODUCT(($C$8:$C$31=AQ$6)*($F$4:$AJ$4=""))+IF(AQ$6="P3",COUNTIF($F$4:$AJ$4,"P3")*ROWS($C$8:$C$31),0)),"")</f>
        <v/>
      </c>
      <c r="AR27" s="6" t="str" cm="1">
        <f t="array" ref="AR27">IFERROR((SUMPRODUCT(($C$8:$C$31=AR$6)*($F$4:$AJ$4="")*$F$8:$AJ$31)+IF(AR$6="P3",SUMPRODUCT(($F$4:$AJ$4="P3")*$F$8:$AJ$31),0))/(SUMPRODUCT(($C$8:$C$31=AR$6)*($F$4:$AJ$4=""))+IF(AR$6="P3",COUNTIF($F$4:$AJ$4,"P3")*ROWS($C$8:$C$31),0)),"")</f>
        <v/>
      </c>
      <c r="BB27" s="10"/>
      <c r="BC27" s="4"/>
      <c r="BD27" s="4" t="s">
        <v>13</v>
      </c>
      <c r="BE27" s="4" t="s">
        <v>14</v>
      </c>
      <c r="BF27" s="4" t="s">
        <v>15</v>
      </c>
      <c r="BG27" s="4" t="s">
        <v>16</v>
      </c>
      <c r="BH27" s="4" t="s">
        <v>17</v>
      </c>
      <c r="BI27" s="4" t="s">
        <v>7</v>
      </c>
      <c r="BJ27" s="10"/>
    </row>
    <row r="28" spans="1:62" ht="14.5" x14ac:dyDescent="0.35">
      <c r="A28" s="1" t="s">
        <v>14</v>
      </c>
      <c r="B28" s="1" t="s">
        <v>15</v>
      </c>
      <c r="C28" s="1" t="s">
        <v>13</v>
      </c>
      <c r="D28" s="1" t="s">
        <v>13</v>
      </c>
      <c r="E28" s="1" t="s">
        <v>39</v>
      </c>
      <c r="F28" s="1">
        <v>1.3043199999999999</v>
      </c>
      <c r="G28" s="1">
        <v>1.24566</v>
      </c>
      <c r="H28" s="1">
        <v>1.2059500000000001</v>
      </c>
      <c r="I28" s="1">
        <v>1.25773</v>
      </c>
      <c r="J28" s="1">
        <v>1.2578499999999999</v>
      </c>
      <c r="K28" s="1">
        <v>1.2816099999999999</v>
      </c>
      <c r="L28" s="1">
        <v>1.27291</v>
      </c>
      <c r="M28" s="1">
        <v>1.22546</v>
      </c>
      <c r="N28" s="1">
        <v>1.24566</v>
      </c>
      <c r="O28" s="1">
        <v>1.2059500000000001</v>
      </c>
      <c r="P28" s="1">
        <v>1.25773</v>
      </c>
      <c r="Q28" s="1">
        <v>1.2578499999999999</v>
      </c>
      <c r="R28" s="1">
        <v>1.34341</v>
      </c>
      <c r="S28" s="1">
        <v>1.27291</v>
      </c>
      <c r="T28" s="1">
        <v>1.22546</v>
      </c>
      <c r="U28" s="1">
        <v>1.24566</v>
      </c>
      <c r="V28" s="1">
        <v>1.2059500000000001</v>
      </c>
      <c r="W28" s="1">
        <v>1.25773</v>
      </c>
      <c r="X28" s="1">
        <v>1.2578499999999999</v>
      </c>
      <c r="Y28" s="1">
        <v>1.34341</v>
      </c>
      <c r="Z28" s="1">
        <v>1.27291</v>
      </c>
      <c r="AA28" s="1">
        <v>1.22546</v>
      </c>
      <c r="AB28" s="1">
        <v>1.24566</v>
      </c>
      <c r="AC28" s="1">
        <v>1.2059500000000001</v>
      </c>
      <c r="AD28" s="1">
        <v>1.25773</v>
      </c>
      <c r="AE28" s="1">
        <v>1.2578499999999999</v>
      </c>
      <c r="AF28" s="1">
        <v>1.34341</v>
      </c>
      <c r="AG28" s="1">
        <v>1.27291</v>
      </c>
      <c r="AH28" s="1">
        <v>1.22546</v>
      </c>
      <c r="AI28" s="1">
        <v>1.24566</v>
      </c>
      <c r="AJ28" s="1">
        <v>1.2059500000000001</v>
      </c>
      <c r="AL28" s="4" t="s">
        <v>21</v>
      </c>
      <c r="AM28" s="6" t="str" cm="1">
        <f t="array" ref="AM28">IFERROR((SUMPRODUCT(($B$8:$B$31=AM$26)*($F$5:$AJ$5="")*$F$8:$AJ$31)+IF(AM$26="P6",SUMPRODUCT(($F$5:$AJ$5="P6")*$F$8:$AJ$31),0))/(SUMPRODUCT(($B$8:$B$31=AM$26)*($F$5:$AJ$5=""))+IF(AM$26="P6",COUNTIF($F$5:$AJ$5,"P6")*ROWS($B$8:$B$31),0)),"")</f>
        <v/>
      </c>
      <c r="AN28" s="6" t="str" cm="1">
        <f t="array" ref="AN28">IFERROR((SUMPRODUCT(($B$8:$B$31=AN$26)*($F$5:$AJ$5="")*$F$8:$AJ$31)+IF(AN$26="P6",SUMPRODUCT(($F$5:$AJ$5="P6")*$F$8:$AJ$31),0))/(SUMPRODUCT(($B$8:$B$31=AN$26)*($F$5:$AJ$5=""))+IF(AN$26="P6",COUNTIF($F$5:$AJ$5,"P6")*ROWS($B$8:$B$31),0)),"")</f>
        <v/>
      </c>
      <c r="AO28" s="6" cm="1">
        <f t="array" ref="AO28">IFERROR((SUMPRODUCT(($B$8:$B$31=AO$26)*($F$5:$AJ$5="")*$F$8:$AJ$31)+IF(AO$26="P6",SUMPRODUCT(($F$5:$AJ$5="P6")*$F$8:$AJ$31),0))/(SUMPRODUCT(($B$8:$B$31=AO$26)*($F$5:$AJ$5=""))+IF(AO$26="P6",COUNTIF($F$5:$AJ$5,"P6")*ROWS($B$8:$B$31),0)),"")</f>
        <v>1.153195757575757</v>
      </c>
      <c r="AP28" s="6" cm="1">
        <f t="array" ref="AP28">IFERROR((SUMPRODUCT(($B$8:$B$31=AP$26)*($F$5:$AJ$5="")*$F$8:$AJ$31)+IF(AP$26="P6",SUMPRODUCT(($F$5:$AJ$5="P6")*$F$8:$AJ$31),0))/(SUMPRODUCT(($B$8:$B$31=AP$26)*($F$5:$AJ$5=""))+IF(AP$26="P6",COUNTIF($F$5:$AJ$5,"P6")*ROWS($B$8:$B$31),0)),"")</f>
        <v>1.2329395454545458</v>
      </c>
      <c r="AQ28" s="6" t="str" cm="1">
        <f t="array" ref="AQ28">IFERROR((SUMPRODUCT(($B$8:$B$31=AQ$26)*($F$5:$AJ$5="")*$F$8:$AJ$31)+IF(AQ$26="P6",SUMPRODUCT(($F$5:$AJ$5="P6")*$F$8:$AJ$31),0))/(SUMPRODUCT(($B$8:$B$31=AQ$26)*($F$5:$AJ$5=""))+IF(AQ$26="P6",COUNTIF($F$5:$AJ$5,"P6")*ROWS($B$8:$B$31),0)),"")</f>
        <v/>
      </c>
      <c r="AR28" s="6" cm="1">
        <f t="array" ref="AR28">IFERROR((SUMPRODUCT(($B$8:$B$31=AR$26)*($F$5:$AJ$5="")*$F$8:$AJ$31)+IF(AR$26="P6",SUMPRODUCT(($F$5:$AJ$5="P6")*$F$8:$AJ$31),0))/(SUMPRODUCT(($B$8:$B$31=AR$26)*($F$5:$AJ$5=""))+IF(AR$26="P6",COUNTIF($F$5:$AJ$5,"P6")*ROWS($B$8:$B$31),0)),"")</f>
        <v>1.345214897959184</v>
      </c>
      <c r="BB28" s="10"/>
      <c r="BC28" s="4" t="s">
        <v>19</v>
      </c>
      <c r="BD28" s="6">
        <f>AVERAGE(AM17,AM52,AM87,AM122,AM157,AM192,AM227,AM262,AM297,AM332,AM367,AM402)</f>
        <v>0.99438191962325106</v>
      </c>
      <c r="BE28" s="6">
        <f t="shared" ref="BE28:BI33" si="4">AVERAGE(AN17,AN52,AN87,AN122,AN157,AN192,AN227,AN262,AN297,AN332,AN367,AN402)</f>
        <v>1.0671415106039042</v>
      </c>
      <c r="BF28" s="6">
        <f t="shared" si="4"/>
        <v>1.0790150296930847</v>
      </c>
      <c r="BG28" s="6"/>
      <c r="BH28" s="6"/>
      <c r="BI28" s="6"/>
      <c r="BJ28" s="10"/>
    </row>
    <row r="29" spans="1:62" ht="14.5" x14ac:dyDescent="0.35">
      <c r="A29" s="1" t="s">
        <v>14</v>
      </c>
      <c r="B29" s="1" t="s">
        <v>15</v>
      </c>
      <c r="C29" s="1" t="s">
        <v>13</v>
      </c>
      <c r="D29" s="1" t="s">
        <v>13</v>
      </c>
      <c r="E29" s="1" t="s">
        <v>40</v>
      </c>
      <c r="F29" s="1">
        <v>1.29583</v>
      </c>
      <c r="G29" s="1">
        <v>1.2553000000000001</v>
      </c>
      <c r="H29" s="1">
        <v>1.2165299999999999</v>
      </c>
      <c r="I29" s="1">
        <v>1.2726200000000001</v>
      </c>
      <c r="J29" s="1">
        <v>1.26915</v>
      </c>
      <c r="K29" s="1">
        <v>1.29359</v>
      </c>
      <c r="L29" s="1">
        <v>1.2685</v>
      </c>
      <c r="M29" s="1">
        <v>1.2363500000000001</v>
      </c>
      <c r="N29" s="1">
        <v>1.2553000000000001</v>
      </c>
      <c r="O29" s="1">
        <v>1.2165299999999999</v>
      </c>
      <c r="P29" s="1">
        <v>1.2726200000000001</v>
      </c>
      <c r="Q29" s="1">
        <v>1.26915</v>
      </c>
      <c r="R29" s="1">
        <v>1.33524</v>
      </c>
      <c r="S29" s="1">
        <v>1.2685</v>
      </c>
      <c r="T29" s="1">
        <v>1.2363500000000001</v>
      </c>
      <c r="U29" s="1">
        <v>1.2553000000000001</v>
      </c>
      <c r="V29" s="1">
        <v>1.2165299999999999</v>
      </c>
      <c r="W29" s="1">
        <v>1.2726200000000001</v>
      </c>
      <c r="X29" s="1">
        <v>1.26915</v>
      </c>
      <c r="Y29" s="1">
        <v>1.33524</v>
      </c>
      <c r="Z29" s="1">
        <v>1.2685</v>
      </c>
      <c r="AA29" s="1">
        <v>1.2363500000000001</v>
      </c>
      <c r="AB29" s="1">
        <v>1.2553000000000001</v>
      </c>
      <c r="AC29" s="1">
        <v>1.2165299999999999</v>
      </c>
      <c r="AD29" s="1">
        <v>1.2726200000000001</v>
      </c>
      <c r="AE29" s="1">
        <v>1.26915</v>
      </c>
      <c r="AF29" s="1">
        <v>1.33524</v>
      </c>
      <c r="AG29" s="1">
        <v>1.2685</v>
      </c>
      <c r="AH29" s="1">
        <v>1.2363500000000001</v>
      </c>
      <c r="AI29" s="1">
        <v>1.2553000000000001</v>
      </c>
      <c r="AJ29" s="1">
        <v>1.2165299999999999</v>
      </c>
      <c r="AL29" s="4" t="s">
        <v>23</v>
      </c>
      <c r="AM29" s="6" t="str" cm="1">
        <f t="array" ref="AM29">IFERROR((SUMPRODUCT(($B$8:$B$31=AM$26)*($F$5:$AJ$5="")*$F$8:$AJ$31)+IF(AM$26="P6",SUMPRODUCT(($F$5:$AJ$5="P6")*$F$8:$AJ$31),0))/(SUMPRODUCT(($B$8:$B$31=AM$26)*($F$5:$AJ$5=""))+IF(AM$26="P6",COUNTIF($F$5:$AJ$5,"P6")*ROWS($B$8:$B$31),0)),"")</f>
        <v/>
      </c>
      <c r="AN29" s="6" t="str" cm="1">
        <f t="array" ref="AN29">IFERROR((SUMPRODUCT(($B$8:$B$31=AN$26)*($F$5:$AJ$5="")*$F$8:$AJ$31)+IF(AN$26="P6",SUMPRODUCT(($F$5:$AJ$5="P6")*$F$8:$AJ$31),0))/(SUMPRODUCT(($B$8:$B$31=AN$26)*($F$5:$AJ$5=""))+IF(AN$26="P6",COUNTIF($F$5:$AJ$5,"P6")*ROWS($B$8:$B$31),0)),"")</f>
        <v/>
      </c>
      <c r="AO29" s="6" cm="1">
        <f t="array" ref="AO29">IFERROR((SUMPRODUCT(($B$8:$B$31=AO$26)*($F$5:$AJ$5="")*$F$8:$AJ$31)+IF(AO$26="P6",SUMPRODUCT(($F$5:$AJ$5="P6")*$F$8:$AJ$31),0))/(SUMPRODUCT(($B$8:$B$31=AO$26)*($F$5:$AJ$5=""))+IF(AO$26="P6",COUNTIF($F$5:$AJ$5,"P6")*ROWS($B$8:$B$31),0)),"")</f>
        <v>1.153195757575757</v>
      </c>
      <c r="AP29" s="6" cm="1">
        <f t="array" ref="AP29">IFERROR((SUMPRODUCT(($B$8:$B$31=AP$26)*($F$5:$AJ$5="")*$F$8:$AJ$31)+IF(AP$26="P6",SUMPRODUCT(($F$5:$AJ$5="P6")*$F$8:$AJ$31),0))/(SUMPRODUCT(($B$8:$B$31=AP$26)*($F$5:$AJ$5=""))+IF(AP$26="P6",COUNTIF($F$5:$AJ$5,"P6")*ROWS($B$8:$B$31),0)),"")</f>
        <v>1.2329395454545458</v>
      </c>
      <c r="AQ29" s="6" t="str" cm="1">
        <f t="array" ref="AQ29">IFERROR((SUMPRODUCT(($B$8:$B$31=AQ$26)*($F$5:$AJ$5="")*$F$8:$AJ$31)+IF(AQ$26="P6",SUMPRODUCT(($F$5:$AJ$5="P6")*$F$8:$AJ$31),0))/(SUMPRODUCT(($B$8:$B$31=AQ$26)*($F$5:$AJ$5=""))+IF(AQ$26="P6",COUNTIF($F$5:$AJ$5,"P6")*ROWS($B$8:$B$31),0)),"")</f>
        <v/>
      </c>
      <c r="AR29" s="6" cm="1">
        <f t="array" ref="AR29">IFERROR((SUMPRODUCT(($B$8:$B$31=AR$26)*($F$5:$AJ$5="")*$F$8:$AJ$31)+IF(AR$26="P6",SUMPRODUCT(($F$5:$AJ$5="P6")*$F$8:$AJ$31),0))/(SUMPRODUCT(($B$8:$B$31=AR$26)*($F$5:$AJ$5=""))+IF(AR$26="P6",COUNTIF($F$5:$AJ$5,"P6")*ROWS($B$8:$B$31),0)),"")</f>
        <v>1.345214897959184</v>
      </c>
      <c r="BB29" s="10"/>
      <c r="BC29" s="4" t="s">
        <v>21</v>
      </c>
      <c r="BD29" s="6">
        <f t="shared" ref="BD29:BD33" si="5">AVERAGE(AM18,AM53,AM88,AM123,AM158,AM193,AM228,AM263,AM298,AM333,AM368,AM403)</f>
        <v>0.90483287094547982</v>
      </c>
      <c r="BE29" s="6">
        <f t="shared" si="4"/>
        <v>1.1019836240019236</v>
      </c>
      <c r="BF29" s="6">
        <f>AVERAGE(AO18,AO53,AO88,AO123,AO158,AO193,AO228,AO263,AO298,AO333,AO368,AO403)</f>
        <v>1.0386354139800849</v>
      </c>
      <c r="BG29" s="6">
        <f t="shared" si="4"/>
        <v>1.0589175915275202</v>
      </c>
      <c r="BH29" s="6">
        <f t="shared" si="4"/>
        <v>1.0495238744588746</v>
      </c>
      <c r="BI29" s="6">
        <f t="shared" si="4"/>
        <v>1.0790150296930847</v>
      </c>
      <c r="BJ29" s="10"/>
    </row>
    <row r="30" spans="1:62" ht="14.5" x14ac:dyDescent="0.35">
      <c r="A30" s="1" t="s">
        <v>16</v>
      </c>
      <c r="B30" s="1" t="s">
        <v>16</v>
      </c>
      <c r="C30" s="1" t="s">
        <v>14</v>
      </c>
      <c r="D30" s="1" t="s">
        <v>14</v>
      </c>
      <c r="E30" s="1" t="s">
        <v>41</v>
      </c>
      <c r="F30" s="1">
        <v>1.3325199999999999</v>
      </c>
      <c r="G30" s="1">
        <v>1.3190200000000001</v>
      </c>
      <c r="H30" s="1">
        <v>1.2778400000000001</v>
      </c>
      <c r="I30" s="1">
        <v>1.3411200000000001</v>
      </c>
      <c r="J30" s="1">
        <v>1.35927</v>
      </c>
      <c r="K30" s="1">
        <v>1.30823</v>
      </c>
      <c r="L30" s="1">
        <v>1.28064</v>
      </c>
      <c r="M30" s="1">
        <v>1.3134600000000001</v>
      </c>
      <c r="N30" s="1">
        <v>1.3190200000000001</v>
      </c>
      <c r="O30" s="1">
        <v>1.2778400000000001</v>
      </c>
      <c r="P30" s="1">
        <v>1.3411200000000001</v>
      </c>
      <c r="Q30" s="1">
        <v>1.35927</v>
      </c>
      <c r="R30" s="1">
        <v>1.3538300000000001</v>
      </c>
      <c r="S30" s="1">
        <v>1.28064</v>
      </c>
      <c r="T30" s="1">
        <v>1.3134600000000001</v>
      </c>
      <c r="U30" s="1">
        <v>1.3190200000000001</v>
      </c>
      <c r="V30" s="1">
        <v>1.2778400000000001</v>
      </c>
      <c r="W30" s="1">
        <v>1.3411200000000001</v>
      </c>
      <c r="X30" s="1">
        <v>1.35927</v>
      </c>
      <c r="Y30" s="1">
        <v>1.3538300000000001</v>
      </c>
      <c r="Z30" s="1">
        <v>1.28064</v>
      </c>
      <c r="AA30" s="1">
        <v>1.3134600000000001</v>
      </c>
      <c r="AB30" s="1">
        <v>1.3190200000000001</v>
      </c>
      <c r="AC30" s="1">
        <v>1.2778400000000001</v>
      </c>
      <c r="AD30" s="1">
        <v>1.3411200000000001</v>
      </c>
      <c r="AE30" s="1">
        <v>1.35927</v>
      </c>
      <c r="AF30" s="1">
        <v>1.3538300000000001</v>
      </c>
      <c r="AG30" s="1">
        <v>1.28064</v>
      </c>
      <c r="AH30" s="1">
        <v>1.3134600000000001</v>
      </c>
      <c r="AI30" s="1">
        <v>1.3190200000000001</v>
      </c>
      <c r="AJ30" s="1">
        <v>1.2778400000000001</v>
      </c>
      <c r="AL30" s="4" t="s">
        <v>25</v>
      </c>
      <c r="AM30" s="6" t="str" cm="1">
        <f t="array" ref="AM30">IFERROR((SUMPRODUCT(($B$8:$B$31=AM$26)*($F$5:$AJ$5="")*$F$8:$AJ$31)+IF(AM$26="P6",SUMPRODUCT(($F$5:$AJ$5="P6")*$F$8:$AJ$31),0))/(SUMPRODUCT(($B$8:$B$31=AM$26)*($F$5:$AJ$5=""))+IF(AM$26="P6",COUNTIF($F$5:$AJ$5,"P6")*ROWS($B$8:$B$31),0)),"")</f>
        <v/>
      </c>
      <c r="AN30" s="6" t="str" cm="1">
        <f t="array" ref="AN30">IFERROR((SUMPRODUCT(($B$8:$B$31=AN$26)*($F$5:$AJ$5="")*$F$8:$AJ$31)+IF(AN$26="P6",SUMPRODUCT(($F$5:$AJ$5="P6")*$F$8:$AJ$31),0))/(SUMPRODUCT(($B$8:$B$31=AN$26)*($F$5:$AJ$5=""))+IF(AN$26="P6",COUNTIF($F$5:$AJ$5,"P6")*ROWS($B$8:$B$31),0)),"")</f>
        <v/>
      </c>
      <c r="AO30" s="6" cm="1">
        <f t="array" ref="AO30">IFERROR((SUMPRODUCT(($B$8:$B$31=AO$26)*($F$5:$AJ$5="")*$F$8:$AJ$31)+IF(AO$26="P6",SUMPRODUCT(($F$5:$AJ$5="P6")*$F$8:$AJ$31),0))/(SUMPRODUCT(($B$8:$B$31=AO$26)*($F$5:$AJ$5=""))+IF(AO$26="P6",COUNTIF($F$5:$AJ$5,"P6")*ROWS($B$8:$B$31),0)),"")</f>
        <v>1.153195757575757</v>
      </c>
      <c r="AP30" s="6" cm="1">
        <f t="array" ref="AP30">IFERROR((SUMPRODUCT(($B$8:$B$31=AP$26)*($F$5:$AJ$5="")*$F$8:$AJ$31)+IF(AP$26="P6",SUMPRODUCT(($F$5:$AJ$5="P6")*$F$8:$AJ$31),0))/(SUMPRODUCT(($B$8:$B$31=AP$26)*($F$5:$AJ$5=""))+IF(AP$26="P6",COUNTIF($F$5:$AJ$5,"P6")*ROWS($B$8:$B$31),0)),"")</f>
        <v>1.2329395454545458</v>
      </c>
      <c r="AQ30" s="6" t="str" cm="1">
        <f t="array" ref="AQ30">IFERROR((SUMPRODUCT(($B$8:$B$31=AQ$26)*($F$5:$AJ$5="")*$F$8:$AJ$31)+IF(AQ$26="P6",SUMPRODUCT(($F$5:$AJ$5="P6")*$F$8:$AJ$31),0))/(SUMPRODUCT(($B$8:$B$31=AQ$26)*($F$5:$AJ$5=""))+IF(AQ$26="P6",COUNTIF($F$5:$AJ$5,"P6")*ROWS($B$8:$B$31),0)),"")</f>
        <v/>
      </c>
      <c r="AR30" s="6" cm="1">
        <f t="array" ref="AR30">IFERROR((SUMPRODUCT(($B$8:$B$31=AR$26)*($F$5:$AJ$5="")*$F$8:$AJ$31)+IF(AR$26="P6",SUMPRODUCT(($F$5:$AJ$5="P6")*$F$8:$AJ$31),0))/(SUMPRODUCT(($B$8:$B$31=AR$26)*($F$5:$AJ$5=""))+IF(AR$26="P6",COUNTIF($F$5:$AJ$5,"P6")*ROWS($B$8:$B$31),0)),"")</f>
        <v>1.345214897959184</v>
      </c>
      <c r="BB30" s="10"/>
      <c r="BC30" s="4" t="s">
        <v>23</v>
      </c>
      <c r="BD30" s="6">
        <f t="shared" si="5"/>
        <v>0.90483287094547982</v>
      </c>
      <c r="BE30" s="6">
        <f t="shared" si="4"/>
        <v>1.1019836240019236</v>
      </c>
      <c r="BF30" s="6">
        <f t="shared" si="4"/>
        <v>1.0386354139800849</v>
      </c>
      <c r="BG30" s="6">
        <f t="shared" si="4"/>
        <v>1.0589175915275202</v>
      </c>
      <c r="BH30" s="6">
        <f t="shared" si="4"/>
        <v>1.0495238744588746</v>
      </c>
      <c r="BI30" s="6">
        <f t="shared" si="4"/>
        <v>1.0790150296930847</v>
      </c>
      <c r="BJ30" s="10"/>
    </row>
    <row r="31" spans="1:62" ht="14.5" x14ac:dyDescent="0.35">
      <c r="A31" s="1" t="s">
        <v>16</v>
      </c>
      <c r="B31" s="1" t="s">
        <v>16</v>
      </c>
      <c r="C31" s="1" t="s">
        <v>14</v>
      </c>
      <c r="D31" s="1" t="s">
        <v>14</v>
      </c>
      <c r="E31" s="1" t="s">
        <v>42</v>
      </c>
      <c r="F31" s="1">
        <v>1.38886</v>
      </c>
      <c r="G31" s="1">
        <v>1.3481799999999999</v>
      </c>
      <c r="H31" s="1">
        <v>1.3203</v>
      </c>
      <c r="I31" s="1">
        <v>1.37565</v>
      </c>
      <c r="J31" s="1">
        <v>1.3957299999999999</v>
      </c>
      <c r="K31" s="1">
        <v>1.3236399999999999</v>
      </c>
      <c r="L31" s="1">
        <v>1.3118099999999999</v>
      </c>
      <c r="M31" s="1">
        <v>1.3576600000000001</v>
      </c>
      <c r="N31" s="1">
        <v>1.3481799999999999</v>
      </c>
      <c r="O31" s="1">
        <v>1.3203</v>
      </c>
      <c r="P31" s="1">
        <v>1.37565</v>
      </c>
      <c r="Q31" s="1">
        <v>1.3957299999999999</v>
      </c>
      <c r="R31" s="1">
        <v>1.39022</v>
      </c>
      <c r="S31" s="1">
        <v>1.3118099999999999</v>
      </c>
      <c r="T31" s="1">
        <v>1.3576600000000001</v>
      </c>
      <c r="U31" s="1">
        <v>1.3481799999999999</v>
      </c>
      <c r="V31" s="1">
        <v>1.3203</v>
      </c>
      <c r="W31" s="1">
        <v>1.37565</v>
      </c>
      <c r="X31" s="1">
        <v>1.3957299999999999</v>
      </c>
      <c r="Y31" s="1">
        <v>1.39022</v>
      </c>
      <c r="Z31" s="1">
        <v>1.3118099999999999</v>
      </c>
      <c r="AA31" s="1">
        <v>1.3576600000000001</v>
      </c>
      <c r="AB31" s="1">
        <v>1.3481799999999999</v>
      </c>
      <c r="AC31" s="1">
        <v>1.3203</v>
      </c>
      <c r="AD31" s="1">
        <v>1.37565</v>
      </c>
      <c r="AE31" s="1">
        <v>1.3957299999999999</v>
      </c>
      <c r="AF31" s="1">
        <v>1.39022</v>
      </c>
      <c r="AG31" s="1">
        <v>1.3118099999999999</v>
      </c>
      <c r="AH31" s="1">
        <v>1.3576600000000001</v>
      </c>
      <c r="AI31" s="1">
        <v>1.3481799999999999</v>
      </c>
      <c r="AJ31" s="1">
        <v>1.3203</v>
      </c>
      <c r="AL31" s="4" t="s">
        <v>27</v>
      </c>
      <c r="AM31" s="6" t="str" cm="1">
        <f t="array" ref="AM31">IFERROR((SUMPRODUCT(($B$8:$B$31=AM$26)*($F$5:$AJ$5="")*$F$8:$AJ$31)+IF(AM$26="P6",SUMPRODUCT(($F$5:$AJ$5="P6")*$F$8:$AJ$31),0))/(SUMPRODUCT(($B$8:$B$31=AM$26)*($F$5:$AJ$5=""))+IF(AM$26="P6",COUNTIF($F$5:$AJ$5,"P6")*ROWS($B$8:$B$31),0)),"")</f>
        <v/>
      </c>
      <c r="AN31" s="6" t="str" cm="1">
        <f t="array" ref="AN31">IFERROR((SUMPRODUCT(($B$8:$B$31=AN$26)*($F$5:$AJ$5="")*$F$8:$AJ$31)+IF(AN$26="P6",SUMPRODUCT(($F$5:$AJ$5="P6")*$F$8:$AJ$31),0))/(SUMPRODUCT(($B$8:$B$31=AN$26)*($F$5:$AJ$5=""))+IF(AN$26="P6",COUNTIF($F$5:$AJ$5,"P6")*ROWS($B$8:$B$31),0)),"")</f>
        <v/>
      </c>
      <c r="AO31" s="6" cm="1">
        <f t="array" ref="AO31">IFERROR((SUMPRODUCT(($B$8:$B$31=AO$26)*($F$5:$AJ$5="")*$F$8:$AJ$31)+IF(AO$26="P6",SUMPRODUCT(($F$5:$AJ$5="P6")*$F$8:$AJ$31),0))/(SUMPRODUCT(($B$8:$B$31=AO$26)*($F$5:$AJ$5=""))+IF(AO$26="P6",COUNTIF($F$5:$AJ$5,"P6")*ROWS($B$8:$B$31),0)),"")</f>
        <v>1.153195757575757</v>
      </c>
      <c r="AP31" s="6" cm="1">
        <f t="array" ref="AP31">IFERROR((SUMPRODUCT(($B$8:$B$31=AP$26)*($F$5:$AJ$5="")*$F$8:$AJ$31)+IF(AP$26="P6",SUMPRODUCT(($F$5:$AJ$5="P6")*$F$8:$AJ$31),0))/(SUMPRODUCT(($B$8:$B$31=AP$26)*($F$5:$AJ$5=""))+IF(AP$26="P6",COUNTIF($F$5:$AJ$5,"P6")*ROWS($B$8:$B$31),0)),"")</f>
        <v>1.2329395454545458</v>
      </c>
      <c r="AQ31" s="6" t="str" cm="1">
        <f t="array" ref="AQ31">IFERROR((SUMPRODUCT(($B$8:$B$31=AQ$26)*($F$5:$AJ$5="")*$F$8:$AJ$31)+IF(AQ$26="P6",SUMPRODUCT(($F$5:$AJ$5="P6")*$F$8:$AJ$31),0))/(SUMPRODUCT(($B$8:$B$31=AQ$26)*($F$5:$AJ$5=""))+IF(AQ$26="P6",COUNTIF($F$5:$AJ$5,"P6")*ROWS($B$8:$B$31),0)),"")</f>
        <v/>
      </c>
      <c r="AR31" s="6" cm="1">
        <f t="array" ref="AR31">IFERROR((SUMPRODUCT(($B$8:$B$31=AR$26)*($F$5:$AJ$5="")*$F$8:$AJ$31)+IF(AR$26="P6",SUMPRODUCT(($F$5:$AJ$5="P6")*$F$8:$AJ$31),0))/(SUMPRODUCT(($B$8:$B$31=AR$26)*($F$5:$AJ$5=""))+IF(AR$26="P6",COUNTIF($F$5:$AJ$5,"P6")*ROWS($B$8:$B$31),0)),"")</f>
        <v>1.345214897959184</v>
      </c>
      <c r="BB31" s="10"/>
      <c r="BC31" s="4" t="s">
        <v>25</v>
      </c>
      <c r="BD31" s="6">
        <f t="shared" si="5"/>
        <v>0.90483287094547982</v>
      </c>
      <c r="BE31" s="6">
        <f t="shared" si="4"/>
        <v>1.1019836240019236</v>
      </c>
      <c r="BF31" s="6">
        <f t="shared" si="4"/>
        <v>1.0386354139800849</v>
      </c>
      <c r="BG31" s="6">
        <f t="shared" si="4"/>
        <v>1.0589175915275202</v>
      </c>
      <c r="BH31" s="6">
        <f t="shared" si="4"/>
        <v>1.0495238744588746</v>
      </c>
      <c r="BI31" s="6">
        <f t="shared" si="4"/>
        <v>1.0790150296930847</v>
      </c>
      <c r="BJ31" s="10"/>
    </row>
    <row r="32" spans="1:62" ht="14.25" customHeight="1" x14ac:dyDescent="0.35">
      <c r="AL32" s="4" t="s">
        <v>29</v>
      </c>
      <c r="AM32" s="6" t="str" cm="1">
        <f t="array" ref="AM32">IFERROR((SUMPRODUCT(($B$8:$B$31=AM$26)*($F$5:$AJ$5="")*$F$8:$AJ$31)+IF(AM$26="P6",SUMPRODUCT(($F$5:$AJ$5="P6")*$F$8:$AJ$31),0))/(SUMPRODUCT(($B$8:$B$31=AM$26)*($F$5:$AJ$5=""))+IF(AM$26="P6",COUNTIF($F$5:$AJ$5,"P6")*ROWS($B$8:$B$31),0)),"")</f>
        <v/>
      </c>
      <c r="AN32" s="6" t="str" cm="1">
        <f t="array" ref="AN32">IFERROR((SUMPRODUCT(($B$8:$B$31=AN$26)*($F$5:$AJ$5="")*$F$8:$AJ$31)+IF(AN$26="P6",SUMPRODUCT(($F$5:$AJ$5="P6")*$F$8:$AJ$31),0))/(SUMPRODUCT(($B$8:$B$31=AN$26)*($F$5:$AJ$5=""))+IF(AN$26="P6",COUNTIF($F$5:$AJ$5,"P6")*ROWS($B$8:$B$31),0)),"")</f>
        <v/>
      </c>
      <c r="AO32" s="6" cm="1">
        <f t="array" ref="AO32">IFERROR((SUMPRODUCT(($B$8:$B$31=AO$26)*($F$5:$AJ$5="")*$F$8:$AJ$31)+IF(AO$26="P6",SUMPRODUCT(($F$5:$AJ$5="P6")*$F$8:$AJ$31),0))/(SUMPRODUCT(($B$8:$B$31=AO$26)*($F$5:$AJ$5=""))+IF(AO$26="P6",COUNTIF($F$5:$AJ$5,"P6")*ROWS($B$8:$B$31),0)),"")</f>
        <v>1.153195757575757</v>
      </c>
      <c r="AP32" s="6" cm="1">
        <f t="array" ref="AP32">IFERROR((SUMPRODUCT(($B$8:$B$31=AP$26)*($F$5:$AJ$5="")*$F$8:$AJ$31)+IF(AP$26="P6",SUMPRODUCT(($F$5:$AJ$5="P6")*$F$8:$AJ$31),0))/(SUMPRODUCT(($B$8:$B$31=AP$26)*($F$5:$AJ$5=""))+IF(AP$26="P6",COUNTIF($F$5:$AJ$5,"P6")*ROWS($B$8:$B$31),0)),"")</f>
        <v>1.2329395454545458</v>
      </c>
      <c r="AQ32" s="6" t="str" cm="1">
        <f t="array" ref="AQ32">IFERROR((SUMPRODUCT(($B$8:$B$31=AQ$26)*($F$5:$AJ$5="")*$F$8:$AJ$31)+IF(AQ$26="P6",SUMPRODUCT(($F$5:$AJ$5="P6")*$F$8:$AJ$31),0))/(SUMPRODUCT(($B$8:$B$31=AQ$26)*($F$5:$AJ$5=""))+IF(AQ$26="P6",COUNTIF($F$5:$AJ$5,"P6")*ROWS($B$8:$B$31),0)),"")</f>
        <v/>
      </c>
      <c r="AR32" s="6" cm="1">
        <f t="array" ref="AR32">IFERROR((SUMPRODUCT(($B$8:$B$31=AR$26)*($F$5:$AJ$5="")*$F$8:$AJ$31)+IF(AR$26="P6",SUMPRODUCT(($F$5:$AJ$5="P6")*$F$8:$AJ$31),0))/(SUMPRODUCT(($B$8:$B$31=AR$26)*($F$5:$AJ$5=""))+IF(AR$26="P6",COUNTIF($F$5:$AJ$5,"P6")*ROWS($B$8:$B$31),0)),"")</f>
        <v>1.345214897959184</v>
      </c>
      <c r="BB32" s="10"/>
      <c r="BC32" s="4" t="s">
        <v>27</v>
      </c>
      <c r="BD32" s="6">
        <f t="shared" si="5"/>
        <v>0.90483287094547982</v>
      </c>
      <c r="BE32" s="6">
        <f t="shared" si="4"/>
        <v>1.1019836240019236</v>
      </c>
      <c r="BF32" s="6">
        <f t="shared" si="4"/>
        <v>1.0386354139800849</v>
      </c>
      <c r="BG32" s="6">
        <f t="shared" si="4"/>
        <v>1.0589175915275202</v>
      </c>
      <c r="BH32" s="6">
        <f t="shared" si="4"/>
        <v>1.0495238744588746</v>
      </c>
      <c r="BI32" s="6">
        <f t="shared" si="4"/>
        <v>1.0790150296930847</v>
      </c>
      <c r="BJ32" s="10"/>
    </row>
    <row r="33" spans="1:62" ht="14.25" customHeight="1" x14ac:dyDescent="0.35">
      <c r="BB33" s="10"/>
      <c r="BC33" s="4" t="s">
        <v>29</v>
      </c>
      <c r="BD33" s="6">
        <f t="shared" si="5"/>
        <v>0.90483287094547982</v>
      </c>
      <c r="BE33" s="6">
        <f t="shared" si="4"/>
        <v>1.1019836240019236</v>
      </c>
      <c r="BF33" s="6">
        <f t="shared" si="4"/>
        <v>1.0386354139800849</v>
      </c>
      <c r="BG33" s="6">
        <f t="shared" si="4"/>
        <v>1.0589175915275202</v>
      </c>
      <c r="BH33" s="6">
        <f t="shared" si="4"/>
        <v>1.0495238744588746</v>
      </c>
      <c r="BI33" s="6">
        <f t="shared" si="4"/>
        <v>1.0790150296930847</v>
      </c>
      <c r="BJ33" s="10"/>
    </row>
    <row r="34" spans="1:62" ht="14.25" customHeight="1" x14ac:dyDescent="0.35"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ht="14.25" customHeight="1" x14ac:dyDescent="0.35"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 ht="14.25" customHeight="1" x14ac:dyDescent="0.35">
      <c r="A36" s="15" t="s">
        <v>157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 ht="14.25" customHeight="1" x14ac:dyDescent="0.3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</row>
    <row r="38" spans="1:62" ht="14.25" customHeight="1" x14ac:dyDescent="0.35">
      <c r="AL38" s="10"/>
      <c r="AM38" s="10"/>
      <c r="AN38" s="10"/>
      <c r="AO38" s="10"/>
      <c r="AP38" s="10"/>
      <c r="AQ38" s="10"/>
      <c r="AR38" s="10"/>
    </row>
    <row r="39" spans="1:62" ht="14.25" customHeight="1" x14ac:dyDescent="0.35">
      <c r="F39" s="1" t="str">
        <f>IF(OR(F41="S",F41="D"),"P3","")</f>
        <v/>
      </c>
      <c r="G39" s="1" t="str">
        <f t="shared" ref="G39:AG39" si="6">IF(OR(G41="S",G41="D"),"P3","")</f>
        <v/>
      </c>
      <c r="H39" s="1" t="str">
        <f t="shared" si="6"/>
        <v>P3</v>
      </c>
      <c r="I39" s="1" t="str">
        <f t="shared" si="6"/>
        <v>P3</v>
      </c>
      <c r="J39" s="1" t="str">
        <f t="shared" si="6"/>
        <v/>
      </c>
      <c r="K39" s="1" t="str">
        <f t="shared" si="6"/>
        <v/>
      </c>
      <c r="L39" s="1" t="str">
        <f t="shared" si="6"/>
        <v/>
      </c>
      <c r="M39" s="1" t="str">
        <f t="shared" si="6"/>
        <v/>
      </c>
      <c r="N39" s="1" t="str">
        <f t="shared" si="6"/>
        <v/>
      </c>
      <c r="O39" s="1" t="str">
        <f t="shared" si="6"/>
        <v>P3</v>
      </c>
      <c r="P39" s="1" t="str">
        <f t="shared" si="6"/>
        <v>P3</v>
      </c>
      <c r="Q39" s="1" t="str">
        <f t="shared" si="6"/>
        <v/>
      </c>
      <c r="R39" s="1" t="str">
        <f t="shared" si="6"/>
        <v/>
      </c>
      <c r="S39" s="1" t="str">
        <f t="shared" si="6"/>
        <v/>
      </c>
      <c r="T39" s="1" t="str">
        <f t="shared" si="6"/>
        <v/>
      </c>
      <c r="U39" s="1" t="str">
        <f t="shared" si="6"/>
        <v/>
      </c>
      <c r="V39" s="1" t="str">
        <f t="shared" si="6"/>
        <v>P3</v>
      </c>
      <c r="W39" s="1" t="str">
        <f t="shared" si="6"/>
        <v>P3</v>
      </c>
      <c r="X39" s="1" t="str">
        <f t="shared" si="6"/>
        <v/>
      </c>
      <c r="Y39" s="1" t="str">
        <f t="shared" si="6"/>
        <v/>
      </c>
      <c r="Z39" s="1" t="str">
        <f t="shared" si="6"/>
        <v/>
      </c>
      <c r="AA39" s="1" t="str">
        <f t="shared" si="6"/>
        <v/>
      </c>
      <c r="AB39" s="1" t="str">
        <f t="shared" si="6"/>
        <v/>
      </c>
      <c r="AC39" s="1" t="str">
        <f t="shared" si="6"/>
        <v>P3</v>
      </c>
      <c r="AD39" s="1" t="str">
        <f t="shared" si="6"/>
        <v>P3</v>
      </c>
      <c r="AE39" s="1" t="str">
        <f t="shared" si="6"/>
        <v/>
      </c>
      <c r="AF39" s="1" t="str">
        <f t="shared" si="6"/>
        <v/>
      </c>
      <c r="AG39" s="1" t="str">
        <f t="shared" si="6"/>
        <v/>
      </c>
      <c r="AH39" s="1" t="str">
        <f t="shared" ref="AH39" si="7">IF(OR(AH41="S",AH41="D"),"P3","")</f>
        <v/>
      </c>
      <c r="AL39" s="10"/>
      <c r="AM39" s="10"/>
      <c r="AN39" s="10"/>
      <c r="AO39" s="10"/>
      <c r="AP39" s="10"/>
      <c r="AQ39" s="10"/>
      <c r="AR39" s="10"/>
      <c r="BB39" s="11"/>
      <c r="BC39" s="11"/>
      <c r="BD39" s="11"/>
      <c r="BE39" s="11"/>
      <c r="BF39" s="11"/>
      <c r="BG39" s="11"/>
      <c r="BH39" s="11"/>
      <c r="BI39" s="11"/>
      <c r="BJ39" s="11"/>
    </row>
    <row r="40" spans="1:62" ht="14.25" customHeight="1" x14ac:dyDescent="0.35">
      <c r="F40" s="1" t="str">
        <f>IF(OR(F41="S",F41="D"),"P6","")</f>
        <v/>
      </c>
      <c r="G40" s="1" t="str">
        <f t="shared" ref="G40:AH40" si="8">IF(OR(G41="S",G41="D"),"P6","")</f>
        <v/>
      </c>
      <c r="H40" s="1" t="str">
        <f t="shared" si="8"/>
        <v>P6</v>
      </c>
      <c r="I40" s="1" t="str">
        <f t="shared" si="8"/>
        <v>P6</v>
      </c>
      <c r="J40" s="1" t="str">
        <f t="shared" si="8"/>
        <v/>
      </c>
      <c r="K40" s="1" t="str">
        <f t="shared" si="8"/>
        <v/>
      </c>
      <c r="L40" s="1" t="str">
        <f t="shared" si="8"/>
        <v/>
      </c>
      <c r="M40" s="1" t="str">
        <f t="shared" si="8"/>
        <v/>
      </c>
      <c r="N40" s="1" t="str">
        <f t="shared" si="8"/>
        <v/>
      </c>
      <c r="O40" s="1" t="str">
        <f t="shared" si="8"/>
        <v>P6</v>
      </c>
      <c r="P40" s="1" t="str">
        <f t="shared" si="8"/>
        <v>P6</v>
      </c>
      <c r="Q40" s="1" t="str">
        <f t="shared" si="8"/>
        <v/>
      </c>
      <c r="R40" s="1" t="str">
        <f t="shared" si="8"/>
        <v/>
      </c>
      <c r="S40" s="1" t="str">
        <f t="shared" si="8"/>
        <v/>
      </c>
      <c r="T40" s="1" t="str">
        <f t="shared" si="8"/>
        <v/>
      </c>
      <c r="U40" s="1" t="str">
        <f t="shared" si="8"/>
        <v/>
      </c>
      <c r="V40" s="1" t="str">
        <f t="shared" si="8"/>
        <v>P6</v>
      </c>
      <c r="W40" s="1" t="str">
        <f t="shared" si="8"/>
        <v>P6</v>
      </c>
      <c r="X40" s="1" t="str">
        <f t="shared" si="8"/>
        <v/>
      </c>
      <c r="Y40" s="1" t="str">
        <f t="shared" si="8"/>
        <v/>
      </c>
      <c r="Z40" s="1" t="str">
        <f t="shared" si="8"/>
        <v/>
      </c>
      <c r="AA40" s="1" t="str">
        <f t="shared" si="8"/>
        <v/>
      </c>
      <c r="AB40" s="1" t="str">
        <f t="shared" si="8"/>
        <v/>
      </c>
      <c r="AC40" s="1" t="str">
        <f t="shared" si="8"/>
        <v>P6</v>
      </c>
      <c r="AD40" s="1" t="str">
        <f t="shared" si="8"/>
        <v>P6</v>
      </c>
      <c r="AE40" s="1" t="str">
        <f t="shared" si="8"/>
        <v/>
      </c>
      <c r="AF40" s="1" t="str">
        <f t="shared" si="8"/>
        <v/>
      </c>
      <c r="AG40" s="1" t="str">
        <f t="shared" si="8"/>
        <v/>
      </c>
      <c r="AH40" s="1" t="str">
        <f t="shared" si="8"/>
        <v/>
      </c>
      <c r="AL40" s="14" t="s">
        <v>158</v>
      </c>
      <c r="AM40" s="14"/>
      <c r="AN40" s="14"/>
      <c r="AO40" s="14"/>
      <c r="AP40" s="14"/>
      <c r="AQ40" s="14"/>
      <c r="AR40" s="14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4.25" customHeight="1" x14ac:dyDescent="0.35">
      <c r="F41" s="1" t="str">
        <f>CHOOSE(WEEKDAY(F42,2),"L","M","X","J","V","S","D")</f>
        <v>J</v>
      </c>
      <c r="G41" s="1" t="str">
        <f t="shared" ref="G41:AH41" si="9">CHOOSE(WEEKDAY(G42,2),"L","M","X","J","V","S","D")</f>
        <v>V</v>
      </c>
      <c r="H41" s="1" t="str">
        <f t="shared" si="9"/>
        <v>S</v>
      </c>
      <c r="I41" s="1" t="str">
        <f t="shared" si="9"/>
        <v>D</v>
      </c>
      <c r="J41" s="1" t="str">
        <f t="shared" si="9"/>
        <v>L</v>
      </c>
      <c r="K41" s="1" t="str">
        <f t="shared" si="9"/>
        <v>M</v>
      </c>
      <c r="L41" s="1" t="str">
        <f t="shared" si="9"/>
        <v>X</v>
      </c>
      <c r="M41" s="1" t="str">
        <f t="shared" si="9"/>
        <v>J</v>
      </c>
      <c r="N41" s="1" t="str">
        <f t="shared" si="9"/>
        <v>V</v>
      </c>
      <c r="O41" s="1" t="str">
        <f t="shared" si="9"/>
        <v>S</v>
      </c>
      <c r="P41" s="1" t="str">
        <f t="shared" si="9"/>
        <v>D</v>
      </c>
      <c r="Q41" s="1" t="str">
        <f t="shared" si="9"/>
        <v>L</v>
      </c>
      <c r="R41" s="1" t="str">
        <f t="shared" si="9"/>
        <v>M</v>
      </c>
      <c r="S41" s="1" t="str">
        <f t="shared" si="9"/>
        <v>X</v>
      </c>
      <c r="T41" s="1" t="str">
        <f t="shared" si="9"/>
        <v>J</v>
      </c>
      <c r="U41" s="1" t="str">
        <f t="shared" si="9"/>
        <v>V</v>
      </c>
      <c r="V41" s="1" t="str">
        <f t="shared" si="9"/>
        <v>S</v>
      </c>
      <c r="W41" s="1" t="str">
        <f t="shared" si="9"/>
        <v>D</v>
      </c>
      <c r="X41" s="1" t="str">
        <f t="shared" si="9"/>
        <v>L</v>
      </c>
      <c r="Y41" s="1" t="str">
        <f t="shared" si="9"/>
        <v>M</v>
      </c>
      <c r="Z41" s="1" t="str">
        <f t="shared" si="9"/>
        <v>X</v>
      </c>
      <c r="AA41" s="1" t="str">
        <f t="shared" si="9"/>
        <v>J</v>
      </c>
      <c r="AB41" s="1" t="str">
        <f t="shared" si="9"/>
        <v>V</v>
      </c>
      <c r="AC41" s="1" t="str">
        <f t="shared" si="9"/>
        <v>S</v>
      </c>
      <c r="AD41" s="1" t="str">
        <f t="shared" si="9"/>
        <v>D</v>
      </c>
      <c r="AE41" s="1" t="str">
        <f t="shared" si="9"/>
        <v>L</v>
      </c>
      <c r="AF41" s="1" t="str">
        <f t="shared" si="9"/>
        <v>M</v>
      </c>
      <c r="AG41" s="1" t="str">
        <f t="shared" si="9"/>
        <v>X</v>
      </c>
      <c r="AH41" s="1" t="str">
        <f t="shared" si="9"/>
        <v>J</v>
      </c>
      <c r="AL41" s="4"/>
      <c r="AM41" s="4" t="s">
        <v>13</v>
      </c>
      <c r="AN41" s="4" t="s">
        <v>14</v>
      </c>
      <c r="AO41" s="4" t="s">
        <v>15</v>
      </c>
      <c r="AP41" s="4" t="s">
        <v>16</v>
      </c>
      <c r="AQ41" s="4" t="s">
        <v>17</v>
      </c>
      <c r="AR41" s="4" t="s">
        <v>7</v>
      </c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 ht="14.25" customHeight="1" x14ac:dyDescent="0.35">
      <c r="A42" s="3" t="s">
        <v>76</v>
      </c>
      <c r="B42" s="3" t="s">
        <v>77</v>
      </c>
      <c r="C42" s="3" t="s">
        <v>75</v>
      </c>
      <c r="D42" s="3" t="s">
        <v>74</v>
      </c>
      <c r="E42" s="1" t="s">
        <v>60</v>
      </c>
      <c r="F42" s="8">
        <v>45323</v>
      </c>
      <c r="G42" s="8">
        <v>45324</v>
      </c>
      <c r="H42" s="8">
        <v>45325</v>
      </c>
      <c r="I42" s="8">
        <v>45326</v>
      </c>
      <c r="J42" s="8">
        <v>45327</v>
      </c>
      <c r="K42" s="8">
        <v>45328</v>
      </c>
      <c r="L42" s="8">
        <v>45329</v>
      </c>
      <c r="M42" s="8">
        <v>45330</v>
      </c>
      <c r="N42" s="8">
        <v>45331</v>
      </c>
      <c r="O42" s="8">
        <v>45332</v>
      </c>
      <c r="P42" s="8">
        <v>45333</v>
      </c>
      <c r="Q42" s="8">
        <v>45334</v>
      </c>
      <c r="R42" s="8">
        <v>45335</v>
      </c>
      <c r="S42" s="8">
        <v>45336</v>
      </c>
      <c r="T42" s="8">
        <v>45337</v>
      </c>
      <c r="U42" s="8">
        <v>45338</v>
      </c>
      <c r="V42" s="8">
        <v>45339</v>
      </c>
      <c r="W42" s="8">
        <v>45340</v>
      </c>
      <c r="X42" s="8">
        <v>45341</v>
      </c>
      <c r="Y42" s="8">
        <v>45342</v>
      </c>
      <c r="Z42" s="8">
        <v>45343</v>
      </c>
      <c r="AA42" s="8">
        <v>45344</v>
      </c>
      <c r="AB42" s="8">
        <v>45345</v>
      </c>
      <c r="AC42" s="8">
        <v>45346</v>
      </c>
      <c r="AD42" s="8">
        <v>45347</v>
      </c>
      <c r="AE42" s="8">
        <v>45348</v>
      </c>
      <c r="AF42" s="8">
        <v>45349</v>
      </c>
      <c r="AG42" s="8">
        <v>45350</v>
      </c>
      <c r="AH42" s="8">
        <v>45351</v>
      </c>
      <c r="AL42" s="4" t="s">
        <v>19</v>
      </c>
      <c r="AM42" s="6" cm="1">
        <f t="array" ref="AM42">IFERROR((SUMPRODUCT(($C$43:$C$66=AM$41)*($F$39:$AH$39="")*$F$43:$AH$66)+IF(AM$41="P3",SUMPRODUCT(($F$39:$AH$39="P3")*$F$43:$AH$66),0))/(SUMPRODUCT(($C$43:$C$66=AM$41)*($F$39:$AH$39=""))+IF(AM$41="P3",COUNTIF($F$39:$AH$39,"P3")*ROWS($C$43:$C$66),0)),"")</f>
        <v>1.1434288690476189</v>
      </c>
      <c r="AN42" s="6" cm="1">
        <f t="array" ref="AN42">IFERROR((SUMPRODUCT(($C$43:$C$66=AN$41)*($F$39:$AH$39="")*$F$43:$AH$66)+IF(AN$41="P3",SUMPRODUCT(($F$39:$AH$39="P3")*$F$43:$AH$66),0))/(SUMPRODUCT(($C$43:$C$66=AN$41)*($F$39:$AH$39=""))+IF(AN$41="P3",COUNTIF($F$39:$AH$39,"P3")*ROWS($C$43:$C$66),0)),"")</f>
        <v>1.1935183928571431</v>
      </c>
      <c r="AO42" s="6" cm="1">
        <f t="array" ref="AO42">IFERROR((SUMPRODUCT(($C$43:$C$66=AO$41)*($F$39:$AH$39="")*$F$43:$AH$66)+IF(AO$41="P3",SUMPRODUCT(($F$39:$AH$39="P3")*$F$43:$AH$66),0))/(SUMPRODUCT(($C$43:$C$66=AO$41)*($F$39:$AH$39=""))+IF(AO$41="P3",COUNTIF($F$39:$AH$39,"P3")*ROWS($C$43:$C$66),0)),"")</f>
        <v>1.2771996388888882</v>
      </c>
      <c r="AP42" s="6" t="str" cm="1">
        <f t="array" ref="AP42">IFERROR((SUMPRODUCT(($C$43:$C$66=AP$41)*($F$39:$AH$39="")*$F$43:$AH$66)+IF(AP$41="P3",SUMPRODUCT(($F$39:$AH$39="P3")*$F$43:$AH$66),0))/(SUMPRODUCT(($C$43:$C$66=AP$41)*($F$39:$AH$39=""))+IF(AP$41="P3",COUNTIF($F$39:$AH$39,"P3")*ROWS($C$43:$C$66),0)),"")</f>
        <v/>
      </c>
      <c r="AQ42" s="6" t="str" cm="1">
        <f t="array" ref="AQ42">IFERROR((SUMPRODUCT(($C$43:$C$66=AQ$41)*($F$39:$AH$39="")*$F$43:$AH$66)+IF(AQ$41="P3",SUMPRODUCT(($F$39:$AH$39="P3")*$F$43:$AH$66),0))/(SUMPRODUCT(($C$43:$C$66=AQ$41)*($F$39:$AH$39=""))+IF(AQ$41="P3",COUNTIF($F$39:$AH$39,"P3")*ROWS($C$43:$C$66),0)),"")</f>
        <v/>
      </c>
      <c r="AR42" s="6" t="str" cm="1">
        <f t="array" ref="AR42">IFERROR((SUMPRODUCT(($C$43:$C$66=AR$41)*($F$39:$AH$39="")*$F$43:$AH$66)+IF(AR$41="P3",SUMPRODUCT(($F$39:$AH$39="P3")*$F$43:$AH$66),0))/(SUMPRODUCT(($C$43:$C$66=AR$41)*($F$39:$AH$39=""))+IF(AR$41="P3",COUNTIF($F$39:$AH$39,"P3")*ROWS($C$43:$C$66),0)),"")</f>
        <v/>
      </c>
      <c r="BB42" s="10"/>
      <c r="BC42" s="13" t="s">
        <v>203</v>
      </c>
      <c r="BD42" s="13"/>
      <c r="BE42" s="13"/>
      <c r="BF42" s="13"/>
      <c r="BG42" s="13"/>
      <c r="BH42" s="13"/>
      <c r="BI42" s="13"/>
      <c r="BJ42" s="10"/>
    </row>
    <row r="43" spans="1:62" ht="14.25" customHeight="1" x14ac:dyDescent="0.35">
      <c r="A43" s="1" t="s">
        <v>7</v>
      </c>
      <c r="B43" s="1" t="s">
        <v>7</v>
      </c>
      <c r="C43" s="1" t="s">
        <v>15</v>
      </c>
      <c r="D43" s="1" t="s">
        <v>7</v>
      </c>
      <c r="E43" s="1" t="s">
        <v>8</v>
      </c>
      <c r="F43" s="1">
        <v>1.30453</v>
      </c>
      <c r="G43" s="1">
        <v>1.25563</v>
      </c>
      <c r="H43" s="1">
        <v>1.28664</v>
      </c>
      <c r="I43" s="1">
        <v>1.3280799999999999</v>
      </c>
      <c r="J43" s="1">
        <v>1.3092900000000001</v>
      </c>
      <c r="K43" s="1">
        <v>1.27047</v>
      </c>
      <c r="L43" s="1">
        <v>1.2758100000000001</v>
      </c>
      <c r="M43" s="1">
        <v>1.30453</v>
      </c>
      <c r="N43" s="1">
        <v>1.25563</v>
      </c>
      <c r="O43" s="1">
        <v>1.28664</v>
      </c>
      <c r="P43" s="1">
        <v>1.3280799999999999</v>
      </c>
      <c r="Q43" s="1">
        <v>1.3092900000000001</v>
      </c>
      <c r="R43" s="1">
        <v>1.27047</v>
      </c>
      <c r="S43" s="1">
        <v>1.2758100000000001</v>
      </c>
      <c r="T43" s="1">
        <v>1.30453</v>
      </c>
      <c r="U43" s="1">
        <v>1.25563</v>
      </c>
      <c r="V43" s="1">
        <v>1.28664</v>
      </c>
      <c r="W43" s="1">
        <v>1.3280799999999999</v>
      </c>
      <c r="X43" s="1">
        <v>1.3092900000000001</v>
      </c>
      <c r="Y43" s="1">
        <v>1.27047</v>
      </c>
      <c r="Z43" s="1">
        <v>1.2758100000000001</v>
      </c>
      <c r="AA43" s="1">
        <v>1.30453</v>
      </c>
      <c r="AB43" s="1">
        <v>1.25563</v>
      </c>
      <c r="AC43" s="1">
        <v>1.28664</v>
      </c>
      <c r="AD43" s="1">
        <v>1.3280799999999999</v>
      </c>
      <c r="AE43" s="1">
        <v>1.3092900000000001</v>
      </c>
      <c r="AF43" s="1">
        <v>1.27047</v>
      </c>
      <c r="AG43" s="1">
        <v>1.2758100000000001</v>
      </c>
      <c r="AH43" s="1">
        <v>1.30453</v>
      </c>
      <c r="AL43" s="4" t="s">
        <v>21</v>
      </c>
      <c r="AM43" s="6" cm="1">
        <f t="array" ref="AM43">IFERROR((SUMPRODUCT(($D$43:$D$66=AM$41)*($F$40:$AH$40="")*$F$43:$AH$66)+IF(AM$41="P6",SUMPRODUCT(($F$40:$AH$40="P6")*$F$43:$AH$66),0))/(SUMPRODUCT(($D$43:$D$66=AM$41)*($F$40:$AH$40=""))+IF(AM$41="P6",COUNTIF($F$40:$AH$40,"P6")*ROWS($D$43:$D$66),0)),"")</f>
        <v>1.1471486772486768</v>
      </c>
      <c r="AN43" s="6" cm="1">
        <f t="array" ref="AN43">IFERROR((SUMPRODUCT(($D$43:$D$66=AN$41)*($F$40:$AH$40="")*$F$43:$AH$66)+IF(AN$41="P6",SUMPRODUCT(($F$40:$AH$40="P6")*$F$43:$AH$66),0))/(SUMPRODUCT(($D$43:$D$66=AN$41)*($F$40:$AH$40=""))+IF(AN$41="P6",COUNTIF($F$40:$AH$40,"P6")*ROWS($D$43:$D$66),0)),"")</f>
        <v>1.1958914285714293</v>
      </c>
      <c r="AO43" s="6" t="str" cm="1">
        <f t="array" ref="AO43">IFERROR((SUMPRODUCT(($D$43:$D$66=AO$41)*($F$40:$AH$40="")*$F$43:$AH$66)+IF(AO$41="P6",SUMPRODUCT(($F$40:$AH$40="P6")*$F$43:$AH$66),0))/(SUMPRODUCT(($D$43:$D$66=AO$41)*($F$40:$AH$40=""))+IF(AO$41="P6",COUNTIF($F$40:$AH$40,"P6")*ROWS($D$43:$D$66),0)),"")</f>
        <v/>
      </c>
      <c r="AP43" s="6" t="str" cm="1">
        <f t="array" ref="AP43">IFERROR((SUMPRODUCT(($D$43:$D$66=AP$41)*($F$40:$AH$40="")*$F$43:$AH$66)+IF(AP$41="P6",SUMPRODUCT(($F$40:$AH$40="P6")*$F$43:$AH$66),0))/(SUMPRODUCT(($D$43:$D$66=AP$41)*($F$40:$AH$40=""))+IF(AP$41="P6",COUNTIF($F$40:$AH$40,"P6")*ROWS($D$43:$D$66),0)),"")</f>
        <v/>
      </c>
      <c r="AQ43" s="6" t="str" cm="1">
        <f t="array" ref="AQ43">IFERROR((SUMPRODUCT(($D$43:$D$66=AQ$41)*($F$40:$AH$40="")*$F$43:$AH$66)+IF(AQ$41="P6",SUMPRODUCT(($F$40:$AH$40="P6")*$F$43:$AH$66),0))/(SUMPRODUCT(($D$43:$D$66=AQ$41)*($F$40:$AH$40=""))+IF(AQ$41="P6",COUNTIF($F$40:$AH$40,"P6")*ROWS($D$43:$D$66),0)),"")</f>
        <v/>
      </c>
      <c r="AR43" s="6" cm="1">
        <f t="array" ref="AR43">IFERROR((SUMPRODUCT(($D$43:$D$66=AR$41)*($F$40:$AH$40="")*$F$43:$AH$66)+IF(AR$41="P6",SUMPRODUCT(($F$40:$AH$40="P6")*$F$43:$AH$66),0))/(SUMPRODUCT(($D$43:$D$66=AR$41)*($F$40:$AH$40=""))+IF(AR$41="P6",COUNTIF($F$40:$AH$40,"P6")*ROWS($D$43:$D$66),0)),"")</f>
        <v>1.2771996388888882</v>
      </c>
      <c r="BB43" s="10"/>
      <c r="BC43" s="4"/>
      <c r="BD43" s="4" t="s">
        <v>13</v>
      </c>
      <c r="BE43" s="4" t="s">
        <v>14</v>
      </c>
      <c r="BF43" s="4" t="s">
        <v>15</v>
      </c>
      <c r="BG43" s="4" t="s">
        <v>16</v>
      </c>
      <c r="BH43" s="4" t="s">
        <v>17</v>
      </c>
      <c r="BI43" s="4" t="s">
        <v>7</v>
      </c>
      <c r="BJ43" s="10"/>
    </row>
    <row r="44" spans="1:62" ht="14.25" customHeight="1" x14ac:dyDescent="0.35">
      <c r="A44" s="1" t="s">
        <v>7</v>
      </c>
      <c r="B44" s="1" t="s">
        <v>7</v>
      </c>
      <c r="C44" s="1" t="s">
        <v>15</v>
      </c>
      <c r="D44" s="1" t="s">
        <v>7</v>
      </c>
      <c r="E44" s="1" t="s">
        <v>9</v>
      </c>
      <c r="F44" s="1">
        <v>1.35632</v>
      </c>
      <c r="G44" s="1">
        <v>1.3096300000000001</v>
      </c>
      <c r="H44" s="1">
        <v>1.3400099999999999</v>
      </c>
      <c r="I44" s="1">
        <v>1.38893</v>
      </c>
      <c r="J44" s="1">
        <v>1.3884000000000001</v>
      </c>
      <c r="K44" s="1">
        <v>1.3349599999999999</v>
      </c>
      <c r="L44" s="1">
        <v>1.3213999999999999</v>
      </c>
      <c r="M44" s="1">
        <v>1.35632</v>
      </c>
      <c r="N44" s="1">
        <v>1.3096300000000001</v>
      </c>
      <c r="O44" s="1">
        <v>1.3400099999999999</v>
      </c>
      <c r="P44" s="1">
        <v>1.38893</v>
      </c>
      <c r="Q44" s="1">
        <v>1.3884000000000001</v>
      </c>
      <c r="R44" s="1">
        <v>1.3349599999999999</v>
      </c>
      <c r="S44" s="1">
        <v>1.3213999999999999</v>
      </c>
      <c r="T44" s="1">
        <v>1.35632</v>
      </c>
      <c r="U44" s="1">
        <v>1.3096300000000001</v>
      </c>
      <c r="V44" s="1">
        <v>1.3400099999999999</v>
      </c>
      <c r="W44" s="1">
        <v>1.38893</v>
      </c>
      <c r="X44" s="1">
        <v>1.3884000000000001</v>
      </c>
      <c r="Y44" s="1">
        <v>1.3349599999999999</v>
      </c>
      <c r="Z44" s="1">
        <v>1.3213999999999999</v>
      </c>
      <c r="AA44" s="1">
        <v>1.35632</v>
      </c>
      <c r="AB44" s="1">
        <v>1.3096300000000001</v>
      </c>
      <c r="AC44" s="1">
        <v>1.3400099999999999</v>
      </c>
      <c r="AD44" s="1">
        <v>1.38893</v>
      </c>
      <c r="AE44" s="1">
        <v>1.3884000000000001</v>
      </c>
      <c r="AF44" s="1">
        <v>1.3349599999999999</v>
      </c>
      <c r="AG44" s="1">
        <v>1.3213999999999999</v>
      </c>
      <c r="AH44" s="1">
        <v>1.35632</v>
      </c>
      <c r="AL44" s="4" t="s">
        <v>23</v>
      </c>
      <c r="AM44" s="6" cm="1">
        <f t="array" ref="AM44">IFERROR((SUMPRODUCT(($D$43:$D$66=AM$41)*($F$40:$AH$40="")*$F$43:$AH$66)+IF(AM$41="P6",SUMPRODUCT(($F$40:$AH$40="P6")*$F$43:$AH$66),0))/(SUMPRODUCT(($D$43:$D$66=AM$41)*($F$40:$AH$40=""))+IF(AM$41="P6",COUNTIF($F$40:$AH$40,"P6")*ROWS($D$43:$D$66),0)),"")</f>
        <v>1.1471486772486768</v>
      </c>
      <c r="AN44" s="6" cm="1">
        <f t="array" ref="AN44">IFERROR((SUMPRODUCT(($D$43:$D$66=AN$41)*($F$40:$AH$40="")*$F$43:$AH$66)+IF(AN$41="P6",SUMPRODUCT(($F$40:$AH$40="P6")*$F$43:$AH$66),0))/(SUMPRODUCT(($D$43:$D$66=AN$41)*($F$40:$AH$40=""))+IF(AN$41="P6",COUNTIF($F$40:$AH$40,"P6")*ROWS($D$43:$D$66),0)),"")</f>
        <v>1.1958914285714293</v>
      </c>
      <c r="AO44" s="6" t="str" cm="1">
        <f t="array" ref="AO44">IFERROR((SUMPRODUCT(($D$43:$D$66=AO$41)*($F$40:$AH$40="")*$F$43:$AH$66)+IF(AO$41="P6",SUMPRODUCT(($F$40:$AH$40="P6")*$F$43:$AH$66),0))/(SUMPRODUCT(($D$43:$D$66=AO$41)*($F$40:$AH$40=""))+IF(AO$41="P6",COUNTIF($F$40:$AH$40,"P6")*ROWS($D$43:$D$66),0)),"")</f>
        <v/>
      </c>
      <c r="AP44" s="6" t="str" cm="1">
        <f t="array" ref="AP44">IFERROR((SUMPRODUCT(($D$43:$D$66=AP$41)*($F$40:$AH$40="")*$F$43:$AH$66)+IF(AP$41="P6",SUMPRODUCT(($F$40:$AH$40="P6")*$F$43:$AH$66),0))/(SUMPRODUCT(($D$43:$D$66=AP$41)*($F$40:$AH$40=""))+IF(AP$41="P6",COUNTIF($F$40:$AH$40,"P6")*ROWS($D$43:$D$66),0)),"")</f>
        <v/>
      </c>
      <c r="AQ44" s="6" t="str" cm="1">
        <f t="array" ref="AQ44">IFERROR((SUMPRODUCT(($D$43:$D$66=AQ$41)*($F$40:$AH$40="")*$F$43:$AH$66)+IF(AQ$41="P6",SUMPRODUCT(($F$40:$AH$40="P6")*$F$43:$AH$66),0))/(SUMPRODUCT(($D$43:$D$66=AQ$41)*($F$40:$AH$40=""))+IF(AQ$41="P6",COUNTIF($F$40:$AH$40,"P6")*ROWS($D$43:$D$66),0)),"")</f>
        <v/>
      </c>
      <c r="AR44" s="6" cm="1">
        <f t="array" ref="AR44">IFERROR((SUMPRODUCT(($D$43:$D$66=AR$41)*($F$40:$AH$40="")*$F$43:$AH$66)+IF(AR$41="P6",SUMPRODUCT(($F$40:$AH$40="P6")*$F$43:$AH$66),0))/(SUMPRODUCT(($D$43:$D$66=AR$41)*($F$40:$AH$40=""))+IF(AR$41="P6",COUNTIF($F$40:$AH$40,"P6")*ROWS($D$43:$D$66),0)),"")</f>
        <v>1.2771996388888882</v>
      </c>
      <c r="BB44" s="10"/>
      <c r="BC44" s="4" t="s">
        <v>19</v>
      </c>
      <c r="BD44" s="6">
        <f>AVERAGE(AM27,AM62,AM97,AM132,AM167,AM202,AM237,AM272,AM307,AM342,AM377,AM412)</f>
        <v>0.99438191962325106</v>
      </c>
      <c r="BE44" s="6">
        <f t="shared" ref="BE44:BI49" si="10">AVERAGE(AN27,AN62,AN97,AN132,AN167,AN202,AN237,AN272,AN307,AN342,AN377,AN412)</f>
        <v>1.0671415106039042</v>
      </c>
      <c r="BF44" s="6">
        <f t="shared" si="10"/>
        <v>1.0790150296930847</v>
      </c>
      <c r="BG44" s="6"/>
      <c r="BH44" s="6"/>
      <c r="BI44" s="6"/>
      <c r="BJ44" s="10"/>
    </row>
    <row r="45" spans="1:62" ht="14.25" customHeight="1" x14ac:dyDescent="0.35">
      <c r="A45" s="1" t="s">
        <v>7</v>
      </c>
      <c r="B45" s="1" t="s">
        <v>7</v>
      </c>
      <c r="C45" s="1" t="s">
        <v>15</v>
      </c>
      <c r="D45" s="1" t="s">
        <v>7</v>
      </c>
      <c r="E45" s="1" t="s">
        <v>10</v>
      </c>
      <c r="F45" s="1">
        <v>1.3927099999999999</v>
      </c>
      <c r="G45" s="1">
        <v>1.3221099999999999</v>
      </c>
      <c r="H45" s="1">
        <v>1.3732899999999999</v>
      </c>
      <c r="I45" s="1">
        <v>1.4365000000000001</v>
      </c>
      <c r="J45" s="1">
        <v>1.3971800000000001</v>
      </c>
      <c r="K45" s="1">
        <v>1.35633</v>
      </c>
      <c r="L45" s="1">
        <v>1.34629</v>
      </c>
      <c r="M45" s="1">
        <v>1.3927099999999999</v>
      </c>
      <c r="N45" s="1">
        <v>1.3221099999999999</v>
      </c>
      <c r="O45" s="1">
        <v>1.3732899999999999</v>
      </c>
      <c r="P45" s="1">
        <v>1.4365000000000001</v>
      </c>
      <c r="Q45" s="1">
        <v>1.3971800000000001</v>
      </c>
      <c r="R45" s="1">
        <v>1.35633</v>
      </c>
      <c r="S45" s="1">
        <v>1.34629</v>
      </c>
      <c r="T45" s="1">
        <v>1.3927099999999999</v>
      </c>
      <c r="U45" s="1">
        <v>1.3221099999999999</v>
      </c>
      <c r="V45" s="1">
        <v>1.3732899999999999</v>
      </c>
      <c r="W45" s="1">
        <v>1.4365000000000001</v>
      </c>
      <c r="X45" s="1">
        <v>1.3971800000000001</v>
      </c>
      <c r="Y45" s="1">
        <v>1.35633</v>
      </c>
      <c r="Z45" s="1">
        <v>1.34629</v>
      </c>
      <c r="AA45" s="1">
        <v>1.3927099999999999</v>
      </c>
      <c r="AB45" s="1">
        <v>1.3221099999999999</v>
      </c>
      <c r="AC45" s="1">
        <v>1.3732899999999999</v>
      </c>
      <c r="AD45" s="1">
        <v>1.4365000000000001</v>
      </c>
      <c r="AE45" s="1">
        <v>1.3971800000000001</v>
      </c>
      <c r="AF45" s="1">
        <v>1.35633</v>
      </c>
      <c r="AG45" s="1">
        <v>1.34629</v>
      </c>
      <c r="AH45" s="1">
        <v>1.3927099999999999</v>
      </c>
      <c r="AL45" s="4" t="s">
        <v>25</v>
      </c>
      <c r="AM45" s="6" cm="1">
        <f t="array" ref="AM45">IFERROR((SUMPRODUCT(($D$43:$D$66=AM$41)*($F$40:$AH$40="")*$F$43:$AH$66)+IF(AM$41="P6",SUMPRODUCT(($F$40:$AH$40="P6")*$F$43:$AH$66),0))/(SUMPRODUCT(($D$43:$D$66=AM$41)*($F$40:$AH$40=""))+IF(AM$41="P6",COUNTIF($F$40:$AH$40,"P6")*ROWS($D$43:$D$66),0)),"")</f>
        <v>1.1471486772486768</v>
      </c>
      <c r="AN45" s="6" cm="1">
        <f t="array" ref="AN45">IFERROR((SUMPRODUCT(($D$43:$D$66=AN$41)*($F$40:$AH$40="")*$F$43:$AH$66)+IF(AN$41="P6",SUMPRODUCT(($F$40:$AH$40="P6")*$F$43:$AH$66),0))/(SUMPRODUCT(($D$43:$D$66=AN$41)*($F$40:$AH$40=""))+IF(AN$41="P6",COUNTIF($F$40:$AH$40,"P6")*ROWS($D$43:$D$66),0)),"")</f>
        <v>1.1958914285714293</v>
      </c>
      <c r="AO45" s="6" t="str" cm="1">
        <f t="array" ref="AO45">IFERROR((SUMPRODUCT(($D$43:$D$66=AO$41)*($F$40:$AH$40="")*$F$43:$AH$66)+IF(AO$41="P6",SUMPRODUCT(($F$40:$AH$40="P6")*$F$43:$AH$66),0))/(SUMPRODUCT(($D$43:$D$66=AO$41)*($F$40:$AH$40=""))+IF(AO$41="P6",COUNTIF($F$40:$AH$40,"P6")*ROWS($D$43:$D$66),0)),"")</f>
        <v/>
      </c>
      <c r="AP45" s="6" t="str" cm="1">
        <f t="array" ref="AP45">IFERROR((SUMPRODUCT(($D$43:$D$66=AP$41)*($F$40:$AH$40="")*$F$43:$AH$66)+IF(AP$41="P6",SUMPRODUCT(($F$40:$AH$40="P6")*$F$43:$AH$66),0))/(SUMPRODUCT(($D$43:$D$66=AP$41)*($F$40:$AH$40=""))+IF(AP$41="P6",COUNTIF($F$40:$AH$40,"P6")*ROWS($D$43:$D$66),0)),"")</f>
        <v/>
      </c>
      <c r="AQ45" s="6" t="str" cm="1">
        <f t="array" ref="AQ45">IFERROR((SUMPRODUCT(($D$43:$D$66=AQ$41)*($F$40:$AH$40="")*$F$43:$AH$66)+IF(AQ$41="P6",SUMPRODUCT(($F$40:$AH$40="P6")*$F$43:$AH$66),0))/(SUMPRODUCT(($D$43:$D$66=AQ$41)*($F$40:$AH$40=""))+IF(AQ$41="P6",COUNTIF($F$40:$AH$40,"P6")*ROWS($D$43:$D$66),0)),"")</f>
        <v/>
      </c>
      <c r="AR45" s="6" cm="1">
        <f t="array" ref="AR45">IFERROR((SUMPRODUCT(($D$43:$D$66=AR$41)*($F$40:$AH$40="")*$F$43:$AH$66)+IF(AR$41="P6",SUMPRODUCT(($F$40:$AH$40="P6")*$F$43:$AH$66),0))/(SUMPRODUCT(($D$43:$D$66=AR$41)*($F$40:$AH$40=""))+IF(AR$41="P6",COUNTIF($F$40:$AH$40,"P6")*ROWS($D$43:$D$66),0)),"")</f>
        <v>1.2771996388888882</v>
      </c>
      <c r="BB45" s="10"/>
      <c r="BC45" s="4" t="s">
        <v>21</v>
      </c>
      <c r="BD45" s="6">
        <f t="shared" ref="BD45:BD49" si="11">AVERAGE(AM28,AM63,AM98,AM133,AM168,AM203,AM238,AM273,AM308,AM343,AM378,AM413)</f>
        <v>0.88960231297446524</v>
      </c>
      <c r="BE45" s="6">
        <f t="shared" si="10"/>
        <v>0.92299978484191214</v>
      </c>
      <c r="BF45" s="6">
        <f t="shared" si="10"/>
        <v>1.1300754162055333</v>
      </c>
      <c r="BG45" s="6">
        <f t="shared" si="10"/>
        <v>1.1184656026477933</v>
      </c>
      <c r="BH45" s="6">
        <f t="shared" si="10"/>
        <v>1.1351868674500099</v>
      </c>
      <c r="BI45" s="6">
        <f t="shared" si="10"/>
        <v>1.0790150296930847</v>
      </c>
      <c r="BJ45" s="10"/>
    </row>
    <row r="46" spans="1:62" ht="14.25" customHeight="1" x14ac:dyDescent="0.35">
      <c r="A46" s="1" t="s">
        <v>7</v>
      </c>
      <c r="B46" s="1" t="s">
        <v>7</v>
      </c>
      <c r="C46" s="1" t="s">
        <v>15</v>
      </c>
      <c r="D46" s="1" t="s">
        <v>7</v>
      </c>
      <c r="E46" s="1" t="s">
        <v>11</v>
      </c>
      <c r="F46" s="1">
        <v>1.40246</v>
      </c>
      <c r="G46" s="1">
        <v>1.3423700000000001</v>
      </c>
      <c r="H46" s="1">
        <v>1.37696</v>
      </c>
      <c r="I46" s="1">
        <v>1.47095</v>
      </c>
      <c r="J46" s="1">
        <v>1.41092</v>
      </c>
      <c r="K46" s="1">
        <v>1.3758900000000001</v>
      </c>
      <c r="L46" s="1">
        <v>1.3648100000000001</v>
      </c>
      <c r="M46" s="1">
        <v>1.40246</v>
      </c>
      <c r="N46" s="1">
        <v>1.3423700000000001</v>
      </c>
      <c r="O46" s="1">
        <v>1.37696</v>
      </c>
      <c r="P46" s="1">
        <v>1.47095</v>
      </c>
      <c r="Q46" s="1">
        <v>1.41092</v>
      </c>
      <c r="R46" s="1">
        <v>1.3758900000000001</v>
      </c>
      <c r="S46" s="1">
        <v>1.3648100000000001</v>
      </c>
      <c r="T46" s="1">
        <v>1.40246</v>
      </c>
      <c r="U46" s="1">
        <v>1.3423700000000001</v>
      </c>
      <c r="V46" s="1">
        <v>1.37696</v>
      </c>
      <c r="W46" s="1">
        <v>1.47095</v>
      </c>
      <c r="X46" s="1">
        <v>1.41092</v>
      </c>
      <c r="Y46" s="1">
        <v>1.3758900000000001</v>
      </c>
      <c r="Z46" s="1">
        <v>1.3648100000000001</v>
      </c>
      <c r="AA46" s="1">
        <v>1.40246</v>
      </c>
      <c r="AB46" s="1">
        <v>1.3423700000000001</v>
      </c>
      <c r="AC46" s="1">
        <v>1.37696</v>
      </c>
      <c r="AD46" s="1">
        <v>1.47095</v>
      </c>
      <c r="AE46" s="1">
        <v>1.41092</v>
      </c>
      <c r="AF46" s="1">
        <v>1.3758900000000001</v>
      </c>
      <c r="AG46" s="1">
        <v>1.3648100000000001</v>
      </c>
      <c r="AH46" s="1">
        <v>1.40246</v>
      </c>
      <c r="AL46" s="4" t="s">
        <v>27</v>
      </c>
      <c r="AM46" s="6" cm="1">
        <f t="array" ref="AM46">IFERROR((SUMPRODUCT(($D$43:$D$66=AM$41)*($F$40:$AH$40="")*$F$43:$AH$66)+IF(AM$41="P6",SUMPRODUCT(($F$40:$AH$40="P6")*$F$43:$AH$66),0))/(SUMPRODUCT(($D$43:$D$66=AM$41)*($F$40:$AH$40=""))+IF(AM$41="P6",COUNTIF($F$40:$AH$40,"P6")*ROWS($D$43:$D$66),0)),"")</f>
        <v>1.1471486772486768</v>
      </c>
      <c r="AN46" s="6" cm="1">
        <f t="array" ref="AN46">IFERROR((SUMPRODUCT(($D$43:$D$66=AN$41)*($F$40:$AH$40="")*$F$43:$AH$66)+IF(AN$41="P6",SUMPRODUCT(($F$40:$AH$40="P6")*$F$43:$AH$66),0))/(SUMPRODUCT(($D$43:$D$66=AN$41)*($F$40:$AH$40=""))+IF(AN$41="P6",COUNTIF($F$40:$AH$40,"P6")*ROWS($D$43:$D$66),0)),"")</f>
        <v>1.1958914285714293</v>
      </c>
      <c r="AO46" s="6" t="str" cm="1">
        <f t="array" ref="AO46">IFERROR((SUMPRODUCT(($D$43:$D$66=AO$41)*($F$40:$AH$40="")*$F$43:$AH$66)+IF(AO$41="P6",SUMPRODUCT(($F$40:$AH$40="P6")*$F$43:$AH$66),0))/(SUMPRODUCT(($D$43:$D$66=AO$41)*($F$40:$AH$40=""))+IF(AO$41="P6",COUNTIF($F$40:$AH$40,"P6")*ROWS($D$43:$D$66),0)),"")</f>
        <v/>
      </c>
      <c r="AP46" s="6" t="str" cm="1">
        <f t="array" ref="AP46">IFERROR((SUMPRODUCT(($D$43:$D$66=AP$41)*($F$40:$AH$40="")*$F$43:$AH$66)+IF(AP$41="P6",SUMPRODUCT(($F$40:$AH$40="P6")*$F$43:$AH$66),0))/(SUMPRODUCT(($D$43:$D$66=AP$41)*($F$40:$AH$40=""))+IF(AP$41="P6",COUNTIF($F$40:$AH$40,"P6")*ROWS($D$43:$D$66),0)),"")</f>
        <v/>
      </c>
      <c r="AQ46" s="6" t="str" cm="1">
        <f t="array" ref="AQ46">IFERROR((SUMPRODUCT(($D$43:$D$66=AQ$41)*($F$40:$AH$40="")*$F$43:$AH$66)+IF(AQ$41="P6",SUMPRODUCT(($F$40:$AH$40="P6")*$F$43:$AH$66),0))/(SUMPRODUCT(($D$43:$D$66=AQ$41)*($F$40:$AH$40=""))+IF(AQ$41="P6",COUNTIF($F$40:$AH$40,"P6")*ROWS($D$43:$D$66),0)),"")</f>
        <v/>
      </c>
      <c r="AR46" s="6" cm="1">
        <f t="array" ref="AR46">IFERROR((SUMPRODUCT(($D$43:$D$66=AR$41)*($F$40:$AH$40="")*$F$43:$AH$66)+IF(AR$41="P6",SUMPRODUCT(($F$40:$AH$40="P6")*$F$43:$AH$66),0))/(SUMPRODUCT(($D$43:$D$66=AR$41)*($F$40:$AH$40=""))+IF(AR$41="P6",COUNTIF($F$40:$AH$40,"P6")*ROWS($D$43:$D$66),0)),"")</f>
        <v>1.2771996388888882</v>
      </c>
      <c r="BB46" s="10"/>
      <c r="BC46" s="4" t="s">
        <v>23</v>
      </c>
      <c r="BD46" s="6">
        <f t="shared" si="11"/>
        <v>0.88960231297446524</v>
      </c>
      <c r="BE46" s="6">
        <f t="shared" si="10"/>
        <v>0.92299978484191214</v>
      </c>
      <c r="BF46" s="6">
        <f t="shared" si="10"/>
        <v>1.1300754162055333</v>
      </c>
      <c r="BG46" s="6">
        <f t="shared" si="10"/>
        <v>1.1184656026477933</v>
      </c>
      <c r="BH46" s="6">
        <f t="shared" si="10"/>
        <v>1.1351868674500099</v>
      </c>
      <c r="BI46" s="6">
        <f t="shared" si="10"/>
        <v>1.0790150296930847</v>
      </c>
      <c r="BJ46" s="10"/>
    </row>
    <row r="47" spans="1:62" ht="14.25" customHeight="1" x14ac:dyDescent="0.35">
      <c r="A47" s="1" t="s">
        <v>7</v>
      </c>
      <c r="B47" s="1" t="s">
        <v>7</v>
      </c>
      <c r="C47" s="1" t="s">
        <v>15</v>
      </c>
      <c r="D47" s="1" t="s">
        <v>7</v>
      </c>
      <c r="E47" s="1" t="s">
        <v>12</v>
      </c>
      <c r="F47" s="1">
        <v>1.39252</v>
      </c>
      <c r="G47" s="1">
        <v>1.3413900000000001</v>
      </c>
      <c r="H47" s="1">
        <v>1.3993500000000001</v>
      </c>
      <c r="I47" s="1">
        <v>1.49675</v>
      </c>
      <c r="J47" s="1">
        <v>1.3992100000000001</v>
      </c>
      <c r="K47" s="1">
        <v>1.36877</v>
      </c>
      <c r="L47" s="1">
        <v>1.3670199999999999</v>
      </c>
      <c r="M47" s="1">
        <v>1.39252</v>
      </c>
      <c r="N47" s="1">
        <v>1.3413900000000001</v>
      </c>
      <c r="O47" s="1">
        <v>1.3993500000000001</v>
      </c>
      <c r="P47" s="1">
        <v>1.49675</v>
      </c>
      <c r="Q47" s="1">
        <v>1.3992100000000001</v>
      </c>
      <c r="R47" s="1">
        <v>1.36877</v>
      </c>
      <c r="S47" s="1">
        <v>1.3670199999999999</v>
      </c>
      <c r="T47" s="1">
        <v>1.39252</v>
      </c>
      <c r="U47" s="1">
        <v>1.3413900000000001</v>
      </c>
      <c r="V47" s="1">
        <v>1.3993500000000001</v>
      </c>
      <c r="W47" s="1">
        <v>1.49675</v>
      </c>
      <c r="X47" s="1">
        <v>1.3992100000000001</v>
      </c>
      <c r="Y47" s="1">
        <v>1.36877</v>
      </c>
      <c r="Z47" s="1">
        <v>1.3670199999999999</v>
      </c>
      <c r="AA47" s="1">
        <v>1.39252</v>
      </c>
      <c r="AB47" s="1">
        <v>1.3413900000000001</v>
      </c>
      <c r="AC47" s="1">
        <v>1.3993500000000001</v>
      </c>
      <c r="AD47" s="1">
        <v>1.49675</v>
      </c>
      <c r="AE47" s="1">
        <v>1.3992100000000001</v>
      </c>
      <c r="AF47" s="1">
        <v>1.36877</v>
      </c>
      <c r="AG47" s="1">
        <v>1.3670199999999999</v>
      </c>
      <c r="AH47" s="1">
        <v>1.39252</v>
      </c>
      <c r="AL47" s="4" t="s">
        <v>29</v>
      </c>
      <c r="AM47" s="6" cm="1">
        <f t="array" ref="AM47">IFERROR((SUMPRODUCT(($D$43:$D$66=AM$41)*($F$40:$AH$40="")*$F$43:$AH$66)+IF(AM$41="P6",SUMPRODUCT(($F$40:$AH$40="P6")*$F$43:$AH$66),0))/(SUMPRODUCT(($D$43:$D$66=AM$41)*($F$40:$AH$40=""))+IF(AM$41="P6",COUNTIF($F$40:$AH$40,"P6")*ROWS($D$43:$D$66),0)),"")</f>
        <v>1.1471486772486768</v>
      </c>
      <c r="AN47" s="6" cm="1">
        <f t="array" ref="AN47">IFERROR((SUMPRODUCT(($D$43:$D$66=AN$41)*($F$40:$AH$40="")*$F$43:$AH$66)+IF(AN$41="P6",SUMPRODUCT(($F$40:$AH$40="P6")*$F$43:$AH$66),0))/(SUMPRODUCT(($D$43:$D$66=AN$41)*($F$40:$AH$40=""))+IF(AN$41="P6",COUNTIF($F$40:$AH$40,"P6")*ROWS($D$43:$D$66),0)),"")</f>
        <v>1.1958914285714293</v>
      </c>
      <c r="AO47" s="6" t="str" cm="1">
        <f t="array" ref="AO47">IFERROR((SUMPRODUCT(($D$43:$D$66=AO$41)*($F$40:$AH$40="")*$F$43:$AH$66)+IF(AO$41="P6",SUMPRODUCT(($F$40:$AH$40="P6")*$F$43:$AH$66),0))/(SUMPRODUCT(($D$43:$D$66=AO$41)*($F$40:$AH$40=""))+IF(AO$41="P6",COUNTIF($F$40:$AH$40,"P6")*ROWS($D$43:$D$66),0)),"")</f>
        <v/>
      </c>
      <c r="AP47" s="6" t="str" cm="1">
        <f t="array" ref="AP47">IFERROR((SUMPRODUCT(($D$43:$D$66=AP$41)*($F$40:$AH$40="")*$F$43:$AH$66)+IF(AP$41="P6",SUMPRODUCT(($F$40:$AH$40="P6")*$F$43:$AH$66),0))/(SUMPRODUCT(($D$43:$D$66=AP$41)*($F$40:$AH$40=""))+IF(AP$41="P6",COUNTIF($F$40:$AH$40,"P6")*ROWS($D$43:$D$66),0)),"")</f>
        <v/>
      </c>
      <c r="AQ47" s="6" t="str" cm="1">
        <f t="array" ref="AQ47">IFERROR((SUMPRODUCT(($D$43:$D$66=AQ$41)*($F$40:$AH$40="")*$F$43:$AH$66)+IF(AQ$41="P6",SUMPRODUCT(($F$40:$AH$40="P6")*$F$43:$AH$66),0))/(SUMPRODUCT(($D$43:$D$66=AQ$41)*($F$40:$AH$40=""))+IF(AQ$41="P6",COUNTIF($F$40:$AH$40,"P6")*ROWS($D$43:$D$66),0)),"")</f>
        <v/>
      </c>
      <c r="AR47" s="6" cm="1">
        <f t="array" ref="AR47">IFERROR((SUMPRODUCT(($D$43:$D$66=AR$41)*($F$40:$AH$40="")*$F$43:$AH$66)+IF(AR$41="P6",SUMPRODUCT(($F$40:$AH$40="P6")*$F$43:$AH$66),0))/(SUMPRODUCT(($D$43:$D$66=AR$41)*($F$40:$AH$40=""))+IF(AR$41="P6",COUNTIF($F$40:$AH$40,"P6")*ROWS($D$43:$D$66),0)),"")</f>
        <v>1.2771996388888882</v>
      </c>
      <c r="BB47" s="10"/>
      <c r="BC47" s="4" t="s">
        <v>25</v>
      </c>
      <c r="BD47" s="6">
        <f t="shared" si="11"/>
        <v>0.88960231297446524</v>
      </c>
      <c r="BE47" s="6">
        <f t="shared" si="10"/>
        <v>0.92299978484191214</v>
      </c>
      <c r="BF47" s="6">
        <f t="shared" si="10"/>
        <v>1.1300754162055333</v>
      </c>
      <c r="BG47" s="6">
        <f t="shared" si="10"/>
        <v>1.1184656026477933</v>
      </c>
      <c r="BH47" s="6">
        <f t="shared" si="10"/>
        <v>1.1351868674500099</v>
      </c>
      <c r="BI47" s="6">
        <f t="shared" si="10"/>
        <v>1.0790150296930847</v>
      </c>
      <c r="BJ47" s="10"/>
    </row>
    <row r="48" spans="1:62" ht="14.25" customHeight="1" x14ac:dyDescent="0.35">
      <c r="A48" s="1" t="s">
        <v>7</v>
      </c>
      <c r="B48" s="1" t="s">
        <v>7</v>
      </c>
      <c r="C48" s="1" t="s">
        <v>15</v>
      </c>
      <c r="D48" s="1" t="s">
        <v>7</v>
      </c>
      <c r="E48" s="1" t="s">
        <v>18</v>
      </c>
      <c r="F48" s="1">
        <v>1.3722000000000001</v>
      </c>
      <c r="G48" s="1">
        <v>1.3131200000000001</v>
      </c>
      <c r="H48" s="1">
        <v>1.40177</v>
      </c>
      <c r="I48" s="1">
        <v>1.48929</v>
      </c>
      <c r="J48" s="1">
        <v>1.36212</v>
      </c>
      <c r="K48" s="1">
        <v>1.33531</v>
      </c>
      <c r="L48" s="1">
        <v>1.3454699999999999</v>
      </c>
      <c r="M48" s="1">
        <v>1.3722000000000001</v>
      </c>
      <c r="N48" s="1">
        <v>1.3131200000000001</v>
      </c>
      <c r="O48" s="1">
        <v>1.40177</v>
      </c>
      <c r="P48" s="1">
        <v>1.48929</v>
      </c>
      <c r="Q48" s="1">
        <v>1.36212</v>
      </c>
      <c r="R48" s="1">
        <v>1.33531</v>
      </c>
      <c r="S48" s="1">
        <v>1.3454699999999999</v>
      </c>
      <c r="T48" s="1">
        <v>1.3722000000000001</v>
      </c>
      <c r="U48" s="1">
        <v>1.3131200000000001</v>
      </c>
      <c r="V48" s="1">
        <v>1.40177</v>
      </c>
      <c r="W48" s="1">
        <v>1.48929</v>
      </c>
      <c r="X48" s="1">
        <v>1.36212</v>
      </c>
      <c r="Y48" s="1">
        <v>1.33531</v>
      </c>
      <c r="Z48" s="1">
        <v>1.3454699999999999</v>
      </c>
      <c r="AA48" s="1">
        <v>1.3722000000000001</v>
      </c>
      <c r="AB48" s="1">
        <v>1.3131200000000001</v>
      </c>
      <c r="AC48" s="1">
        <v>1.40177</v>
      </c>
      <c r="AD48" s="1">
        <v>1.48929</v>
      </c>
      <c r="AE48" s="1">
        <v>1.36212</v>
      </c>
      <c r="AF48" s="1">
        <v>1.33531</v>
      </c>
      <c r="AG48" s="1">
        <v>1.3454699999999999</v>
      </c>
      <c r="AH48" s="1">
        <v>1.3722000000000001</v>
      </c>
      <c r="AL48" s="10"/>
      <c r="AM48" s="10"/>
      <c r="AN48" s="10"/>
      <c r="AO48" s="10"/>
      <c r="AP48" s="10"/>
      <c r="AQ48" s="10"/>
      <c r="AR48" s="10"/>
      <c r="BB48" s="10"/>
      <c r="BC48" s="4" t="s">
        <v>27</v>
      </c>
      <c r="BD48" s="6">
        <f t="shared" si="11"/>
        <v>0.88960231297446524</v>
      </c>
      <c r="BE48" s="6">
        <f t="shared" si="10"/>
        <v>0.92299978484191214</v>
      </c>
      <c r="BF48" s="6">
        <f t="shared" si="10"/>
        <v>1.1300754162055333</v>
      </c>
      <c r="BG48" s="6">
        <f t="shared" si="10"/>
        <v>1.1184656026477933</v>
      </c>
      <c r="BH48" s="6">
        <f t="shared" si="10"/>
        <v>1.1351868674500099</v>
      </c>
      <c r="BI48" s="6">
        <f t="shared" si="10"/>
        <v>1.0790150296930847</v>
      </c>
      <c r="BJ48" s="10"/>
    </row>
    <row r="49" spans="1:62" ht="14.25" customHeight="1" x14ac:dyDescent="0.35">
      <c r="A49" s="1" t="s">
        <v>7</v>
      </c>
      <c r="B49" s="1" t="s">
        <v>7</v>
      </c>
      <c r="C49" s="1" t="s">
        <v>15</v>
      </c>
      <c r="D49" s="1" t="s">
        <v>7</v>
      </c>
      <c r="E49" s="1" t="s">
        <v>20</v>
      </c>
      <c r="F49" s="1">
        <v>1.29026</v>
      </c>
      <c r="G49" s="1">
        <v>1.22306</v>
      </c>
      <c r="H49" s="1">
        <v>1.3676600000000001</v>
      </c>
      <c r="I49" s="1">
        <v>1.4529099999999999</v>
      </c>
      <c r="J49" s="1">
        <v>1.2431399999999999</v>
      </c>
      <c r="K49" s="1">
        <v>1.22926</v>
      </c>
      <c r="L49" s="1">
        <v>1.2516799999999999</v>
      </c>
      <c r="M49" s="1">
        <v>1.29026</v>
      </c>
      <c r="N49" s="1">
        <v>1.22306</v>
      </c>
      <c r="O49" s="1">
        <v>1.3676600000000001</v>
      </c>
      <c r="P49" s="1">
        <v>1.4529099999999999</v>
      </c>
      <c r="Q49" s="1">
        <v>1.2431399999999999</v>
      </c>
      <c r="R49" s="1">
        <v>1.22926</v>
      </c>
      <c r="S49" s="1">
        <v>1.2516799999999999</v>
      </c>
      <c r="T49" s="1">
        <v>1.29026</v>
      </c>
      <c r="U49" s="1">
        <v>1.22306</v>
      </c>
      <c r="V49" s="1">
        <v>1.3676600000000001</v>
      </c>
      <c r="W49" s="1">
        <v>1.4529099999999999</v>
      </c>
      <c r="X49" s="1">
        <v>1.2431399999999999</v>
      </c>
      <c r="Y49" s="1">
        <v>1.22926</v>
      </c>
      <c r="Z49" s="1">
        <v>1.2516799999999999</v>
      </c>
      <c r="AA49" s="1">
        <v>1.29026</v>
      </c>
      <c r="AB49" s="1">
        <v>1.22306</v>
      </c>
      <c r="AC49" s="1">
        <v>1.3676600000000001</v>
      </c>
      <c r="AD49" s="1">
        <v>1.4529099999999999</v>
      </c>
      <c r="AE49" s="1">
        <v>1.2431399999999999</v>
      </c>
      <c r="AF49" s="1">
        <v>1.22926</v>
      </c>
      <c r="AG49" s="1">
        <v>1.2516799999999999</v>
      </c>
      <c r="AH49" s="1">
        <v>1.29026</v>
      </c>
      <c r="AL49" s="10"/>
      <c r="AM49" s="10"/>
      <c r="AN49" s="10"/>
      <c r="AO49" s="10"/>
      <c r="AP49" s="10"/>
      <c r="AQ49" s="10"/>
      <c r="AR49" s="10"/>
      <c r="BB49" s="10"/>
      <c r="BC49" s="4" t="s">
        <v>29</v>
      </c>
      <c r="BD49" s="6">
        <f t="shared" si="11"/>
        <v>0.88960231297446524</v>
      </c>
      <c r="BE49" s="6">
        <f t="shared" si="10"/>
        <v>0.92299978484191214</v>
      </c>
      <c r="BF49" s="6">
        <f t="shared" si="10"/>
        <v>1.1300754162055333</v>
      </c>
      <c r="BG49" s="6">
        <f t="shared" si="10"/>
        <v>1.1184656026477933</v>
      </c>
      <c r="BH49" s="6">
        <f t="shared" si="10"/>
        <v>1.1351868674500099</v>
      </c>
      <c r="BI49" s="6">
        <f t="shared" si="10"/>
        <v>1.0790150296930847</v>
      </c>
      <c r="BJ49" s="10"/>
    </row>
    <row r="50" spans="1:62" ht="14.25" customHeight="1" x14ac:dyDescent="0.35">
      <c r="A50" s="1" t="s">
        <v>7</v>
      </c>
      <c r="B50" s="1" t="s">
        <v>7</v>
      </c>
      <c r="C50" s="1" t="s">
        <v>15</v>
      </c>
      <c r="D50" s="1" t="s">
        <v>7</v>
      </c>
      <c r="E50" s="1" t="s">
        <v>22</v>
      </c>
      <c r="F50" s="1">
        <v>1.2075499999999999</v>
      </c>
      <c r="G50" s="1">
        <v>1.16879</v>
      </c>
      <c r="H50" s="1">
        <v>1.32379</v>
      </c>
      <c r="I50" s="1">
        <v>1.40438</v>
      </c>
      <c r="J50" s="1">
        <v>1.18272</v>
      </c>
      <c r="K50" s="1">
        <v>1.1612499999999999</v>
      </c>
      <c r="L50" s="1">
        <v>1.1796</v>
      </c>
      <c r="M50" s="1">
        <v>1.2075499999999999</v>
      </c>
      <c r="N50" s="1">
        <v>1.16879</v>
      </c>
      <c r="O50" s="1">
        <v>1.32379</v>
      </c>
      <c r="P50" s="1">
        <v>1.40438</v>
      </c>
      <c r="Q50" s="1">
        <v>1.18272</v>
      </c>
      <c r="R50" s="1">
        <v>1.1612499999999999</v>
      </c>
      <c r="S50" s="1">
        <v>1.1796</v>
      </c>
      <c r="T50" s="1">
        <v>1.2075499999999999</v>
      </c>
      <c r="U50" s="1">
        <v>1.16879</v>
      </c>
      <c r="V50" s="1">
        <v>1.32379</v>
      </c>
      <c r="W50" s="1">
        <v>1.40438</v>
      </c>
      <c r="X50" s="1">
        <v>1.18272</v>
      </c>
      <c r="Y50" s="1">
        <v>1.1612499999999999</v>
      </c>
      <c r="Z50" s="1">
        <v>1.1796</v>
      </c>
      <c r="AA50" s="1">
        <v>1.2075499999999999</v>
      </c>
      <c r="AB50" s="1">
        <v>1.16879</v>
      </c>
      <c r="AC50" s="1">
        <v>1.32379</v>
      </c>
      <c r="AD50" s="1">
        <v>1.40438</v>
      </c>
      <c r="AE50" s="1">
        <v>1.18272</v>
      </c>
      <c r="AF50" s="1">
        <v>1.1612499999999999</v>
      </c>
      <c r="AG50" s="1">
        <v>1.1796</v>
      </c>
      <c r="AH50" s="1">
        <v>1.2075499999999999</v>
      </c>
      <c r="AL50" s="14" t="s">
        <v>159</v>
      </c>
      <c r="AM50" s="14"/>
      <c r="AN50" s="14"/>
      <c r="AO50" s="14"/>
      <c r="AP50" s="14"/>
      <c r="AQ50" s="14"/>
      <c r="AR50" s="14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 ht="14.25" customHeight="1" x14ac:dyDescent="0.35">
      <c r="A51" s="1" t="s">
        <v>16</v>
      </c>
      <c r="B51" s="1" t="s">
        <v>16</v>
      </c>
      <c r="C51" s="1" t="s">
        <v>14</v>
      </c>
      <c r="D51" s="1" t="s">
        <v>14</v>
      </c>
      <c r="E51" s="1" t="s">
        <v>24</v>
      </c>
      <c r="F51" s="1">
        <v>1.2576499999999999</v>
      </c>
      <c r="G51" s="1">
        <v>1.2242900000000001</v>
      </c>
      <c r="H51" s="1">
        <v>1.24885</v>
      </c>
      <c r="I51" s="1">
        <v>1.3562000000000001</v>
      </c>
      <c r="J51" s="1">
        <v>1.2156400000000001</v>
      </c>
      <c r="K51" s="1">
        <v>1.2065699999999999</v>
      </c>
      <c r="L51" s="1">
        <v>1.2403900000000001</v>
      </c>
      <c r="M51" s="1">
        <v>1.2576499999999999</v>
      </c>
      <c r="N51" s="1">
        <v>1.2242900000000001</v>
      </c>
      <c r="O51" s="1">
        <v>1.24885</v>
      </c>
      <c r="P51" s="1">
        <v>1.3562000000000001</v>
      </c>
      <c r="Q51" s="1">
        <v>1.2156400000000001</v>
      </c>
      <c r="R51" s="1">
        <v>1.2065699999999999</v>
      </c>
      <c r="S51" s="1">
        <v>1.2403900000000001</v>
      </c>
      <c r="T51" s="1">
        <v>1.2576499999999999</v>
      </c>
      <c r="U51" s="1">
        <v>1.2242900000000001</v>
      </c>
      <c r="V51" s="1">
        <v>1.24885</v>
      </c>
      <c r="W51" s="1">
        <v>1.3562000000000001</v>
      </c>
      <c r="X51" s="1">
        <v>1.2156400000000001</v>
      </c>
      <c r="Y51" s="1">
        <v>1.2065699999999999</v>
      </c>
      <c r="Z51" s="1">
        <v>1.2403900000000001</v>
      </c>
      <c r="AA51" s="1">
        <v>1.2576499999999999</v>
      </c>
      <c r="AB51" s="1">
        <v>1.2242900000000001</v>
      </c>
      <c r="AC51" s="1">
        <v>1.24885</v>
      </c>
      <c r="AD51" s="1">
        <v>1.3562000000000001</v>
      </c>
      <c r="AE51" s="1">
        <v>1.2156400000000001</v>
      </c>
      <c r="AF51" s="1">
        <v>1.2065699999999999</v>
      </c>
      <c r="AG51" s="1">
        <v>1.2403900000000001</v>
      </c>
      <c r="AH51" s="1">
        <v>1.2576499999999999</v>
      </c>
      <c r="AL51" s="4"/>
      <c r="AM51" s="4" t="s">
        <v>13</v>
      </c>
      <c r="AN51" s="4" t="s">
        <v>14</v>
      </c>
      <c r="AO51" s="4" t="s">
        <v>15</v>
      </c>
      <c r="AP51" s="4" t="s">
        <v>16</v>
      </c>
      <c r="AQ51" s="4" t="s">
        <v>17</v>
      </c>
      <c r="AR51" s="4" t="s">
        <v>7</v>
      </c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 ht="14.25" customHeight="1" x14ac:dyDescent="0.35">
      <c r="A52" s="1" t="s">
        <v>16</v>
      </c>
      <c r="B52" s="1" t="s">
        <v>16</v>
      </c>
      <c r="C52" s="1" t="s">
        <v>14</v>
      </c>
      <c r="D52" s="1" t="s">
        <v>13</v>
      </c>
      <c r="E52" s="1" t="s">
        <v>26</v>
      </c>
      <c r="F52" s="1">
        <v>1.1926099999999999</v>
      </c>
      <c r="G52" s="1">
        <v>1.1766300000000001</v>
      </c>
      <c r="H52" s="1">
        <v>1.1402699999999999</v>
      </c>
      <c r="I52" s="1">
        <v>1.2070000000000001</v>
      </c>
      <c r="J52" s="1">
        <v>1.15923</v>
      </c>
      <c r="K52" s="1">
        <v>1.1714</v>
      </c>
      <c r="L52" s="1">
        <v>1.1807399999999999</v>
      </c>
      <c r="M52" s="1">
        <v>1.1926099999999999</v>
      </c>
      <c r="N52" s="1">
        <v>1.1766300000000001</v>
      </c>
      <c r="O52" s="1">
        <v>1.1402699999999999</v>
      </c>
      <c r="P52" s="1">
        <v>1.2070000000000001</v>
      </c>
      <c r="Q52" s="1">
        <v>1.15923</v>
      </c>
      <c r="R52" s="1">
        <v>1.1714</v>
      </c>
      <c r="S52" s="1">
        <v>1.1807399999999999</v>
      </c>
      <c r="T52" s="1">
        <v>1.1926099999999999</v>
      </c>
      <c r="U52" s="1">
        <v>1.1766300000000001</v>
      </c>
      <c r="V52" s="1">
        <v>1.1402699999999999</v>
      </c>
      <c r="W52" s="1">
        <v>1.2070000000000001</v>
      </c>
      <c r="X52" s="1">
        <v>1.15923</v>
      </c>
      <c r="Y52" s="1">
        <v>1.1714</v>
      </c>
      <c r="Z52" s="1">
        <v>1.1807399999999999</v>
      </c>
      <c r="AA52" s="1">
        <v>1.1926099999999999</v>
      </c>
      <c r="AB52" s="1">
        <v>1.1766300000000001</v>
      </c>
      <c r="AC52" s="1">
        <v>1.1402699999999999</v>
      </c>
      <c r="AD52" s="1">
        <v>1.2070000000000001</v>
      </c>
      <c r="AE52" s="1">
        <v>1.15923</v>
      </c>
      <c r="AF52" s="1">
        <v>1.1714</v>
      </c>
      <c r="AG52" s="1">
        <v>1.1807399999999999</v>
      </c>
      <c r="AH52" s="1">
        <v>1.1926099999999999</v>
      </c>
      <c r="AL52" s="4" t="s">
        <v>19</v>
      </c>
      <c r="AM52" s="6" cm="1">
        <f t="array" ref="AM52">IFERROR((SUMPRODUCT(($C$43:$C$66=AM$41)*($F$39:$AH$39="")*$F$43:$AH$66)+IF(AM$41="P3",SUMPRODUCT(($F$39:$AH$39="P3")*$F$43:$AH$66),0))/(SUMPRODUCT(($C$43:$C$66=AM$41)*($F$39:$AH$39=""))+IF(AM$41="P3",COUNTIF($F$39:$AH$39,"P3")*ROWS($C$43:$C$66),0)),"")</f>
        <v>1.1434288690476189</v>
      </c>
      <c r="AN52" s="6" cm="1">
        <f t="array" ref="AN52">IFERROR((SUMPRODUCT(($C$43:$C$66=AN$41)*($F$39:$AH$39="")*$F$43:$AH$66)+IF(AN$41="P3",SUMPRODUCT(($F$39:$AH$39="P3")*$F$43:$AH$66),0))/(SUMPRODUCT(($C$43:$C$66=AN$41)*($F$39:$AH$39=""))+IF(AN$41="P3",COUNTIF($F$39:$AH$39,"P3")*ROWS($C$43:$C$66),0)),"")</f>
        <v>1.1935183928571431</v>
      </c>
      <c r="AO52" s="6" cm="1">
        <f t="array" ref="AO52">IFERROR((SUMPRODUCT(($C$43:$C$66=AO$41)*($F$39:$AH$39="")*$F$43:$AH$66)+IF(AO$41="P3",SUMPRODUCT(($F$39:$AH$39="P3")*$F$43:$AH$66),0))/(SUMPRODUCT(($C$43:$C$66=AO$41)*($F$39:$AH$39=""))+IF(AO$41="P3",COUNTIF($F$39:$AH$39,"P3")*ROWS($C$43:$C$66),0)),"")</f>
        <v>1.2771996388888882</v>
      </c>
      <c r="AP52" s="6" t="str" cm="1">
        <f t="array" ref="AP52">IFERROR((SUMPRODUCT(($C$43:$C$66=AP$41)*($F$39:$AH$39="")*$F$43:$AH$66)+IF(AP$41="P3",SUMPRODUCT(($F$39:$AH$39="P3")*$F$43:$AH$66),0))/(SUMPRODUCT(($C$43:$C$66=AP$41)*($F$39:$AH$39=""))+IF(AP$41="P3",COUNTIF($F$39:$AH$39,"P3")*ROWS($C$43:$C$66),0)),"")</f>
        <v/>
      </c>
      <c r="AQ52" s="6" t="str" cm="1">
        <f t="array" ref="AQ52">IFERROR((SUMPRODUCT(($C$43:$C$66=AQ$41)*($F$39:$AH$39="")*$F$43:$AH$66)+IF(AQ$41="P3",SUMPRODUCT(($F$39:$AH$39="P3")*$F$43:$AH$66),0))/(SUMPRODUCT(($C$43:$C$66=AQ$41)*($F$39:$AH$39=""))+IF(AQ$41="P3",COUNTIF($F$39:$AH$39,"P3")*ROWS($C$43:$C$66),0)),"")</f>
        <v/>
      </c>
      <c r="AR52" s="6" t="str" cm="1">
        <f t="array" ref="AR52">IFERROR((SUMPRODUCT(($C$43:$C$66=AR$41)*($F$39:$AH$39="")*$F$43:$AH$66)+IF(AR$41="P3",SUMPRODUCT(($F$39:$AH$39="P3")*$F$43:$AH$66),0))/(SUMPRODUCT(($C$43:$C$66=AR$41)*($F$39:$AH$39=""))+IF(AR$41="P3",COUNTIF($F$39:$AH$39,"P3")*ROWS($C$43:$C$66),0)),"")</f>
        <v/>
      </c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 ht="14.25" customHeight="1" x14ac:dyDescent="0.35">
      <c r="A53" s="1" t="s">
        <v>14</v>
      </c>
      <c r="B53" s="1" t="s">
        <v>15</v>
      </c>
      <c r="C53" s="1" t="s">
        <v>13</v>
      </c>
      <c r="D53" s="1" t="s">
        <v>13</v>
      </c>
      <c r="E53" s="1" t="s">
        <v>28</v>
      </c>
      <c r="F53" s="1">
        <v>1.13984</v>
      </c>
      <c r="G53" s="1">
        <v>1.12642</v>
      </c>
      <c r="H53" s="1">
        <v>1.07565</v>
      </c>
      <c r="I53" s="1">
        <v>1.1141700000000001</v>
      </c>
      <c r="J53" s="1">
        <v>1.1074600000000001</v>
      </c>
      <c r="K53" s="1">
        <v>1.1222300000000001</v>
      </c>
      <c r="L53" s="1">
        <v>1.1128800000000001</v>
      </c>
      <c r="M53" s="1">
        <v>1.13984</v>
      </c>
      <c r="N53" s="1">
        <v>1.12642</v>
      </c>
      <c r="O53" s="1">
        <v>1.07565</v>
      </c>
      <c r="P53" s="1">
        <v>1.1141700000000001</v>
      </c>
      <c r="Q53" s="1">
        <v>1.1074600000000001</v>
      </c>
      <c r="R53" s="1">
        <v>1.1222300000000001</v>
      </c>
      <c r="S53" s="1">
        <v>1.1128800000000001</v>
      </c>
      <c r="T53" s="1">
        <v>1.13984</v>
      </c>
      <c r="U53" s="1">
        <v>1.12642</v>
      </c>
      <c r="V53" s="1">
        <v>1.07565</v>
      </c>
      <c r="W53" s="1">
        <v>1.1141700000000001</v>
      </c>
      <c r="X53" s="1">
        <v>1.1074600000000001</v>
      </c>
      <c r="Y53" s="1">
        <v>1.1222300000000001</v>
      </c>
      <c r="Z53" s="1">
        <v>1.1128800000000001</v>
      </c>
      <c r="AA53" s="1">
        <v>1.13984</v>
      </c>
      <c r="AB53" s="1">
        <v>1.12642</v>
      </c>
      <c r="AC53" s="1">
        <v>1.07565</v>
      </c>
      <c r="AD53" s="1">
        <v>1.1141700000000001</v>
      </c>
      <c r="AE53" s="1">
        <v>1.1074600000000001</v>
      </c>
      <c r="AF53" s="1">
        <v>1.1222300000000001</v>
      </c>
      <c r="AG53" s="1">
        <v>1.1128800000000001</v>
      </c>
      <c r="AH53" s="1">
        <v>1.13984</v>
      </c>
      <c r="AL53" s="4" t="s">
        <v>21</v>
      </c>
      <c r="AM53" s="6" t="str" cm="1">
        <f t="array" ref="AM53">IFERROR((SUMPRODUCT(($A$43:$A$66=AM$41)*($F$40:$AH$40="")*$F$43:$AH$66)+IF(AM$41="P6",SUMPRODUCT(($F$40:$AH$40="P6")*$F$43:$AH$66),0))/(SUMPRODUCT(($A$43:$A$66=AM$41)*($F$40:$AH$40=""))+IF(AM$41="P6",COUNTIF($F$40:$AH$40,"P6")*ROWS($A$43:$A$66),0)),"")</f>
        <v/>
      </c>
      <c r="AN53" s="6" cm="1">
        <f t="array" ref="AN53">IFERROR((SUMPRODUCT(($A$43:$A$66=AN$41)*($F$40:$AH$40="")*$F$43:$AH$66)+IF(AN$41="P6",SUMPRODUCT(($F$40:$AH$40="P6")*$F$43:$AH$66),0))/(SUMPRODUCT(($A$43:$A$66=AN$41)*($F$40:$AH$40=""))+IF(AN$41="P6",COUNTIF($F$40:$AH$40,"P6")*ROWS($A$43:$A$66),0)),"")</f>
        <v>1.1406904761904764</v>
      </c>
      <c r="AO53" s="6" t="str" cm="1">
        <f t="array" ref="AO53">IFERROR((SUMPRODUCT(($A$43:$A$66=AO$41)*($F$40:$AH$40="")*$F$43:$AH$66)+IF(AO$41="P6",SUMPRODUCT(($F$40:$AH$40="P6")*$F$43:$AH$66),0))/(SUMPRODUCT(($A$43:$A$66=AO$41)*($F$40:$AH$40=""))+IF(AO$41="P6",COUNTIF($F$40:$AH$40,"P6")*ROWS($A$43:$A$66),0)),"")</f>
        <v/>
      </c>
      <c r="AP53" s="6" cm="1">
        <f t="array" ref="AP53">IFERROR((SUMPRODUCT(($A$43:$A$66=AP$41)*($F$40:$AH$40="")*$F$43:$AH$66)+IF(AP$41="P6",SUMPRODUCT(($F$40:$AH$40="P6")*$F$43:$AH$66),0))/(SUMPRODUCT(($A$43:$A$66=AP$41)*($F$40:$AH$40=""))+IF(AP$41="P6",COUNTIF($F$40:$AH$40,"P6")*ROWS($A$43:$A$66),0)),"")</f>
        <v>1.2041948299319736</v>
      </c>
      <c r="AQ53" s="6" t="str" cm="1">
        <f t="array" ref="AQ53">IFERROR((SUMPRODUCT(($A$43:$A$66=AQ$41)*($F$40:$AH$40="")*$F$43:$AH$66)+IF(AQ$41="P6",SUMPRODUCT(($F$40:$AH$40="P6")*$F$43:$AH$66),0))/(SUMPRODUCT(($A$43:$A$66=AQ$41)*($F$40:$AH$40=""))+IF(AQ$41="P6",COUNTIF($F$40:$AH$40,"P6")*ROWS($A$43:$A$66),0)),"")</f>
        <v/>
      </c>
      <c r="AR53" s="6" cm="1">
        <f t="array" ref="AR53">IFERROR((SUMPRODUCT(($A$43:$A$66=AR$41)*($F$40:$AH$40="")*$F$43:$AH$66)+IF(AR$41="P6",SUMPRODUCT(($F$40:$AH$40="P6")*$F$43:$AH$66),0))/(SUMPRODUCT(($A$43:$A$66=AR$41)*($F$40:$AH$40=""))+IF(AR$41="P6",COUNTIF($F$40:$AH$40,"P6")*ROWS($A$43:$A$66),0)),"")</f>
        <v>1.2771996388888882</v>
      </c>
    </row>
    <row r="54" spans="1:62" ht="14.25" customHeight="1" x14ac:dyDescent="0.35">
      <c r="A54" s="1" t="s">
        <v>14</v>
      </c>
      <c r="B54" s="1" t="s">
        <v>15</v>
      </c>
      <c r="C54" s="1" t="s">
        <v>13</v>
      </c>
      <c r="D54" s="1" t="s">
        <v>13</v>
      </c>
      <c r="E54" s="1" t="s">
        <v>30</v>
      </c>
      <c r="F54" s="1">
        <v>1.15039</v>
      </c>
      <c r="G54" s="1">
        <v>1.13642</v>
      </c>
      <c r="H54" s="1">
        <v>1.0675699999999999</v>
      </c>
      <c r="I54" s="1">
        <v>1.09846</v>
      </c>
      <c r="J54" s="1">
        <v>1.1024799999999999</v>
      </c>
      <c r="K54" s="1">
        <v>1.1411</v>
      </c>
      <c r="L54" s="1">
        <v>1.1071800000000001</v>
      </c>
      <c r="M54" s="1">
        <v>1.15039</v>
      </c>
      <c r="N54" s="1">
        <v>1.13642</v>
      </c>
      <c r="O54" s="1">
        <v>1.0675699999999999</v>
      </c>
      <c r="P54" s="1">
        <v>1.09846</v>
      </c>
      <c r="Q54" s="1">
        <v>1.1024799999999999</v>
      </c>
      <c r="R54" s="1">
        <v>1.1411</v>
      </c>
      <c r="S54" s="1">
        <v>1.1071800000000001</v>
      </c>
      <c r="T54" s="1">
        <v>1.15039</v>
      </c>
      <c r="U54" s="1">
        <v>1.13642</v>
      </c>
      <c r="V54" s="1">
        <v>1.0675699999999999</v>
      </c>
      <c r="W54" s="1">
        <v>1.09846</v>
      </c>
      <c r="X54" s="1">
        <v>1.1024799999999999</v>
      </c>
      <c r="Y54" s="1">
        <v>1.1411</v>
      </c>
      <c r="Z54" s="1">
        <v>1.1071800000000001</v>
      </c>
      <c r="AA54" s="1">
        <v>1.15039</v>
      </c>
      <c r="AB54" s="1">
        <v>1.13642</v>
      </c>
      <c r="AC54" s="1">
        <v>1.0675699999999999</v>
      </c>
      <c r="AD54" s="1">
        <v>1.09846</v>
      </c>
      <c r="AE54" s="1">
        <v>1.1024799999999999</v>
      </c>
      <c r="AF54" s="1">
        <v>1.1411</v>
      </c>
      <c r="AG54" s="1">
        <v>1.1071800000000001</v>
      </c>
      <c r="AH54" s="1">
        <v>1.15039</v>
      </c>
      <c r="AL54" s="4" t="s">
        <v>23</v>
      </c>
      <c r="AM54" s="6" t="str" cm="1">
        <f t="array" ref="AM54">IFERROR((SUMPRODUCT(($A$43:$A$66=AM$41)*($F$40:$AH$40="")*$F$43:$AH$66)+IF(AM$41="P6",SUMPRODUCT(($F$40:$AH$40="P6")*$F$43:$AH$66),0))/(SUMPRODUCT(($A$43:$A$66=AM$41)*($F$40:$AH$40=""))+IF(AM$41="P6",COUNTIF($F$40:$AH$40,"P6")*ROWS($A$43:$A$66),0)),"")</f>
        <v/>
      </c>
      <c r="AN54" s="6" cm="1">
        <f t="array" ref="AN54">IFERROR((SUMPRODUCT(($A$43:$A$66=AN$41)*($F$40:$AH$40="")*$F$43:$AH$66)+IF(AN$41="P6",SUMPRODUCT(($F$40:$AH$40="P6")*$F$43:$AH$66),0))/(SUMPRODUCT(($A$43:$A$66=AN$41)*($F$40:$AH$40=""))+IF(AN$41="P6",COUNTIF($F$40:$AH$40,"P6")*ROWS($A$43:$A$66),0)),"")</f>
        <v>1.1406904761904764</v>
      </c>
      <c r="AO54" s="6" t="str" cm="1">
        <f t="array" ref="AO54">IFERROR((SUMPRODUCT(($A$43:$A$66=AO$41)*($F$40:$AH$40="")*$F$43:$AH$66)+IF(AO$41="P6",SUMPRODUCT(($F$40:$AH$40="P6")*$F$43:$AH$66),0))/(SUMPRODUCT(($A$43:$A$66=AO$41)*($F$40:$AH$40=""))+IF(AO$41="P6",COUNTIF($F$40:$AH$40,"P6")*ROWS($A$43:$A$66),0)),"")</f>
        <v/>
      </c>
      <c r="AP54" s="6" cm="1">
        <f t="array" ref="AP54">IFERROR((SUMPRODUCT(($A$43:$A$66=AP$41)*($F$40:$AH$40="")*$F$43:$AH$66)+IF(AP$41="P6",SUMPRODUCT(($F$40:$AH$40="P6")*$F$43:$AH$66),0))/(SUMPRODUCT(($A$43:$A$66=AP$41)*($F$40:$AH$40=""))+IF(AP$41="P6",COUNTIF($F$40:$AH$40,"P6")*ROWS($A$43:$A$66),0)),"")</f>
        <v>1.2041948299319736</v>
      </c>
      <c r="AQ54" s="6" t="str" cm="1">
        <f t="array" ref="AQ54">IFERROR((SUMPRODUCT(($A$43:$A$66=AQ$41)*($F$40:$AH$40="")*$F$43:$AH$66)+IF(AQ$41="P6",SUMPRODUCT(($F$40:$AH$40="P6")*$F$43:$AH$66),0))/(SUMPRODUCT(($A$43:$A$66=AQ$41)*($F$40:$AH$40=""))+IF(AQ$41="P6",COUNTIF($F$40:$AH$40,"P6")*ROWS($A$43:$A$66),0)),"")</f>
        <v/>
      </c>
      <c r="AR54" s="6" cm="1">
        <f t="array" ref="AR54">IFERROR((SUMPRODUCT(($A$43:$A$66=AR$41)*($F$40:$AH$40="")*$F$43:$AH$66)+IF(AR$41="P6",SUMPRODUCT(($F$40:$AH$40="P6")*$F$43:$AH$66),0))/(SUMPRODUCT(($A$43:$A$66=AR$41)*($F$40:$AH$40=""))+IF(AR$41="P6",COUNTIF($F$40:$AH$40,"P6")*ROWS($A$43:$A$66),0)),"")</f>
        <v>1.2771996388888882</v>
      </c>
    </row>
    <row r="55" spans="1:62" ht="14.25" customHeight="1" x14ac:dyDescent="0.35">
      <c r="A55" s="1" t="s">
        <v>14</v>
      </c>
      <c r="B55" s="1" t="s">
        <v>15</v>
      </c>
      <c r="C55" s="1" t="s">
        <v>13</v>
      </c>
      <c r="D55" s="1" t="s">
        <v>13</v>
      </c>
      <c r="E55" s="1" t="s">
        <v>31</v>
      </c>
      <c r="F55" s="1">
        <v>1.1411899999999999</v>
      </c>
      <c r="G55" s="1">
        <v>1.10561</v>
      </c>
      <c r="H55" s="1">
        <v>1.0645100000000001</v>
      </c>
      <c r="I55" s="1">
        <v>1.08755</v>
      </c>
      <c r="J55" s="1">
        <v>1.09714</v>
      </c>
      <c r="K55" s="1">
        <v>1.10894</v>
      </c>
      <c r="L55" s="1">
        <v>1.0889500000000001</v>
      </c>
      <c r="M55" s="1">
        <v>1.1411899999999999</v>
      </c>
      <c r="N55" s="1">
        <v>1.10561</v>
      </c>
      <c r="O55" s="1">
        <v>1.0645100000000001</v>
      </c>
      <c r="P55" s="1">
        <v>1.08755</v>
      </c>
      <c r="Q55" s="1">
        <v>1.09714</v>
      </c>
      <c r="R55" s="1">
        <v>1.10894</v>
      </c>
      <c r="S55" s="1">
        <v>1.0889500000000001</v>
      </c>
      <c r="T55" s="1">
        <v>1.1411899999999999</v>
      </c>
      <c r="U55" s="1">
        <v>1.10561</v>
      </c>
      <c r="V55" s="1">
        <v>1.0645100000000001</v>
      </c>
      <c r="W55" s="1">
        <v>1.08755</v>
      </c>
      <c r="X55" s="1">
        <v>1.09714</v>
      </c>
      <c r="Y55" s="1">
        <v>1.10894</v>
      </c>
      <c r="Z55" s="1">
        <v>1.0889500000000001</v>
      </c>
      <c r="AA55" s="1">
        <v>1.1411899999999999</v>
      </c>
      <c r="AB55" s="1">
        <v>1.10561</v>
      </c>
      <c r="AC55" s="1">
        <v>1.0645100000000001</v>
      </c>
      <c r="AD55" s="1">
        <v>1.08755</v>
      </c>
      <c r="AE55" s="1">
        <v>1.09714</v>
      </c>
      <c r="AF55" s="1">
        <v>1.10894</v>
      </c>
      <c r="AG55" s="1">
        <v>1.0889500000000001</v>
      </c>
      <c r="AH55" s="1">
        <v>1.1411899999999999</v>
      </c>
      <c r="AL55" s="4" t="s">
        <v>25</v>
      </c>
      <c r="AM55" s="6" t="str" cm="1">
        <f t="array" ref="AM55">IFERROR((SUMPRODUCT(($A$43:$A$66=AM$41)*($F$40:$AH$40="")*$F$43:$AH$66)+IF(AM$41="P6",SUMPRODUCT(($F$40:$AH$40="P6")*$F$43:$AH$66),0))/(SUMPRODUCT(($A$43:$A$66=AM$41)*($F$40:$AH$40=""))+IF(AM$41="P6",COUNTIF($F$40:$AH$40,"P6")*ROWS($A$43:$A$66),0)),"")</f>
        <v/>
      </c>
      <c r="AN55" s="6" cm="1">
        <f t="array" ref="AN55">IFERROR((SUMPRODUCT(($A$43:$A$66=AN$41)*($F$40:$AH$40="")*$F$43:$AH$66)+IF(AN$41="P6",SUMPRODUCT(($F$40:$AH$40="P6")*$F$43:$AH$66),0))/(SUMPRODUCT(($A$43:$A$66=AN$41)*($F$40:$AH$40=""))+IF(AN$41="P6",COUNTIF($F$40:$AH$40,"P6")*ROWS($A$43:$A$66),0)),"")</f>
        <v>1.1406904761904764</v>
      </c>
      <c r="AO55" s="6" t="str" cm="1">
        <f t="array" ref="AO55">IFERROR((SUMPRODUCT(($A$43:$A$66=AO$41)*($F$40:$AH$40="")*$F$43:$AH$66)+IF(AO$41="P6",SUMPRODUCT(($F$40:$AH$40="P6")*$F$43:$AH$66),0))/(SUMPRODUCT(($A$43:$A$66=AO$41)*($F$40:$AH$40=""))+IF(AO$41="P6",COUNTIF($F$40:$AH$40,"P6")*ROWS($A$43:$A$66),0)),"")</f>
        <v/>
      </c>
      <c r="AP55" s="6" cm="1">
        <f t="array" ref="AP55">IFERROR((SUMPRODUCT(($A$43:$A$66=AP$41)*($F$40:$AH$40="")*$F$43:$AH$66)+IF(AP$41="P6",SUMPRODUCT(($F$40:$AH$40="P6")*$F$43:$AH$66),0))/(SUMPRODUCT(($A$43:$A$66=AP$41)*($F$40:$AH$40=""))+IF(AP$41="P6",COUNTIF($F$40:$AH$40,"P6")*ROWS($A$43:$A$66),0)),"")</f>
        <v>1.2041948299319736</v>
      </c>
      <c r="AQ55" s="6" t="str" cm="1">
        <f t="array" ref="AQ55">IFERROR((SUMPRODUCT(($A$43:$A$66=AQ$41)*($F$40:$AH$40="")*$F$43:$AH$66)+IF(AQ$41="P6",SUMPRODUCT(($F$40:$AH$40="P6")*$F$43:$AH$66),0))/(SUMPRODUCT(($A$43:$A$66=AQ$41)*($F$40:$AH$40=""))+IF(AQ$41="P6",COUNTIF($F$40:$AH$40,"P6")*ROWS($A$43:$A$66),0)),"")</f>
        <v/>
      </c>
      <c r="AR55" s="6" cm="1">
        <f t="array" ref="AR55">IFERROR((SUMPRODUCT(($A$43:$A$66=AR$41)*($F$40:$AH$40="")*$F$43:$AH$66)+IF(AR$41="P6",SUMPRODUCT(($F$40:$AH$40="P6")*$F$43:$AH$66),0))/(SUMPRODUCT(($A$43:$A$66=AR$41)*($F$40:$AH$40=""))+IF(AR$41="P6",COUNTIF($F$40:$AH$40,"P6")*ROWS($A$43:$A$66),0)),"")</f>
        <v>1.2771996388888882</v>
      </c>
    </row>
    <row r="56" spans="1:62" ht="14.25" customHeight="1" x14ac:dyDescent="0.35">
      <c r="A56" s="1" t="s">
        <v>14</v>
      </c>
      <c r="B56" s="1" t="s">
        <v>15</v>
      </c>
      <c r="C56" s="1" t="s">
        <v>13</v>
      </c>
      <c r="D56" s="1" t="s">
        <v>13</v>
      </c>
      <c r="E56" s="1" t="s">
        <v>32</v>
      </c>
      <c r="F56" s="1">
        <v>1.12042</v>
      </c>
      <c r="G56" s="1">
        <v>1.08805</v>
      </c>
      <c r="H56" s="1">
        <v>1.0434699999999999</v>
      </c>
      <c r="I56" s="1">
        <v>1.0439400000000001</v>
      </c>
      <c r="J56" s="1">
        <v>1.07395</v>
      </c>
      <c r="K56" s="1">
        <v>1.09859</v>
      </c>
      <c r="L56" s="1">
        <v>1.0627599999999999</v>
      </c>
      <c r="M56" s="1">
        <v>1.12042</v>
      </c>
      <c r="N56" s="1">
        <v>1.08805</v>
      </c>
      <c r="O56" s="1">
        <v>1.0434699999999999</v>
      </c>
      <c r="P56" s="1">
        <v>1.0439400000000001</v>
      </c>
      <c r="Q56" s="1">
        <v>1.07395</v>
      </c>
      <c r="R56" s="1">
        <v>1.09859</v>
      </c>
      <c r="S56" s="1">
        <v>1.0627599999999999</v>
      </c>
      <c r="T56" s="1">
        <v>1.12042</v>
      </c>
      <c r="U56" s="1">
        <v>1.08805</v>
      </c>
      <c r="V56" s="1">
        <v>1.0434699999999999</v>
      </c>
      <c r="W56" s="1">
        <v>1.0439400000000001</v>
      </c>
      <c r="X56" s="1">
        <v>1.07395</v>
      </c>
      <c r="Y56" s="1">
        <v>1.09859</v>
      </c>
      <c r="Z56" s="1">
        <v>1.0627599999999999</v>
      </c>
      <c r="AA56" s="1">
        <v>1.12042</v>
      </c>
      <c r="AB56" s="1">
        <v>1.08805</v>
      </c>
      <c r="AC56" s="1">
        <v>1.0434699999999999</v>
      </c>
      <c r="AD56" s="1">
        <v>1.0439400000000001</v>
      </c>
      <c r="AE56" s="1">
        <v>1.07395</v>
      </c>
      <c r="AF56" s="1">
        <v>1.09859</v>
      </c>
      <c r="AG56" s="1">
        <v>1.0627599999999999</v>
      </c>
      <c r="AH56" s="1">
        <v>1.12042</v>
      </c>
      <c r="AL56" s="4" t="s">
        <v>27</v>
      </c>
      <c r="AM56" s="6" t="str" cm="1">
        <f t="array" ref="AM56">IFERROR((SUMPRODUCT(($A$43:$A$66=AM$41)*($F$40:$AH$40="")*$F$43:$AH$66)+IF(AM$41="P6",SUMPRODUCT(($F$40:$AH$40="P6")*$F$43:$AH$66),0))/(SUMPRODUCT(($A$43:$A$66=AM$41)*($F$40:$AH$40=""))+IF(AM$41="P6",COUNTIF($F$40:$AH$40,"P6")*ROWS($A$43:$A$66),0)),"")</f>
        <v/>
      </c>
      <c r="AN56" s="6" cm="1">
        <f t="array" ref="AN56">IFERROR((SUMPRODUCT(($A$43:$A$66=AN$41)*($F$40:$AH$40="")*$F$43:$AH$66)+IF(AN$41="P6",SUMPRODUCT(($F$40:$AH$40="P6")*$F$43:$AH$66),0))/(SUMPRODUCT(($A$43:$A$66=AN$41)*($F$40:$AH$40=""))+IF(AN$41="P6",COUNTIF($F$40:$AH$40,"P6")*ROWS($A$43:$A$66),0)),"")</f>
        <v>1.1406904761904764</v>
      </c>
      <c r="AO56" s="6" t="str" cm="1">
        <f t="array" ref="AO56">IFERROR((SUMPRODUCT(($A$43:$A$66=AO$41)*($F$40:$AH$40="")*$F$43:$AH$66)+IF(AO$41="P6",SUMPRODUCT(($F$40:$AH$40="P6")*$F$43:$AH$66),0))/(SUMPRODUCT(($A$43:$A$66=AO$41)*($F$40:$AH$40=""))+IF(AO$41="P6",COUNTIF($F$40:$AH$40,"P6")*ROWS($A$43:$A$66),0)),"")</f>
        <v/>
      </c>
      <c r="AP56" s="6" cm="1">
        <f t="array" ref="AP56">IFERROR((SUMPRODUCT(($A$43:$A$66=AP$41)*($F$40:$AH$40="")*$F$43:$AH$66)+IF(AP$41="P6",SUMPRODUCT(($F$40:$AH$40="P6")*$F$43:$AH$66),0))/(SUMPRODUCT(($A$43:$A$66=AP$41)*($F$40:$AH$40=""))+IF(AP$41="P6",COUNTIF($F$40:$AH$40,"P6")*ROWS($A$43:$A$66),0)),"")</f>
        <v>1.2041948299319736</v>
      </c>
      <c r="AQ56" s="6" t="str" cm="1">
        <f t="array" ref="AQ56">IFERROR((SUMPRODUCT(($A$43:$A$66=AQ$41)*($F$40:$AH$40="")*$F$43:$AH$66)+IF(AQ$41="P6",SUMPRODUCT(($F$40:$AH$40="P6")*$F$43:$AH$66),0))/(SUMPRODUCT(($A$43:$A$66=AQ$41)*($F$40:$AH$40=""))+IF(AQ$41="P6",COUNTIF($F$40:$AH$40,"P6")*ROWS($A$43:$A$66),0)),"")</f>
        <v/>
      </c>
      <c r="AR56" s="6" cm="1">
        <f t="array" ref="AR56">IFERROR((SUMPRODUCT(($A$43:$A$66=AR$41)*($F$40:$AH$40="")*$F$43:$AH$66)+IF(AR$41="P6",SUMPRODUCT(($F$40:$AH$40="P6")*$F$43:$AH$66),0))/(SUMPRODUCT(($A$43:$A$66=AR$41)*($F$40:$AH$40=""))+IF(AR$41="P6",COUNTIF($F$40:$AH$40,"P6")*ROWS($A$43:$A$66),0)),"")</f>
        <v>1.2771996388888882</v>
      </c>
    </row>
    <row r="57" spans="1:62" ht="14.25" customHeight="1" x14ac:dyDescent="0.35">
      <c r="A57" s="1" t="s">
        <v>14</v>
      </c>
      <c r="B57" s="1" t="s">
        <v>15</v>
      </c>
      <c r="C57" s="1" t="s">
        <v>14</v>
      </c>
      <c r="D57" s="1" t="s">
        <v>14</v>
      </c>
      <c r="E57" s="1" t="s">
        <v>33</v>
      </c>
      <c r="F57" s="1">
        <v>1.13693</v>
      </c>
      <c r="G57" s="1">
        <v>1.10728</v>
      </c>
      <c r="H57" s="1">
        <v>1.0402800000000001</v>
      </c>
      <c r="I57" s="1">
        <v>1.0522899999999999</v>
      </c>
      <c r="J57" s="1">
        <v>1.1096200000000001</v>
      </c>
      <c r="K57" s="1">
        <v>1.13686</v>
      </c>
      <c r="L57" s="1">
        <v>1.0986899999999999</v>
      </c>
      <c r="M57" s="1">
        <v>1.13693</v>
      </c>
      <c r="N57" s="1">
        <v>1.10728</v>
      </c>
      <c r="O57" s="1">
        <v>1.0402800000000001</v>
      </c>
      <c r="P57" s="1">
        <v>1.0522899999999999</v>
      </c>
      <c r="Q57" s="1">
        <v>1.1096200000000001</v>
      </c>
      <c r="R57" s="1">
        <v>1.13686</v>
      </c>
      <c r="S57" s="1">
        <v>1.0986899999999999</v>
      </c>
      <c r="T57" s="1">
        <v>1.13693</v>
      </c>
      <c r="U57" s="1">
        <v>1.10728</v>
      </c>
      <c r="V57" s="1">
        <v>1.0402800000000001</v>
      </c>
      <c r="W57" s="1">
        <v>1.0522899999999999</v>
      </c>
      <c r="X57" s="1">
        <v>1.1096200000000001</v>
      </c>
      <c r="Y57" s="1">
        <v>1.13686</v>
      </c>
      <c r="Z57" s="1">
        <v>1.0986899999999999</v>
      </c>
      <c r="AA57" s="1">
        <v>1.13693</v>
      </c>
      <c r="AB57" s="1">
        <v>1.10728</v>
      </c>
      <c r="AC57" s="1">
        <v>1.0402800000000001</v>
      </c>
      <c r="AD57" s="1">
        <v>1.0522899999999999</v>
      </c>
      <c r="AE57" s="1">
        <v>1.1096200000000001</v>
      </c>
      <c r="AF57" s="1">
        <v>1.13686</v>
      </c>
      <c r="AG57" s="1">
        <v>1.0986899999999999</v>
      </c>
      <c r="AH57" s="1">
        <v>1.13693</v>
      </c>
      <c r="AL57" s="4" t="s">
        <v>29</v>
      </c>
      <c r="AM57" s="6" t="str" cm="1">
        <f t="array" ref="AM57">IFERROR((SUMPRODUCT(($A$43:$A$66=AM$41)*($F$40:$AH$40="")*$F$43:$AH$66)+IF(AM$41="P6",SUMPRODUCT(($F$40:$AH$40="P6")*$F$43:$AH$66),0))/(SUMPRODUCT(($A$43:$A$66=AM$41)*($F$40:$AH$40=""))+IF(AM$41="P6",COUNTIF($F$40:$AH$40,"P6")*ROWS($A$43:$A$66),0)),"")</f>
        <v/>
      </c>
      <c r="AN57" s="6" cm="1">
        <f t="array" ref="AN57">IFERROR((SUMPRODUCT(($A$43:$A$66=AN$41)*($F$40:$AH$40="")*$F$43:$AH$66)+IF(AN$41="P6",SUMPRODUCT(($F$40:$AH$40="P6")*$F$43:$AH$66),0))/(SUMPRODUCT(($A$43:$A$66=AN$41)*($F$40:$AH$40=""))+IF(AN$41="P6",COUNTIF($F$40:$AH$40,"P6")*ROWS($A$43:$A$66),0)),"")</f>
        <v>1.1406904761904764</v>
      </c>
      <c r="AO57" s="6" t="str" cm="1">
        <f t="array" ref="AO57">IFERROR((SUMPRODUCT(($A$43:$A$66=AO$41)*($F$40:$AH$40="")*$F$43:$AH$66)+IF(AO$41="P6",SUMPRODUCT(($F$40:$AH$40="P6")*$F$43:$AH$66),0))/(SUMPRODUCT(($A$43:$A$66=AO$41)*($F$40:$AH$40=""))+IF(AO$41="P6",COUNTIF($F$40:$AH$40,"P6")*ROWS($A$43:$A$66),0)),"")</f>
        <v/>
      </c>
      <c r="AP57" s="6" cm="1">
        <f t="array" ref="AP57">IFERROR((SUMPRODUCT(($A$43:$A$66=AP$41)*($F$40:$AH$40="")*$F$43:$AH$66)+IF(AP$41="P6",SUMPRODUCT(($F$40:$AH$40="P6")*$F$43:$AH$66),0))/(SUMPRODUCT(($A$43:$A$66=AP$41)*($F$40:$AH$40=""))+IF(AP$41="P6",COUNTIF($F$40:$AH$40,"P6")*ROWS($A$43:$A$66),0)),"")</f>
        <v>1.2041948299319736</v>
      </c>
      <c r="AQ57" s="6" t="str" cm="1">
        <f t="array" ref="AQ57">IFERROR((SUMPRODUCT(($A$43:$A$66=AQ$41)*($F$40:$AH$40="")*$F$43:$AH$66)+IF(AQ$41="P6",SUMPRODUCT(($F$40:$AH$40="P6")*$F$43:$AH$66),0))/(SUMPRODUCT(($A$43:$A$66=AQ$41)*($F$40:$AH$40=""))+IF(AQ$41="P6",COUNTIF($F$40:$AH$40,"P6")*ROWS($A$43:$A$66),0)),"")</f>
        <v/>
      </c>
      <c r="AR57" s="6" cm="1">
        <f t="array" ref="AR57">IFERROR((SUMPRODUCT(($A$43:$A$66=AR$41)*($F$40:$AH$40="")*$F$43:$AH$66)+IF(AR$41="P6",SUMPRODUCT(($F$40:$AH$40="P6")*$F$43:$AH$66),0))/(SUMPRODUCT(($A$43:$A$66=AR$41)*($F$40:$AH$40=""))+IF(AR$41="P6",COUNTIF($F$40:$AH$40,"P6")*ROWS($A$43:$A$66),0)),"")</f>
        <v>1.2771996388888882</v>
      </c>
    </row>
    <row r="58" spans="1:62" ht="14.25" customHeight="1" x14ac:dyDescent="0.35">
      <c r="A58" s="1" t="s">
        <v>16</v>
      </c>
      <c r="B58" s="1" t="s">
        <v>16</v>
      </c>
      <c r="C58" s="1" t="s">
        <v>14</v>
      </c>
      <c r="D58" s="1" t="s">
        <v>14</v>
      </c>
      <c r="E58" s="1" t="s">
        <v>34</v>
      </c>
      <c r="F58" s="1">
        <v>1.1718500000000001</v>
      </c>
      <c r="G58" s="1">
        <v>1.13452</v>
      </c>
      <c r="H58" s="1">
        <v>1.0934600000000001</v>
      </c>
      <c r="I58" s="1">
        <v>1.1076900000000001</v>
      </c>
      <c r="J58" s="1">
        <v>1.14157</v>
      </c>
      <c r="K58" s="1">
        <v>1.16648</v>
      </c>
      <c r="L58" s="1">
        <v>1.13578</v>
      </c>
      <c r="M58" s="1">
        <v>1.1718500000000001</v>
      </c>
      <c r="N58" s="1">
        <v>1.13452</v>
      </c>
      <c r="O58" s="1">
        <v>1.0934600000000001</v>
      </c>
      <c r="P58" s="1">
        <v>1.1076900000000001</v>
      </c>
      <c r="Q58" s="1">
        <v>1.14157</v>
      </c>
      <c r="R58" s="1">
        <v>1.16648</v>
      </c>
      <c r="S58" s="1">
        <v>1.13578</v>
      </c>
      <c r="T58" s="1">
        <v>1.1718500000000001</v>
      </c>
      <c r="U58" s="1">
        <v>1.13452</v>
      </c>
      <c r="V58" s="1">
        <v>1.0934600000000001</v>
      </c>
      <c r="W58" s="1">
        <v>1.1076900000000001</v>
      </c>
      <c r="X58" s="1">
        <v>1.14157</v>
      </c>
      <c r="Y58" s="1">
        <v>1.16648</v>
      </c>
      <c r="Z58" s="1">
        <v>1.13578</v>
      </c>
      <c r="AA58" s="1">
        <v>1.1718500000000001</v>
      </c>
      <c r="AB58" s="1">
        <v>1.13452</v>
      </c>
      <c r="AC58" s="1">
        <v>1.0934600000000001</v>
      </c>
      <c r="AD58" s="1">
        <v>1.1076900000000001</v>
      </c>
      <c r="AE58" s="1">
        <v>1.14157</v>
      </c>
      <c r="AF58" s="1">
        <v>1.16648</v>
      </c>
      <c r="AG58" s="1">
        <v>1.13578</v>
      </c>
      <c r="AH58" s="1">
        <v>1.1718500000000001</v>
      </c>
      <c r="AL58" s="10"/>
      <c r="AM58" s="10"/>
      <c r="AN58" s="10"/>
      <c r="AO58" s="10"/>
      <c r="AP58" s="10"/>
      <c r="AQ58" s="10"/>
      <c r="AR58" s="10"/>
    </row>
    <row r="59" spans="1:62" ht="14.25" customHeight="1" x14ac:dyDescent="0.35">
      <c r="A59" s="1" t="s">
        <v>16</v>
      </c>
      <c r="B59" s="1" t="s">
        <v>16</v>
      </c>
      <c r="C59" s="1" t="s">
        <v>14</v>
      </c>
      <c r="D59" s="1" t="s">
        <v>14</v>
      </c>
      <c r="E59" s="1" t="s">
        <v>35</v>
      </c>
      <c r="F59" s="1">
        <v>1.1941999999999999</v>
      </c>
      <c r="G59" s="1">
        <v>1.15019</v>
      </c>
      <c r="H59" s="1">
        <v>1.1332</v>
      </c>
      <c r="I59" s="1">
        <v>1.1633199999999999</v>
      </c>
      <c r="J59" s="1">
        <v>1.1542600000000001</v>
      </c>
      <c r="K59" s="1">
        <v>1.1737200000000001</v>
      </c>
      <c r="L59" s="1">
        <v>1.1776599999999999</v>
      </c>
      <c r="M59" s="1">
        <v>1.1941999999999999</v>
      </c>
      <c r="N59" s="1">
        <v>1.15019</v>
      </c>
      <c r="O59" s="1">
        <v>1.1332</v>
      </c>
      <c r="P59" s="1">
        <v>1.1633199999999999</v>
      </c>
      <c r="Q59" s="1">
        <v>1.1542600000000001</v>
      </c>
      <c r="R59" s="1">
        <v>1.1737200000000001</v>
      </c>
      <c r="S59" s="1">
        <v>1.1776599999999999</v>
      </c>
      <c r="T59" s="1">
        <v>1.1941999999999999</v>
      </c>
      <c r="U59" s="1">
        <v>1.15019</v>
      </c>
      <c r="V59" s="1">
        <v>1.1332</v>
      </c>
      <c r="W59" s="1">
        <v>1.1633199999999999</v>
      </c>
      <c r="X59" s="1">
        <v>1.1542600000000001</v>
      </c>
      <c r="Y59" s="1">
        <v>1.1737200000000001</v>
      </c>
      <c r="Z59" s="1">
        <v>1.1776599999999999</v>
      </c>
      <c r="AA59" s="1">
        <v>1.1941999999999999</v>
      </c>
      <c r="AB59" s="1">
        <v>1.15019</v>
      </c>
      <c r="AC59" s="1">
        <v>1.1332</v>
      </c>
      <c r="AD59" s="1">
        <v>1.1633199999999999</v>
      </c>
      <c r="AE59" s="1">
        <v>1.1542600000000001</v>
      </c>
      <c r="AF59" s="1">
        <v>1.1737200000000001</v>
      </c>
      <c r="AG59" s="1">
        <v>1.1776599999999999</v>
      </c>
      <c r="AH59" s="1">
        <v>1.1941999999999999</v>
      </c>
      <c r="AL59" s="10"/>
      <c r="AM59" s="10"/>
      <c r="AN59" s="10"/>
      <c r="AO59" s="10"/>
      <c r="AP59" s="10"/>
      <c r="AQ59" s="10"/>
      <c r="AR59" s="10"/>
    </row>
    <row r="60" spans="1:62" ht="14.25" customHeight="1" x14ac:dyDescent="0.35">
      <c r="A60" s="1" t="s">
        <v>16</v>
      </c>
      <c r="B60" s="1" t="s">
        <v>16</v>
      </c>
      <c r="C60" s="1" t="s">
        <v>14</v>
      </c>
      <c r="D60" s="1" t="s">
        <v>14</v>
      </c>
      <c r="E60" s="1" t="s">
        <v>36</v>
      </c>
      <c r="F60" s="1">
        <v>1.2004600000000001</v>
      </c>
      <c r="G60" s="1">
        <v>1.1683600000000001</v>
      </c>
      <c r="H60" s="1">
        <v>1.1626700000000001</v>
      </c>
      <c r="I60" s="1">
        <v>1.2015100000000001</v>
      </c>
      <c r="J60" s="1">
        <v>1.16625</v>
      </c>
      <c r="K60" s="1">
        <v>1.1834100000000001</v>
      </c>
      <c r="L60" s="1">
        <v>1.1975899999999999</v>
      </c>
      <c r="M60" s="1">
        <v>1.2004600000000001</v>
      </c>
      <c r="N60" s="1">
        <v>1.1683600000000001</v>
      </c>
      <c r="O60" s="1">
        <v>1.1626700000000001</v>
      </c>
      <c r="P60" s="1">
        <v>1.2015100000000001</v>
      </c>
      <c r="Q60" s="1">
        <v>1.16625</v>
      </c>
      <c r="R60" s="1">
        <v>1.1834100000000001</v>
      </c>
      <c r="S60" s="1">
        <v>1.1975899999999999</v>
      </c>
      <c r="T60" s="1">
        <v>1.2004600000000001</v>
      </c>
      <c r="U60" s="1">
        <v>1.1683600000000001</v>
      </c>
      <c r="V60" s="1">
        <v>1.1626700000000001</v>
      </c>
      <c r="W60" s="1">
        <v>1.2015100000000001</v>
      </c>
      <c r="X60" s="1">
        <v>1.16625</v>
      </c>
      <c r="Y60" s="1">
        <v>1.1834100000000001</v>
      </c>
      <c r="Z60" s="1">
        <v>1.1975899999999999</v>
      </c>
      <c r="AA60" s="1">
        <v>1.2004600000000001</v>
      </c>
      <c r="AB60" s="1">
        <v>1.1683600000000001</v>
      </c>
      <c r="AC60" s="1">
        <v>1.1626700000000001</v>
      </c>
      <c r="AD60" s="1">
        <v>1.2015100000000001</v>
      </c>
      <c r="AE60" s="1">
        <v>1.16625</v>
      </c>
      <c r="AF60" s="1">
        <v>1.1834100000000001</v>
      </c>
      <c r="AG60" s="1">
        <v>1.1975899999999999</v>
      </c>
      <c r="AH60" s="1">
        <v>1.2004600000000001</v>
      </c>
      <c r="AL60" s="14" t="s">
        <v>160</v>
      </c>
      <c r="AM60" s="14"/>
      <c r="AN60" s="14"/>
      <c r="AO60" s="14"/>
      <c r="AP60" s="14"/>
      <c r="AQ60" s="14"/>
      <c r="AR60" s="14"/>
    </row>
    <row r="61" spans="1:62" ht="14.25" customHeight="1" x14ac:dyDescent="0.35">
      <c r="A61" s="1" t="s">
        <v>14</v>
      </c>
      <c r="B61" s="1" t="s">
        <v>15</v>
      </c>
      <c r="C61" s="1" t="s">
        <v>13</v>
      </c>
      <c r="D61" s="1" t="s">
        <v>13</v>
      </c>
      <c r="E61" s="1" t="s">
        <v>37</v>
      </c>
      <c r="F61" s="1">
        <v>1.1686399999999999</v>
      </c>
      <c r="G61" s="1">
        <v>1.1732400000000001</v>
      </c>
      <c r="H61" s="1">
        <v>1.2001599999999999</v>
      </c>
      <c r="I61" s="1">
        <v>1.2288600000000001</v>
      </c>
      <c r="J61" s="1">
        <v>1.1408700000000001</v>
      </c>
      <c r="K61" s="1">
        <v>1.1450499999999999</v>
      </c>
      <c r="L61" s="1">
        <v>1.1845600000000001</v>
      </c>
      <c r="M61" s="1">
        <v>1.1686399999999999</v>
      </c>
      <c r="N61" s="1">
        <v>1.1732400000000001</v>
      </c>
      <c r="O61" s="1">
        <v>1.2001599999999999</v>
      </c>
      <c r="P61" s="1">
        <v>1.2288600000000001</v>
      </c>
      <c r="Q61" s="1">
        <v>1.1408700000000001</v>
      </c>
      <c r="R61" s="1">
        <v>1.1450499999999999</v>
      </c>
      <c r="S61" s="1">
        <v>1.1845600000000001</v>
      </c>
      <c r="T61" s="1">
        <v>1.1686399999999999</v>
      </c>
      <c r="U61" s="1">
        <v>1.1732400000000001</v>
      </c>
      <c r="V61" s="1">
        <v>1.2001599999999999</v>
      </c>
      <c r="W61" s="1">
        <v>1.2288600000000001</v>
      </c>
      <c r="X61" s="1">
        <v>1.1408700000000001</v>
      </c>
      <c r="Y61" s="1">
        <v>1.1450499999999999</v>
      </c>
      <c r="Z61" s="1">
        <v>1.1845600000000001</v>
      </c>
      <c r="AA61" s="1">
        <v>1.1686399999999999</v>
      </c>
      <c r="AB61" s="1">
        <v>1.1732400000000001</v>
      </c>
      <c r="AC61" s="1">
        <v>1.2001599999999999</v>
      </c>
      <c r="AD61" s="1">
        <v>1.2288600000000001</v>
      </c>
      <c r="AE61" s="1">
        <v>1.1408700000000001</v>
      </c>
      <c r="AF61" s="1">
        <v>1.1450499999999999</v>
      </c>
      <c r="AG61" s="1">
        <v>1.1845600000000001</v>
      </c>
      <c r="AH61" s="1">
        <v>1.1686399999999999</v>
      </c>
      <c r="AL61" s="4"/>
      <c r="AM61" s="4" t="s">
        <v>13</v>
      </c>
      <c r="AN61" s="4" t="s">
        <v>14</v>
      </c>
      <c r="AO61" s="4" t="s">
        <v>15</v>
      </c>
      <c r="AP61" s="4" t="s">
        <v>16</v>
      </c>
      <c r="AQ61" s="4" t="s">
        <v>17</v>
      </c>
      <c r="AR61" s="4" t="s">
        <v>7</v>
      </c>
    </row>
    <row r="62" spans="1:62" ht="14.25" customHeight="1" x14ac:dyDescent="0.35">
      <c r="A62" s="1" t="s">
        <v>14</v>
      </c>
      <c r="B62" s="1" t="s">
        <v>15</v>
      </c>
      <c r="C62" s="1" t="s">
        <v>13</v>
      </c>
      <c r="D62" s="1" t="s">
        <v>13</v>
      </c>
      <c r="E62" s="1" t="s">
        <v>38</v>
      </c>
      <c r="F62" s="1">
        <v>1.16858</v>
      </c>
      <c r="G62" s="1">
        <v>1.20041</v>
      </c>
      <c r="H62" s="1">
        <v>1.22811</v>
      </c>
      <c r="I62" s="1">
        <v>1.2080900000000001</v>
      </c>
      <c r="J62" s="1">
        <v>1.16211</v>
      </c>
      <c r="K62" s="1">
        <v>1.1665099999999999</v>
      </c>
      <c r="L62" s="1">
        <v>1.19021</v>
      </c>
      <c r="M62" s="1">
        <v>1.16858</v>
      </c>
      <c r="N62" s="1">
        <v>1.20041</v>
      </c>
      <c r="O62" s="1">
        <v>1.22811</v>
      </c>
      <c r="P62" s="1">
        <v>1.2080900000000001</v>
      </c>
      <c r="Q62" s="1">
        <v>1.16211</v>
      </c>
      <c r="R62" s="1">
        <v>1.1665099999999999</v>
      </c>
      <c r="S62" s="1">
        <v>1.19021</v>
      </c>
      <c r="T62" s="1">
        <v>1.16858</v>
      </c>
      <c r="U62" s="1">
        <v>1.20041</v>
      </c>
      <c r="V62" s="1">
        <v>1.22811</v>
      </c>
      <c r="W62" s="1">
        <v>1.2080900000000001</v>
      </c>
      <c r="X62" s="1">
        <v>1.16211</v>
      </c>
      <c r="Y62" s="1">
        <v>1.1665099999999999</v>
      </c>
      <c r="Z62" s="1">
        <v>1.19021</v>
      </c>
      <c r="AA62" s="1">
        <v>1.16858</v>
      </c>
      <c r="AB62" s="1">
        <v>1.20041</v>
      </c>
      <c r="AC62" s="1">
        <v>1.22811</v>
      </c>
      <c r="AD62" s="1">
        <v>1.2080900000000001</v>
      </c>
      <c r="AE62" s="1">
        <v>1.16211</v>
      </c>
      <c r="AF62" s="1">
        <v>1.1665099999999999</v>
      </c>
      <c r="AG62" s="1">
        <v>1.19021</v>
      </c>
      <c r="AH62" s="1">
        <v>1.16858</v>
      </c>
      <c r="AL62" s="4" t="s">
        <v>19</v>
      </c>
      <c r="AM62" s="6" cm="1">
        <f t="array" ref="AM62">IFERROR((SUMPRODUCT(($C$43:$C$66=AM$41)*($F$39:$AH$39="")*$F$43:$AH$66)+IF(AM$41="P3",SUMPRODUCT(($F$39:$AH$39="P3")*$F$43:$AH$66),0))/(SUMPRODUCT(($C$43:$C$66=AM$41)*($F$39:$AH$39=""))+IF(AM$41="P3",COUNTIF($F$39:$AH$39,"P3")*ROWS($C$43:$C$66),0)),"")</f>
        <v>1.1434288690476189</v>
      </c>
      <c r="AN62" s="6" cm="1">
        <f t="array" ref="AN62">IFERROR((SUMPRODUCT(($C$43:$C$66=AN$41)*($F$39:$AH$39="")*$F$43:$AH$66)+IF(AN$41="P3",SUMPRODUCT(($F$39:$AH$39="P3")*$F$43:$AH$66),0))/(SUMPRODUCT(($C$43:$C$66=AN$41)*($F$39:$AH$39=""))+IF(AN$41="P3",COUNTIF($F$39:$AH$39,"P3")*ROWS($C$43:$C$66),0)),"")</f>
        <v>1.1935183928571431</v>
      </c>
      <c r="AO62" s="6" cm="1">
        <f t="array" ref="AO62">IFERROR((SUMPRODUCT(($C$43:$C$66=AO$41)*($F$39:$AH$39="")*$F$43:$AH$66)+IF(AO$41="P3",SUMPRODUCT(($F$39:$AH$39="P3")*$F$43:$AH$66),0))/(SUMPRODUCT(($C$43:$C$66=AO$41)*($F$39:$AH$39=""))+IF(AO$41="P3",COUNTIF($F$39:$AH$39,"P3")*ROWS($C$43:$C$66),0)),"")</f>
        <v>1.2771996388888882</v>
      </c>
      <c r="AP62" s="6" t="str" cm="1">
        <f t="array" ref="AP62">IFERROR((SUMPRODUCT(($C$43:$C$66=AP$41)*($F$39:$AH$39="")*$F$43:$AH$66)+IF(AP$41="P3",SUMPRODUCT(($F$39:$AH$39="P3")*$F$43:$AH$66),0))/(SUMPRODUCT(($C$43:$C$66=AP$41)*($F$39:$AH$39=""))+IF(AP$41="P3",COUNTIF($F$39:$AH$39,"P3")*ROWS($C$43:$C$66),0)),"")</f>
        <v/>
      </c>
      <c r="AQ62" s="6" t="str" cm="1">
        <f t="array" ref="AQ62">IFERROR((SUMPRODUCT(($C$43:$C$66=AQ$41)*($F$39:$AH$39="")*$F$43:$AH$66)+IF(AQ$41="P3",SUMPRODUCT(($F$39:$AH$39="P3")*$F$43:$AH$66),0))/(SUMPRODUCT(($C$43:$C$66=AQ$41)*($F$39:$AH$39=""))+IF(AQ$41="P3",COUNTIF($F$39:$AH$39,"P3")*ROWS($C$43:$C$66),0)),"")</f>
        <v/>
      </c>
      <c r="AR62" s="6" t="str" cm="1">
        <f t="array" ref="AR62">IFERROR((SUMPRODUCT(($C$43:$C$66=AR$41)*($F$39:$AH$39="")*$F$43:$AH$66)+IF(AR$41="P3",SUMPRODUCT(($F$39:$AH$39="P3")*$F$43:$AH$66),0))/(SUMPRODUCT(($C$43:$C$66=AR$41)*($F$39:$AH$39=""))+IF(AR$41="P3",COUNTIF($F$39:$AH$39,"P3")*ROWS($C$43:$C$66),0)),"")</f>
        <v/>
      </c>
    </row>
    <row r="63" spans="1:62" ht="14.25" customHeight="1" x14ac:dyDescent="0.35">
      <c r="A63" s="1" t="s">
        <v>14</v>
      </c>
      <c r="B63" s="1" t="s">
        <v>15</v>
      </c>
      <c r="C63" s="1" t="s">
        <v>13</v>
      </c>
      <c r="D63" s="1" t="s">
        <v>13</v>
      </c>
      <c r="E63" s="1" t="s">
        <v>39</v>
      </c>
      <c r="F63" s="1">
        <v>1.16347</v>
      </c>
      <c r="G63" s="1">
        <v>1.2109799999999999</v>
      </c>
      <c r="H63" s="1">
        <v>1.24682</v>
      </c>
      <c r="I63" s="1">
        <v>1.1895500000000001</v>
      </c>
      <c r="J63" s="1">
        <v>1.16622</v>
      </c>
      <c r="K63" s="1">
        <v>1.1688700000000001</v>
      </c>
      <c r="L63" s="1">
        <v>1.18577</v>
      </c>
      <c r="M63" s="1">
        <v>1.16347</v>
      </c>
      <c r="N63" s="1">
        <v>1.2109799999999999</v>
      </c>
      <c r="O63" s="1">
        <v>1.24682</v>
      </c>
      <c r="P63" s="1">
        <v>1.1895500000000001</v>
      </c>
      <c r="Q63" s="1">
        <v>1.16622</v>
      </c>
      <c r="R63" s="1">
        <v>1.1688700000000001</v>
      </c>
      <c r="S63" s="1">
        <v>1.18577</v>
      </c>
      <c r="T63" s="1">
        <v>1.16347</v>
      </c>
      <c r="U63" s="1">
        <v>1.2109799999999999</v>
      </c>
      <c r="V63" s="1">
        <v>1.24682</v>
      </c>
      <c r="W63" s="1">
        <v>1.1895500000000001</v>
      </c>
      <c r="X63" s="1">
        <v>1.16622</v>
      </c>
      <c r="Y63" s="1">
        <v>1.1688700000000001</v>
      </c>
      <c r="Z63" s="1">
        <v>1.18577</v>
      </c>
      <c r="AA63" s="1">
        <v>1.16347</v>
      </c>
      <c r="AB63" s="1">
        <v>1.2109799999999999</v>
      </c>
      <c r="AC63" s="1">
        <v>1.24682</v>
      </c>
      <c r="AD63" s="1">
        <v>1.1895500000000001</v>
      </c>
      <c r="AE63" s="1">
        <v>1.16622</v>
      </c>
      <c r="AF63" s="1">
        <v>1.1688700000000001</v>
      </c>
      <c r="AG63" s="1">
        <v>1.18577</v>
      </c>
      <c r="AH63" s="1">
        <v>1.16347</v>
      </c>
      <c r="AL63" s="4" t="s">
        <v>21</v>
      </c>
      <c r="AM63" s="6" t="str" cm="1">
        <f t="array" ref="AM63">IFERROR((SUMPRODUCT(($B$43:$B$66=AM$41)*($F$40:$AH$40="")*$F$43:$AH$66)+IF(AM$41="P6",SUMPRODUCT(($F$40:$AH$40="P6")*$F$43:$AH$66),0))/(SUMPRODUCT(($B$43:$B$66=AM$41)*($F$40:$AH$40=""))+IF(AM$41="P6",COUNTIF($F$40:$AH$40,"P6")*ROWS($B$43:$B$66),0)),"")</f>
        <v/>
      </c>
      <c r="AN63" s="6" t="str" cm="1">
        <f t="array" ref="AN63">IFERROR((SUMPRODUCT(($B$43:$B$66=AN$41)*($F$40:$AH$40="")*$F$43:$AH$66)+IF(AN$41="P6",SUMPRODUCT(($F$40:$AH$40="P6")*$F$43:$AH$66),0))/(SUMPRODUCT(($B$43:$B$66=AN$41)*($F$40:$AH$40=""))+IF(AN$41="P6",COUNTIF($F$40:$AH$40,"P6")*ROWS($B$43:$B$66),0)),"")</f>
        <v/>
      </c>
      <c r="AO63" s="6" cm="1">
        <f t="array" ref="AO63">IFERROR((SUMPRODUCT(($B$43:$B$66=AO$41)*($F$40:$AH$40="")*$F$43:$AH$66)+IF(AO$41="P6",SUMPRODUCT(($F$40:$AH$40="P6")*$F$43:$AH$66),0))/(SUMPRODUCT(($B$43:$B$66=AO$41)*($F$40:$AH$40=""))+IF(AO$41="P6",COUNTIF($F$40:$AH$40,"P6")*ROWS($B$43:$B$66),0)),"")</f>
        <v>1.1406904761904764</v>
      </c>
      <c r="AP63" s="6" cm="1">
        <f t="array" ref="AP63">IFERROR((SUMPRODUCT(($B$43:$B$66=AP$41)*($F$40:$AH$40="")*$F$43:$AH$66)+IF(AP$41="P6",SUMPRODUCT(($F$40:$AH$40="P6")*$F$43:$AH$66),0))/(SUMPRODUCT(($B$43:$B$66=AP$41)*($F$40:$AH$40=""))+IF(AP$41="P6",COUNTIF($F$40:$AH$40,"P6")*ROWS($B$43:$B$66),0)),"")</f>
        <v>1.2041948299319736</v>
      </c>
      <c r="AQ63" s="6" t="str" cm="1">
        <f t="array" ref="AQ63">IFERROR((SUMPRODUCT(($B$43:$B$66=AQ$41)*($F$40:$AH$40="")*$F$43:$AH$66)+IF(AQ$41="P6",SUMPRODUCT(($F$40:$AH$40="P6")*$F$43:$AH$66),0))/(SUMPRODUCT(($B$43:$B$66=AQ$41)*($F$40:$AH$40=""))+IF(AQ$41="P6",COUNTIF($F$40:$AH$40,"P6")*ROWS($B$43:$B$66),0)),"")</f>
        <v/>
      </c>
      <c r="AR63" s="6" cm="1">
        <f t="array" ref="AR63">IFERROR((SUMPRODUCT(($B$43:$B$66=AR$41)*($F$40:$AH$40="")*$F$43:$AH$66)+IF(AR$41="P6",SUMPRODUCT(($F$40:$AH$40="P6")*$F$43:$AH$66),0))/(SUMPRODUCT(($B$43:$B$66=AR$41)*($F$40:$AH$40=""))+IF(AR$41="P6",COUNTIF($F$40:$AH$40,"P6")*ROWS($B$43:$B$66),0)),"")</f>
        <v>1.2771996388888882</v>
      </c>
    </row>
    <row r="64" spans="1:62" ht="14.25" customHeight="1" x14ac:dyDescent="0.35">
      <c r="A64" s="1" t="s">
        <v>14</v>
      </c>
      <c r="B64" s="1" t="s">
        <v>15</v>
      </c>
      <c r="C64" s="1" t="s">
        <v>13</v>
      </c>
      <c r="D64" s="1" t="s">
        <v>13</v>
      </c>
      <c r="E64" s="1" t="s">
        <v>40</v>
      </c>
      <c r="F64" s="1">
        <v>1.17384</v>
      </c>
      <c r="G64" s="1">
        <v>1.2072499999999999</v>
      </c>
      <c r="H64" s="1">
        <v>1.25854</v>
      </c>
      <c r="I64" s="1">
        <v>1.19625</v>
      </c>
      <c r="J64" s="1">
        <v>1.16713</v>
      </c>
      <c r="K64" s="1">
        <v>1.1610400000000001</v>
      </c>
      <c r="L64" s="1">
        <v>1.1806700000000001</v>
      </c>
      <c r="M64" s="1">
        <v>1.17384</v>
      </c>
      <c r="N64" s="1">
        <v>1.2072499999999999</v>
      </c>
      <c r="O64" s="1">
        <v>1.25854</v>
      </c>
      <c r="P64" s="1">
        <v>1.19625</v>
      </c>
      <c r="Q64" s="1">
        <v>1.16713</v>
      </c>
      <c r="R64" s="1">
        <v>1.1610400000000001</v>
      </c>
      <c r="S64" s="1">
        <v>1.1806700000000001</v>
      </c>
      <c r="T64" s="1">
        <v>1.17384</v>
      </c>
      <c r="U64" s="1">
        <v>1.2072499999999999</v>
      </c>
      <c r="V64" s="1">
        <v>1.25854</v>
      </c>
      <c r="W64" s="1">
        <v>1.19625</v>
      </c>
      <c r="X64" s="1">
        <v>1.16713</v>
      </c>
      <c r="Y64" s="1">
        <v>1.1610400000000001</v>
      </c>
      <c r="Z64" s="1">
        <v>1.1806700000000001</v>
      </c>
      <c r="AA64" s="1">
        <v>1.17384</v>
      </c>
      <c r="AB64" s="1">
        <v>1.2072499999999999</v>
      </c>
      <c r="AC64" s="1">
        <v>1.25854</v>
      </c>
      <c r="AD64" s="1">
        <v>1.19625</v>
      </c>
      <c r="AE64" s="1">
        <v>1.16713</v>
      </c>
      <c r="AF64" s="1">
        <v>1.1610400000000001</v>
      </c>
      <c r="AG64" s="1">
        <v>1.1806700000000001</v>
      </c>
      <c r="AH64" s="1">
        <v>1.17384</v>
      </c>
      <c r="AL64" s="4" t="s">
        <v>23</v>
      </c>
      <c r="AM64" s="6" t="str" cm="1">
        <f t="array" ref="AM64">IFERROR((SUMPRODUCT(($B$43:$B$66=AM$41)*($F$40:$AH$40="")*$F$43:$AH$66)+IF(AM$41="P6",SUMPRODUCT(($F$40:$AH$40="P6")*$F$43:$AH$66),0))/(SUMPRODUCT(($B$43:$B$66=AM$41)*($F$40:$AH$40=""))+IF(AM$41="P6",COUNTIF($F$40:$AH$40,"P6")*ROWS($B$43:$B$66),0)),"")</f>
        <v/>
      </c>
      <c r="AN64" s="6" t="str" cm="1">
        <f t="array" ref="AN64">IFERROR((SUMPRODUCT(($B$43:$B$66=AN$41)*($F$40:$AH$40="")*$F$43:$AH$66)+IF(AN$41="P6",SUMPRODUCT(($F$40:$AH$40="P6")*$F$43:$AH$66),0))/(SUMPRODUCT(($B$43:$B$66=AN$41)*($F$40:$AH$40=""))+IF(AN$41="P6",COUNTIF($F$40:$AH$40,"P6")*ROWS($B$43:$B$66),0)),"")</f>
        <v/>
      </c>
      <c r="AO64" s="6" cm="1">
        <f t="array" ref="AO64">IFERROR((SUMPRODUCT(($B$43:$B$66=AO$41)*($F$40:$AH$40="")*$F$43:$AH$66)+IF(AO$41="P6",SUMPRODUCT(($F$40:$AH$40="P6")*$F$43:$AH$66),0))/(SUMPRODUCT(($B$43:$B$66=AO$41)*($F$40:$AH$40=""))+IF(AO$41="P6",COUNTIF($F$40:$AH$40,"P6")*ROWS($B$43:$B$66),0)),"")</f>
        <v>1.1406904761904764</v>
      </c>
      <c r="AP64" s="6" cm="1">
        <f t="array" ref="AP64">IFERROR((SUMPRODUCT(($B$43:$B$66=AP$41)*($F$40:$AH$40="")*$F$43:$AH$66)+IF(AP$41="P6",SUMPRODUCT(($F$40:$AH$40="P6")*$F$43:$AH$66),0))/(SUMPRODUCT(($B$43:$B$66=AP$41)*($F$40:$AH$40=""))+IF(AP$41="P6",COUNTIF($F$40:$AH$40,"P6")*ROWS($B$43:$B$66),0)),"")</f>
        <v>1.2041948299319736</v>
      </c>
      <c r="AQ64" s="6" t="str" cm="1">
        <f t="array" ref="AQ64">IFERROR((SUMPRODUCT(($B$43:$B$66=AQ$41)*($F$40:$AH$40="")*$F$43:$AH$66)+IF(AQ$41="P6",SUMPRODUCT(($F$40:$AH$40="P6")*$F$43:$AH$66),0))/(SUMPRODUCT(($B$43:$B$66=AQ$41)*($F$40:$AH$40=""))+IF(AQ$41="P6",COUNTIF($F$40:$AH$40,"P6")*ROWS($B$43:$B$66),0)),"")</f>
        <v/>
      </c>
      <c r="AR64" s="6" cm="1">
        <f t="array" ref="AR64">IFERROR((SUMPRODUCT(($B$43:$B$66=AR$41)*($F$40:$AH$40="")*$F$43:$AH$66)+IF(AR$41="P6",SUMPRODUCT(($F$40:$AH$40="P6")*$F$43:$AH$66),0))/(SUMPRODUCT(($B$43:$B$66=AR$41)*($F$40:$AH$40=""))+IF(AR$41="P6",COUNTIF($F$40:$AH$40,"P6")*ROWS($B$43:$B$66),0)),"")</f>
        <v>1.2771996388888882</v>
      </c>
    </row>
    <row r="65" spans="1:44" ht="14.25" customHeight="1" x14ac:dyDescent="0.35">
      <c r="A65" s="1" t="s">
        <v>16</v>
      </c>
      <c r="B65" s="1" t="s">
        <v>16</v>
      </c>
      <c r="C65" s="1" t="s">
        <v>14</v>
      </c>
      <c r="D65" s="1" t="s">
        <v>14</v>
      </c>
      <c r="E65" s="1" t="s">
        <v>41</v>
      </c>
      <c r="F65" s="1">
        <v>1.2357899999999999</v>
      </c>
      <c r="G65" s="1">
        <v>1.2727999999999999</v>
      </c>
      <c r="H65" s="1">
        <v>1.2820400000000001</v>
      </c>
      <c r="I65" s="1">
        <v>1.2315199999999999</v>
      </c>
      <c r="J65" s="1">
        <v>1.22994</v>
      </c>
      <c r="K65" s="1">
        <v>1.22028</v>
      </c>
      <c r="L65" s="1">
        <v>1.2472799999999999</v>
      </c>
      <c r="M65" s="1">
        <v>1.2357899999999999</v>
      </c>
      <c r="N65" s="1">
        <v>1.2727999999999999</v>
      </c>
      <c r="O65" s="1">
        <v>1.2820400000000001</v>
      </c>
      <c r="P65" s="1">
        <v>1.2315199999999999</v>
      </c>
      <c r="Q65" s="1">
        <v>1.22994</v>
      </c>
      <c r="R65" s="1">
        <v>1.22028</v>
      </c>
      <c r="S65" s="1">
        <v>1.2472799999999999</v>
      </c>
      <c r="T65" s="1">
        <v>1.2357899999999999</v>
      </c>
      <c r="U65" s="1">
        <v>1.2727999999999999</v>
      </c>
      <c r="V65" s="1">
        <v>1.2820400000000001</v>
      </c>
      <c r="W65" s="1">
        <v>1.2315199999999999</v>
      </c>
      <c r="X65" s="1">
        <v>1.22994</v>
      </c>
      <c r="Y65" s="1">
        <v>1.22028</v>
      </c>
      <c r="Z65" s="1">
        <v>1.2472799999999999</v>
      </c>
      <c r="AA65" s="1">
        <v>1.2357899999999999</v>
      </c>
      <c r="AB65" s="1">
        <v>1.2727999999999999</v>
      </c>
      <c r="AC65" s="1">
        <v>1.2820400000000001</v>
      </c>
      <c r="AD65" s="1">
        <v>1.2315199999999999</v>
      </c>
      <c r="AE65" s="1">
        <v>1.22994</v>
      </c>
      <c r="AF65" s="1">
        <v>1.22028</v>
      </c>
      <c r="AG65" s="1">
        <v>1.2472799999999999</v>
      </c>
      <c r="AH65" s="1">
        <v>1.2357899999999999</v>
      </c>
      <c r="AL65" s="4" t="s">
        <v>25</v>
      </c>
      <c r="AM65" s="6" t="str" cm="1">
        <f t="array" ref="AM65">IFERROR((SUMPRODUCT(($B$43:$B$66=AM$41)*($F$40:$AH$40="")*$F$43:$AH$66)+IF(AM$41="P6",SUMPRODUCT(($F$40:$AH$40="P6")*$F$43:$AH$66),0))/(SUMPRODUCT(($B$43:$B$66=AM$41)*($F$40:$AH$40=""))+IF(AM$41="P6",COUNTIF($F$40:$AH$40,"P6")*ROWS($B$43:$B$66),0)),"")</f>
        <v/>
      </c>
      <c r="AN65" s="6" t="str" cm="1">
        <f t="array" ref="AN65">IFERROR((SUMPRODUCT(($B$43:$B$66=AN$41)*($F$40:$AH$40="")*$F$43:$AH$66)+IF(AN$41="P6",SUMPRODUCT(($F$40:$AH$40="P6")*$F$43:$AH$66),0))/(SUMPRODUCT(($B$43:$B$66=AN$41)*($F$40:$AH$40=""))+IF(AN$41="P6",COUNTIF($F$40:$AH$40,"P6")*ROWS($B$43:$B$66),0)),"")</f>
        <v/>
      </c>
      <c r="AO65" s="6" cm="1">
        <f t="array" ref="AO65">IFERROR((SUMPRODUCT(($B$43:$B$66=AO$41)*($F$40:$AH$40="")*$F$43:$AH$66)+IF(AO$41="P6",SUMPRODUCT(($F$40:$AH$40="P6")*$F$43:$AH$66),0))/(SUMPRODUCT(($B$43:$B$66=AO$41)*($F$40:$AH$40=""))+IF(AO$41="P6",COUNTIF($F$40:$AH$40,"P6")*ROWS($B$43:$B$66),0)),"")</f>
        <v>1.1406904761904764</v>
      </c>
      <c r="AP65" s="6" cm="1">
        <f t="array" ref="AP65">IFERROR((SUMPRODUCT(($B$43:$B$66=AP$41)*($F$40:$AH$40="")*$F$43:$AH$66)+IF(AP$41="P6",SUMPRODUCT(($F$40:$AH$40="P6")*$F$43:$AH$66),0))/(SUMPRODUCT(($B$43:$B$66=AP$41)*($F$40:$AH$40=""))+IF(AP$41="P6",COUNTIF($F$40:$AH$40,"P6")*ROWS($B$43:$B$66),0)),"")</f>
        <v>1.2041948299319736</v>
      </c>
      <c r="AQ65" s="6" t="str" cm="1">
        <f t="array" ref="AQ65">IFERROR((SUMPRODUCT(($B$43:$B$66=AQ$41)*($F$40:$AH$40="")*$F$43:$AH$66)+IF(AQ$41="P6",SUMPRODUCT(($F$40:$AH$40="P6")*$F$43:$AH$66),0))/(SUMPRODUCT(($B$43:$B$66=AQ$41)*($F$40:$AH$40=""))+IF(AQ$41="P6",COUNTIF($F$40:$AH$40,"P6")*ROWS($B$43:$B$66),0)),"")</f>
        <v/>
      </c>
      <c r="AR65" s="6" cm="1">
        <f t="array" ref="AR65">IFERROR((SUMPRODUCT(($B$43:$B$66=AR$41)*($F$40:$AH$40="")*$F$43:$AH$66)+IF(AR$41="P6",SUMPRODUCT(($F$40:$AH$40="P6")*$F$43:$AH$66),0))/(SUMPRODUCT(($B$43:$B$66=AR$41)*($F$40:$AH$40=""))+IF(AR$41="P6",COUNTIF($F$40:$AH$40,"P6")*ROWS($B$43:$B$66),0)),"")</f>
        <v>1.2771996388888882</v>
      </c>
    </row>
    <row r="66" spans="1:44" ht="14.25" customHeight="1" x14ac:dyDescent="0.35">
      <c r="A66" s="1" t="s">
        <v>16</v>
      </c>
      <c r="B66" s="1" t="s">
        <v>16</v>
      </c>
      <c r="C66" s="1" t="s">
        <v>14</v>
      </c>
      <c r="D66" s="1" t="s">
        <v>14</v>
      </c>
      <c r="E66" s="1" t="s">
        <v>42</v>
      </c>
      <c r="F66" s="1">
        <v>1.2647200000000001</v>
      </c>
      <c r="G66" s="1">
        <v>1.31386</v>
      </c>
      <c r="H66" s="1">
        <v>1.3151200000000001</v>
      </c>
      <c r="I66" s="1">
        <v>1.272</v>
      </c>
      <c r="J66" s="1">
        <v>1.26386</v>
      </c>
      <c r="K66" s="1">
        <v>1.25491</v>
      </c>
      <c r="L66" s="1">
        <v>1.2799499999999999</v>
      </c>
      <c r="M66" s="1">
        <v>1.2647200000000001</v>
      </c>
      <c r="N66" s="1">
        <v>1.31386</v>
      </c>
      <c r="O66" s="1">
        <v>1.3151200000000001</v>
      </c>
      <c r="P66" s="1">
        <v>1.272</v>
      </c>
      <c r="Q66" s="1">
        <v>1.26386</v>
      </c>
      <c r="R66" s="1">
        <v>1.25491</v>
      </c>
      <c r="S66" s="1">
        <v>1.2799499999999999</v>
      </c>
      <c r="T66" s="1">
        <v>1.2647200000000001</v>
      </c>
      <c r="U66" s="1">
        <v>1.31386</v>
      </c>
      <c r="V66" s="1">
        <v>1.3151200000000001</v>
      </c>
      <c r="W66" s="1">
        <v>1.272</v>
      </c>
      <c r="X66" s="1">
        <v>1.26386</v>
      </c>
      <c r="Y66" s="1">
        <v>1.25491</v>
      </c>
      <c r="Z66" s="1">
        <v>1.2799499999999999</v>
      </c>
      <c r="AA66" s="1">
        <v>1.2647200000000001</v>
      </c>
      <c r="AB66" s="1">
        <v>1.31386</v>
      </c>
      <c r="AC66" s="1">
        <v>1.3151200000000001</v>
      </c>
      <c r="AD66" s="1">
        <v>1.272</v>
      </c>
      <c r="AE66" s="1">
        <v>1.26386</v>
      </c>
      <c r="AF66" s="1">
        <v>1.25491</v>
      </c>
      <c r="AG66" s="1">
        <v>1.2799499999999999</v>
      </c>
      <c r="AH66" s="1">
        <v>1.2647200000000001</v>
      </c>
      <c r="AL66" s="4" t="s">
        <v>27</v>
      </c>
      <c r="AM66" s="6" t="str" cm="1">
        <f t="array" ref="AM66">IFERROR((SUMPRODUCT(($B$43:$B$66=AM$41)*($F$40:$AH$40="")*$F$43:$AH$66)+IF(AM$41="P6",SUMPRODUCT(($F$40:$AH$40="P6")*$F$43:$AH$66),0))/(SUMPRODUCT(($B$43:$B$66=AM$41)*($F$40:$AH$40=""))+IF(AM$41="P6",COUNTIF($F$40:$AH$40,"P6")*ROWS($B$43:$B$66),0)),"")</f>
        <v/>
      </c>
      <c r="AN66" s="6" t="str" cm="1">
        <f t="array" ref="AN66">IFERROR((SUMPRODUCT(($B$43:$B$66=AN$41)*($F$40:$AH$40="")*$F$43:$AH$66)+IF(AN$41="P6",SUMPRODUCT(($F$40:$AH$40="P6")*$F$43:$AH$66),0))/(SUMPRODUCT(($B$43:$B$66=AN$41)*($F$40:$AH$40=""))+IF(AN$41="P6",COUNTIF($F$40:$AH$40,"P6")*ROWS($B$43:$B$66),0)),"")</f>
        <v/>
      </c>
      <c r="AO66" s="6" cm="1">
        <f t="array" ref="AO66">IFERROR((SUMPRODUCT(($B$43:$B$66=AO$41)*($F$40:$AH$40="")*$F$43:$AH$66)+IF(AO$41="P6",SUMPRODUCT(($F$40:$AH$40="P6")*$F$43:$AH$66),0))/(SUMPRODUCT(($B$43:$B$66=AO$41)*($F$40:$AH$40=""))+IF(AO$41="P6",COUNTIF($F$40:$AH$40,"P6")*ROWS($B$43:$B$66),0)),"")</f>
        <v>1.1406904761904764</v>
      </c>
      <c r="AP66" s="6" cm="1">
        <f t="array" ref="AP66">IFERROR((SUMPRODUCT(($B$43:$B$66=AP$41)*($F$40:$AH$40="")*$F$43:$AH$66)+IF(AP$41="P6",SUMPRODUCT(($F$40:$AH$40="P6")*$F$43:$AH$66),0))/(SUMPRODUCT(($B$43:$B$66=AP$41)*($F$40:$AH$40=""))+IF(AP$41="P6",COUNTIF($F$40:$AH$40,"P6")*ROWS($B$43:$B$66),0)),"")</f>
        <v>1.2041948299319736</v>
      </c>
      <c r="AQ66" s="6" t="str" cm="1">
        <f t="array" ref="AQ66">IFERROR((SUMPRODUCT(($B$43:$B$66=AQ$41)*($F$40:$AH$40="")*$F$43:$AH$66)+IF(AQ$41="P6",SUMPRODUCT(($F$40:$AH$40="P6")*$F$43:$AH$66),0))/(SUMPRODUCT(($B$43:$B$66=AQ$41)*($F$40:$AH$40=""))+IF(AQ$41="P6",COUNTIF($F$40:$AH$40,"P6")*ROWS($B$43:$B$66),0)),"")</f>
        <v/>
      </c>
      <c r="AR66" s="6" cm="1">
        <f t="array" ref="AR66">IFERROR((SUMPRODUCT(($B$43:$B$66=AR$41)*($F$40:$AH$40="")*$F$43:$AH$66)+IF(AR$41="P6",SUMPRODUCT(($F$40:$AH$40="P6")*$F$43:$AH$66),0))/(SUMPRODUCT(($B$43:$B$66=AR$41)*($F$40:$AH$40=""))+IF(AR$41="P6",COUNTIF($F$40:$AH$40,"P6")*ROWS($B$43:$B$66),0)),"")</f>
        <v>1.2771996388888882</v>
      </c>
    </row>
    <row r="67" spans="1:44" ht="14.25" customHeight="1" x14ac:dyDescent="0.35">
      <c r="AL67" s="4" t="s">
        <v>29</v>
      </c>
      <c r="AM67" s="6" t="str" cm="1">
        <f t="array" ref="AM67">IFERROR((SUMPRODUCT(($B$43:$B$66=AM$41)*($F$40:$AH$40="")*$F$43:$AH$66)+IF(AM$41="P6",SUMPRODUCT(($F$40:$AH$40="P6")*$F$43:$AH$66),0))/(SUMPRODUCT(($B$43:$B$66=AM$41)*($F$40:$AH$40=""))+IF(AM$41="P6",COUNTIF($F$40:$AH$40,"P6")*ROWS($B$43:$B$66),0)),"")</f>
        <v/>
      </c>
      <c r="AN67" s="6" t="str" cm="1">
        <f t="array" ref="AN67">IFERROR((SUMPRODUCT(($B$43:$B$66=AN$41)*($F$40:$AH$40="")*$F$43:$AH$66)+IF(AN$41="P6",SUMPRODUCT(($F$40:$AH$40="P6")*$F$43:$AH$66),0))/(SUMPRODUCT(($B$43:$B$66=AN$41)*($F$40:$AH$40=""))+IF(AN$41="P6",COUNTIF($F$40:$AH$40,"P6")*ROWS($B$43:$B$66),0)),"")</f>
        <v/>
      </c>
      <c r="AO67" s="6" cm="1">
        <f t="array" ref="AO67">IFERROR((SUMPRODUCT(($B$43:$B$66=AO$41)*($F$40:$AH$40="")*$F$43:$AH$66)+IF(AO$41="P6",SUMPRODUCT(($F$40:$AH$40="P6")*$F$43:$AH$66),0))/(SUMPRODUCT(($B$43:$B$66=AO$41)*($F$40:$AH$40=""))+IF(AO$41="P6",COUNTIF($F$40:$AH$40,"P6")*ROWS($B$43:$B$66),0)),"")</f>
        <v>1.1406904761904764</v>
      </c>
      <c r="AP67" s="6" cm="1">
        <f t="array" ref="AP67">IFERROR((SUMPRODUCT(($B$43:$B$66=AP$41)*($F$40:$AH$40="")*$F$43:$AH$66)+IF(AP$41="P6",SUMPRODUCT(($F$40:$AH$40="P6")*$F$43:$AH$66),0))/(SUMPRODUCT(($B$43:$B$66=AP$41)*($F$40:$AH$40=""))+IF(AP$41="P6",COUNTIF($F$40:$AH$40,"P6")*ROWS($B$43:$B$66),0)),"")</f>
        <v>1.2041948299319736</v>
      </c>
      <c r="AQ67" s="6" t="str" cm="1">
        <f t="array" ref="AQ67">IFERROR((SUMPRODUCT(($B$43:$B$66=AQ$41)*($F$40:$AH$40="")*$F$43:$AH$66)+IF(AQ$41="P6",SUMPRODUCT(($F$40:$AH$40="P6")*$F$43:$AH$66),0))/(SUMPRODUCT(($B$43:$B$66=AQ$41)*($F$40:$AH$40=""))+IF(AQ$41="P6",COUNTIF($F$40:$AH$40,"P6")*ROWS($B$43:$B$66),0)),"")</f>
        <v/>
      </c>
      <c r="AR67" s="6" cm="1">
        <f t="array" ref="AR67">IFERROR((SUMPRODUCT(($B$43:$B$66=AR$41)*($F$40:$AH$40="")*$F$43:$AH$66)+IF(AR$41="P6",SUMPRODUCT(($F$40:$AH$40="P6")*$F$43:$AH$66),0))/(SUMPRODUCT(($B$43:$B$66=AR$41)*($F$40:$AH$40=""))+IF(AR$41="P6",COUNTIF($F$40:$AH$40,"P6")*ROWS($B$43:$B$66),0)),"")</f>
        <v>1.2771996388888882</v>
      </c>
    </row>
    <row r="71" spans="1:44" ht="14.25" customHeight="1" x14ac:dyDescent="0.35">
      <c r="A71" s="15" t="s">
        <v>161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1:44" ht="14.25" customHeight="1" x14ac:dyDescent="0.3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1:44" ht="14.25" customHeight="1" x14ac:dyDescent="0.35">
      <c r="AL73" s="10"/>
      <c r="AM73" s="10"/>
      <c r="AN73" s="10"/>
      <c r="AO73" s="10"/>
      <c r="AP73" s="10"/>
      <c r="AQ73" s="10"/>
      <c r="AR73" s="10"/>
    </row>
    <row r="74" spans="1:44" ht="14.25" customHeight="1" x14ac:dyDescent="0.35">
      <c r="F74" s="1" t="str">
        <f>IF(OR(F76="S",F76="D"),"P3","")</f>
        <v/>
      </c>
      <c r="G74" s="1" t="str">
        <f t="shared" ref="G74:AJ74" si="12">IF(OR(G76="S",G76="D"),"P3","")</f>
        <v>P3</v>
      </c>
      <c r="H74" s="1" t="str">
        <f t="shared" si="12"/>
        <v>P3</v>
      </c>
      <c r="I74" s="1" t="str">
        <f t="shared" si="12"/>
        <v/>
      </c>
      <c r="J74" s="1" t="str">
        <f t="shared" si="12"/>
        <v/>
      </c>
      <c r="K74" s="1" t="str">
        <f t="shared" si="12"/>
        <v/>
      </c>
      <c r="L74" s="1" t="str">
        <f t="shared" si="12"/>
        <v/>
      </c>
      <c r="M74" s="1" t="str">
        <f t="shared" si="12"/>
        <v/>
      </c>
      <c r="N74" s="1" t="str">
        <f t="shared" si="12"/>
        <v>P3</v>
      </c>
      <c r="O74" s="1" t="str">
        <f t="shared" si="12"/>
        <v>P3</v>
      </c>
      <c r="P74" s="1" t="str">
        <f t="shared" si="12"/>
        <v/>
      </c>
      <c r="Q74" s="1" t="str">
        <f t="shared" si="12"/>
        <v/>
      </c>
      <c r="R74" s="1" t="str">
        <f t="shared" si="12"/>
        <v/>
      </c>
      <c r="S74" s="1" t="str">
        <f t="shared" si="12"/>
        <v/>
      </c>
      <c r="T74" s="1" t="str">
        <f t="shared" si="12"/>
        <v/>
      </c>
      <c r="U74" s="1" t="str">
        <f t="shared" si="12"/>
        <v>P3</v>
      </c>
      <c r="V74" s="1" t="str">
        <f t="shared" si="12"/>
        <v>P3</v>
      </c>
      <c r="W74" s="1" t="str">
        <f t="shared" si="12"/>
        <v/>
      </c>
      <c r="X74" s="1" t="str">
        <f t="shared" si="12"/>
        <v/>
      </c>
      <c r="Y74" s="1" t="str">
        <f t="shared" si="12"/>
        <v/>
      </c>
      <c r="Z74" s="1" t="str">
        <f t="shared" si="12"/>
        <v/>
      </c>
      <c r="AA74" s="1" t="str">
        <f t="shared" si="12"/>
        <v/>
      </c>
      <c r="AB74" s="1" t="str">
        <f t="shared" si="12"/>
        <v>P3</v>
      </c>
      <c r="AC74" s="1" t="str">
        <f t="shared" si="12"/>
        <v>P3</v>
      </c>
      <c r="AD74" s="1" t="str">
        <f t="shared" si="12"/>
        <v/>
      </c>
      <c r="AE74" s="1" t="str">
        <f t="shared" si="12"/>
        <v/>
      </c>
      <c r="AF74" s="1" t="str">
        <f t="shared" si="12"/>
        <v/>
      </c>
      <c r="AG74" s="1" t="str">
        <f t="shared" si="12"/>
        <v/>
      </c>
      <c r="AH74" s="1" t="str">
        <f t="shared" si="12"/>
        <v/>
      </c>
      <c r="AI74" s="1" t="str">
        <f t="shared" si="12"/>
        <v>P3</v>
      </c>
      <c r="AJ74" s="1" t="str">
        <f t="shared" si="12"/>
        <v>P3</v>
      </c>
      <c r="AL74" s="10"/>
      <c r="AM74" s="10"/>
      <c r="AN74" s="10"/>
      <c r="AO74" s="10"/>
      <c r="AP74" s="10"/>
      <c r="AQ74" s="10"/>
      <c r="AR74" s="10"/>
    </row>
    <row r="75" spans="1:44" ht="14.25" customHeight="1" x14ac:dyDescent="0.35">
      <c r="F75" s="1" t="str">
        <f>IF(OR(F76="S",F76="D"),"P6","")</f>
        <v/>
      </c>
      <c r="G75" s="1" t="str">
        <f t="shared" ref="G75:AJ75" si="13">IF(OR(G76="S",G76="D"),"P6","")</f>
        <v>P6</v>
      </c>
      <c r="H75" s="1" t="str">
        <f t="shared" si="13"/>
        <v>P6</v>
      </c>
      <c r="I75" s="1" t="str">
        <f t="shared" si="13"/>
        <v/>
      </c>
      <c r="J75" s="1" t="str">
        <f t="shared" si="13"/>
        <v/>
      </c>
      <c r="K75" s="1" t="str">
        <f t="shared" si="13"/>
        <v/>
      </c>
      <c r="L75" s="1" t="str">
        <f t="shared" si="13"/>
        <v/>
      </c>
      <c r="M75" s="1" t="str">
        <f t="shared" si="13"/>
        <v/>
      </c>
      <c r="N75" s="1" t="str">
        <f t="shared" si="13"/>
        <v>P6</v>
      </c>
      <c r="O75" s="1" t="str">
        <f t="shared" si="13"/>
        <v>P6</v>
      </c>
      <c r="P75" s="1" t="str">
        <f t="shared" si="13"/>
        <v/>
      </c>
      <c r="Q75" s="1" t="str">
        <f t="shared" si="13"/>
        <v/>
      </c>
      <c r="R75" s="1" t="str">
        <f t="shared" si="13"/>
        <v/>
      </c>
      <c r="S75" s="1" t="str">
        <f t="shared" si="13"/>
        <v/>
      </c>
      <c r="T75" s="1" t="str">
        <f t="shared" si="13"/>
        <v/>
      </c>
      <c r="U75" s="1" t="str">
        <f t="shared" si="13"/>
        <v>P6</v>
      </c>
      <c r="V75" s="1" t="str">
        <f t="shared" si="13"/>
        <v>P6</v>
      </c>
      <c r="W75" s="1" t="str">
        <f t="shared" si="13"/>
        <v/>
      </c>
      <c r="X75" s="1" t="str">
        <f t="shared" si="13"/>
        <v/>
      </c>
      <c r="Y75" s="1" t="str">
        <f t="shared" si="13"/>
        <v/>
      </c>
      <c r="Z75" s="1" t="str">
        <f t="shared" si="13"/>
        <v/>
      </c>
      <c r="AA75" s="1" t="str">
        <f t="shared" si="13"/>
        <v/>
      </c>
      <c r="AB75" s="1" t="str">
        <f t="shared" si="13"/>
        <v>P6</v>
      </c>
      <c r="AC75" s="1" t="str">
        <f t="shared" si="13"/>
        <v>P6</v>
      </c>
      <c r="AD75" s="1" t="str">
        <f t="shared" si="13"/>
        <v/>
      </c>
      <c r="AE75" s="1" t="str">
        <f t="shared" si="13"/>
        <v/>
      </c>
      <c r="AF75" s="1" t="str">
        <f t="shared" si="13"/>
        <v/>
      </c>
      <c r="AG75" s="1" t="str">
        <f t="shared" si="13"/>
        <v/>
      </c>
      <c r="AH75" s="1" t="str">
        <f t="shared" si="13"/>
        <v/>
      </c>
      <c r="AI75" s="1" t="str">
        <f t="shared" si="13"/>
        <v>P6</v>
      </c>
      <c r="AJ75" s="1" t="str">
        <f t="shared" si="13"/>
        <v>P6</v>
      </c>
      <c r="AL75" s="14" t="s">
        <v>162</v>
      </c>
      <c r="AM75" s="14"/>
      <c r="AN75" s="14"/>
      <c r="AO75" s="14"/>
      <c r="AP75" s="14"/>
      <c r="AQ75" s="14"/>
      <c r="AR75" s="14"/>
    </row>
    <row r="76" spans="1:44" ht="14.25" customHeight="1" x14ac:dyDescent="0.35">
      <c r="F76" s="1" t="str">
        <f>CHOOSE(WEEKDAY(F77,2),"L","M","X","J","V","S","D")</f>
        <v>V</v>
      </c>
      <c r="G76" s="1" t="str">
        <f t="shared" ref="G76:AJ76" si="14">CHOOSE(WEEKDAY(G77,2),"L","M","X","J","V","S","D")</f>
        <v>S</v>
      </c>
      <c r="H76" s="1" t="str">
        <f t="shared" si="14"/>
        <v>D</v>
      </c>
      <c r="I76" s="1" t="str">
        <f t="shared" si="14"/>
        <v>L</v>
      </c>
      <c r="J76" s="1" t="str">
        <f t="shared" si="14"/>
        <v>M</v>
      </c>
      <c r="K76" s="1" t="str">
        <f t="shared" si="14"/>
        <v>X</v>
      </c>
      <c r="L76" s="1" t="str">
        <f t="shared" si="14"/>
        <v>J</v>
      </c>
      <c r="M76" s="1" t="str">
        <f t="shared" si="14"/>
        <v>V</v>
      </c>
      <c r="N76" s="1" t="str">
        <f t="shared" si="14"/>
        <v>S</v>
      </c>
      <c r="O76" s="1" t="str">
        <f t="shared" si="14"/>
        <v>D</v>
      </c>
      <c r="P76" s="1" t="str">
        <f t="shared" si="14"/>
        <v>L</v>
      </c>
      <c r="Q76" s="1" t="str">
        <f t="shared" si="14"/>
        <v>M</v>
      </c>
      <c r="R76" s="1" t="str">
        <f t="shared" si="14"/>
        <v>X</v>
      </c>
      <c r="S76" s="1" t="str">
        <f t="shared" si="14"/>
        <v>J</v>
      </c>
      <c r="T76" s="1" t="str">
        <f t="shared" si="14"/>
        <v>V</v>
      </c>
      <c r="U76" s="1" t="str">
        <f t="shared" si="14"/>
        <v>S</v>
      </c>
      <c r="V76" s="1" t="str">
        <f t="shared" si="14"/>
        <v>D</v>
      </c>
      <c r="W76" s="1" t="str">
        <f t="shared" si="14"/>
        <v>L</v>
      </c>
      <c r="X76" s="1" t="str">
        <f t="shared" si="14"/>
        <v>M</v>
      </c>
      <c r="Y76" s="1" t="str">
        <f t="shared" si="14"/>
        <v>X</v>
      </c>
      <c r="Z76" s="1" t="str">
        <f t="shared" si="14"/>
        <v>J</v>
      </c>
      <c r="AA76" s="1" t="str">
        <f t="shared" si="14"/>
        <v>V</v>
      </c>
      <c r="AB76" s="1" t="str">
        <f t="shared" si="14"/>
        <v>S</v>
      </c>
      <c r="AC76" s="1" t="str">
        <f t="shared" si="14"/>
        <v>D</v>
      </c>
      <c r="AD76" s="1" t="str">
        <f t="shared" si="14"/>
        <v>L</v>
      </c>
      <c r="AE76" s="1" t="str">
        <f t="shared" si="14"/>
        <v>M</v>
      </c>
      <c r="AF76" s="1" t="str">
        <f t="shared" si="14"/>
        <v>X</v>
      </c>
      <c r="AG76" s="1" t="str">
        <f t="shared" si="14"/>
        <v>J</v>
      </c>
      <c r="AH76" s="1" t="str">
        <f t="shared" si="14"/>
        <v>V</v>
      </c>
      <c r="AI76" s="1" t="str">
        <f t="shared" si="14"/>
        <v>S</v>
      </c>
      <c r="AJ76" s="1" t="str">
        <f t="shared" si="14"/>
        <v>D</v>
      </c>
      <c r="AL76" s="4"/>
      <c r="AM76" s="4" t="s">
        <v>13</v>
      </c>
      <c r="AN76" s="4" t="s">
        <v>14</v>
      </c>
      <c r="AO76" s="4" t="s">
        <v>15</v>
      </c>
      <c r="AP76" s="4" t="s">
        <v>16</v>
      </c>
      <c r="AQ76" s="4" t="s">
        <v>17</v>
      </c>
      <c r="AR76" s="4" t="s">
        <v>7</v>
      </c>
    </row>
    <row r="77" spans="1:44" ht="14.25" customHeight="1" x14ac:dyDescent="0.35">
      <c r="A77" s="3" t="s">
        <v>76</v>
      </c>
      <c r="B77" s="3" t="s">
        <v>77</v>
      </c>
      <c r="C77" s="3" t="s">
        <v>75</v>
      </c>
      <c r="D77" s="3" t="s">
        <v>74</v>
      </c>
      <c r="F77" s="8">
        <v>45352</v>
      </c>
      <c r="G77" s="8">
        <v>45353</v>
      </c>
      <c r="H77" s="8">
        <v>45354</v>
      </c>
      <c r="I77" s="8">
        <v>45355</v>
      </c>
      <c r="J77" s="8">
        <v>45356</v>
      </c>
      <c r="K77" s="8">
        <v>45357</v>
      </c>
      <c r="L77" s="8">
        <v>45358</v>
      </c>
      <c r="M77" s="8">
        <v>45359</v>
      </c>
      <c r="N77" s="8">
        <v>45360</v>
      </c>
      <c r="O77" s="8">
        <v>45361</v>
      </c>
      <c r="P77" s="8">
        <v>45362</v>
      </c>
      <c r="Q77" s="8">
        <v>45363</v>
      </c>
      <c r="R77" s="8">
        <v>45364</v>
      </c>
      <c r="S77" s="8">
        <v>45365</v>
      </c>
      <c r="T77" s="8">
        <v>45366</v>
      </c>
      <c r="U77" s="8">
        <v>45367</v>
      </c>
      <c r="V77" s="8">
        <v>45368</v>
      </c>
      <c r="W77" s="8">
        <v>45369</v>
      </c>
      <c r="X77" s="8">
        <v>45370</v>
      </c>
      <c r="Y77" s="8">
        <v>45371</v>
      </c>
      <c r="Z77" s="8">
        <v>45372</v>
      </c>
      <c r="AA77" s="8">
        <v>45373</v>
      </c>
      <c r="AB77" s="8">
        <v>45374</v>
      </c>
      <c r="AC77" s="8">
        <v>45375</v>
      </c>
      <c r="AD77" s="8">
        <v>45376</v>
      </c>
      <c r="AE77" s="8">
        <v>45377</v>
      </c>
      <c r="AF77" s="8">
        <v>45378</v>
      </c>
      <c r="AG77" s="8">
        <v>45379</v>
      </c>
      <c r="AH77" s="8">
        <v>45380</v>
      </c>
      <c r="AI77" s="8">
        <v>45381</v>
      </c>
      <c r="AJ77" s="8">
        <v>45382</v>
      </c>
      <c r="AL77" s="4" t="s">
        <v>19</v>
      </c>
      <c r="AM77" s="6" cm="1">
        <f t="array" ref="AM77">IFERROR((SUMPRODUCT(($C$78:$C$101=AM$76)*($F$74:$AJ$74="")*$F$78:$AJ$101)+IF(AM$76="P3",SUMPRODUCT(($F$74:$AJ$74="P3")*$F$78:$AJ$101),0))/(SUMPRODUCT(($C$78:$C$101=AM$76)*($F$74:$AJ$74=""))+IF(AM$76="P3",COUNTIF($F$74:$AJ$74,"P3")*ROWS($C$78:$C$101),0)),"")</f>
        <v>1.0212375595238092</v>
      </c>
      <c r="AN77" s="6" cm="1">
        <f t="array" ref="AN77">IFERROR((SUMPRODUCT(($C$78:$C$101=AN$41)*($F$74:$AJ$74="")*$F$78:$AJ$101)+IF(AN$41="P3",SUMPRODUCT(($F$74:$AJ$74="P3")*$F$78:$AJ$101),0))/(SUMPRODUCT(($C$78:$C$101=AN$41)*($F$74:$AJ$74=""))+IF(AN$41="P3",COUNTIF($F$74:$AJ$74,"P3")*ROWS($C$78:$C$101),0)),"")</f>
        <v>1.1006430952380937</v>
      </c>
      <c r="AO77" s="6" cm="1">
        <f t="array" ref="AO77">IFERROR((SUMPRODUCT(($C$78:$C$101=AO$41)*($F$74:$AJ$74="")*$F$78:$AJ$101)+IF(AO$41="P3",SUMPRODUCT(($F$74:$AJ$74="P3")*$F$78:$AJ$101),0))/(SUMPRODUCT(($C$78:$C$101=AO$41)*($F$74:$AJ$74=""))+IF(AO$41="P3",COUNTIF($F$74:$AJ$74,"P3")*ROWS($C$78:$C$101),0)),"")</f>
        <v>1.1635670098039219</v>
      </c>
      <c r="AP77" s="6" t="str" cm="1">
        <f t="array" ref="AP77">IFERROR((SUMPRODUCT(($C$78:$C$101=AP$41)*($F$74:$AJ$74="")*$F$78:$AJ$101)+IF(AP$41="P3",SUMPRODUCT(($F$74:$AJ$74="P3")*$F$78:$AJ$101),0))/(SUMPRODUCT(($C$78:$C$101=AP$41)*($F$74:$AJ$74=""))+IF(AP$41="P3",COUNTIF($F$74:$AJ$74,"P3")*ROWS($C$78:$C$101),0)),"")</f>
        <v/>
      </c>
      <c r="AQ77" s="6" t="str" cm="1">
        <f t="array" ref="AQ77">IFERROR((SUMPRODUCT(($C$78:$C$101=AQ$41)*($F$74:$AJ$74="")*$F$78:$AJ$101)+IF(AQ$41="P3",SUMPRODUCT(($F$74:$AJ$74="P3")*$F$78:$AJ$101),0))/(SUMPRODUCT(($C$78:$C$101=AQ$41)*($F$74:$AJ$74=""))+IF(AQ$41="P3",COUNTIF($F$74:$AJ$74,"P3")*ROWS($C$78:$C$101),0)),"")</f>
        <v/>
      </c>
      <c r="AR77" s="6" t="str" cm="1">
        <f t="array" ref="AR77">IFERROR((SUMPRODUCT(($C$78:$C$101=AR$41)*($F$74:$AJ$74="")*$F$78:$AJ$101)+IF(AR$41="P3",SUMPRODUCT(($F$74:$AJ$74="P3")*$F$78:$AJ$101),0))/(SUMPRODUCT(($C$78:$C$101=AR$41)*($F$74:$AJ$74=""))+IF(AR$41="P3",COUNTIF($F$74:$AJ$74,"P3")*ROWS($C$78:$C$101),0)),"")</f>
        <v/>
      </c>
    </row>
    <row r="78" spans="1:44" ht="14.25" customHeight="1" x14ac:dyDescent="0.35">
      <c r="A78" s="1" t="s">
        <v>7</v>
      </c>
      <c r="B78" s="1" t="s">
        <v>7</v>
      </c>
      <c r="C78" s="1" t="s">
        <v>15</v>
      </c>
      <c r="D78" s="1" t="s">
        <v>7</v>
      </c>
      <c r="E78" s="1" t="s">
        <v>8</v>
      </c>
      <c r="F78" s="1">
        <v>1.1930099999999999</v>
      </c>
      <c r="G78" s="1">
        <v>1.24773</v>
      </c>
      <c r="H78" s="1">
        <v>1.2468900000000001</v>
      </c>
      <c r="I78" s="1">
        <v>1.2251000000000001</v>
      </c>
      <c r="J78" s="1">
        <v>1.1398200000000001</v>
      </c>
      <c r="K78" s="1">
        <v>1.16618</v>
      </c>
      <c r="L78" s="1">
        <v>1.17519</v>
      </c>
      <c r="M78" s="1">
        <v>1.1930099999999999</v>
      </c>
      <c r="N78" s="1">
        <v>1.24773</v>
      </c>
      <c r="O78" s="1">
        <v>1.2468900000000001</v>
      </c>
      <c r="P78" s="1">
        <v>1.2251000000000001</v>
      </c>
      <c r="Q78" s="1">
        <v>1.1398200000000001</v>
      </c>
      <c r="R78" s="1">
        <v>1.16618</v>
      </c>
      <c r="S78" s="1">
        <v>1.17519</v>
      </c>
      <c r="T78" s="1">
        <v>1.1930099999999999</v>
      </c>
      <c r="U78" s="1">
        <v>1.24773</v>
      </c>
      <c r="V78" s="1">
        <v>1.2468900000000001</v>
      </c>
      <c r="W78" s="1">
        <v>1.2251000000000001</v>
      </c>
      <c r="X78" s="1">
        <v>1.1398200000000001</v>
      </c>
      <c r="Y78" s="1">
        <v>1.16618</v>
      </c>
      <c r="Z78" s="1">
        <v>1.17519</v>
      </c>
      <c r="AA78" s="1">
        <v>1.1930099999999999</v>
      </c>
      <c r="AB78" s="1">
        <v>1.24773</v>
      </c>
      <c r="AC78" s="1">
        <v>1.2468900000000001</v>
      </c>
      <c r="AD78" s="1">
        <v>1.2251000000000001</v>
      </c>
      <c r="AE78" s="1">
        <v>1.1398200000000001</v>
      </c>
      <c r="AF78" s="1">
        <v>1.16618</v>
      </c>
      <c r="AG78" s="1">
        <v>1.17519</v>
      </c>
      <c r="AH78" s="1">
        <v>1.1930099999999999</v>
      </c>
      <c r="AI78" s="1">
        <v>1.24773</v>
      </c>
      <c r="AJ78" s="1">
        <v>1.2468900000000001</v>
      </c>
      <c r="AL78" s="4" t="s">
        <v>21</v>
      </c>
      <c r="AM78" s="6" t="str" cm="1">
        <f t="array" ref="AM78">IFERROR((SUMPRODUCT(($D$78:$D$101=AM$76)*($F$75:$AJ$75="")*$F$78:$AJ$101)+IF(AM$76="P6",SUMPRODUCT(($F$75:$AJ$75="P6")*$F$78:$AJ$101),0))/(SUMPRODUCT(($D$78:$D$101=AM$76)*($F$75:$AJ$75=""))+IF(AM$76="P6",COUNTIF($F$75:$AJ$75,"P6")*ROWS($D$78:$D$101),0)),"")</f>
        <v/>
      </c>
      <c r="AN78" s="6" cm="1">
        <f t="array" ref="AN78">IFERROR((SUMPRODUCT(($D$78:$D$101=AN$76)*($F$75:$AJ$75="")*$F$78:$AJ$101)+IF(AN$76="P6",SUMPRODUCT(($F$75:$AJ$75="P6")*$F$78:$AJ$101),0))/(SUMPRODUCT(($D$78:$D$101=AN$76)*($F$75:$AJ$75=""))+IF(AN$76="P6",COUNTIF($F$75:$AJ$75,"P6")*ROWS($D$78:$D$101),0)),"")</f>
        <v>1.0193572486772482</v>
      </c>
      <c r="AO78" s="6" cm="1">
        <f t="array" ref="AO78">IFERROR((SUMPRODUCT(($D$78:$D$101=AO$76)*($F$75:$AJ$75="")*$F$78:$AJ$101)+IF(AO$76="P6",SUMPRODUCT(($F$75:$AJ$75="P6")*$F$78:$AJ$101),0))/(SUMPRODUCT(($D$78:$D$101=AO$76)*($F$75:$AJ$75=""))+IF(AO$76="P6",COUNTIF($F$75:$AJ$75,"P6")*ROWS($D$78:$D$101),0)),"")</f>
        <v>1.1144042857142848</v>
      </c>
      <c r="AP78" s="6" t="str" cm="1">
        <f t="array" ref="AP78">IFERROR((SUMPRODUCT(($D$78:$D$101=AP$76)*($F$75:$AJ$75="")*$F$78:$AJ$101)+IF(AP$76="P6",SUMPRODUCT(($F$75:$AJ$75="P6")*$F$78:$AJ$101),0))/(SUMPRODUCT(($D$78:$D$101=AP$76)*($F$75:$AJ$75=""))+IF(AP$76="P6",COUNTIF($F$75:$AJ$75,"P6")*ROWS($D$78:$D$101),0)),"")</f>
        <v/>
      </c>
      <c r="AQ78" s="6" t="str" cm="1">
        <f t="array" ref="AQ78">IFERROR((SUMPRODUCT(($D$78:$D$101=AQ$76)*($F$75:$AJ$75="")*$F$78:$AJ$101)+IF(AQ$76="P6",SUMPRODUCT(($F$75:$AJ$75="P6")*$F$78:$AJ$101),0))/(SUMPRODUCT(($D$78:$D$101=AQ$76)*($F$75:$AJ$75=""))+IF(AQ$76="P6",COUNTIF($F$75:$AJ$75,"P6")*ROWS($D$78:$D$101),0)),"")</f>
        <v/>
      </c>
      <c r="AR78" s="6" cm="1">
        <f t="array" ref="AR78">IFERROR((SUMPRODUCT(($D$78:$D$101=AR$76)*($F$75:$AJ$75="")*$F$78:$AJ$101)+IF(AR$76="P6",SUMPRODUCT(($F$75:$AJ$75="P6")*$F$78:$AJ$101),0))/(SUMPRODUCT(($D$78:$D$101=AR$76)*($F$75:$AJ$75=""))+IF(AR$76="P6",COUNTIF($F$75:$AJ$75,"P6")*ROWS($D$78:$D$101),0)),"")</f>
        <v>1.1635670098039219</v>
      </c>
    </row>
    <row r="79" spans="1:44" ht="14.25" customHeight="1" x14ac:dyDescent="0.35">
      <c r="A79" s="1" t="s">
        <v>7</v>
      </c>
      <c r="B79" s="1" t="s">
        <v>7</v>
      </c>
      <c r="C79" s="1" t="s">
        <v>15</v>
      </c>
      <c r="D79" s="1" t="s">
        <v>7</v>
      </c>
      <c r="E79" s="1" t="s">
        <v>9</v>
      </c>
      <c r="F79" s="1">
        <v>1.24855</v>
      </c>
      <c r="G79" s="1">
        <v>1.28667</v>
      </c>
      <c r="H79" s="1">
        <v>1.4148499999999999</v>
      </c>
      <c r="I79" s="1">
        <v>1.26776</v>
      </c>
      <c r="J79" s="1">
        <v>1.1689400000000001</v>
      </c>
      <c r="K79" s="1">
        <v>1.2123999999999999</v>
      </c>
      <c r="L79" s="1">
        <v>1.2089099999999999</v>
      </c>
      <c r="M79" s="1">
        <v>1.24855</v>
      </c>
      <c r="N79" s="1">
        <v>1.28667</v>
      </c>
      <c r="O79" s="1">
        <v>1.4148499999999999</v>
      </c>
      <c r="P79" s="1">
        <v>1.26776</v>
      </c>
      <c r="Q79" s="1">
        <v>1.1689400000000001</v>
      </c>
      <c r="R79" s="1">
        <v>1.2123999999999999</v>
      </c>
      <c r="S79" s="1">
        <v>1.2089099999999999</v>
      </c>
      <c r="T79" s="1">
        <v>1.24855</v>
      </c>
      <c r="U79" s="1">
        <v>1.28667</v>
      </c>
      <c r="V79" s="1">
        <v>1.4148499999999999</v>
      </c>
      <c r="W79" s="1">
        <v>1.26776</v>
      </c>
      <c r="X79" s="1">
        <v>1.1689400000000001</v>
      </c>
      <c r="Y79" s="1">
        <v>1.2123999999999999</v>
      </c>
      <c r="Z79" s="1">
        <v>1.2089099999999999</v>
      </c>
      <c r="AA79" s="1">
        <v>1.24855</v>
      </c>
      <c r="AB79" s="1">
        <v>1.28667</v>
      </c>
      <c r="AC79" s="1">
        <v>1.4148499999999999</v>
      </c>
      <c r="AD79" s="1">
        <v>1.26776</v>
      </c>
      <c r="AE79" s="1">
        <v>1.1689400000000001</v>
      </c>
      <c r="AF79" s="1">
        <v>1.2123999999999999</v>
      </c>
      <c r="AG79" s="1">
        <v>1.2089099999999999</v>
      </c>
      <c r="AH79" s="1">
        <v>1.24855</v>
      </c>
      <c r="AI79" s="1">
        <v>1.28667</v>
      </c>
      <c r="AJ79" s="1">
        <v>1.4148499999999999</v>
      </c>
      <c r="AL79" s="4" t="s">
        <v>23</v>
      </c>
      <c r="AM79" s="6" t="str" cm="1">
        <f t="array" ref="AM79">IFERROR((SUMPRODUCT(($D$78:$D$101=AM$76)*($F$75:$AJ$75="")*$F$78:$AJ$101)+IF(AM$76="P6",SUMPRODUCT(($F$75:$AJ$75="P6")*$F$78:$AJ$101),0))/(SUMPRODUCT(($D$78:$D$101=AM$76)*($F$75:$AJ$75=""))+IF(AM$76="P6",COUNTIF($F$75:$AJ$75,"P6")*ROWS($D$78:$D$101),0)),"")</f>
        <v/>
      </c>
      <c r="AN79" s="6" cm="1">
        <f t="array" ref="AN79">IFERROR((SUMPRODUCT(($D$78:$D$101=AN$76)*($F$75:$AJ$75="")*$F$78:$AJ$101)+IF(AN$76="P6",SUMPRODUCT(($F$75:$AJ$75="P6")*$F$78:$AJ$101),0))/(SUMPRODUCT(($D$78:$D$101=AN$76)*($F$75:$AJ$75=""))+IF(AN$76="P6",COUNTIF($F$75:$AJ$75,"P6")*ROWS($D$78:$D$101),0)),"")</f>
        <v>1.0193572486772482</v>
      </c>
      <c r="AO79" s="5" cm="1">
        <f t="array" ref="AO79">IFERROR((SUMPRODUCT(($D$78:$D$101=AO$76)*($F$75:$AJ$75="")*$F$78:$AJ$101)+IF(AO$76="P6",SUMPRODUCT(($F$75:$AJ$75="P6")*$F$78:$AJ$101),0))/(SUMPRODUCT(($D$78:$D$101=AO$76)*($F$75:$AJ$75=""))+IF(AO$76="P6",COUNTIF($F$75:$AJ$75,"P6")*ROWS($D$78:$D$101),0)),"")</f>
        <v>1.1144042857142848</v>
      </c>
      <c r="AP79" s="5" t="str" cm="1">
        <f t="array" ref="AP79">IFERROR((SUMPRODUCT(($D$78:$D$101=AP$76)*($F$75:$AJ$75="")*$F$78:$AJ$101)+IF(AP$76="P6",SUMPRODUCT(($F$75:$AJ$75="P6")*$F$78:$AJ$101),0))/(SUMPRODUCT(($D$78:$D$101=AP$76)*($F$75:$AJ$75=""))+IF(AP$76="P6",COUNTIF($F$75:$AJ$75,"P6")*ROWS($D$78:$D$101),0)),"")</f>
        <v/>
      </c>
      <c r="AQ79" s="5" t="str" cm="1">
        <f t="array" ref="AQ79">IFERROR((SUMPRODUCT(($D$78:$D$101=AQ$76)*($F$75:$AJ$75="")*$F$78:$AJ$101)+IF(AQ$76="P6",SUMPRODUCT(($F$75:$AJ$75="P6")*$F$78:$AJ$101),0))/(SUMPRODUCT(($D$78:$D$101=AQ$76)*($F$75:$AJ$75=""))+IF(AQ$76="P6",COUNTIF($F$75:$AJ$75,"P6")*ROWS($D$78:$D$101),0)),"")</f>
        <v/>
      </c>
      <c r="AR79" s="6" cm="1">
        <f t="array" ref="AR79">IFERROR((SUMPRODUCT(($D$78:$D$101=AR$76)*($F$75:$AJ$75="")*$F$78:$AJ$101)+IF(AR$76="P6",SUMPRODUCT(($F$75:$AJ$75="P6")*$F$78:$AJ$101),0))/(SUMPRODUCT(($D$78:$D$101=AR$76)*($F$75:$AJ$75=""))+IF(AR$76="P6",COUNTIF($F$75:$AJ$75,"P6")*ROWS($D$78:$D$101),0)),"")</f>
        <v>1.1635670098039219</v>
      </c>
    </row>
    <row r="80" spans="1:44" ht="14.25" customHeight="1" x14ac:dyDescent="0.35">
      <c r="A80" s="1" t="s">
        <v>7</v>
      </c>
      <c r="B80" s="1" t="s">
        <v>7</v>
      </c>
      <c r="C80" s="1" t="s">
        <v>15</v>
      </c>
      <c r="D80" s="1" t="s">
        <v>7</v>
      </c>
      <c r="E80" s="1" t="s">
        <v>10</v>
      </c>
      <c r="F80" s="1">
        <v>1.25749</v>
      </c>
      <c r="G80" s="1">
        <v>1.3224100000000001</v>
      </c>
      <c r="H80" s="1">
        <v>1.3442099999999999</v>
      </c>
      <c r="I80" s="1">
        <v>1.3050600000000001</v>
      </c>
      <c r="J80" s="1">
        <v>1.1941600000000001</v>
      </c>
      <c r="K80" s="1">
        <v>1.25213</v>
      </c>
      <c r="L80" s="1">
        <v>1.2362599999999999</v>
      </c>
      <c r="M80" s="1">
        <v>1.25749</v>
      </c>
      <c r="N80" s="1">
        <v>1.3224100000000001</v>
      </c>
      <c r="O80" s="1">
        <v>1.3442099999999999</v>
      </c>
      <c r="P80" s="1">
        <v>1.3050600000000001</v>
      </c>
      <c r="Q80" s="1">
        <v>1.1941600000000001</v>
      </c>
      <c r="R80" s="1">
        <v>1.25213</v>
      </c>
      <c r="S80" s="1">
        <v>1.2362599999999999</v>
      </c>
      <c r="T80" s="1">
        <v>1.25749</v>
      </c>
      <c r="U80" s="1">
        <v>1.3224100000000001</v>
      </c>
      <c r="V80" s="1">
        <v>1.3442099999999999</v>
      </c>
      <c r="W80" s="1">
        <v>1.3050600000000001</v>
      </c>
      <c r="X80" s="1">
        <v>1.1941600000000001</v>
      </c>
      <c r="Y80" s="1">
        <v>1.25213</v>
      </c>
      <c r="Z80" s="1">
        <v>1.2362599999999999</v>
      </c>
      <c r="AA80" s="1">
        <v>1.25749</v>
      </c>
      <c r="AB80" s="1">
        <v>1.3224100000000001</v>
      </c>
      <c r="AC80" s="1">
        <v>1.3442099999999999</v>
      </c>
      <c r="AD80" s="1">
        <v>1.3050600000000001</v>
      </c>
      <c r="AE80" s="1">
        <v>1.1941600000000001</v>
      </c>
      <c r="AF80" s="1">
        <v>1.25213</v>
      </c>
      <c r="AG80" s="1">
        <v>1.2362599999999999</v>
      </c>
      <c r="AH80" s="1">
        <v>1.25749</v>
      </c>
      <c r="AI80" s="1">
        <v>1.3224100000000001</v>
      </c>
      <c r="AJ80" s="1">
        <v>0</v>
      </c>
      <c r="AL80" s="4" t="s">
        <v>25</v>
      </c>
      <c r="AM80" s="6" t="str" cm="1">
        <f t="array" ref="AM80">IFERROR((SUMPRODUCT(($D$78:$D$101=AM$76)*($F$75:$AJ$75="")*$F$78:$AJ$101)+IF(AM$76="P6",SUMPRODUCT(($F$75:$AJ$75="P6")*$F$78:$AJ$101),0))/(SUMPRODUCT(($D$78:$D$101=AM$76)*($F$75:$AJ$75=""))+IF(AM$76="P6",COUNTIF($F$75:$AJ$75,"P6")*ROWS($D$78:$D$101),0)),"")</f>
        <v/>
      </c>
      <c r="AN80" s="6" cm="1">
        <f t="array" ref="AN80">IFERROR((SUMPRODUCT(($D$78:$D$101=AN$76)*($F$75:$AJ$75="")*$F$78:$AJ$101)+IF(AN$76="P6",SUMPRODUCT(($F$75:$AJ$75="P6")*$F$78:$AJ$101),0))/(SUMPRODUCT(($D$78:$D$101=AN$76)*($F$75:$AJ$75=""))+IF(AN$76="P6",COUNTIF($F$75:$AJ$75,"P6")*ROWS($D$78:$D$101),0)),"")</f>
        <v>1.0193572486772482</v>
      </c>
      <c r="AO80" s="5" cm="1">
        <f t="array" ref="AO80">IFERROR((SUMPRODUCT(($D$78:$D$101=AO$76)*($F$75:$AJ$75="")*$F$78:$AJ$101)+IF(AO$76="P6",SUMPRODUCT(($F$75:$AJ$75="P6")*$F$78:$AJ$101),0))/(SUMPRODUCT(($D$78:$D$101=AO$76)*($F$75:$AJ$75=""))+IF(AO$76="P6",COUNTIF($F$75:$AJ$75,"P6")*ROWS($D$78:$D$101),0)),"")</f>
        <v>1.1144042857142848</v>
      </c>
      <c r="AP80" s="5" t="str" cm="1">
        <f t="array" ref="AP80">IFERROR((SUMPRODUCT(($D$78:$D$101=AP$76)*($F$75:$AJ$75="")*$F$78:$AJ$101)+IF(AP$76="P6",SUMPRODUCT(($F$75:$AJ$75="P6")*$F$78:$AJ$101),0))/(SUMPRODUCT(($D$78:$D$101=AP$76)*($F$75:$AJ$75=""))+IF(AP$76="P6",COUNTIF($F$75:$AJ$75,"P6")*ROWS($D$78:$D$101),0)),"")</f>
        <v/>
      </c>
      <c r="AQ80" s="5" t="str" cm="1">
        <f t="array" ref="AQ80">IFERROR((SUMPRODUCT(($D$78:$D$101=AQ$76)*($F$75:$AJ$75="")*$F$78:$AJ$101)+IF(AQ$76="P6",SUMPRODUCT(($F$75:$AJ$75="P6")*$F$78:$AJ$101),0))/(SUMPRODUCT(($D$78:$D$101=AQ$76)*($F$75:$AJ$75=""))+IF(AQ$76="P6",COUNTIF($F$75:$AJ$75,"P6")*ROWS($D$78:$D$101),0)),"")</f>
        <v/>
      </c>
      <c r="AR80" s="6" cm="1">
        <f t="array" ref="AR80">IFERROR((SUMPRODUCT(($D$78:$D$101=AR$76)*($F$75:$AJ$75="")*$F$78:$AJ$101)+IF(AR$76="P6",SUMPRODUCT(($F$75:$AJ$75="P6")*$F$78:$AJ$101),0))/(SUMPRODUCT(($D$78:$D$101=AR$76)*($F$75:$AJ$75=""))+IF(AR$76="P6",COUNTIF($F$75:$AJ$75,"P6")*ROWS($D$78:$D$101),0)),"")</f>
        <v>1.1635670098039219</v>
      </c>
    </row>
    <row r="81" spans="1:44" ht="14.25" customHeight="1" x14ac:dyDescent="0.35">
      <c r="A81" s="1" t="s">
        <v>7</v>
      </c>
      <c r="B81" s="1" t="s">
        <v>7</v>
      </c>
      <c r="C81" s="1" t="s">
        <v>15</v>
      </c>
      <c r="D81" s="1" t="s">
        <v>7</v>
      </c>
      <c r="E81" s="1" t="s">
        <v>11</v>
      </c>
      <c r="F81" s="1">
        <v>1.2662899999999999</v>
      </c>
      <c r="G81" s="1">
        <v>1.33433</v>
      </c>
      <c r="H81" s="1">
        <v>1.3741699999999999</v>
      </c>
      <c r="I81" s="1">
        <v>1.32273</v>
      </c>
      <c r="J81" s="1">
        <v>1.20845</v>
      </c>
      <c r="K81" s="1">
        <v>1.2406699999999999</v>
      </c>
      <c r="L81" s="1">
        <v>1.2486299999999999</v>
      </c>
      <c r="M81" s="1">
        <v>1.2662899999999999</v>
      </c>
      <c r="N81" s="1">
        <v>1.33433</v>
      </c>
      <c r="O81" s="1">
        <v>1.3741699999999999</v>
      </c>
      <c r="P81" s="1">
        <v>1.32273</v>
      </c>
      <c r="Q81" s="1">
        <v>1.20845</v>
      </c>
      <c r="R81" s="1">
        <v>1.2406699999999999</v>
      </c>
      <c r="S81" s="1">
        <v>1.2486299999999999</v>
      </c>
      <c r="T81" s="1">
        <v>1.2662899999999999</v>
      </c>
      <c r="U81" s="1">
        <v>1.33433</v>
      </c>
      <c r="V81" s="1">
        <v>1.3741699999999999</v>
      </c>
      <c r="W81" s="1">
        <v>1.32273</v>
      </c>
      <c r="X81" s="1">
        <v>1.20845</v>
      </c>
      <c r="Y81" s="1">
        <v>1.2406699999999999</v>
      </c>
      <c r="Z81" s="1">
        <v>1.2486299999999999</v>
      </c>
      <c r="AA81" s="1">
        <v>1.2662899999999999</v>
      </c>
      <c r="AB81" s="1">
        <v>1.33433</v>
      </c>
      <c r="AC81" s="1">
        <v>1.3741699999999999</v>
      </c>
      <c r="AD81" s="1">
        <v>1.32273</v>
      </c>
      <c r="AE81" s="1">
        <v>1.20845</v>
      </c>
      <c r="AF81" s="1">
        <v>1.2406699999999999</v>
      </c>
      <c r="AG81" s="1">
        <v>1.2486299999999999</v>
      </c>
      <c r="AH81" s="1">
        <v>1.2662899999999999</v>
      </c>
      <c r="AI81" s="1">
        <v>1.33433</v>
      </c>
      <c r="AJ81" s="1">
        <v>1.3442099999999999</v>
      </c>
      <c r="AL81" s="4" t="s">
        <v>27</v>
      </c>
      <c r="AM81" s="6" t="str" cm="1">
        <f t="array" ref="AM81">IFERROR((SUMPRODUCT(($D$78:$D$101=AM$76)*($F$75:$AJ$75="")*$F$78:$AJ$101)+IF(AM$76="P6",SUMPRODUCT(($F$75:$AJ$75="P6")*$F$78:$AJ$101),0))/(SUMPRODUCT(($D$78:$D$101=AM$76)*($F$75:$AJ$75=""))+IF(AM$76="P6",COUNTIF($F$75:$AJ$75,"P6")*ROWS($D$78:$D$101),0)),"")</f>
        <v/>
      </c>
      <c r="AN81" s="6" cm="1">
        <f t="array" ref="AN81">IFERROR((SUMPRODUCT(($D$78:$D$101=AN$76)*($F$75:$AJ$75="")*$F$78:$AJ$101)+IF(AN$76="P6",SUMPRODUCT(($F$75:$AJ$75="P6")*$F$78:$AJ$101),0))/(SUMPRODUCT(($D$78:$D$101=AN$76)*($F$75:$AJ$75=""))+IF(AN$76="P6",COUNTIF($F$75:$AJ$75,"P6")*ROWS($D$78:$D$101),0)),"")</f>
        <v>1.0193572486772482</v>
      </c>
      <c r="AO81" s="5" cm="1">
        <f t="array" ref="AO81">IFERROR((SUMPRODUCT(($D$78:$D$101=AO$76)*($F$75:$AJ$75="")*$F$78:$AJ$101)+IF(AO$76="P6",SUMPRODUCT(($F$75:$AJ$75="P6")*$F$78:$AJ$101),0))/(SUMPRODUCT(($D$78:$D$101=AO$76)*($F$75:$AJ$75=""))+IF(AO$76="P6",COUNTIF($F$75:$AJ$75,"P6")*ROWS($D$78:$D$101),0)),"")</f>
        <v>1.1144042857142848</v>
      </c>
      <c r="AP81" s="5" t="str" cm="1">
        <f t="array" ref="AP81">IFERROR((SUMPRODUCT(($D$78:$D$101=AP$76)*($F$75:$AJ$75="")*$F$78:$AJ$101)+IF(AP$76="P6",SUMPRODUCT(($F$75:$AJ$75="P6")*$F$78:$AJ$101),0))/(SUMPRODUCT(($D$78:$D$101=AP$76)*($F$75:$AJ$75=""))+IF(AP$76="P6",COUNTIF($F$75:$AJ$75,"P6")*ROWS($D$78:$D$101),0)),"")</f>
        <v/>
      </c>
      <c r="AQ81" s="5" t="str" cm="1">
        <f t="array" ref="AQ81">IFERROR((SUMPRODUCT(($D$78:$D$101=AQ$76)*($F$75:$AJ$75="")*$F$78:$AJ$101)+IF(AQ$76="P6",SUMPRODUCT(($F$75:$AJ$75="P6")*$F$78:$AJ$101),0))/(SUMPRODUCT(($D$78:$D$101=AQ$76)*($F$75:$AJ$75=""))+IF(AQ$76="P6",COUNTIF($F$75:$AJ$75,"P6")*ROWS($D$78:$D$101),0)),"")</f>
        <v/>
      </c>
      <c r="AR81" s="6" cm="1">
        <f t="array" ref="AR81">IFERROR((SUMPRODUCT(($D$78:$D$101=AR$76)*($F$75:$AJ$75="")*$F$78:$AJ$101)+IF(AR$76="P6",SUMPRODUCT(($F$75:$AJ$75="P6")*$F$78:$AJ$101),0))/(SUMPRODUCT(($D$78:$D$101=AR$76)*($F$75:$AJ$75=""))+IF(AR$76="P6",COUNTIF($F$75:$AJ$75,"P6")*ROWS($D$78:$D$101),0)),"")</f>
        <v>1.1635670098039219</v>
      </c>
    </row>
    <row r="82" spans="1:44" ht="14.25" customHeight="1" x14ac:dyDescent="0.35">
      <c r="A82" s="1" t="s">
        <v>7</v>
      </c>
      <c r="B82" s="1" t="s">
        <v>7</v>
      </c>
      <c r="C82" s="1" t="s">
        <v>15</v>
      </c>
      <c r="D82" s="1" t="s">
        <v>7</v>
      </c>
      <c r="E82" s="1" t="s">
        <v>12</v>
      </c>
      <c r="F82" s="1">
        <v>1.2688900000000001</v>
      </c>
      <c r="G82" s="1">
        <v>1.3419300000000001</v>
      </c>
      <c r="H82" s="1">
        <v>1.38652</v>
      </c>
      <c r="I82" s="1">
        <v>1.32623</v>
      </c>
      <c r="J82" s="1">
        <v>1.20817</v>
      </c>
      <c r="K82" s="1">
        <v>1.2369600000000001</v>
      </c>
      <c r="L82" s="1">
        <v>1.2465599999999999</v>
      </c>
      <c r="M82" s="1">
        <v>1.2688900000000001</v>
      </c>
      <c r="N82" s="1">
        <v>1.3419300000000001</v>
      </c>
      <c r="O82" s="1">
        <v>1.38652</v>
      </c>
      <c r="P82" s="1">
        <v>1.32623</v>
      </c>
      <c r="Q82" s="1">
        <v>1.20817</v>
      </c>
      <c r="R82" s="1">
        <v>1.2369600000000001</v>
      </c>
      <c r="S82" s="1">
        <v>1.2465599999999999</v>
      </c>
      <c r="T82" s="1">
        <v>1.2688900000000001</v>
      </c>
      <c r="U82" s="1">
        <v>1.3419300000000001</v>
      </c>
      <c r="V82" s="1">
        <v>1.38652</v>
      </c>
      <c r="W82" s="1">
        <v>1.32623</v>
      </c>
      <c r="X82" s="1">
        <v>1.20817</v>
      </c>
      <c r="Y82" s="1">
        <v>1.2369600000000001</v>
      </c>
      <c r="Z82" s="1">
        <v>1.2465599999999999</v>
      </c>
      <c r="AA82" s="1">
        <v>1.2688900000000001</v>
      </c>
      <c r="AB82" s="1">
        <v>1.3419300000000001</v>
      </c>
      <c r="AC82" s="1">
        <v>1.38652</v>
      </c>
      <c r="AD82" s="1">
        <v>1.32623</v>
      </c>
      <c r="AE82" s="1">
        <v>1.20817</v>
      </c>
      <c r="AF82" s="1">
        <v>1.2369600000000001</v>
      </c>
      <c r="AG82" s="1">
        <v>1.2465599999999999</v>
      </c>
      <c r="AH82" s="1">
        <v>1.2688900000000001</v>
      </c>
      <c r="AI82" s="1">
        <v>1.3419300000000001</v>
      </c>
      <c r="AJ82" s="1">
        <v>1.3741699999999999</v>
      </c>
      <c r="AL82" s="4" t="s">
        <v>29</v>
      </c>
      <c r="AM82" s="6" t="str" cm="1">
        <f t="array" ref="AM82">IFERROR((SUMPRODUCT(($D$78:$D$101=AM$76)*($F$75:$AJ$75="")*$F$78:$AJ$101)+IF(AM$76="P6",SUMPRODUCT(($F$75:$AJ$75="P6")*$F$78:$AJ$101),0))/(SUMPRODUCT(($D$78:$D$101=AM$76)*($F$75:$AJ$75=""))+IF(AM$76="P6",COUNTIF($F$75:$AJ$75,"P6")*ROWS($D$78:$D$101),0)),"")</f>
        <v/>
      </c>
      <c r="AN82" s="6" cm="1">
        <f t="array" ref="AN82">IFERROR((SUMPRODUCT(($D$78:$D$101=AN$76)*($F$75:$AJ$75="")*$F$78:$AJ$101)+IF(AN$76="P6",SUMPRODUCT(($F$75:$AJ$75="P6")*$F$78:$AJ$101),0))/(SUMPRODUCT(($D$78:$D$101=AN$76)*($F$75:$AJ$75=""))+IF(AN$76="P6",COUNTIF($F$75:$AJ$75,"P6")*ROWS($D$78:$D$101),0)),"")</f>
        <v>1.0193572486772482</v>
      </c>
      <c r="AO82" s="5" cm="1">
        <f t="array" ref="AO82">IFERROR((SUMPRODUCT(($D$78:$D$101=AO$76)*($F$75:$AJ$75="")*$F$78:$AJ$101)+IF(AO$76="P6",SUMPRODUCT(($F$75:$AJ$75="P6")*$F$78:$AJ$101),0))/(SUMPRODUCT(($D$78:$D$101=AO$76)*($F$75:$AJ$75=""))+IF(AO$76="P6",COUNTIF($F$75:$AJ$75,"P6")*ROWS($D$78:$D$101),0)),"")</f>
        <v>1.1144042857142848</v>
      </c>
      <c r="AP82" s="5" t="str" cm="1">
        <f t="array" ref="AP82">IFERROR((SUMPRODUCT(($D$78:$D$101=AP$76)*($F$75:$AJ$75="")*$F$78:$AJ$101)+IF(AP$76="P6",SUMPRODUCT(($F$75:$AJ$75="P6")*$F$78:$AJ$101),0))/(SUMPRODUCT(($D$78:$D$101=AP$76)*($F$75:$AJ$75=""))+IF(AP$76="P6",COUNTIF($F$75:$AJ$75,"P6")*ROWS($D$78:$D$101),0)),"")</f>
        <v/>
      </c>
      <c r="AQ82" s="5" t="str" cm="1">
        <f t="array" ref="AQ82">IFERROR((SUMPRODUCT(($D$78:$D$101=AQ$76)*($F$75:$AJ$75="")*$F$78:$AJ$101)+IF(AQ$76="P6",SUMPRODUCT(($F$75:$AJ$75="P6")*$F$78:$AJ$101),0))/(SUMPRODUCT(($D$78:$D$101=AQ$76)*($F$75:$AJ$75=""))+IF(AQ$76="P6",COUNTIF($F$75:$AJ$75,"P6")*ROWS($D$78:$D$101),0)),"")</f>
        <v/>
      </c>
      <c r="AR82" s="6" cm="1">
        <f t="array" ref="AR82">IFERROR((SUMPRODUCT(($D$78:$D$101=AR$76)*($F$75:$AJ$75="")*$F$78:$AJ$101)+IF(AR$76="P6",SUMPRODUCT(($F$75:$AJ$75="P6")*$F$78:$AJ$101),0))/(SUMPRODUCT(($D$78:$D$101=AR$76)*($F$75:$AJ$75=""))+IF(AR$76="P6",COUNTIF($F$75:$AJ$75,"P6")*ROWS($D$78:$D$101),0)),"")</f>
        <v>1.1635670098039219</v>
      </c>
    </row>
    <row r="83" spans="1:44" ht="14.25" customHeight="1" x14ac:dyDescent="0.35">
      <c r="A83" s="1" t="s">
        <v>7</v>
      </c>
      <c r="B83" s="1" t="s">
        <v>7</v>
      </c>
      <c r="C83" s="1" t="s">
        <v>15</v>
      </c>
      <c r="D83" s="1" t="s">
        <v>7</v>
      </c>
      <c r="E83" s="1" t="s">
        <v>18</v>
      </c>
      <c r="F83" s="1">
        <v>1.2461199999999999</v>
      </c>
      <c r="G83" s="1">
        <v>1.33419</v>
      </c>
      <c r="H83" s="1">
        <v>1.37799</v>
      </c>
      <c r="I83" s="1">
        <v>1.2813399999999999</v>
      </c>
      <c r="J83" s="1">
        <v>1.20469</v>
      </c>
      <c r="K83" s="1">
        <v>1.2176800000000001</v>
      </c>
      <c r="L83" s="1">
        <v>1.22637</v>
      </c>
      <c r="M83" s="1">
        <v>1.2461199999999999</v>
      </c>
      <c r="N83" s="1">
        <v>1.33419</v>
      </c>
      <c r="O83" s="1">
        <v>1.37799</v>
      </c>
      <c r="P83" s="1">
        <v>1.2813399999999999</v>
      </c>
      <c r="Q83" s="1">
        <v>1.20469</v>
      </c>
      <c r="R83" s="1">
        <v>1.2176800000000001</v>
      </c>
      <c r="S83" s="1">
        <v>1.22637</v>
      </c>
      <c r="T83" s="1">
        <v>1.2461199999999999</v>
      </c>
      <c r="U83" s="1">
        <v>1.33419</v>
      </c>
      <c r="V83" s="1">
        <v>1.37799</v>
      </c>
      <c r="W83" s="1">
        <v>1.2813399999999999</v>
      </c>
      <c r="X83" s="1">
        <v>1.20469</v>
      </c>
      <c r="Y83" s="1">
        <v>1.2176800000000001</v>
      </c>
      <c r="Z83" s="1">
        <v>1.22637</v>
      </c>
      <c r="AA83" s="1">
        <v>1.2461199999999999</v>
      </c>
      <c r="AB83" s="1">
        <v>1.33419</v>
      </c>
      <c r="AC83" s="1">
        <v>1.37799</v>
      </c>
      <c r="AD83" s="1">
        <v>1.2813399999999999</v>
      </c>
      <c r="AE83" s="1">
        <v>1.20469</v>
      </c>
      <c r="AF83" s="1">
        <v>1.2176800000000001</v>
      </c>
      <c r="AG83" s="1">
        <v>1.22637</v>
      </c>
      <c r="AH83" s="1">
        <v>1.2461199999999999</v>
      </c>
      <c r="AI83" s="1">
        <v>1.33419</v>
      </c>
      <c r="AJ83" s="1">
        <v>1.38652</v>
      </c>
      <c r="AL83" s="10"/>
      <c r="AM83" s="10"/>
      <c r="AN83" s="10"/>
      <c r="AO83" s="10"/>
      <c r="AP83" s="10"/>
      <c r="AQ83" s="10"/>
      <c r="AR83" s="10"/>
    </row>
    <row r="84" spans="1:44" ht="14.25" customHeight="1" x14ac:dyDescent="0.35">
      <c r="A84" s="1" t="s">
        <v>7</v>
      </c>
      <c r="B84" s="1" t="s">
        <v>7</v>
      </c>
      <c r="C84" s="1" t="s">
        <v>15</v>
      </c>
      <c r="D84" s="1" t="s">
        <v>7</v>
      </c>
      <c r="E84" s="1" t="s">
        <v>20</v>
      </c>
      <c r="F84" s="1">
        <v>1.1518900000000001</v>
      </c>
      <c r="G84" s="1">
        <v>1.31168</v>
      </c>
      <c r="H84" s="1">
        <v>1.34297</v>
      </c>
      <c r="I84" s="1">
        <v>1.15384</v>
      </c>
      <c r="J84" s="1">
        <v>1.1279300000000001</v>
      </c>
      <c r="K84" s="1">
        <v>1.13872</v>
      </c>
      <c r="L84" s="1">
        <v>1.1384700000000001</v>
      </c>
      <c r="M84" s="1">
        <v>1.1518900000000001</v>
      </c>
      <c r="N84" s="1">
        <v>1.31168</v>
      </c>
      <c r="O84" s="1">
        <v>1.34297</v>
      </c>
      <c r="P84" s="1">
        <v>1.15384</v>
      </c>
      <c r="Q84" s="1">
        <v>1.1279300000000001</v>
      </c>
      <c r="R84" s="1">
        <v>1.13872</v>
      </c>
      <c r="S84" s="1">
        <v>1.1384700000000001</v>
      </c>
      <c r="T84" s="1">
        <v>1.1518900000000001</v>
      </c>
      <c r="U84" s="1">
        <v>1.31168</v>
      </c>
      <c r="V84" s="1">
        <v>1.34297</v>
      </c>
      <c r="W84" s="1">
        <v>1.15384</v>
      </c>
      <c r="X84" s="1">
        <v>1.1279300000000001</v>
      </c>
      <c r="Y84" s="1">
        <v>1.13872</v>
      </c>
      <c r="Z84" s="1">
        <v>1.1384700000000001</v>
      </c>
      <c r="AA84" s="1">
        <v>1.1518900000000001</v>
      </c>
      <c r="AB84" s="1">
        <v>1.31168</v>
      </c>
      <c r="AC84" s="1">
        <v>1.34297</v>
      </c>
      <c r="AD84" s="1">
        <v>1.15384</v>
      </c>
      <c r="AE84" s="1">
        <v>1.1279300000000001</v>
      </c>
      <c r="AF84" s="1">
        <v>1.13872</v>
      </c>
      <c r="AG84" s="1">
        <v>1.1384700000000001</v>
      </c>
      <c r="AH84" s="1">
        <v>1.1518900000000001</v>
      </c>
      <c r="AI84" s="1">
        <v>1.31168</v>
      </c>
      <c r="AJ84" s="1">
        <v>1.37799</v>
      </c>
      <c r="AL84" s="10"/>
      <c r="AM84" s="10"/>
      <c r="AN84" s="10"/>
      <c r="AO84" s="10"/>
      <c r="AP84" s="10"/>
      <c r="AQ84" s="10"/>
      <c r="AR84" s="10"/>
    </row>
    <row r="85" spans="1:44" ht="14.25" customHeight="1" x14ac:dyDescent="0.35">
      <c r="A85" s="1" t="s">
        <v>7</v>
      </c>
      <c r="B85" s="1" t="s">
        <v>7</v>
      </c>
      <c r="C85" s="1" t="s">
        <v>15</v>
      </c>
      <c r="D85" s="1" t="s">
        <v>7</v>
      </c>
      <c r="E85" s="1" t="s">
        <v>22</v>
      </c>
      <c r="F85" s="1">
        <v>1.0668899999999999</v>
      </c>
      <c r="G85" s="1">
        <v>1.25275</v>
      </c>
      <c r="H85" s="1">
        <v>1.2766599999999999</v>
      </c>
      <c r="I85" s="1">
        <v>1.05474</v>
      </c>
      <c r="J85" s="1">
        <v>1.0487599999999999</v>
      </c>
      <c r="K85" s="1">
        <v>1.05959</v>
      </c>
      <c r="L85" s="1">
        <v>1.0641400000000001</v>
      </c>
      <c r="M85" s="1">
        <v>1.0668899999999999</v>
      </c>
      <c r="N85" s="1">
        <v>1.25275</v>
      </c>
      <c r="O85" s="1">
        <v>1.2766599999999999</v>
      </c>
      <c r="P85" s="1">
        <v>1.05474</v>
      </c>
      <c r="Q85" s="1">
        <v>1.0487599999999999</v>
      </c>
      <c r="R85" s="1">
        <v>1.05959</v>
      </c>
      <c r="S85" s="1">
        <v>1.0641400000000001</v>
      </c>
      <c r="T85" s="1">
        <v>1.0668899999999999</v>
      </c>
      <c r="U85" s="1">
        <v>1.25275</v>
      </c>
      <c r="V85" s="1">
        <v>1.2766599999999999</v>
      </c>
      <c r="W85" s="1">
        <v>1.05474</v>
      </c>
      <c r="X85" s="1">
        <v>1.0487599999999999</v>
      </c>
      <c r="Y85" s="1">
        <v>1.05959</v>
      </c>
      <c r="Z85" s="1">
        <v>1.0641400000000001</v>
      </c>
      <c r="AA85" s="1">
        <v>1.0668899999999999</v>
      </c>
      <c r="AB85" s="1">
        <v>1.25275</v>
      </c>
      <c r="AC85" s="1">
        <v>1.2766599999999999</v>
      </c>
      <c r="AD85" s="1">
        <v>1.05474</v>
      </c>
      <c r="AE85" s="1">
        <v>1.0487599999999999</v>
      </c>
      <c r="AF85" s="1">
        <v>1.05959</v>
      </c>
      <c r="AG85" s="1">
        <v>1.0641400000000001</v>
      </c>
      <c r="AH85" s="1">
        <v>1.0668899999999999</v>
      </c>
      <c r="AI85" s="1">
        <v>1.25275</v>
      </c>
      <c r="AJ85" s="1">
        <v>1.34297</v>
      </c>
      <c r="AL85" s="14" t="s">
        <v>163</v>
      </c>
      <c r="AM85" s="14"/>
      <c r="AN85" s="14"/>
      <c r="AO85" s="14"/>
      <c r="AP85" s="14"/>
      <c r="AQ85" s="14"/>
      <c r="AR85" s="14"/>
    </row>
    <row r="86" spans="1:44" ht="14.25" customHeight="1" x14ac:dyDescent="0.35">
      <c r="A86" s="1" t="s">
        <v>16</v>
      </c>
      <c r="B86" s="1" t="s">
        <v>17</v>
      </c>
      <c r="C86" s="1" t="s">
        <v>14</v>
      </c>
      <c r="D86" s="1" t="s">
        <v>15</v>
      </c>
      <c r="E86" s="1" t="s">
        <v>24</v>
      </c>
      <c r="F86" s="1">
        <v>1.12442</v>
      </c>
      <c r="G86" s="1">
        <v>1.1073</v>
      </c>
      <c r="H86" s="1">
        <v>1.1488100000000001</v>
      </c>
      <c r="I86" s="1">
        <v>1.1025</v>
      </c>
      <c r="J86" s="1">
        <v>1.1064700000000001</v>
      </c>
      <c r="K86" s="1">
        <v>1.111</v>
      </c>
      <c r="L86" s="1">
        <v>1.12375</v>
      </c>
      <c r="M86" s="1">
        <v>1.12442</v>
      </c>
      <c r="N86" s="1">
        <v>1.1073</v>
      </c>
      <c r="O86" s="1">
        <v>1.1488100000000001</v>
      </c>
      <c r="P86" s="1">
        <v>1.1025</v>
      </c>
      <c r="Q86" s="1">
        <v>1.1064700000000001</v>
      </c>
      <c r="R86" s="1">
        <v>1.111</v>
      </c>
      <c r="S86" s="1">
        <v>1.12375</v>
      </c>
      <c r="T86" s="1">
        <v>1.12442</v>
      </c>
      <c r="U86" s="1">
        <v>1.1073</v>
      </c>
      <c r="V86" s="1">
        <v>1.1488100000000001</v>
      </c>
      <c r="W86" s="1">
        <v>1.1025</v>
      </c>
      <c r="X86" s="1">
        <v>1.1064700000000001</v>
      </c>
      <c r="Y86" s="1">
        <v>1.111</v>
      </c>
      <c r="Z86" s="1">
        <v>1.12375</v>
      </c>
      <c r="AA86" s="1">
        <v>1.12442</v>
      </c>
      <c r="AB86" s="1">
        <v>1.1073</v>
      </c>
      <c r="AC86" s="1">
        <v>1.1488100000000001</v>
      </c>
      <c r="AD86" s="1">
        <v>1.1025</v>
      </c>
      <c r="AE86" s="1">
        <v>1.1064700000000001</v>
      </c>
      <c r="AF86" s="1">
        <v>1.111</v>
      </c>
      <c r="AG86" s="1">
        <v>1.12375</v>
      </c>
      <c r="AH86" s="1">
        <v>1.12442</v>
      </c>
      <c r="AI86" s="1">
        <v>1.1073</v>
      </c>
      <c r="AJ86" s="1">
        <v>1.2766599999999999</v>
      </c>
      <c r="AL86" s="4"/>
      <c r="AM86" s="4" t="s">
        <v>13</v>
      </c>
      <c r="AN86" s="4" t="s">
        <v>14</v>
      </c>
      <c r="AO86" s="4" t="s">
        <v>15</v>
      </c>
      <c r="AP86" s="4" t="s">
        <v>16</v>
      </c>
      <c r="AQ86" s="4" t="s">
        <v>17</v>
      </c>
      <c r="AR86" s="4" t="s">
        <v>7</v>
      </c>
    </row>
    <row r="87" spans="1:44" ht="14.25" customHeight="1" x14ac:dyDescent="0.35">
      <c r="A87" s="1" t="s">
        <v>16</v>
      </c>
      <c r="B87" s="1" t="s">
        <v>17</v>
      </c>
      <c r="C87" s="1" t="s">
        <v>14</v>
      </c>
      <c r="D87" s="1" t="s">
        <v>14</v>
      </c>
      <c r="E87" s="1" t="s">
        <v>26</v>
      </c>
      <c r="F87" s="1">
        <v>1.0000899999999999</v>
      </c>
      <c r="G87" s="1">
        <v>0.97999000000000003</v>
      </c>
      <c r="H87" s="1">
        <v>1.0345899999999999</v>
      </c>
      <c r="I87" s="1">
        <v>0.99883</v>
      </c>
      <c r="J87" s="1">
        <v>0.99612999999999996</v>
      </c>
      <c r="K87" s="1">
        <v>1.00136</v>
      </c>
      <c r="L87" s="1">
        <v>1.0262199999999999</v>
      </c>
      <c r="M87" s="1">
        <v>1.0000899999999999</v>
      </c>
      <c r="N87" s="1">
        <v>0.97999000000000003</v>
      </c>
      <c r="O87" s="1">
        <v>1.0345899999999999</v>
      </c>
      <c r="P87" s="1">
        <v>0.99883</v>
      </c>
      <c r="Q87" s="1">
        <v>0.99612999999999996</v>
      </c>
      <c r="R87" s="1">
        <v>1.00136</v>
      </c>
      <c r="S87" s="1">
        <v>1.0262199999999999</v>
      </c>
      <c r="T87" s="1">
        <v>1.0000899999999999</v>
      </c>
      <c r="U87" s="1">
        <v>0.97999000000000003</v>
      </c>
      <c r="V87" s="1">
        <v>1.0345899999999999</v>
      </c>
      <c r="W87" s="1">
        <v>0.99883</v>
      </c>
      <c r="X87" s="1">
        <v>0.99612999999999996</v>
      </c>
      <c r="Y87" s="1">
        <v>1.00136</v>
      </c>
      <c r="Z87" s="1">
        <v>1.0262199999999999</v>
      </c>
      <c r="AA87" s="1">
        <v>1.0000899999999999</v>
      </c>
      <c r="AB87" s="1">
        <v>0.97999000000000003</v>
      </c>
      <c r="AC87" s="1">
        <v>1.0345899999999999</v>
      </c>
      <c r="AD87" s="1">
        <v>0.99883</v>
      </c>
      <c r="AE87" s="1">
        <v>0.99612999999999996</v>
      </c>
      <c r="AF87" s="1">
        <v>1.00136</v>
      </c>
      <c r="AG87" s="1">
        <v>1.0262199999999999</v>
      </c>
      <c r="AH87" s="1">
        <v>1.0000899999999999</v>
      </c>
      <c r="AI87" s="1">
        <v>0.97999000000000003</v>
      </c>
      <c r="AJ87" s="1">
        <v>1.1488100000000001</v>
      </c>
      <c r="AL87" s="4" t="s">
        <v>19</v>
      </c>
      <c r="AM87" s="6" cm="1">
        <f t="array" ref="AM87">IFERROR((SUMPRODUCT(($C$78:$C$101=AM$76)*($F$74:$AJ$74="")*$F$78:$AJ$101)+IF(AM$76="P3",SUMPRODUCT(($F$74:$AJ$74="P3")*$F$78:$AJ$101),0))/(SUMPRODUCT(($C$78:$C$101=AM$76)*($F$74:$AJ$74=""))+IF(AM$76="P3",COUNTIF($F$74:$AJ$74,"P3")*ROWS($C$78:$C$101),0)),"")</f>
        <v>1.0212375595238092</v>
      </c>
      <c r="AN87" s="6" cm="1">
        <f t="array" ref="AN87">IFERROR((SUMPRODUCT(($C$78:$C$101=AN$41)*($F$74:$AJ$74="")*$F$78:$AJ$101)+IF(AN$41="P3",SUMPRODUCT(($F$74:$AJ$74="P3")*$F$78:$AJ$101),0))/(SUMPRODUCT(($C$78:$C$101=AN$41)*($F$74:$AJ$74=""))+IF(AN$41="P3",COUNTIF($F$74:$AJ$74,"P3")*ROWS($C$78:$C$101),0)),"")</f>
        <v>1.1006430952380937</v>
      </c>
      <c r="AO87" s="6" cm="1">
        <f t="array" ref="AO87">IFERROR((SUMPRODUCT(($C$78:$C$101=AO$41)*($F$74:$AJ$74="")*$F$78:$AJ$101)+IF(AO$41="P3",SUMPRODUCT(($F$74:$AJ$74="P3")*$F$78:$AJ$101),0))/(SUMPRODUCT(($C$78:$C$101=AO$41)*($F$74:$AJ$74=""))+IF(AO$41="P3",COUNTIF($F$74:$AJ$74,"P3")*ROWS($C$78:$C$101),0)),"")</f>
        <v>1.1635670098039219</v>
      </c>
      <c r="AP87" s="6" t="str" cm="1">
        <f t="array" ref="AP87">IFERROR((SUMPRODUCT(($C$78:$C$101=AP$41)*($F$74:$AJ$74="")*$F$78:$AJ$101)+IF(AP$41="P3",SUMPRODUCT(($F$74:$AJ$74="P3")*$F$78:$AJ$101),0))/(SUMPRODUCT(($C$78:$C$101=AP$41)*($F$74:$AJ$74=""))+IF(AP$41="P3",COUNTIF($F$74:$AJ$74,"P3")*ROWS($C$78:$C$101),0)),"")</f>
        <v/>
      </c>
      <c r="AQ87" s="6" t="str" cm="1">
        <f t="array" ref="AQ87">IFERROR((SUMPRODUCT(($C$78:$C$101=AQ$41)*($F$74:$AJ$74="")*$F$78:$AJ$101)+IF(AQ$41="P3",SUMPRODUCT(($F$74:$AJ$74="P3")*$F$78:$AJ$101),0))/(SUMPRODUCT(($C$78:$C$101=AQ$41)*($F$74:$AJ$74=""))+IF(AQ$41="P3",COUNTIF($F$74:$AJ$74,"P3")*ROWS($C$78:$C$101),0)),"")</f>
        <v/>
      </c>
      <c r="AR87" s="6" t="str" cm="1">
        <f t="array" ref="AR87">IFERROR((SUMPRODUCT(($C$78:$C$101=AR$41)*($F$74:$AJ$74="")*$F$78:$AJ$101)+IF(AR$41="P3",SUMPRODUCT(($F$74:$AJ$74="P3")*$F$78:$AJ$101),0))/(SUMPRODUCT(($C$78:$C$101=AR$41)*($F$74:$AJ$74=""))+IF(AR$41="P3",COUNTIF($F$74:$AJ$74,"P3")*ROWS($C$78:$C$101),0)),"")</f>
        <v/>
      </c>
    </row>
    <row r="88" spans="1:44" ht="14.25" customHeight="1" x14ac:dyDescent="0.35">
      <c r="A88" s="1" t="s">
        <v>14</v>
      </c>
      <c r="B88" s="1" t="s">
        <v>16</v>
      </c>
      <c r="C88" s="1" t="s">
        <v>13</v>
      </c>
      <c r="D88" s="1" t="s">
        <v>14</v>
      </c>
      <c r="E88" s="1" t="s">
        <v>28</v>
      </c>
      <c r="F88" s="1">
        <v>0.95543999999999996</v>
      </c>
      <c r="G88" s="1">
        <v>0.93911999999999995</v>
      </c>
      <c r="H88" s="1">
        <v>0.96475</v>
      </c>
      <c r="I88" s="1">
        <v>0.97882000000000002</v>
      </c>
      <c r="J88" s="1">
        <v>0.98540000000000005</v>
      </c>
      <c r="K88" s="1">
        <v>0.99834000000000001</v>
      </c>
      <c r="L88" s="1">
        <v>1.0029399999999999</v>
      </c>
      <c r="M88" s="1">
        <v>0.95543999999999996</v>
      </c>
      <c r="N88" s="1">
        <v>0.93911999999999995</v>
      </c>
      <c r="O88" s="1">
        <v>0.96475</v>
      </c>
      <c r="P88" s="1">
        <v>0.97882000000000002</v>
      </c>
      <c r="Q88" s="1">
        <v>0.98540000000000005</v>
      </c>
      <c r="R88" s="1">
        <v>0.99834000000000001</v>
      </c>
      <c r="S88" s="1">
        <v>1.0029399999999999</v>
      </c>
      <c r="T88" s="1">
        <v>0.95543999999999996</v>
      </c>
      <c r="U88" s="1">
        <v>0.93911999999999995</v>
      </c>
      <c r="V88" s="1">
        <v>0.96475</v>
      </c>
      <c r="W88" s="1">
        <v>0.97882000000000002</v>
      </c>
      <c r="X88" s="1">
        <v>0.98540000000000005</v>
      </c>
      <c r="Y88" s="1">
        <v>0.99834000000000001</v>
      </c>
      <c r="Z88" s="1">
        <v>1.0029399999999999</v>
      </c>
      <c r="AA88" s="1">
        <v>0.95543999999999996</v>
      </c>
      <c r="AB88" s="1">
        <v>0.93911999999999995</v>
      </c>
      <c r="AC88" s="1">
        <v>0.96475</v>
      </c>
      <c r="AD88" s="1">
        <v>0.97882000000000002</v>
      </c>
      <c r="AE88" s="1">
        <v>0.98540000000000005</v>
      </c>
      <c r="AF88" s="1">
        <v>0.99834000000000001</v>
      </c>
      <c r="AG88" s="1">
        <v>1.0029399999999999</v>
      </c>
      <c r="AH88" s="1">
        <v>0.95543999999999996</v>
      </c>
      <c r="AI88" s="1">
        <v>0.93911999999999995</v>
      </c>
      <c r="AJ88" s="1">
        <v>1.0345899999999999</v>
      </c>
      <c r="AL88" s="4" t="s">
        <v>21</v>
      </c>
      <c r="AM88" s="6" t="str" cm="1">
        <f t="array" ref="AM88">IFERROR((SUMPRODUCT(($A$78:$A$101=AM$76)*($F$75:$AJ$75="")*$F$78:$AJ$101)+IF(AM$76="P6",SUMPRODUCT(($F$75:$AJ$75="P6")*$F$78:$AJ$101),0))/(SUMPRODUCT(($A$78:$A$101=AM$76)*($F$75:$AJ$75=""))+IF(AM$76="P6",COUNTIF($F$75:$AJ$75,"P6")*ROWS($A$78:$A$101),0)),"")</f>
        <v/>
      </c>
      <c r="AN88" s="6" cm="1">
        <f t="array" ref="AN88">IFERROR((SUMPRODUCT(($A$78:$A$101=AN$76)*($F$75:$AJ$75="")*$F$78:$AJ$101)+IF(AN$76="P6",SUMPRODUCT(($F$75:$AJ$75="P6")*$F$78:$AJ$101),0))/(SUMPRODUCT(($A$78:$A$101=AN$76)*($F$75:$AJ$75=""))+IF(AN$76="P6",COUNTIF($F$75:$AJ$75,"P6")*ROWS($A$78:$A$101),0)),"")</f>
        <v>1.0200733862433859</v>
      </c>
      <c r="AO88" s="6" t="str" cm="1">
        <f t="array" ref="AO88">IFERROR((SUMPRODUCT(($A$78:$A$101=AO$76)*($F$75:$AJ$75="")*$F$78:$AJ$101)+IF(AO$76="P6",SUMPRODUCT(($F$75:$AJ$75="P6")*$F$78:$AJ$101),0))/(SUMPRODUCT(($A$78:$A$101=AO$76)*($F$75:$AJ$75=""))+IF(AO$76="P6",COUNTIF($F$75:$AJ$75,"P6")*ROWS($A$78:$A$101),0)),"")</f>
        <v/>
      </c>
      <c r="AP88" s="6" cm="1">
        <f t="array" ref="AP88">IFERROR((SUMPRODUCT(($A$78:$A$101=AP$76)*($F$75:$AJ$75="")*$F$78:$AJ$101)+IF(AP$76="P6",SUMPRODUCT(($F$75:$AJ$75="P6")*$F$78:$AJ$101),0))/(SUMPRODUCT(($A$78:$A$101=AP$76)*($F$75:$AJ$75=""))+IF(AP$76="P6",COUNTIF($F$75:$AJ$75,"P6")*ROWS($A$78:$A$101),0)),"")</f>
        <v>1.1134835374149652</v>
      </c>
      <c r="AQ88" s="6" t="str" cm="1">
        <f t="array" ref="AQ88">IFERROR((SUMPRODUCT(($A$78:$A$101=AQ$76)*($F$75:$AJ$75="")*$F$78:$AJ$101)+IF(AQ$76="P6",SUMPRODUCT(($F$75:$AJ$75="P6")*$F$78:$AJ$101),0))/(SUMPRODUCT(($A$78:$A$101=AQ$76)*($F$75:$AJ$75=""))+IF(AQ$76="P6",COUNTIF($F$75:$AJ$75,"P6")*ROWS($A$78:$A$101),0)),"")</f>
        <v/>
      </c>
      <c r="AR88" s="6" cm="1">
        <f t="array" ref="AR88">IFERROR((SUMPRODUCT(($A$78:$A$101=AR$76)*($F$75:$AJ$75="")*$F$78:$AJ$101)+IF(AR$76="P6",SUMPRODUCT(($F$75:$AJ$75="P6")*$F$78:$AJ$101),0))/(SUMPRODUCT(($A$78:$A$101=AR$76)*($F$75:$AJ$75=""))+IF(AR$76="P6",COUNTIF($F$75:$AJ$75,"P6")*ROWS($A$78:$A$101),0)),"")</f>
        <v>1.1635670098039219</v>
      </c>
    </row>
    <row r="89" spans="1:44" ht="14.25" customHeight="1" x14ac:dyDescent="0.35">
      <c r="A89" s="1" t="s">
        <v>14</v>
      </c>
      <c r="B89" s="1" t="s">
        <v>16</v>
      </c>
      <c r="C89" s="1" t="s">
        <v>13</v>
      </c>
      <c r="D89" s="1" t="s">
        <v>14</v>
      </c>
      <c r="E89" s="1" t="s">
        <v>30</v>
      </c>
      <c r="F89" s="1">
        <v>0.94772999999999996</v>
      </c>
      <c r="G89" s="1">
        <v>0.92486999999999997</v>
      </c>
      <c r="H89" s="1">
        <v>0.93845000000000001</v>
      </c>
      <c r="I89" s="1">
        <v>0.96550000000000002</v>
      </c>
      <c r="J89" s="1">
        <v>1.00309</v>
      </c>
      <c r="K89" s="1">
        <v>1.01057</v>
      </c>
      <c r="L89" s="1">
        <v>1.0066600000000001</v>
      </c>
      <c r="M89" s="1">
        <v>0.94772999999999996</v>
      </c>
      <c r="N89" s="1">
        <v>0.92486999999999997</v>
      </c>
      <c r="O89" s="1">
        <v>0.93845000000000001</v>
      </c>
      <c r="P89" s="1">
        <v>0.96550000000000002</v>
      </c>
      <c r="Q89" s="1">
        <v>1.00309</v>
      </c>
      <c r="R89" s="1">
        <v>1.01057</v>
      </c>
      <c r="S89" s="1">
        <v>1.0066600000000001</v>
      </c>
      <c r="T89" s="1">
        <v>0.94772999999999996</v>
      </c>
      <c r="U89" s="1">
        <v>0.92486999999999997</v>
      </c>
      <c r="V89" s="1">
        <v>0.93845000000000001</v>
      </c>
      <c r="W89" s="1">
        <v>0.96550000000000002</v>
      </c>
      <c r="X89" s="1">
        <v>1.00309</v>
      </c>
      <c r="Y89" s="1">
        <v>1.01057</v>
      </c>
      <c r="Z89" s="1">
        <v>1.0066600000000001</v>
      </c>
      <c r="AA89" s="1">
        <v>0.94772999999999996</v>
      </c>
      <c r="AB89" s="1">
        <v>0.92486999999999997</v>
      </c>
      <c r="AC89" s="1">
        <v>0.93845000000000001</v>
      </c>
      <c r="AD89" s="1">
        <v>0.96550000000000002</v>
      </c>
      <c r="AE89" s="1">
        <v>1.00309</v>
      </c>
      <c r="AF89" s="1">
        <v>1.01057</v>
      </c>
      <c r="AG89" s="1">
        <v>1.0066600000000001</v>
      </c>
      <c r="AH89" s="1">
        <v>0.94772999999999996</v>
      </c>
      <c r="AI89" s="1">
        <v>0.92486999999999997</v>
      </c>
      <c r="AJ89" s="1">
        <v>0.96475</v>
      </c>
      <c r="AL89" s="4" t="s">
        <v>23</v>
      </c>
      <c r="AM89" s="6" t="str" cm="1">
        <f t="array" ref="AM89">IFERROR((SUMPRODUCT(($A$78:$A$101=AM$76)*($F$75:$AJ$75="")*$F$78:$AJ$101)+IF(AM$76="P6",SUMPRODUCT(($F$75:$AJ$75="P6")*$F$78:$AJ$101),0))/(SUMPRODUCT(($A$78:$A$101=AM$76)*($F$75:$AJ$75=""))+IF(AM$76="P6",COUNTIF($F$75:$AJ$75,"P6")*ROWS($A$78:$A$101),0)),"")</f>
        <v/>
      </c>
      <c r="AN89" s="6" cm="1">
        <f t="array" ref="AN89">IFERROR((SUMPRODUCT(($A$78:$A$101=AN$76)*($F$75:$AJ$75="")*$F$78:$AJ$101)+IF(AN$76="P6",SUMPRODUCT(($F$75:$AJ$75="P6")*$F$78:$AJ$101),0))/(SUMPRODUCT(($A$78:$A$101=AN$76)*($F$75:$AJ$75=""))+IF(AN$76="P6",COUNTIF($F$75:$AJ$75,"P6")*ROWS($A$78:$A$101),0)),"")</f>
        <v>1.0200733862433859</v>
      </c>
      <c r="AO89" s="6" t="str" cm="1">
        <f t="array" ref="AO89">IFERROR((SUMPRODUCT(($A$78:$A$101=AO$76)*($F$75:$AJ$75="")*$F$78:$AJ$101)+IF(AO$76="P6",SUMPRODUCT(($F$75:$AJ$75="P6")*$F$78:$AJ$101),0))/(SUMPRODUCT(($A$78:$A$101=AO$76)*($F$75:$AJ$75=""))+IF(AO$76="P6",COUNTIF($F$75:$AJ$75,"P6")*ROWS($A$78:$A$101),0)),"")</f>
        <v/>
      </c>
      <c r="AP89" s="6" cm="1">
        <f t="array" ref="AP89">IFERROR((SUMPRODUCT(($A$78:$A$101=AP$76)*($F$75:$AJ$75="")*$F$78:$AJ$101)+IF(AP$76="P6",SUMPRODUCT(($F$75:$AJ$75="P6")*$F$78:$AJ$101),0))/(SUMPRODUCT(($A$78:$A$101=AP$76)*($F$75:$AJ$75=""))+IF(AP$76="P6",COUNTIF($F$75:$AJ$75,"P6")*ROWS($A$78:$A$101),0)),"")</f>
        <v>1.1134835374149652</v>
      </c>
      <c r="AQ89" s="6" t="str" cm="1">
        <f t="array" ref="AQ89">IFERROR((SUMPRODUCT(($A$78:$A$101=AQ$76)*($F$75:$AJ$75="")*$F$78:$AJ$101)+IF(AQ$76="P6",SUMPRODUCT(($F$75:$AJ$75="P6")*$F$78:$AJ$101),0))/(SUMPRODUCT(($A$78:$A$101=AQ$76)*($F$75:$AJ$75=""))+IF(AQ$76="P6",COUNTIF($F$75:$AJ$75,"P6")*ROWS($A$78:$A$101),0)),"")</f>
        <v/>
      </c>
      <c r="AR89" s="6" cm="1">
        <f t="array" ref="AR89">IFERROR((SUMPRODUCT(($A$78:$A$101=AR$76)*($F$75:$AJ$75="")*$F$78:$AJ$101)+IF(AR$76="P6",SUMPRODUCT(($F$75:$AJ$75="P6")*$F$78:$AJ$101),0))/(SUMPRODUCT(($A$78:$A$101=AR$76)*($F$75:$AJ$75=""))+IF(AR$76="P6",COUNTIF($F$75:$AJ$75,"P6")*ROWS($A$78:$A$101),0)),"")</f>
        <v>1.1635670098039219</v>
      </c>
    </row>
    <row r="90" spans="1:44" ht="14.25" customHeight="1" x14ac:dyDescent="0.35">
      <c r="A90" s="1" t="s">
        <v>14</v>
      </c>
      <c r="B90" s="1" t="s">
        <v>16</v>
      </c>
      <c r="C90" s="1" t="s">
        <v>13</v>
      </c>
      <c r="D90" s="1" t="s">
        <v>14</v>
      </c>
      <c r="E90" s="1" t="s">
        <v>31</v>
      </c>
      <c r="F90" s="1">
        <v>0.94206999999999996</v>
      </c>
      <c r="G90" s="1">
        <v>0.91954999999999998</v>
      </c>
      <c r="H90" s="1">
        <v>0.92110999999999998</v>
      </c>
      <c r="I90" s="1">
        <v>0.94786999999999999</v>
      </c>
      <c r="J90" s="1">
        <v>0.99582000000000004</v>
      </c>
      <c r="K90" s="1">
        <v>0.99441000000000002</v>
      </c>
      <c r="L90" s="1">
        <v>1.00292</v>
      </c>
      <c r="M90" s="1">
        <v>0.94206999999999996</v>
      </c>
      <c r="N90" s="1">
        <v>0.91954999999999998</v>
      </c>
      <c r="O90" s="1">
        <v>0.92110999999999998</v>
      </c>
      <c r="P90" s="1">
        <v>0.94786999999999999</v>
      </c>
      <c r="Q90" s="1">
        <v>0.99582000000000004</v>
      </c>
      <c r="R90" s="1">
        <v>0.99441000000000002</v>
      </c>
      <c r="S90" s="1">
        <v>1.00292</v>
      </c>
      <c r="T90" s="1">
        <v>0.94206999999999996</v>
      </c>
      <c r="U90" s="1">
        <v>0.91954999999999998</v>
      </c>
      <c r="V90" s="1">
        <v>0.92110999999999998</v>
      </c>
      <c r="W90" s="1">
        <v>0.94786999999999999</v>
      </c>
      <c r="X90" s="1">
        <v>0.99582000000000004</v>
      </c>
      <c r="Y90" s="1">
        <v>0.99441000000000002</v>
      </c>
      <c r="Z90" s="1">
        <v>1.00292</v>
      </c>
      <c r="AA90" s="1">
        <v>0.94206999999999996</v>
      </c>
      <c r="AB90" s="1">
        <v>0.91954999999999998</v>
      </c>
      <c r="AC90" s="1">
        <v>0.92110999999999998</v>
      </c>
      <c r="AD90" s="1">
        <v>0.94786999999999999</v>
      </c>
      <c r="AE90" s="1">
        <v>0.99582000000000004</v>
      </c>
      <c r="AF90" s="1">
        <v>0.99441000000000002</v>
      </c>
      <c r="AG90" s="1">
        <v>1.00292</v>
      </c>
      <c r="AH90" s="1">
        <v>0.94206999999999996</v>
      </c>
      <c r="AI90" s="1">
        <v>0.91954999999999998</v>
      </c>
      <c r="AJ90" s="1">
        <v>0.93845000000000001</v>
      </c>
      <c r="AL90" s="4" t="s">
        <v>25</v>
      </c>
      <c r="AM90" s="6" t="str" cm="1">
        <f t="array" ref="AM90">IFERROR((SUMPRODUCT(($A$78:$A$101=AM$76)*($F$75:$AJ$75="")*$F$78:$AJ$101)+IF(AM$76="P6",SUMPRODUCT(($F$75:$AJ$75="P6")*$F$78:$AJ$101),0))/(SUMPRODUCT(($A$78:$A$101=AM$76)*($F$75:$AJ$75=""))+IF(AM$76="P6",COUNTIF($F$75:$AJ$75,"P6")*ROWS($A$78:$A$101),0)),"")</f>
        <v/>
      </c>
      <c r="AN90" s="6" cm="1">
        <f t="array" ref="AN90">IFERROR((SUMPRODUCT(($A$78:$A$101=AN$76)*($F$75:$AJ$75="")*$F$78:$AJ$101)+IF(AN$76="P6",SUMPRODUCT(($F$75:$AJ$75="P6")*$F$78:$AJ$101),0))/(SUMPRODUCT(($A$78:$A$101=AN$76)*($F$75:$AJ$75=""))+IF(AN$76="P6",COUNTIF($F$75:$AJ$75,"P6")*ROWS($A$78:$A$101),0)),"")</f>
        <v>1.0200733862433859</v>
      </c>
      <c r="AO90" s="6" t="str" cm="1">
        <f t="array" ref="AO90">IFERROR((SUMPRODUCT(($A$78:$A$101=AO$76)*($F$75:$AJ$75="")*$F$78:$AJ$101)+IF(AO$76="P6",SUMPRODUCT(($F$75:$AJ$75="P6")*$F$78:$AJ$101),0))/(SUMPRODUCT(($A$78:$A$101=AO$76)*($F$75:$AJ$75=""))+IF(AO$76="P6",COUNTIF($F$75:$AJ$75,"P6")*ROWS($A$78:$A$101),0)),"")</f>
        <v/>
      </c>
      <c r="AP90" s="6" cm="1">
        <f t="array" ref="AP90">IFERROR((SUMPRODUCT(($A$78:$A$101=AP$76)*($F$75:$AJ$75="")*$F$78:$AJ$101)+IF(AP$76="P6",SUMPRODUCT(($F$75:$AJ$75="P6")*$F$78:$AJ$101),0))/(SUMPRODUCT(($A$78:$A$101=AP$76)*($F$75:$AJ$75=""))+IF(AP$76="P6",COUNTIF($F$75:$AJ$75,"P6")*ROWS($A$78:$A$101),0)),"")</f>
        <v>1.1134835374149652</v>
      </c>
      <c r="AQ90" s="6" t="str" cm="1">
        <f t="array" ref="AQ90">IFERROR((SUMPRODUCT(($A$78:$A$101=AQ$76)*($F$75:$AJ$75="")*$F$78:$AJ$101)+IF(AQ$76="P6",SUMPRODUCT(($F$75:$AJ$75="P6")*$F$78:$AJ$101),0))/(SUMPRODUCT(($A$78:$A$101=AQ$76)*($F$75:$AJ$75=""))+IF(AQ$76="P6",COUNTIF($F$75:$AJ$75,"P6")*ROWS($A$78:$A$101),0)),"")</f>
        <v/>
      </c>
      <c r="AR90" s="6" cm="1">
        <f t="array" ref="AR90">IFERROR((SUMPRODUCT(($A$78:$A$101=AR$76)*($F$75:$AJ$75="")*$F$78:$AJ$101)+IF(AR$76="P6",SUMPRODUCT(($F$75:$AJ$75="P6")*$F$78:$AJ$101),0))/(SUMPRODUCT(($A$78:$A$101=AR$76)*($F$75:$AJ$75=""))+IF(AR$76="P6",COUNTIF($F$75:$AJ$75,"P6")*ROWS($A$78:$A$101),0)),"")</f>
        <v>1.1635670098039219</v>
      </c>
    </row>
    <row r="91" spans="1:44" ht="14.25" customHeight="1" x14ac:dyDescent="0.35">
      <c r="A91" s="1" t="s">
        <v>14</v>
      </c>
      <c r="B91" s="1" t="s">
        <v>16</v>
      </c>
      <c r="C91" s="1" t="s">
        <v>13</v>
      </c>
      <c r="D91" s="1" t="s">
        <v>14</v>
      </c>
      <c r="E91" s="1" t="s">
        <v>32</v>
      </c>
      <c r="F91" s="1">
        <v>0.92191000000000001</v>
      </c>
      <c r="G91" s="1">
        <v>0.89139000000000002</v>
      </c>
      <c r="H91" s="1">
        <v>0.91047</v>
      </c>
      <c r="I91" s="1">
        <v>0.91815999999999998</v>
      </c>
      <c r="J91" s="1">
        <v>0.98153999999999997</v>
      </c>
      <c r="K91" s="1">
        <v>0.96697999999999995</v>
      </c>
      <c r="L91" s="1">
        <v>0.97863999999999995</v>
      </c>
      <c r="M91" s="1">
        <v>0.92191000000000001</v>
      </c>
      <c r="N91" s="1">
        <v>0.89139000000000002</v>
      </c>
      <c r="O91" s="1">
        <v>0.91047</v>
      </c>
      <c r="P91" s="1">
        <v>0.91815999999999998</v>
      </c>
      <c r="Q91" s="1">
        <v>0.98153999999999997</v>
      </c>
      <c r="R91" s="1">
        <v>0.96697999999999995</v>
      </c>
      <c r="S91" s="1">
        <v>0.97863999999999995</v>
      </c>
      <c r="T91" s="1">
        <v>0.92191000000000001</v>
      </c>
      <c r="U91" s="1">
        <v>0.89139000000000002</v>
      </c>
      <c r="V91" s="1">
        <v>0.91047</v>
      </c>
      <c r="W91" s="1">
        <v>0.91815999999999998</v>
      </c>
      <c r="X91" s="1">
        <v>0.98153999999999997</v>
      </c>
      <c r="Y91" s="1">
        <v>0.96697999999999995</v>
      </c>
      <c r="Z91" s="1">
        <v>0.97863999999999995</v>
      </c>
      <c r="AA91" s="1">
        <v>0.92191000000000001</v>
      </c>
      <c r="AB91" s="1">
        <v>0.89139000000000002</v>
      </c>
      <c r="AC91" s="1">
        <v>0.91047</v>
      </c>
      <c r="AD91" s="1">
        <v>0.91815999999999998</v>
      </c>
      <c r="AE91" s="1">
        <v>0.98153999999999997</v>
      </c>
      <c r="AF91" s="1">
        <v>0.96697999999999995</v>
      </c>
      <c r="AG91" s="1">
        <v>0.97863999999999995</v>
      </c>
      <c r="AH91" s="1">
        <v>0.92191000000000001</v>
      </c>
      <c r="AI91" s="1">
        <v>0.89139000000000002</v>
      </c>
      <c r="AJ91" s="1">
        <v>0.92110999999999998</v>
      </c>
      <c r="AL91" s="4" t="s">
        <v>27</v>
      </c>
      <c r="AM91" s="6" t="str" cm="1">
        <f t="array" ref="AM91">IFERROR((SUMPRODUCT(($A$78:$A$101=AM$76)*($F$75:$AJ$75="")*$F$78:$AJ$101)+IF(AM$76="P6",SUMPRODUCT(($F$75:$AJ$75="P6")*$F$78:$AJ$101),0))/(SUMPRODUCT(($A$78:$A$101=AM$76)*($F$75:$AJ$75=""))+IF(AM$76="P6",COUNTIF($F$75:$AJ$75,"P6")*ROWS($A$78:$A$101),0)),"")</f>
        <v/>
      </c>
      <c r="AN91" s="6" cm="1">
        <f t="array" ref="AN91">IFERROR((SUMPRODUCT(($A$78:$A$101=AN$76)*($F$75:$AJ$75="")*$F$78:$AJ$101)+IF(AN$76="P6",SUMPRODUCT(($F$75:$AJ$75="P6")*$F$78:$AJ$101),0))/(SUMPRODUCT(($A$78:$A$101=AN$76)*($F$75:$AJ$75=""))+IF(AN$76="P6",COUNTIF($F$75:$AJ$75,"P6")*ROWS($A$78:$A$101),0)),"")</f>
        <v>1.0200733862433859</v>
      </c>
      <c r="AO91" s="6" t="str" cm="1">
        <f t="array" ref="AO91">IFERROR((SUMPRODUCT(($A$78:$A$101=AO$76)*($F$75:$AJ$75="")*$F$78:$AJ$101)+IF(AO$76="P6",SUMPRODUCT(($F$75:$AJ$75="P6")*$F$78:$AJ$101),0))/(SUMPRODUCT(($A$78:$A$101=AO$76)*($F$75:$AJ$75=""))+IF(AO$76="P6",COUNTIF($F$75:$AJ$75,"P6")*ROWS($A$78:$A$101),0)),"")</f>
        <v/>
      </c>
      <c r="AP91" s="6" cm="1">
        <f t="array" ref="AP91">IFERROR((SUMPRODUCT(($A$78:$A$101=AP$76)*($F$75:$AJ$75="")*$F$78:$AJ$101)+IF(AP$76="P6",SUMPRODUCT(($F$75:$AJ$75="P6")*$F$78:$AJ$101),0))/(SUMPRODUCT(($A$78:$A$101=AP$76)*($F$75:$AJ$75=""))+IF(AP$76="P6",COUNTIF($F$75:$AJ$75,"P6")*ROWS($A$78:$A$101),0)),"")</f>
        <v>1.1134835374149652</v>
      </c>
      <c r="AQ91" s="6" t="str" cm="1">
        <f t="array" ref="AQ91">IFERROR((SUMPRODUCT(($A$78:$A$101=AQ$76)*($F$75:$AJ$75="")*$F$78:$AJ$101)+IF(AQ$76="P6",SUMPRODUCT(($F$75:$AJ$75="P6")*$F$78:$AJ$101),0))/(SUMPRODUCT(($A$78:$A$101=AQ$76)*($F$75:$AJ$75=""))+IF(AQ$76="P6",COUNTIF($F$75:$AJ$75,"P6")*ROWS($A$78:$A$101),0)),"")</f>
        <v/>
      </c>
      <c r="AR91" s="6" cm="1">
        <f t="array" ref="AR91">IFERROR((SUMPRODUCT(($A$78:$A$101=AR$76)*($F$75:$AJ$75="")*$F$78:$AJ$101)+IF(AR$76="P6",SUMPRODUCT(($F$75:$AJ$75="P6")*$F$78:$AJ$101),0))/(SUMPRODUCT(($A$78:$A$101=AR$76)*($F$75:$AJ$75=""))+IF(AR$76="P6",COUNTIF($F$75:$AJ$75,"P6")*ROWS($A$78:$A$101),0)),"")</f>
        <v>1.1635670098039219</v>
      </c>
    </row>
    <row r="92" spans="1:44" ht="14.25" customHeight="1" x14ac:dyDescent="0.35">
      <c r="A92" s="1" t="s">
        <v>14</v>
      </c>
      <c r="B92" s="1" t="s">
        <v>16</v>
      </c>
      <c r="C92" s="1" t="s">
        <v>14</v>
      </c>
      <c r="D92" s="1" t="s">
        <v>15</v>
      </c>
      <c r="E92" s="1" t="s">
        <v>33</v>
      </c>
      <c r="F92" s="1">
        <v>0.98487999999999998</v>
      </c>
      <c r="G92" s="1">
        <v>0.90697000000000005</v>
      </c>
      <c r="H92" s="1">
        <v>0.92305999999999999</v>
      </c>
      <c r="I92" s="1">
        <v>0.97713000000000005</v>
      </c>
      <c r="J92" s="1">
        <v>1.04193</v>
      </c>
      <c r="K92" s="1">
        <v>1.02362</v>
      </c>
      <c r="L92" s="1">
        <v>1.03271</v>
      </c>
      <c r="M92" s="1">
        <v>0.98487999999999998</v>
      </c>
      <c r="N92" s="1">
        <v>0.90697000000000005</v>
      </c>
      <c r="O92" s="1">
        <v>0.92305999999999999</v>
      </c>
      <c r="P92" s="1">
        <v>0.97713000000000005</v>
      </c>
      <c r="Q92" s="1">
        <v>1.04193</v>
      </c>
      <c r="R92" s="1">
        <v>1.02362</v>
      </c>
      <c r="S92" s="1">
        <v>1.03271</v>
      </c>
      <c r="T92" s="1">
        <v>0.98487999999999998</v>
      </c>
      <c r="U92" s="1">
        <v>0.90697000000000005</v>
      </c>
      <c r="V92" s="1">
        <v>0.92305999999999999</v>
      </c>
      <c r="W92" s="1">
        <v>0.97713000000000005</v>
      </c>
      <c r="X92" s="1">
        <v>1.04193</v>
      </c>
      <c r="Y92" s="1">
        <v>1.02362</v>
      </c>
      <c r="Z92" s="1">
        <v>1.03271</v>
      </c>
      <c r="AA92" s="1">
        <v>0.98487999999999998</v>
      </c>
      <c r="AB92" s="1">
        <v>0.90697000000000005</v>
      </c>
      <c r="AC92" s="1">
        <v>0.92305999999999999</v>
      </c>
      <c r="AD92" s="1">
        <v>0.97713000000000005</v>
      </c>
      <c r="AE92" s="1">
        <v>1.04193</v>
      </c>
      <c r="AF92" s="1">
        <v>1.02362</v>
      </c>
      <c r="AG92" s="1">
        <v>1.03271</v>
      </c>
      <c r="AH92" s="1">
        <v>0.98487999999999998</v>
      </c>
      <c r="AI92" s="1">
        <v>0.90697000000000005</v>
      </c>
      <c r="AJ92" s="1">
        <v>0.91047</v>
      </c>
      <c r="AL92" s="4" t="s">
        <v>29</v>
      </c>
      <c r="AM92" s="6" t="str" cm="1">
        <f t="array" ref="AM92">IFERROR((SUMPRODUCT(($A$78:$A$101=AM$76)*($F$75:$AJ$75="")*$F$78:$AJ$101)+IF(AM$76="P6",SUMPRODUCT(($F$75:$AJ$75="P6")*$F$78:$AJ$101),0))/(SUMPRODUCT(($A$78:$A$101=AM$76)*($F$75:$AJ$75=""))+IF(AM$76="P6",COUNTIF($F$75:$AJ$75,"P6")*ROWS($A$78:$A$101),0)),"")</f>
        <v/>
      </c>
      <c r="AN92" s="6" cm="1">
        <f t="array" ref="AN92">IFERROR((SUMPRODUCT(($A$78:$A$101=AN$76)*($F$75:$AJ$75="")*$F$78:$AJ$101)+IF(AN$76="P6",SUMPRODUCT(($F$75:$AJ$75="P6")*$F$78:$AJ$101),0))/(SUMPRODUCT(($A$78:$A$101=AN$76)*($F$75:$AJ$75=""))+IF(AN$76="P6",COUNTIF($F$75:$AJ$75,"P6")*ROWS($A$78:$A$101),0)),"")</f>
        <v>1.0200733862433859</v>
      </c>
      <c r="AO92" s="6" t="str" cm="1">
        <f t="array" ref="AO92">IFERROR((SUMPRODUCT(($A$78:$A$101=AO$76)*($F$75:$AJ$75="")*$F$78:$AJ$101)+IF(AO$76="P6",SUMPRODUCT(($F$75:$AJ$75="P6")*$F$78:$AJ$101),0))/(SUMPRODUCT(($A$78:$A$101=AO$76)*($F$75:$AJ$75=""))+IF(AO$76="P6",COUNTIF($F$75:$AJ$75,"P6")*ROWS($A$78:$A$101),0)),"")</f>
        <v/>
      </c>
      <c r="AP92" s="6" cm="1">
        <f t="array" ref="AP92">IFERROR((SUMPRODUCT(($A$78:$A$101=AP$76)*($F$75:$AJ$75="")*$F$78:$AJ$101)+IF(AP$76="P6",SUMPRODUCT(($F$75:$AJ$75="P6")*$F$78:$AJ$101),0))/(SUMPRODUCT(($A$78:$A$101=AP$76)*($F$75:$AJ$75=""))+IF(AP$76="P6",COUNTIF($F$75:$AJ$75,"P6")*ROWS($A$78:$A$101),0)),"")</f>
        <v>1.1134835374149652</v>
      </c>
      <c r="AQ92" s="6" t="str" cm="1">
        <f t="array" ref="AQ92">IFERROR((SUMPRODUCT(($A$78:$A$101=AQ$76)*($F$75:$AJ$75="")*$F$78:$AJ$101)+IF(AQ$76="P6",SUMPRODUCT(($F$75:$AJ$75="P6")*$F$78:$AJ$101),0))/(SUMPRODUCT(($A$78:$A$101=AQ$76)*($F$75:$AJ$75=""))+IF(AQ$76="P6",COUNTIF($F$75:$AJ$75,"P6")*ROWS($A$78:$A$101),0)),"")</f>
        <v/>
      </c>
      <c r="AR92" s="6" cm="1">
        <f t="array" ref="AR92">IFERROR((SUMPRODUCT(($A$78:$A$101=AR$76)*($F$75:$AJ$75="")*$F$78:$AJ$101)+IF(AR$76="P6",SUMPRODUCT(($F$75:$AJ$75="P6")*$F$78:$AJ$101),0))/(SUMPRODUCT(($A$78:$A$101=AR$76)*($F$75:$AJ$75=""))+IF(AR$76="P6",COUNTIF($F$75:$AJ$75,"P6")*ROWS($A$78:$A$101),0)),"")</f>
        <v>1.1635670098039219</v>
      </c>
    </row>
    <row r="93" spans="1:44" ht="14.25" customHeight="1" x14ac:dyDescent="0.35">
      <c r="A93" s="1" t="s">
        <v>16</v>
      </c>
      <c r="B93" s="1" t="s">
        <v>17</v>
      </c>
      <c r="C93" s="1" t="s">
        <v>14</v>
      </c>
      <c r="D93" s="1" t="s">
        <v>15</v>
      </c>
      <c r="E93" s="1" t="s">
        <v>34</v>
      </c>
      <c r="F93" s="1">
        <v>1.0073700000000001</v>
      </c>
      <c r="G93" s="1">
        <v>0.99012</v>
      </c>
      <c r="H93" s="1">
        <v>0.98702000000000001</v>
      </c>
      <c r="I93" s="1">
        <v>1.00793</v>
      </c>
      <c r="J93" s="1">
        <v>1.08867</v>
      </c>
      <c r="K93" s="1">
        <v>1.05281</v>
      </c>
      <c r="L93" s="1">
        <v>1.06734</v>
      </c>
      <c r="M93" s="1">
        <v>1.0073700000000001</v>
      </c>
      <c r="N93" s="1">
        <v>0.99012</v>
      </c>
      <c r="O93" s="1">
        <v>0.98702000000000001</v>
      </c>
      <c r="P93" s="1">
        <v>1.00793</v>
      </c>
      <c r="Q93" s="1">
        <v>1.08867</v>
      </c>
      <c r="R93" s="1">
        <v>1.05281</v>
      </c>
      <c r="S93" s="1">
        <v>1.06734</v>
      </c>
      <c r="T93" s="1">
        <v>1.0073700000000001</v>
      </c>
      <c r="U93" s="1">
        <v>0.99012</v>
      </c>
      <c r="V93" s="1">
        <v>0.98702000000000001</v>
      </c>
      <c r="W93" s="1">
        <v>1.00793</v>
      </c>
      <c r="X93" s="1">
        <v>1.08867</v>
      </c>
      <c r="Y93" s="1">
        <v>1.05281</v>
      </c>
      <c r="Z93" s="1">
        <v>1.06734</v>
      </c>
      <c r="AA93" s="1">
        <v>1.0073700000000001</v>
      </c>
      <c r="AB93" s="1">
        <v>0.99012</v>
      </c>
      <c r="AC93" s="1">
        <v>0.98702000000000001</v>
      </c>
      <c r="AD93" s="1">
        <v>1.00793</v>
      </c>
      <c r="AE93" s="1">
        <v>1.08867</v>
      </c>
      <c r="AF93" s="1">
        <v>1.05281</v>
      </c>
      <c r="AG93" s="1">
        <v>1.06734</v>
      </c>
      <c r="AH93" s="1">
        <v>1.0073700000000001</v>
      </c>
      <c r="AI93" s="1">
        <v>0.99012</v>
      </c>
      <c r="AJ93" s="1">
        <v>0.92305999999999999</v>
      </c>
      <c r="AL93" s="10"/>
      <c r="AM93" s="10"/>
      <c r="AN93" s="10"/>
      <c r="AO93" s="10"/>
      <c r="AP93" s="10"/>
      <c r="AQ93" s="10"/>
      <c r="AR93" s="10"/>
    </row>
    <row r="94" spans="1:44" ht="14.25" customHeight="1" x14ac:dyDescent="0.35">
      <c r="A94" s="1" t="s">
        <v>16</v>
      </c>
      <c r="B94" s="1" t="s">
        <v>17</v>
      </c>
      <c r="C94" s="1" t="s">
        <v>14</v>
      </c>
      <c r="D94" s="1" t="s">
        <v>15</v>
      </c>
      <c r="E94" s="1" t="s">
        <v>35</v>
      </c>
      <c r="F94" s="1">
        <v>1.04305</v>
      </c>
      <c r="G94" s="1">
        <v>1.0481799999999999</v>
      </c>
      <c r="H94" s="1">
        <v>1.03796</v>
      </c>
      <c r="I94" s="1">
        <v>1.04986</v>
      </c>
      <c r="J94" s="1">
        <v>1.1261399999999999</v>
      </c>
      <c r="K94" s="1">
        <v>1.09806</v>
      </c>
      <c r="L94" s="1">
        <v>1.09124</v>
      </c>
      <c r="M94" s="1">
        <v>1.04305</v>
      </c>
      <c r="N94" s="1">
        <v>1.0481799999999999</v>
      </c>
      <c r="O94" s="1">
        <v>1.03796</v>
      </c>
      <c r="P94" s="1">
        <v>1.04986</v>
      </c>
      <c r="Q94" s="1">
        <v>1.1261399999999999</v>
      </c>
      <c r="R94" s="1">
        <v>1.09806</v>
      </c>
      <c r="S94" s="1">
        <v>1.09124</v>
      </c>
      <c r="T94" s="1">
        <v>1.04305</v>
      </c>
      <c r="U94" s="1">
        <v>1.0481799999999999</v>
      </c>
      <c r="V94" s="1">
        <v>1.03796</v>
      </c>
      <c r="W94" s="1">
        <v>1.04986</v>
      </c>
      <c r="X94" s="1">
        <v>1.1261399999999999</v>
      </c>
      <c r="Y94" s="1">
        <v>1.09806</v>
      </c>
      <c r="Z94" s="1">
        <v>1.09124</v>
      </c>
      <c r="AA94" s="1">
        <v>1.04305</v>
      </c>
      <c r="AB94" s="1">
        <v>1.0481799999999999</v>
      </c>
      <c r="AC94" s="1">
        <v>1.03796</v>
      </c>
      <c r="AD94" s="1">
        <v>1.04986</v>
      </c>
      <c r="AE94" s="1">
        <v>1.1261399999999999</v>
      </c>
      <c r="AF94" s="1">
        <v>1.09806</v>
      </c>
      <c r="AG94" s="1">
        <v>1.09124</v>
      </c>
      <c r="AH94" s="1">
        <v>1.04305</v>
      </c>
      <c r="AI94" s="1">
        <v>1.0481799999999999</v>
      </c>
      <c r="AJ94" s="1">
        <v>0.98702000000000001</v>
      </c>
      <c r="AL94" s="10"/>
      <c r="AM94" s="10"/>
      <c r="AN94" s="10"/>
      <c r="AO94" s="10"/>
      <c r="AP94" s="10"/>
      <c r="AQ94" s="10"/>
      <c r="AR94" s="10"/>
    </row>
    <row r="95" spans="1:44" ht="14.25" customHeight="1" x14ac:dyDescent="0.35">
      <c r="A95" s="1" t="s">
        <v>16</v>
      </c>
      <c r="B95" s="1" t="s">
        <v>17</v>
      </c>
      <c r="C95" s="1" t="s">
        <v>14</v>
      </c>
      <c r="D95" s="1" t="s">
        <v>15</v>
      </c>
      <c r="E95" s="1" t="s">
        <v>36</v>
      </c>
      <c r="F95" s="1">
        <v>1.06952</v>
      </c>
      <c r="G95" s="1">
        <v>1.0748</v>
      </c>
      <c r="H95" s="1">
        <v>1.05782</v>
      </c>
      <c r="I95" s="1">
        <v>1.0791900000000001</v>
      </c>
      <c r="J95" s="1">
        <v>1.1345700000000001</v>
      </c>
      <c r="K95" s="1">
        <v>1.10778</v>
      </c>
      <c r="L95" s="1">
        <v>1.1077600000000001</v>
      </c>
      <c r="M95" s="1">
        <v>1.06952</v>
      </c>
      <c r="N95" s="1">
        <v>1.0748</v>
      </c>
      <c r="O95" s="1">
        <v>1.05782</v>
      </c>
      <c r="P95" s="1">
        <v>1.0791900000000001</v>
      </c>
      <c r="Q95" s="1">
        <v>1.1345700000000001</v>
      </c>
      <c r="R95" s="1">
        <v>1.10778</v>
      </c>
      <c r="S95" s="1">
        <v>1.1077600000000001</v>
      </c>
      <c r="T95" s="1">
        <v>1.06952</v>
      </c>
      <c r="U95" s="1">
        <v>1.0748</v>
      </c>
      <c r="V95" s="1">
        <v>1.05782</v>
      </c>
      <c r="W95" s="1">
        <v>1.0791900000000001</v>
      </c>
      <c r="X95" s="1">
        <v>1.1345700000000001</v>
      </c>
      <c r="Y95" s="1">
        <v>1.10778</v>
      </c>
      <c r="Z95" s="1">
        <v>1.1077600000000001</v>
      </c>
      <c r="AA95" s="1">
        <v>1.06952</v>
      </c>
      <c r="AB95" s="1">
        <v>1.0748</v>
      </c>
      <c r="AC95" s="1">
        <v>1.05782</v>
      </c>
      <c r="AD95" s="1">
        <v>1.0791900000000001</v>
      </c>
      <c r="AE95" s="1">
        <v>1.1345700000000001</v>
      </c>
      <c r="AF95" s="1">
        <v>1.10778</v>
      </c>
      <c r="AG95" s="1">
        <v>1.1077600000000001</v>
      </c>
      <c r="AH95" s="1">
        <v>1.06952</v>
      </c>
      <c r="AI95" s="1">
        <v>1.0748</v>
      </c>
      <c r="AJ95" s="1">
        <v>1.03796</v>
      </c>
      <c r="AL95" s="14" t="s">
        <v>164</v>
      </c>
      <c r="AM95" s="14"/>
      <c r="AN95" s="14"/>
      <c r="AO95" s="14"/>
      <c r="AP95" s="14"/>
      <c r="AQ95" s="14"/>
      <c r="AR95" s="14"/>
    </row>
    <row r="96" spans="1:44" ht="14.25" customHeight="1" x14ac:dyDescent="0.35">
      <c r="A96" s="1" t="s">
        <v>14</v>
      </c>
      <c r="B96" s="1" t="s">
        <v>16</v>
      </c>
      <c r="C96" s="1" t="s">
        <v>13</v>
      </c>
      <c r="D96" s="1" t="s">
        <v>14</v>
      </c>
      <c r="E96" s="1" t="s">
        <v>37</v>
      </c>
      <c r="F96" s="1">
        <v>1.0279700000000001</v>
      </c>
      <c r="G96" s="1">
        <v>1.14113</v>
      </c>
      <c r="H96" s="1">
        <v>1.0945</v>
      </c>
      <c r="I96" s="1">
        <v>1.0267900000000001</v>
      </c>
      <c r="J96" s="1">
        <v>1.0231300000000001</v>
      </c>
      <c r="K96" s="1">
        <v>1.01678</v>
      </c>
      <c r="L96" s="1">
        <v>1.05339</v>
      </c>
      <c r="M96" s="1">
        <v>1.0279700000000001</v>
      </c>
      <c r="N96" s="1">
        <v>1.14113</v>
      </c>
      <c r="O96" s="1">
        <v>1.0945</v>
      </c>
      <c r="P96" s="1">
        <v>1.0267900000000001</v>
      </c>
      <c r="Q96" s="1">
        <v>1.0231300000000001</v>
      </c>
      <c r="R96" s="1">
        <v>1.01678</v>
      </c>
      <c r="S96" s="1">
        <v>1.05339</v>
      </c>
      <c r="T96" s="1">
        <v>1.0279700000000001</v>
      </c>
      <c r="U96" s="1">
        <v>1.14113</v>
      </c>
      <c r="V96" s="1">
        <v>1.0945</v>
      </c>
      <c r="W96" s="1">
        <v>1.0267900000000001</v>
      </c>
      <c r="X96" s="1">
        <v>1.0231300000000001</v>
      </c>
      <c r="Y96" s="1">
        <v>1.01678</v>
      </c>
      <c r="Z96" s="1">
        <v>1.05339</v>
      </c>
      <c r="AA96" s="1">
        <v>1.0279700000000001</v>
      </c>
      <c r="AB96" s="1">
        <v>1.14113</v>
      </c>
      <c r="AC96" s="1">
        <v>1.0945</v>
      </c>
      <c r="AD96" s="1">
        <v>1.0267900000000001</v>
      </c>
      <c r="AE96" s="1">
        <v>1.0231300000000001</v>
      </c>
      <c r="AF96" s="1">
        <v>1.01678</v>
      </c>
      <c r="AG96" s="1">
        <v>1.05339</v>
      </c>
      <c r="AH96" s="1">
        <v>1.0279700000000001</v>
      </c>
      <c r="AI96" s="1">
        <v>1.14113</v>
      </c>
      <c r="AJ96" s="1">
        <v>1.05782</v>
      </c>
      <c r="AL96" s="4"/>
      <c r="AM96" s="4" t="s">
        <v>13</v>
      </c>
      <c r="AN96" s="4" t="s">
        <v>14</v>
      </c>
      <c r="AO96" s="4" t="s">
        <v>15</v>
      </c>
      <c r="AP96" s="4" t="s">
        <v>16</v>
      </c>
      <c r="AQ96" s="4" t="s">
        <v>17</v>
      </c>
      <c r="AR96" s="4" t="s">
        <v>7</v>
      </c>
    </row>
    <row r="97" spans="1:44" ht="14.25" customHeight="1" x14ac:dyDescent="0.35">
      <c r="A97" s="1" t="s">
        <v>14</v>
      </c>
      <c r="B97" s="1" t="s">
        <v>16</v>
      </c>
      <c r="C97" s="1" t="s">
        <v>13</v>
      </c>
      <c r="D97" s="1" t="s">
        <v>14</v>
      </c>
      <c r="E97" s="1" t="s">
        <v>38</v>
      </c>
      <c r="F97" s="1">
        <v>1.08649</v>
      </c>
      <c r="G97" s="1">
        <v>1.1977599999999999</v>
      </c>
      <c r="H97" s="1">
        <v>1.11222</v>
      </c>
      <c r="I97" s="1">
        <v>1.0409999999999999</v>
      </c>
      <c r="J97" s="1">
        <v>1.02379</v>
      </c>
      <c r="K97" s="1">
        <v>1.06152</v>
      </c>
      <c r="L97" s="1">
        <v>1.0990599999999999</v>
      </c>
      <c r="M97" s="1">
        <v>1.08649</v>
      </c>
      <c r="N97" s="1">
        <v>1.1977599999999999</v>
      </c>
      <c r="O97" s="1">
        <v>1.11222</v>
      </c>
      <c r="P97" s="1">
        <v>1.0409999999999999</v>
      </c>
      <c r="Q97" s="1">
        <v>1.02379</v>
      </c>
      <c r="R97" s="1">
        <v>1.06152</v>
      </c>
      <c r="S97" s="1">
        <v>1.0990599999999999</v>
      </c>
      <c r="T97" s="1">
        <v>1.08649</v>
      </c>
      <c r="U97" s="1">
        <v>1.1977599999999999</v>
      </c>
      <c r="V97" s="1">
        <v>1.11222</v>
      </c>
      <c r="W97" s="1">
        <v>1.0409999999999999</v>
      </c>
      <c r="X97" s="1">
        <v>1.02379</v>
      </c>
      <c r="Y97" s="1">
        <v>1.06152</v>
      </c>
      <c r="Z97" s="1">
        <v>1.0990599999999999</v>
      </c>
      <c r="AA97" s="1">
        <v>1.08649</v>
      </c>
      <c r="AB97" s="1">
        <v>1.1977599999999999</v>
      </c>
      <c r="AC97" s="1">
        <v>1.11222</v>
      </c>
      <c r="AD97" s="1">
        <v>1.0409999999999999</v>
      </c>
      <c r="AE97" s="1">
        <v>1.02379</v>
      </c>
      <c r="AF97" s="1">
        <v>1.06152</v>
      </c>
      <c r="AG97" s="1">
        <v>1.0990599999999999</v>
      </c>
      <c r="AH97" s="1">
        <v>1.08649</v>
      </c>
      <c r="AI97" s="1">
        <v>1.1977599999999999</v>
      </c>
      <c r="AJ97" s="1">
        <v>1.0945</v>
      </c>
      <c r="AL97" s="4" t="s">
        <v>19</v>
      </c>
      <c r="AM97" s="6" cm="1">
        <f t="array" ref="AM97">IFERROR((SUMPRODUCT(($C$78:$C$101=AM$76)*($F$74:$AJ$74="")*$F$78:$AJ$101)+IF(AM$76="P3",SUMPRODUCT(($F$74:$AJ$74="P3")*$F$78:$AJ$101),0))/(SUMPRODUCT(($C$78:$C$101=AM$76)*($F$74:$AJ$74=""))+IF(AM$76="P3",COUNTIF($F$74:$AJ$74,"P3")*ROWS($C$78:$C$101),0)),"")</f>
        <v>1.0212375595238092</v>
      </c>
      <c r="AN97" s="6" cm="1">
        <f t="array" ref="AN97">IFERROR((SUMPRODUCT(($C$78:$C$101=AN$41)*($F$74:$AJ$74="")*$F$78:$AJ$101)+IF(AN$41="P3",SUMPRODUCT(($F$74:$AJ$74="P3")*$F$78:$AJ$101),0))/(SUMPRODUCT(($C$78:$C$101=AN$41)*($F$74:$AJ$74=""))+IF(AN$41="P3",COUNTIF($F$74:$AJ$74,"P3")*ROWS($C$78:$C$101),0)),"")</f>
        <v>1.1006430952380937</v>
      </c>
      <c r="AO97" s="6" cm="1">
        <f t="array" ref="AO97">IFERROR((SUMPRODUCT(($C$78:$C$101=AO$41)*($F$74:$AJ$74="")*$F$78:$AJ$101)+IF(AO$41="P3",SUMPRODUCT(($F$74:$AJ$74="P3")*$F$78:$AJ$101),0))/(SUMPRODUCT(($C$78:$C$101=AO$41)*($F$74:$AJ$74=""))+IF(AO$41="P3",COUNTIF($F$74:$AJ$74,"P3")*ROWS($C$78:$C$101),0)),"")</f>
        <v>1.1635670098039219</v>
      </c>
      <c r="AP97" s="6" t="str" cm="1">
        <f t="array" ref="AP97">IFERROR((SUMPRODUCT(($C$78:$C$101=AP$41)*($F$74:$AJ$74="")*$F$78:$AJ$101)+IF(AP$41="P3",SUMPRODUCT(($F$74:$AJ$74="P3")*$F$78:$AJ$101),0))/(SUMPRODUCT(($C$78:$C$101=AP$41)*($F$74:$AJ$74=""))+IF(AP$41="P3",COUNTIF($F$74:$AJ$74,"P3")*ROWS($C$78:$C$101),0)),"")</f>
        <v/>
      </c>
      <c r="AQ97" s="6" t="str" cm="1">
        <f t="array" ref="AQ97">IFERROR((SUMPRODUCT(($C$78:$C$101=AQ$41)*($F$74:$AJ$74="")*$F$78:$AJ$101)+IF(AQ$41="P3",SUMPRODUCT(($F$74:$AJ$74="P3")*$F$78:$AJ$101),0))/(SUMPRODUCT(($C$78:$C$101=AQ$41)*($F$74:$AJ$74=""))+IF(AQ$41="P3",COUNTIF($F$74:$AJ$74,"P3")*ROWS($C$78:$C$101),0)),"")</f>
        <v/>
      </c>
      <c r="AR97" s="6" t="str" cm="1">
        <f t="array" ref="AR97">IFERROR((SUMPRODUCT(($C$78:$C$101=AR$41)*($F$74:$AJ$74="")*$F$78:$AJ$101)+IF(AR$41="P3",SUMPRODUCT(($F$74:$AJ$74="P3")*$F$78:$AJ$101),0))/(SUMPRODUCT(($C$78:$C$101=AR$41)*($F$74:$AJ$74=""))+IF(AR$41="P3",COUNTIF($F$74:$AJ$74,"P3")*ROWS($C$78:$C$101),0)),"")</f>
        <v/>
      </c>
    </row>
    <row r="98" spans="1:44" ht="14.25" customHeight="1" x14ac:dyDescent="0.35">
      <c r="A98" s="1" t="s">
        <v>14</v>
      </c>
      <c r="B98" s="1" t="s">
        <v>16</v>
      </c>
      <c r="C98" s="1" t="s">
        <v>13</v>
      </c>
      <c r="D98" s="1" t="s">
        <v>14</v>
      </c>
      <c r="E98" s="1" t="s">
        <v>39</v>
      </c>
      <c r="F98" s="1">
        <v>1.1252</v>
      </c>
      <c r="G98" s="1">
        <v>1.20451</v>
      </c>
      <c r="H98" s="1">
        <v>1.1104700000000001</v>
      </c>
      <c r="I98" s="1">
        <v>1.04593</v>
      </c>
      <c r="J98" s="1">
        <v>1.03935</v>
      </c>
      <c r="K98" s="1">
        <v>1.08884</v>
      </c>
      <c r="L98" s="1">
        <v>1.11833</v>
      </c>
      <c r="M98" s="1">
        <v>1.1252</v>
      </c>
      <c r="N98" s="1">
        <v>1.20451</v>
      </c>
      <c r="O98" s="1">
        <v>1.1104700000000001</v>
      </c>
      <c r="P98" s="1">
        <v>1.04593</v>
      </c>
      <c r="Q98" s="1">
        <v>1.03935</v>
      </c>
      <c r="R98" s="1">
        <v>1.08884</v>
      </c>
      <c r="S98" s="1">
        <v>1.11833</v>
      </c>
      <c r="T98" s="1">
        <v>1.1252</v>
      </c>
      <c r="U98" s="1">
        <v>1.20451</v>
      </c>
      <c r="V98" s="1">
        <v>1.1104700000000001</v>
      </c>
      <c r="W98" s="1">
        <v>1.04593</v>
      </c>
      <c r="X98" s="1">
        <v>1.03935</v>
      </c>
      <c r="Y98" s="1">
        <v>1.08884</v>
      </c>
      <c r="Z98" s="1">
        <v>1.11833</v>
      </c>
      <c r="AA98" s="1">
        <v>1.1252</v>
      </c>
      <c r="AB98" s="1">
        <v>1.20451</v>
      </c>
      <c r="AC98" s="1">
        <v>1.1104700000000001</v>
      </c>
      <c r="AD98" s="1">
        <v>1.04593</v>
      </c>
      <c r="AE98" s="1">
        <v>1.03935</v>
      </c>
      <c r="AF98" s="1">
        <v>1.08884</v>
      </c>
      <c r="AG98" s="1">
        <v>1.11833</v>
      </c>
      <c r="AH98" s="1">
        <v>1.1252</v>
      </c>
      <c r="AI98" s="1">
        <v>1.20451</v>
      </c>
      <c r="AJ98" s="1">
        <v>1.11222</v>
      </c>
      <c r="AL98" s="4" t="s">
        <v>21</v>
      </c>
      <c r="AM98" s="6" t="str" cm="1">
        <f t="array" ref="AM98">IFERROR((SUMPRODUCT(($B$78:$B$101=AM$76)*($F$75:$AJ$75="")*$F$78:$AJ$101)+IF(AM$76="P6",SUMPRODUCT(($F$75:$AJ$75="P6")*$F$78:$AJ$101),0))/(SUMPRODUCT(($B$78:$B$101=AM$76)*($F$75:$AJ$75=""))+IF(AM$76="P6",COUNTIF($F$75:$AJ$75,"P6")*ROWS($B$78:$B$101),0)),"")</f>
        <v/>
      </c>
      <c r="AN98" s="6" t="str" cm="1">
        <f t="array" ref="AN98">IFERROR((SUMPRODUCT(($B$78:$B$101=AN$76)*($F$75:$AJ$75="")*$F$78:$AJ$101)+IF(AN$76="P6",SUMPRODUCT(($F$75:$AJ$75="P6")*$F$78:$AJ$101),0))/(SUMPRODUCT(($B$78:$B$101=AN$76)*($F$75:$AJ$75=""))+IF(AN$76="P6",COUNTIF($F$75:$AJ$75,"P6")*ROWS($B$78:$B$101),0)),"")</f>
        <v/>
      </c>
      <c r="AO98" s="6" t="str" cm="1">
        <f t="array" ref="AO98">IFERROR((SUMPRODUCT(($B$78:$B$101=AO$76)*($F$75:$AJ$75="")*$F$78:$AJ$101)+IF(AO$76="P6",SUMPRODUCT(($F$75:$AJ$75="P6")*$F$78:$AJ$101),0))/(SUMPRODUCT(($B$78:$B$101=AO$76)*($F$75:$AJ$75=""))+IF(AO$76="P6",COUNTIF($F$75:$AJ$75,"P6")*ROWS($B$78:$B$101),0)),"")</f>
        <v/>
      </c>
      <c r="AP98" s="6" cm="1">
        <f t="array" ref="AP98">IFERROR((SUMPRODUCT(($B$78:$B$101=AP$76)*($F$75:$AJ$75="")*$F$78:$AJ$101)+IF(AP$76="P6",SUMPRODUCT(($F$75:$AJ$75="P6")*$F$78:$AJ$101),0))/(SUMPRODUCT(($B$78:$B$101=AP$76)*($F$75:$AJ$75=""))+IF(AP$76="P6",COUNTIF($F$75:$AJ$75,"P6")*ROWS($B$78:$B$101),0)),"")</f>
        <v>1.0200733862433859</v>
      </c>
      <c r="AQ98" s="6" cm="1">
        <f t="array" ref="AQ98">IFERROR((SUMPRODUCT(($B$78:$B$101=AQ$76)*($F$75:$AJ$75="")*$F$78:$AJ$101)+IF(AQ$76="P6",SUMPRODUCT(($F$75:$AJ$75="P6")*$F$78:$AJ$101),0))/(SUMPRODUCT(($B$78:$B$101=AQ$76)*($F$75:$AJ$75=""))+IF(AQ$76="P6",COUNTIF($F$75:$AJ$75,"P6")*ROWS($B$78:$B$101),0)),"")</f>
        <v>1.1134835374149652</v>
      </c>
      <c r="AR98" s="6" cm="1">
        <f t="array" ref="AR98">IFERROR((SUMPRODUCT(($B$78:$B$101=AR$76)*($F$75:$AJ$75="")*$F$78:$AJ$101)+IF(AR$76="P6",SUMPRODUCT(($F$75:$AJ$75="P6")*$F$78:$AJ$101),0))/(SUMPRODUCT(($B$78:$B$101=AR$76)*($F$75:$AJ$75=""))+IF(AR$76="P6",COUNTIF($F$75:$AJ$75,"P6")*ROWS($B$78:$B$101),0)),"")</f>
        <v>1.1635670098039219</v>
      </c>
    </row>
    <row r="99" spans="1:44" ht="14.25" customHeight="1" x14ac:dyDescent="0.35">
      <c r="A99" s="1" t="s">
        <v>14</v>
      </c>
      <c r="B99" s="1" t="s">
        <v>16</v>
      </c>
      <c r="C99" s="1" t="s">
        <v>13</v>
      </c>
      <c r="D99" s="1" t="s">
        <v>14</v>
      </c>
      <c r="E99" s="1" t="s">
        <v>40</v>
      </c>
      <c r="F99" s="1">
        <v>1.13626</v>
      </c>
      <c r="G99" s="1">
        <v>1.19272</v>
      </c>
      <c r="H99" s="1">
        <v>1.1153599999999999</v>
      </c>
      <c r="I99" s="1">
        <v>1.0529900000000001</v>
      </c>
      <c r="J99" s="1">
        <v>1.0503199999999999</v>
      </c>
      <c r="K99" s="1">
        <v>1.10015</v>
      </c>
      <c r="L99" s="1">
        <v>1.13411</v>
      </c>
      <c r="M99" s="1">
        <v>1.13626</v>
      </c>
      <c r="N99" s="1">
        <v>1.19272</v>
      </c>
      <c r="O99" s="1">
        <v>1.1153599999999999</v>
      </c>
      <c r="P99" s="1">
        <v>1.0529900000000001</v>
      </c>
      <c r="Q99" s="1">
        <v>1.0503199999999999</v>
      </c>
      <c r="R99" s="1">
        <v>1.10015</v>
      </c>
      <c r="S99" s="1">
        <v>1.13411</v>
      </c>
      <c r="T99" s="1">
        <v>1.13626</v>
      </c>
      <c r="U99" s="1">
        <v>1.19272</v>
      </c>
      <c r="V99" s="1">
        <v>1.1153599999999999</v>
      </c>
      <c r="W99" s="1">
        <v>1.0529900000000001</v>
      </c>
      <c r="X99" s="1">
        <v>1.0503199999999999</v>
      </c>
      <c r="Y99" s="1">
        <v>1.10015</v>
      </c>
      <c r="Z99" s="1">
        <v>1.13411</v>
      </c>
      <c r="AA99" s="1">
        <v>1.13626</v>
      </c>
      <c r="AB99" s="1">
        <v>1.19272</v>
      </c>
      <c r="AC99" s="1">
        <v>1.1153599999999999</v>
      </c>
      <c r="AD99" s="1">
        <v>1.0529900000000001</v>
      </c>
      <c r="AE99" s="1">
        <v>1.0503199999999999</v>
      </c>
      <c r="AF99" s="1">
        <v>1.10015</v>
      </c>
      <c r="AG99" s="1">
        <v>1.13411</v>
      </c>
      <c r="AH99" s="1">
        <v>1.13626</v>
      </c>
      <c r="AI99" s="1">
        <v>1.19272</v>
      </c>
      <c r="AJ99" s="1">
        <v>1.1104700000000001</v>
      </c>
      <c r="AL99" s="4" t="s">
        <v>23</v>
      </c>
      <c r="AM99" s="6" t="str" cm="1">
        <f t="array" ref="AM99">IFERROR((SUMPRODUCT(($B$78:$B$101=AM$76)*($F$75:$AJ$75="")*$F$78:$AJ$101)+IF(AM$76="P6",SUMPRODUCT(($F$75:$AJ$75="P6")*$F$78:$AJ$101),0))/(SUMPRODUCT(($B$78:$B$101=AM$76)*($F$75:$AJ$75=""))+IF(AM$76="P6",COUNTIF($F$75:$AJ$75,"P6")*ROWS($B$78:$B$101),0)),"")</f>
        <v/>
      </c>
      <c r="AN99" s="6" t="str" cm="1">
        <f t="array" ref="AN99">IFERROR((SUMPRODUCT(($B$78:$B$101=AN$76)*($F$75:$AJ$75="")*$F$78:$AJ$101)+IF(AN$76="P6",SUMPRODUCT(($F$75:$AJ$75="P6")*$F$78:$AJ$101),0))/(SUMPRODUCT(($B$78:$B$101=AN$76)*($F$75:$AJ$75=""))+IF(AN$76="P6",COUNTIF($F$75:$AJ$75,"P6")*ROWS($B$78:$B$101),0)),"")</f>
        <v/>
      </c>
      <c r="AO99" s="6" t="str" cm="1">
        <f t="array" ref="AO99">IFERROR((SUMPRODUCT(($B$78:$B$101=AO$76)*($F$75:$AJ$75="")*$F$78:$AJ$101)+IF(AO$76="P6",SUMPRODUCT(($F$75:$AJ$75="P6")*$F$78:$AJ$101),0))/(SUMPRODUCT(($B$78:$B$101=AO$76)*($F$75:$AJ$75=""))+IF(AO$76="P6",COUNTIF($F$75:$AJ$75,"P6")*ROWS($B$78:$B$101),0)),"")</f>
        <v/>
      </c>
      <c r="AP99" s="6" cm="1">
        <f t="array" ref="AP99">IFERROR((SUMPRODUCT(($B$78:$B$101=AP$76)*($F$75:$AJ$75="")*$F$78:$AJ$101)+IF(AP$76="P6",SUMPRODUCT(($F$75:$AJ$75="P6")*$F$78:$AJ$101),0))/(SUMPRODUCT(($B$78:$B$101=AP$76)*($F$75:$AJ$75=""))+IF(AP$76="P6",COUNTIF($F$75:$AJ$75,"P6")*ROWS($B$78:$B$101),0)),"")</f>
        <v>1.0200733862433859</v>
      </c>
      <c r="AQ99" s="6" cm="1">
        <f t="array" ref="AQ99">IFERROR((SUMPRODUCT(($B$78:$B$101=AQ$76)*($F$75:$AJ$75="")*$F$78:$AJ$101)+IF(AQ$76="P6",SUMPRODUCT(($F$75:$AJ$75="P6")*$F$78:$AJ$101),0))/(SUMPRODUCT(($B$78:$B$101=AQ$76)*($F$75:$AJ$75=""))+IF(AQ$76="P6",COUNTIF($F$75:$AJ$75,"P6")*ROWS($B$78:$B$101),0)),"")</f>
        <v>1.1134835374149652</v>
      </c>
      <c r="AR99" s="6" cm="1">
        <f t="array" ref="AR99">IFERROR((SUMPRODUCT(($B$78:$B$101=AR$76)*($F$75:$AJ$75="")*$F$78:$AJ$101)+IF(AR$76="P6",SUMPRODUCT(($F$75:$AJ$75="P6")*$F$78:$AJ$101),0))/(SUMPRODUCT(($B$78:$B$101=AR$76)*($F$75:$AJ$75=""))+IF(AR$76="P6",COUNTIF($F$75:$AJ$75,"P6")*ROWS($B$78:$B$101),0)),"")</f>
        <v>1.1635670098039219</v>
      </c>
    </row>
    <row r="100" spans="1:44" ht="14.25" customHeight="1" x14ac:dyDescent="0.35">
      <c r="A100" s="1" t="s">
        <v>16</v>
      </c>
      <c r="B100" s="1" t="s">
        <v>17</v>
      </c>
      <c r="C100" s="1" t="s">
        <v>14</v>
      </c>
      <c r="D100" s="1" t="s">
        <v>15</v>
      </c>
      <c r="E100" s="1" t="s">
        <v>41</v>
      </c>
      <c r="F100" s="1">
        <v>1.2580800000000001</v>
      </c>
      <c r="G100" s="1">
        <v>1.20614</v>
      </c>
      <c r="H100" s="1">
        <v>1.15028</v>
      </c>
      <c r="I100" s="1">
        <v>1.16499</v>
      </c>
      <c r="J100" s="1">
        <v>1.1574800000000001</v>
      </c>
      <c r="K100" s="1">
        <v>1.20869</v>
      </c>
      <c r="L100" s="1">
        <v>1.24064</v>
      </c>
      <c r="M100" s="1">
        <v>1.2580800000000001</v>
      </c>
      <c r="N100" s="1">
        <v>1.20614</v>
      </c>
      <c r="O100" s="1">
        <v>1.15028</v>
      </c>
      <c r="P100" s="1">
        <v>1.16499</v>
      </c>
      <c r="Q100" s="1">
        <v>1.1574800000000001</v>
      </c>
      <c r="R100" s="1">
        <v>1.20869</v>
      </c>
      <c r="S100" s="1">
        <v>1.24064</v>
      </c>
      <c r="T100" s="1">
        <v>1.2580800000000001</v>
      </c>
      <c r="U100" s="1">
        <v>1.20614</v>
      </c>
      <c r="V100" s="1">
        <v>1.15028</v>
      </c>
      <c r="W100" s="1">
        <v>1.16499</v>
      </c>
      <c r="X100" s="1">
        <v>1.1574800000000001</v>
      </c>
      <c r="Y100" s="1">
        <v>1.20869</v>
      </c>
      <c r="Z100" s="1">
        <v>1.24064</v>
      </c>
      <c r="AA100" s="1">
        <v>1.2580800000000001</v>
      </c>
      <c r="AB100" s="1">
        <v>1.20614</v>
      </c>
      <c r="AC100" s="1">
        <v>1.15028</v>
      </c>
      <c r="AD100" s="1">
        <v>1.16499</v>
      </c>
      <c r="AE100" s="1">
        <v>1.1574800000000001</v>
      </c>
      <c r="AF100" s="1">
        <v>1.20869</v>
      </c>
      <c r="AG100" s="1">
        <v>1.24064</v>
      </c>
      <c r="AH100" s="1">
        <v>1.2580800000000001</v>
      </c>
      <c r="AI100" s="1">
        <v>1.20614</v>
      </c>
      <c r="AJ100" s="1">
        <v>1.1153599999999999</v>
      </c>
      <c r="AL100" s="4" t="s">
        <v>25</v>
      </c>
      <c r="AM100" s="6" t="str" cm="1">
        <f t="array" ref="AM100">IFERROR((SUMPRODUCT(($B$78:$B$101=AM$76)*($F$75:$AJ$75="")*$F$78:$AJ$101)+IF(AM$76="P6",SUMPRODUCT(($F$75:$AJ$75="P6")*$F$78:$AJ$101),0))/(SUMPRODUCT(($B$78:$B$101=AM$76)*($F$75:$AJ$75=""))+IF(AM$76="P6",COUNTIF($F$75:$AJ$75,"P6")*ROWS($B$78:$B$101),0)),"")</f>
        <v/>
      </c>
      <c r="AN100" s="6" t="str" cm="1">
        <f t="array" ref="AN100">IFERROR((SUMPRODUCT(($B$78:$B$101=AN$76)*($F$75:$AJ$75="")*$F$78:$AJ$101)+IF(AN$76="P6",SUMPRODUCT(($F$75:$AJ$75="P6")*$F$78:$AJ$101),0))/(SUMPRODUCT(($B$78:$B$101=AN$76)*($F$75:$AJ$75=""))+IF(AN$76="P6",COUNTIF($F$75:$AJ$75,"P6")*ROWS($B$78:$B$101),0)),"")</f>
        <v/>
      </c>
      <c r="AO100" s="6" t="str" cm="1">
        <f t="array" ref="AO100">IFERROR((SUMPRODUCT(($B$78:$B$101=AO$76)*($F$75:$AJ$75="")*$F$78:$AJ$101)+IF(AO$76="P6",SUMPRODUCT(($F$75:$AJ$75="P6")*$F$78:$AJ$101),0))/(SUMPRODUCT(($B$78:$B$101=AO$76)*($F$75:$AJ$75=""))+IF(AO$76="P6",COUNTIF($F$75:$AJ$75,"P6")*ROWS($B$78:$B$101),0)),"")</f>
        <v/>
      </c>
      <c r="AP100" s="6" cm="1">
        <f t="array" ref="AP100">IFERROR((SUMPRODUCT(($B$78:$B$101=AP$76)*($F$75:$AJ$75="")*$F$78:$AJ$101)+IF(AP$76="P6",SUMPRODUCT(($F$75:$AJ$75="P6")*$F$78:$AJ$101),0))/(SUMPRODUCT(($B$78:$B$101=AP$76)*($F$75:$AJ$75=""))+IF(AP$76="P6",COUNTIF($F$75:$AJ$75,"P6")*ROWS($B$78:$B$101),0)),"")</f>
        <v>1.0200733862433859</v>
      </c>
      <c r="AQ100" s="6" cm="1">
        <f t="array" ref="AQ100">IFERROR((SUMPRODUCT(($B$78:$B$101=AQ$76)*($F$75:$AJ$75="")*$F$78:$AJ$101)+IF(AQ$76="P6",SUMPRODUCT(($F$75:$AJ$75="P6")*$F$78:$AJ$101),0))/(SUMPRODUCT(($B$78:$B$101=AQ$76)*($F$75:$AJ$75=""))+IF(AQ$76="P6",COUNTIF($F$75:$AJ$75,"P6")*ROWS($B$78:$B$101),0)),"")</f>
        <v>1.1134835374149652</v>
      </c>
      <c r="AR100" s="6" cm="1">
        <f t="array" ref="AR100">IFERROR((SUMPRODUCT(($B$78:$B$101=AR$76)*($F$75:$AJ$75="")*$F$78:$AJ$101)+IF(AR$76="P6",SUMPRODUCT(($F$75:$AJ$75="P6")*$F$78:$AJ$101),0))/(SUMPRODUCT(($B$78:$B$101=AR$76)*($F$75:$AJ$75=""))+IF(AR$76="P6",COUNTIF($F$75:$AJ$75,"P6")*ROWS($B$78:$B$101),0)),"")</f>
        <v>1.1635670098039219</v>
      </c>
    </row>
    <row r="101" spans="1:44" ht="14.25" customHeight="1" x14ac:dyDescent="0.35">
      <c r="A101" s="1" t="s">
        <v>16</v>
      </c>
      <c r="B101" s="1" t="s">
        <v>17</v>
      </c>
      <c r="C101" s="1" t="s">
        <v>14</v>
      </c>
      <c r="D101" s="1" t="s">
        <v>15</v>
      </c>
      <c r="E101" s="1" t="s">
        <v>42</v>
      </c>
      <c r="F101" s="1">
        <v>1.29691</v>
      </c>
      <c r="G101" s="1">
        <v>1.24072</v>
      </c>
      <c r="H101" s="1">
        <v>1.1682300000000001</v>
      </c>
      <c r="I101" s="1">
        <v>1.20662</v>
      </c>
      <c r="J101" s="1">
        <v>1.2045999999999999</v>
      </c>
      <c r="K101" s="1">
        <v>1.24074</v>
      </c>
      <c r="L101" s="1">
        <v>1.2698499999999999</v>
      </c>
      <c r="M101" s="1">
        <v>1.29691</v>
      </c>
      <c r="N101" s="1">
        <v>1.24072</v>
      </c>
      <c r="O101" s="1">
        <v>1.1682300000000001</v>
      </c>
      <c r="P101" s="1">
        <v>1.20662</v>
      </c>
      <c r="Q101" s="1">
        <v>1.2045999999999999</v>
      </c>
      <c r="R101" s="1">
        <v>1.24074</v>
      </c>
      <c r="S101" s="1">
        <v>1.2698499999999999</v>
      </c>
      <c r="T101" s="1">
        <v>1.29691</v>
      </c>
      <c r="U101" s="1">
        <v>1.24072</v>
      </c>
      <c r="V101" s="1">
        <v>1.1682300000000001</v>
      </c>
      <c r="W101" s="1">
        <v>1.20662</v>
      </c>
      <c r="X101" s="1">
        <v>1.2045999999999999</v>
      </c>
      <c r="Y101" s="1">
        <v>1.24074</v>
      </c>
      <c r="Z101" s="1">
        <v>1.2698499999999999</v>
      </c>
      <c r="AA101" s="1">
        <v>1.29691</v>
      </c>
      <c r="AB101" s="1">
        <v>1.24072</v>
      </c>
      <c r="AC101" s="1">
        <v>1.1682300000000001</v>
      </c>
      <c r="AD101" s="1">
        <v>1.20662</v>
      </c>
      <c r="AE101" s="1">
        <v>1.2045999999999999</v>
      </c>
      <c r="AF101" s="1">
        <v>1.24074</v>
      </c>
      <c r="AG101" s="1">
        <v>1.2698499999999999</v>
      </c>
      <c r="AH101" s="1">
        <v>1.29691</v>
      </c>
      <c r="AI101" s="1">
        <v>1.24072</v>
      </c>
      <c r="AJ101" s="1">
        <v>1.15028</v>
      </c>
      <c r="AL101" s="4" t="s">
        <v>27</v>
      </c>
      <c r="AM101" s="6" t="str" cm="1">
        <f t="array" ref="AM101">IFERROR((SUMPRODUCT(($B$78:$B$101=AM$76)*($F$75:$AJ$75="")*$F$78:$AJ$101)+IF(AM$76="P6",SUMPRODUCT(($F$75:$AJ$75="P6")*$F$78:$AJ$101),0))/(SUMPRODUCT(($B$78:$B$101=AM$76)*($F$75:$AJ$75=""))+IF(AM$76="P6",COUNTIF($F$75:$AJ$75,"P6")*ROWS($B$78:$B$101),0)),"")</f>
        <v/>
      </c>
      <c r="AN101" s="6" t="str" cm="1">
        <f t="array" ref="AN101">IFERROR((SUMPRODUCT(($B$78:$B$101=AN$76)*($F$75:$AJ$75="")*$F$78:$AJ$101)+IF(AN$76="P6",SUMPRODUCT(($F$75:$AJ$75="P6")*$F$78:$AJ$101),0))/(SUMPRODUCT(($B$78:$B$101=AN$76)*($F$75:$AJ$75=""))+IF(AN$76="P6",COUNTIF($F$75:$AJ$75,"P6")*ROWS($B$78:$B$101),0)),"")</f>
        <v/>
      </c>
      <c r="AO101" s="6" t="str" cm="1">
        <f t="array" ref="AO101">IFERROR((SUMPRODUCT(($B$78:$B$101=AO$76)*($F$75:$AJ$75="")*$F$78:$AJ$101)+IF(AO$76="P6",SUMPRODUCT(($F$75:$AJ$75="P6")*$F$78:$AJ$101),0))/(SUMPRODUCT(($B$78:$B$101=AO$76)*($F$75:$AJ$75=""))+IF(AO$76="P6",COUNTIF($F$75:$AJ$75,"P6")*ROWS($B$78:$B$101),0)),"")</f>
        <v/>
      </c>
      <c r="AP101" s="6" cm="1">
        <f t="array" ref="AP101">IFERROR((SUMPRODUCT(($B$78:$B$101=AP$76)*($F$75:$AJ$75="")*$F$78:$AJ$101)+IF(AP$76="P6",SUMPRODUCT(($F$75:$AJ$75="P6")*$F$78:$AJ$101),0))/(SUMPRODUCT(($B$78:$B$101=AP$76)*($F$75:$AJ$75=""))+IF(AP$76="P6",COUNTIF($F$75:$AJ$75,"P6")*ROWS($B$78:$B$101),0)),"")</f>
        <v>1.0200733862433859</v>
      </c>
      <c r="AQ101" s="6" cm="1">
        <f t="array" ref="AQ101">IFERROR((SUMPRODUCT(($B$78:$B$101=AQ$76)*($F$75:$AJ$75="")*$F$78:$AJ$101)+IF(AQ$76="P6",SUMPRODUCT(($F$75:$AJ$75="P6")*$F$78:$AJ$101),0))/(SUMPRODUCT(($B$78:$B$101=AQ$76)*($F$75:$AJ$75=""))+IF(AQ$76="P6",COUNTIF($F$75:$AJ$75,"P6")*ROWS($B$78:$B$101),0)),"")</f>
        <v>1.1134835374149652</v>
      </c>
      <c r="AR101" s="6" cm="1">
        <f t="array" ref="AR101">IFERROR((SUMPRODUCT(($B$78:$B$101=AR$76)*($F$75:$AJ$75="")*$F$78:$AJ$101)+IF(AR$76="P6",SUMPRODUCT(($F$75:$AJ$75="P6")*$F$78:$AJ$101),0))/(SUMPRODUCT(($B$78:$B$101=AR$76)*($F$75:$AJ$75=""))+IF(AR$76="P6",COUNTIF($F$75:$AJ$75,"P6")*ROWS($B$78:$B$101),0)),"")</f>
        <v>1.1635670098039219</v>
      </c>
    </row>
    <row r="102" spans="1:44" ht="14.25" customHeight="1" x14ac:dyDescent="0.35">
      <c r="AL102" s="4" t="s">
        <v>29</v>
      </c>
      <c r="AM102" s="6" t="str" cm="1">
        <f t="array" ref="AM102">IFERROR((SUMPRODUCT(($B$78:$B$101=AM$76)*($F$75:$AJ$75="")*$F$78:$AJ$101)+IF(AM$76="P6",SUMPRODUCT(($F$75:$AJ$75="P6")*$F$78:$AJ$101),0))/(SUMPRODUCT(($B$78:$B$101=AM$76)*($F$75:$AJ$75=""))+IF(AM$76="P6",COUNTIF($F$75:$AJ$75,"P6")*ROWS($B$78:$B$101),0)),"")</f>
        <v/>
      </c>
      <c r="AN102" s="6" t="str" cm="1">
        <f t="array" ref="AN102">IFERROR((SUMPRODUCT(($B$78:$B$101=AN$76)*($F$75:$AJ$75="")*$F$78:$AJ$101)+IF(AN$76="P6",SUMPRODUCT(($F$75:$AJ$75="P6")*$F$78:$AJ$101),0))/(SUMPRODUCT(($B$78:$B$101=AN$76)*($F$75:$AJ$75=""))+IF(AN$76="P6",COUNTIF($F$75:$AJ$75,"P6")*ROWS($B$78:$B$101),0)),"")</f>
        <v/>
      </c>
      <c r="AO102" s="6" t="str" cm="1">
        <f t="array" ref="AO102">IFERROR((SUMPRODUCT(($B$78:$B$101=AO$76)*($F$75:$AJ$75="")*$F$78:$AJ$101)+IF(AO$76="P6",SUMPRODUCT(($F$75:$AJ$75="P6")*$F$78:$AJ$101),0))/(SUMPRODUCT(($B$78:$B$101=AO$76)*($F$75:$AJ$75=""))+IF(AO$76="P6",COUNTIF($F$75:$AJ$75,"P6")*ROWS($B$78:$B$101),0)),"")</f>
        <v/>
      </c>
      <c r="AP102" s="6" cm="1">
        <f t="array" ref="AP102">IFERROR((SUMPRODUCT(($B$78:$B$101=AP$76)*($F$75:$AJ$75="")*$F$78:$AJ$101)+IF(AP$76="P6",SUMPRODUCT(($F$75:$AJ$75="P6")*$F$78:$AJ$101),0))/(SUMPRODUCT(($B$78:$B$101=AP$76)*($F$75:$AJ$75=""))+IF(AP$76="P6",COUNTIF($F$75:$AJ$75,"P6")*ROWS($B$78:$B$101),0)),"")</f>
        <v>1.0200733862433859</v>
      </c>
      <c r="AQ102" s="6" cm="1">
        <f t="array" ref="AQ102">IFERROR((SUMPRODUCT(($B$78:$B$101=AQ$76)*($F$75:$AJ$75="")*$F$78:$AJ$101)+IF(AQ$76="P6",SUMPRODUCT(($F$75:$AJ$75="P6")*$F$78:$AJ$101),0))/(SUMPRODUCT(($B$78:$B$101=AQ$76)*($F$75:$AJ$75=""))+IF(AQ$76="P6",COUNTIF($F$75:$AJ$75,"P6")*ROWS($B$78:$B$101),0)),"")</f>
        <v>1.1134835374149652</v>
      </c>
      <c r="AR102" s="6" cm="1">
        <f t="array" ref="AR102">IFERROR((SUMPRODUCT(($B$78:$B$101=AR$76)*($F$75:$AJ$75="")*$F$78:$AJ$101)+IF(AR$76="P6",SUMPRODUCT(($F$75:$AJ$75="P6")*$F$78:$AJ$101),0))/(SUMPRODUCT(($B$78:$B$101=AR$76)*($F$75:$AJ$75=""))+IF(AR$76="P6",COUNTIF($F$75:$AJ$75,"P6")*ROWS($B$78:$B$101),0)),"")</f>
        <v>1.1635670098039219</v>
      </c>
    </row>
    <row r="106" spans="1:44" ht="14.25" customHeight="1" x14ac:dyDescent="0.35">
      <c r="A106" s="15" t="s">
        <v>165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</row>
    <row r="107" spans="1:44" ht="14.25" customHeight="1" x14ac:dyDescent="0.3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</row>
    <row r="108" spans="1:44" ht="14.25" customHeight="1" x14ac:dyDescent="0.35">
      <c r="AL108" s="10"/>
      <c r="AM108" s="10"/>
      <c r="AN108" s="10"/>
      <c r="AO108" s="10"/>
      <c r="AP108" s="10"/>
      <c r="AQ108" s="10"/>
      <c r="AR108" s="10"/>
    </row>
    <row r="109" spans="1:44" ht="14.25" customHeight="1" x14ac:dyDescent="0.35">
      <c r="F109" s="1" t="str">
        <f>IF(OR(F111="S",F111="D"),"P3","")</f>
        <v/>
      </c>
      <c r="G109" s="1" t="str">
        <f t="shared" ref="G109:AI109" si="15">IF(OR(G111="S",G111="D"),"P3","")</f>
        <v/>
      </c>
      <c r="H109" s="1" t="str">
        <f t="shared" si="15"/>
        <v/>
      </c>
      <c r="I109" s="1" t="str">
        <f t="shared" si="15"/>
        <v/>
      </c>
      <c r="J109" s="1" t="str">
        <f t="shared" si="15"/>
        <v/>
      </c>
      <c r="K109" s="1" t="str">
        <f t="shared" si="15"/>
        <v>P3</v>
      </c>
      <c r="L109" s="1" t="str">
        <f t="shared" si="15"/>
        <v>P3</v>
      </c>
      <c r="M109" s="1" t="str">
        <f t="shared" si="15"/>
        <v/>
      </c>
      <c r="N109" s="1" t="str">
        <f t="shared" si="15"/>
        <v/>
      </c>
      <c r="O109" s="1" t="str">
        <f t="shared" si="15"/>
        <v/>
      </c>
      <c r="P109" s="1" t="str">
        <f t="shared" si="15"/>
        <v/>
      </c>
      <c r="Q109" s="1" t="str">
        <f t="shared" si="15"/>
        <v/>
      </c>
      <c r="R109" s="1" t="str">
        <f t="shared" si="15"/>
        <v>P3</v>
      </c>
      <c r="S109" s="1" t="str">
        <f t="shared" si="15"/>
        <v>P3</v>
      </c>
      <c r="T109" s="1" t="str">
        <f t="shared" si="15"/>
        <v/>
      </c>
      <c r="U109" s="1" t="str">
        <f t="shared" si="15"/>
        <v/>
      </c>
      <c r="V109" s="1" t="str">
        <f t="shared" si="15"/>
        <v/>
      </c>
      <c r="W109" s="1" t="str">
        <f t="shared" si="15"/>
        <v/>
      </c>
      <c r="X109" s="1" t="str">
        <f t="shared" si="15"/>
        <v/>
      </c>
      <c r="Y109" s="1" t="str">
        <f t="shared" si="15"/>
        <v>P3</v>
      </c>
      <c r="Z109" s="1" t="str">
        <f t="shared" si="15"/>
        <v>P3</v>
      </c>
      <c r="AA109" s="1" t="str">
        <f t="shared" si="15"/>
        <v/>
      </c>
      <c r="AB109" s="1" t="str">
        <f t="shared" si="15"/>
        <v/>
      </c>
      <c r="AC109" s="1" t="str">
        <f t="shared" si="15"/>
        <v/>
      </c>
      <c r="AD109" s="1" t="str">
        <f t="shared" si="15"/>
        <v/>
      </c>
      <c r="AE109" s="1" t="str">
        <f t="shared" si="15"/>
        <v/>
      </c>
      <c r="AF109" s="1" t="str">
        <f t="shared" si="15"/>
        <v>P3</v>
      </c>
      <c r="AG109" s="1" t="str">
        <f t="shared" si="15"/>
        <v>P3</v>
      </c>
      <c r="AH109" s="1" t="str">
        <f t="shared" si="15"/>
        <v/>
      </c>
      <c r="AI109" s="1" t="str">
        <f t="shared" si="15"/>
        <v/>
      </c>
      <c r="AL109" s="10"/>
      <c r="AM109" s="10"/>
      <c r="AN109" s="10"/>
      <c r="AO109" s="10"/>
      <c r="AP109" s="10"/>
      <c r="AQ109" s="10"/>
      <c r="AR109" s="10"/>
    </row>
    <row r="110" spans="1:44" ht="14.25" customHeight="1" x14ac:dyDescent="0.35">
      <c r="F110" s="1" t="str">
        <f>IF(OR(F111="S",F111="D"),"P6","")</f>
        <v/>
      </c>
      <c r="G110" s="1" t="str">
        <f t="shared" ref="G110:AI110" si="16">IF(OR(G111="S",G111="D"),"P6","")</f>
        <v/>
      </c>
      <c r="H110" s="1" t="str">
        <f t="shared" si="16"/>
        <v/>
      </c>
      <c r="I110" s="1" t="str">
        <f t="shared" si="16"/>
        <v/>
      </c>
      <c r="J110" s="1" t="str">
        <f t="shared" si="16"/>
        <v/>
      </c>
      <c r="K110" s="1" t="str">
        <f t="shared" si="16"/>
        <v>P6</v>
      </c>
      <c r="L110" s="1" t="str">
        <f t="shared" si="16"/>
        <v>P6</v>
      </c>
      <c r="M110" s="1" t="str">
        <f t="shared" si="16"/>
        <v/>
      </c>
      <c r="N110" s="1" t="str">
        <f t="shared" si="16"/>
        <v/>
      </c>
      <c r="O110" s="1" t="str">
        <f t="shared" si="16"/>
        <v/>
      </c>
      <c r="P110" s="1" t="str">
        <f t="shared" si="16"/>
        <v/>
      </c>
      <c r="Q110" s="1" t="str">
        <f t="shared" si="16"/>
        <v/>
      </c>
      <c r="R110" s="1" t="str">
        <f t="shared" si="16"/>
        <v>P6</v>
      </c>
      <c r="S110" s="1" t="str">
        <f t="shared" si="16"/>
        <v>P6</v>
      </c>
      <c r="T110" s="1" t="str">
        <f t="shared" si="16"/>
        <v/>
      </c>
      <c r="U110" s="1" t="str">
        <f t="shared" si="16"/>
        <v/>
      </c>
      <c r="V110" s="1" t="str">
        <f t="shared" si="16"/>
        <v/>
      </c>
      <c r="W110" s="1" t="str">
        <f t="shared" si="16"/>
        <v/>
      </c>
      <c r="X110" s="1" t="str">
        <f t="shared" si="16"/>
        <v/>
      </c>
      <c r="Y110" s="1" t="str">
        <f t="shared" si="16"/>
        <v>P6</v>
      </c>
      <c r="Z110" s="1" t="str">
        <f t="shared" si="16"/>
        <v>P6</v>
      </c>
      <c r="AA110" s="1" t="str">
        <f t="shared" si="16"/>
        <v/>
      </c>
      <c r="AB110" s="1" t="str">
        <f t="shared" si="16"/>
        <v/>
      </c>
      <c r="AC110" s="1" t="str">
        <f t="shared" si="16"/>
        <v/>
      </c>
      <c r="AD110" s="1" t="str">
        <f t="shared" si="16"/>
        <v/>
      </c>
      <c r="AE110" s="1" t="str">
        <f t="shared" si="16"/>
        <v/>
      </c>
      <c r="AF110" s="1" t="str">
        <f t="shared" si="16"/>
        <v>P6</v>
      </c>
      <c r="AG110" s="1" t="str">
        <f t="shared" si="16"/>
        <v>P6</v>
      </c>
      <c r="AH110" s="1" t="str">
        <f t="shared" si="16"/>
        <v/>
      </c>
      <c r="AI110" s="1" t="str">
        <f t="shared" si="16"/>
        <v/>
      </c>
      <c r="AL110" s="14" t="s">
        <v>166</v>
      </c>
      <c r="AM110" s="14"/>
      <c r="AN110" s="14"/>
      <c r="AO110" s="14"/>
      <c r="AP110" s="14"/>
      <c r="AQ110" s="14"/>
      <c r="AR110" s="14"/>
    </row>
    <row r="111" spans="1:44" ht="14.25" customHeight="1" x14ac:dyDescent="0.35">
      <c r="F111" s="1" t="str">
        <f>CHOOSE(WEEKDAY(F112,2),"L","M","X","J","V","S","D")</f>
        <v>L</v>
      </c>
      <c r="G111" s="1" t="str">
        <f t="shared" ref="G111:AI111" si="17">CHOOSE(WEEKDAY(G112,2),"L","M","X","J","V","S","D")</f>
        <v>M</v>
      </c>
      <c r="H111" s="1" t="str">
        <f t="shared" si="17"/>
        <v>X</v>
      </c>
      <c r="I111" s="1" t="str">
        <f t="shared" si="17"/>
        <v>J</v>
      </c>
      <c r="J111" s="1" t="str">
        <f t="shared" si="17"/>
        <v>V</v>
      </c>
      <c r="K111" s="1" t="str">
        <f t="shared" si="17"/>
        <v>S</v>
      </c>
      <c r="L111" s="1" t="str">
        <f t="shared" si="17"/>
        <v>D</v>
      </c>
      <c r="M111" s="1" t="str">
        <f t="shared" si="17"/>
        <v>L</v>
      </c>
      <c r="N111" s="1" t="str">
        <f t="shared" si="17"/>
        <v>M</v>
      </c>
      <c r="O111" s="1" t="str">
        <f t="shared" si="17"/>
        <v>X</v>
      </c>
      <c r="P111" s="1" t="str">
        <f t="shared" si="17"/>
        <v>J</v>
      </c>
      <c r="Q111" s="1" t="str">
        <f t="shared" si="17"/>
        <v>V</v>
      </c>
      <c r="R111" s="1" t="str">
        <f t="shared" si="17"/>
        <v>S</v>
      </c>
      <c r="S111" s="1" t="str">
        <f t="shared" si="17"/>
        <v>D</v>
      </c>
      <c r="T111" s="1" t="str">
        <f t="shared" si="17"/>
        <v>L</v>
      </c>
      <c r="U111" s="1" t="str">
        <f t="shared" si="17"/>
        <v>M</v>
      </c>
      <c r="V111" s="1" t="str">
        <f t="shared" si="17"/>
        <v>X</v>
      </c>
      <c r="W111" s="1" t="str">
        <f t="shared" si="17"/>
        <v>J</v>
      </c>
      <c r="X111" s="1" t="str">
        <f t="shared" si="17"/>
        <v>V</v>
      </c>
      <c r="Y111" s="1" t="str">
        <f t="shared" si="17"/>
        <v>S</v>
      </c>
      <c r="Z111" s="1" t="str">
        <f t="shared" si="17"/>
        <v>D</v>
      </c>
      <c r="AA111" s="1" t="str">
        <f t="shared" si="17"/>
        <v>L</v>
      </c>
      <c r="AB111" s="1" t="str">
        <f t="shared" si="17"/>
        <v>M</v>
      </c>
      <c r="AC111" s="1" t="str">
        <f t="shared" si="17"/>
        <v>X</v>
      </c>
      <c r="AD111" s="1" t="str">
        <f t="shared" si="17"/>
        <v>J</v>
      </c>
      <c r="AE111" s="1" t="str">
        <f t="shared" si="17"/>
        <v>V</v>
      </c>
      <c r="AF111" s="1" t="str">
        <f t="shared" si="17"/>
        <v>S</v>
      </c>
      <c r="AG111" s="1" t="str">
        <f t="shared" si="17"/>
        <v>D</v>
      </c>
      <c r="AH111" s="1" t="str">
        <f t="shared" si="17"/>
        <v>L</v>
      </c>
      <c r="AI111" s="1" t="str">
        <f t="shared" si="17"/>
        <v>M</v>
      </c>
      <c r="AL111" s="4"/>
      <c r="AM111" s="4" t="s">
        <v>13</v>
      </c>
      <c r="AN111" s="4" t="s">
        <v>14</v>
      </c>
      <c r="AO111" s="4" t="s">
        <v>15</v>
      </c>
      <c r="AP111" s="4" t="s">
        <v>16</v>
      </c>
      <c r="AQ111" s="4" t="s">
        <v>17</v>
      </c>
      <c r="AR111" s="4" t="s">
        <v>7</v>
      </c>
    </row>
    <row r="112" spans="1:44" ht="14.25" customHeight="1" x14ac:dyDescent="0.35">
      <c r="A112" s="3" t="s">
        <v>76</v>
      </c>
      <c r="B112" s="3" t="s">
        <v>77</v>
      </c>
      <c r="C112" s="3" t="s">
        <v>75</v>
      </c>
      <c r="D112" s="3" t="s">
        <v>74</v>
      </c>
      <c r="F112" s="8">
        <v>45383</v>
      </c>
      <c r="G112" s="8">
        <v>45384</v>
      </c>
      <c r="H112" s="8">
        <v>45385</v>
      </c>
      <c r="I112" s="8">
        <v>45386</v>
      </c>
      <c r="J112" s="8">
        <v>45387</v>
      </c>
      <c r="K112" s="8">
        <v>45388</v>
      </c>
      <c r="L112" s="8">
        <v>45389</v>
      </c>
      <c r="M112" s="8">
        <v>45390</v>
      </c>
      <c r="N112" s="8">
        <v>45391</v>
      </c>
      <c r="O112" s="8">
        <v>45392</v>
      </c>
      <c r="P112" s="8">
        <v>45393</v>
      </c>
      <c r="Q112" s="8">
        <v>45394</v>
      </c>
      <c r="R112" s="8">
        <v>45395</v>
      </c>
      <c r="S112" s="8">
        <v>45396</v>
      </c>
      <c r="T112" s="8">
        <v>45397</v>
      </c>
      <c r="U112" s="8">
        <v>45398</v>
      </c>
      <c r="V112" s="8">
        <v>45399</v>
      </c>
      <c r="W112" s="8">
        <v>45400</v>
      </c>
      <c r="X112" s="8">
        <v>45401</v>
      </c>
      <c r="Y112" s="8">
        <v>45402</v>
      </c>
      <c r="Z112" s="8">
        <v>45403</v>
      </c>
      <c r="AA112" s="8">
        <v>45404</v>
      </c>
      <c r="AB112" s="8">
        <v>45405</v>
      </c>
      <c r="AC112" s="8">
        <v>45406</v>
      </c>
      <c r="AD112" s="8">
        <v>45407</v>
      </c>
      <c r="AE112" s="8">
        <v>45408</v>
      </c>
      <c r="AF112" s="8">
        <v>45409</v>
      </c>
      <c r="AG112" s="8">
        <v>45410</v>
      </c>
      <c r="AH112" s="8">
        <v>45411</v>
      </c>
      <c r="AI112" s="8">
        <v>45412</v>
      </c>
      <c r="AL112" s="4" t="s">
        <v>19</v>
      </c>
      <c r="AM112" s="6" cm="1">
        <f t="array" ref="AM112">IFERROR((SUMPRODUCT(($C$113:$C$136=AM$111)*($F$109:$AI$109="")*$F$113:$AI$136)+IF(AM$111="P3",SUMPRODUCT(($F$109:$AI$109="P3")*$F$113:$AI$136),0))/(SUMPRODUCT(($C$113:$C$136=AM$111)*($F$109:$AI$109=""))+IF(AM$111="P3",COUNTIF($F$109:$AI$109,"P3")*ROWS($C$113:$C$136),0)),"")</f>
        <v>0.97676937500000072</v>
      </c>
      <c r="AN112" s="6" cm="1">
        <f t="array" ref="AN112">IFERROR((SUMPRODUCT(($C$113:$C$136=AN$111)*($F$109:$AI$109="")*$F$113:$AI$136)+IF(AN$111="P3",SUMPRODUCT(($F$109:$AI$109="P3")*$F$113:$AI$136),0))/(SUMPRODUCT(($C$113:$C$136=AN$111)*($F$109:$AI$109=""))+IF(AN$111="P3",COUNTIF($F$109:$AI$109,"P3")*ROWS($C$113:$C$136),0)),"")</f>
        <v>1.1324562500000004</v>
      </c>
      <c r="AO112" s="6" cm="1">
        <f t="array" ref="AO112">IFERROR((SUMPRODUCT(($C$113:$C$136=AO$111)*($F$109:$AI$109="")*$F$113:$AI$136)+IF(AO$111="P3",SUMPRODUCT(($F$109:$AI$109="P3")*$F$113:$AI$136),0))/(SUMPRODUCT(($C$113:$C$136=AO$111)*($F$109:$AI$109=""))+IF(AO$111="P3",COUNTIF($F$109:$AI$109,"P3")*ROWS($C$113:$C$136),0)),"")</f>
        <v>1.0613980978260877</v>
      </c>
      <c r="AP112" s="6" t="str" cm="1">
        <f t="array" ref="AP112">IFERROR((SUMPRODUCT(($C$113:$C$136=AP$111)*($F$109:$AI$109="")*$F$113:$AI$136)+IF(AP$111="P3",SUMPRODUCT(($F$109:$AI$109="P3")*$F$113:$AI$136),0))/(SUMPRODUCT(($C$113:$C$136=AP$111)*($F$109:$AI$109=""))+IF(AP$111="P3",COUNTIF($F$109:$AI$109,"P3")*ROWS($C$113:$C$136),0)),"")</f>
        <v/>
      </c>
      <c r="AQ112" s="6" t="str" cm="1">
        <f t="array" ref="AQ112">IFERROR((SUMPRODUCT(($C$113:$C$136=AQ$111)*($F$109:$AI$109="")*$F$113:$AI$136)+IF(AQ$111="P3",SUMPRODUCT(($F$109:$AI$109="P3")*$F$113:$AI$136),0))/(SUMPRODUCT(($C$113:$C$136=AQ$111)*($F$109:$AI$109=""))+IF(AQ$111="P3",COUNTIF($F$109:$AI$109,"P3")*ROWS($C$113:$C$136),0)),"")</f>
        <v/>
      </c>
      <c r="AR112" s="6" t="str" cm="1">
        <f t="array" ref="AR112">IFERROR((SUMPRODUCT(($C$113:$C$136=AR$111)*($F$109:$AI$109="")*$F$113:$AI$136)+IF(AR$111="P3",SUMPRODUCT(($F$109:$AI$109="P3")*$F$113:$AI$136),0))/(SUMPRODUCT(($C$113:$C$136=AR$111)*($F$109:$AI$109=""))+IF(AR$111="P3",COUNTIF($F$109:$AI$109,"P3")*ROWS($C$113:$C$136),0)),"")</f>
        <v/>
      </c>
    </row>
    <row r="113" spans="1:44" ht="14.25" customHeight="1" x14ac:dyDescent="0.35">
      <c r="A113" s="1" t="s">
        <v>7</v>
      </c>
      <c r="B113" s="1" t="s">
        <v>7</v>
      </c>
      <c r="C113" s="1" t="s">
        <v>15</v>
      </c>
      <c r="D113" s="1" t="s">
        <v>7</v>
      </c>
      <c r="E113" s="1" t="s">
        <v>8</v>
      </c>
      <c r="F113" s="1">
        <v>1.11836</v>
      </c>
      <c r="G113" s="1">
        <v>1.1048</v>
      </c>
      <c r="H113" s="1">
        <v>1.06789</v>
      </c>
      <c r="I113" s="1">
        <v>1.05907</v>
      </c>
      <c r="J113" s="1">
        <v>1.05975</v>
      </c>
      <c r="K113" s="1">
        <v>1.10659</v>
      </c>
      <c r="L113" s="1">
        <v>1.17523</v>
      </c>
      <c r="M113" s="1">
        <v>1.11836</v>
      </c>
      <c r="N113" s="1">
        <v>1.1048</v>
      </c>
      <c r="O113" s="1">
        <v>1.06789</v>
      </c>
      <c r="P113" s="1">
        <v>1.05907</v>
      </c>
      <c r="Q113" s="1">
        <v>1.05975</v>
      </c>
      <c r="R113" s="1">
        <v>1.10659</v>
      </c>
      <c r="S113" s="1">
        <v>1.17523</v>
      </c>
      <c r="T113" s="1">
        <v>1.11836</v>
      </c>
      <c r="U113" s="1">
        <v>1.1048</v>
      </c>
      <c r="V113" s="1">
        <v>1.06789</v>
      </c>
      <c r="W113" s="1">
        <v>1.05907</v>
      </c>
      <c r="X113" s="1">
        <v>1.05975</v>
      </c>
      <c r="Y113" s="1">
        <v>1.10659</v>
      </c>
      <c r="Z113" s="1">
        <v>1.17523</v>
      </c>
      <c r="AA113" s="1">
        <v>1.11836</v>
      </c>
      <c r="AB113" s="1">
        <v>1.1048</v>
      </c>
      <c r="AC113" s="1">
        <v>1.06789</v>
      </c>
      <c r="AD113" s="1">
        <v>1.05907</v>
      </c>
      <c r="AE113" s="1">
        <v>1.05975</v>
      </c>
      <c r="AF113" s="1">
        <v>1.10659</v>
      </c>
      <c r="AG113" s="1">
        <v>1.17523</v>
      </c>
      <c r="AH113" s="1">
        <v>1.11836</v>
      </c>
      <c r="AI113" s="1">
        <v>1.1048</v>
      </c>
      <c r="AL113" s="4" t="s">
        <v>21</v>
      </c>
      <c r="AM113" s="6" t="str" cm="1">
        <f t="array" ref="AM113">IFERROR((SUMPRODUCT(($D$113:$D$136=AM$111)*($F$110:$AI$110="")*$F$113:$AI$136)+IF(AM$111="P6",SUMPRODUCT(($F$110:$AI$110="P6")*$F$113:$AI$136),0))/(SUMPRODUCT(($D$113:$D$136=AM$111)*($F$110:$AI$110=""))+IF(AM$111="P6",COUNTIF($F$110:$AI$110,"P6")*ROWS($D$113:$D$136),0)),"")</f>
        <v/>
      </c>
      <c r="AN113" s="6" t="str" cm="1">
        <f t="array" ref="AN113">IFERROR((SUMPRODUCT(($D$113:$D$136=AN$111)*($F$110:$AI$110="")*$F$113:$AI$136)+IF(AN$111="P6",SUMPRODUCT(($F$110:$AI$110="P6")*$F$113:$AI$136),0))/(SUMPRODUCT(($D$113:$D$136=AN$111)*($F$110:$AI$110=""))+IF(AN$111="P6",COUNTIF($F$110:$AI$110,"P6")*ROWS($D$113:$D$136),0)),"")</f>
        <v/>
      </c>
      <c r="AO113" s="6" t="str" cm="1">
        <f t="array" ref="AO113">IFERROR((SUMPRODUCT(($D$113:$D$136=AO$111)*($F$110:$AI$110="")*$F$113:$AI$136)+IF(AO$111="P6",SUMPRODUCT(($F$110:$AI$110="P6")*$F$113:$AI$136),0))/(SUMPRODUCT(($D$113:$D$136=AO$111)*($F$110:$AI$110=""))+IF(AO$111="P6",COUNTIF($F$110:$AI$110,"P6")*ROWS($D$113:$D$136),0)),"")</f>
        <v/>
      </c>
      <c r="AP113" s="6" cm="1">
        <f t="array" ref="AP113">IFERROR((SUMPRODUCT(($D$113:$D$136=AP$111)*($F$110:$AI$110="")*$F$113:$AI$136)+IF(AP$111="P6",SUMPRODUCT(($F$110:$AI$110="P6")*$F$113:$AI$136),0))/(SUMPRODUCT(($D$113:$D$136=AP$111)*($F$110:$AI$110=""))+IF(AP$111="P6",COUNTIF($F$110:$AI$110,"P6")*ROWS($D$113:$D$136),0)),"")</f>
        <v>0.97265277777777803</v>
      </c>
      <c r="AQ113" s="6" cm="1">
        <f t="array" ref="AQ113">IFERROR((SUMPRODUCT(($D$113:$D$136=AQ$111)*($F$110:$AI$110="")*$F$113:$AI$136)+IF(AQ$111="P6",SUMPRODUCT(($F$110:$AI$110="P6")*$F$113:$AI$136),0))/(SUMPRODUCT(($D$113:$D$136=AQ$111)*($F$110:$AI$110=""))+IF(AQ$111="P6",COUNTIF($F$110:$AI$110,"P6")*ROWS($D$113:$D$136),0)),"")</f>
        <v>1.1599900000000003</v>
      </c>
      <c r="AR113" s="6" cm="1">
        <f t="array" ref="AR113">IFERROR((SUMPRODUCT(($D$113:$D$136=AR$111)*($F$110:$AI$110="")*$F$113:$AI$136)+IF(AR$111="P6",SUMPRODUCT(($F$110:$AI$110="P6")*$F$113:$AI$136),0))/(SUMPRODUCT(($D$113:$D$136=AR$111)*($F$110:$AI$110=""))+IF(AR$111="P6",COUNTIF($F$110:$AI$110,"P6")*ROWS($D$113:$D$136),0)),"")</f>
        <v>1.0613980978260877</v>
      </c>
    </row>
    <row r="114" spans="1:44" ht="14.25" customHeight="1" x14ac:dyDescent="0.35">
      <c r="A114" s="1" t="s">
        <v>7</v>
      </c>
      <c r="B114" s="1" t="s">
        <v>7</v>
      </c>
      <c r="C114" s="1" t="s">
        <v>15</v>
      </c>
      <c r="D114" s="1" t="s">
        <v>7</v>
      </c>
      <c r="E114" s="1" t="s">
        <v>9</v>
      </c>
      <c r="F114" s="1">
        <v>1.16486</v>
      </c>
      <c r="G114" s="1">
        <v>1.1397299999999999</v>
      </c>
      <c r="H114" s="1">
        <v>1.0801000000000001</v>
      </c>
      <c r="I114" s="1">
        <v>1.0912999999999999</v>
      </c>
      <c r="J114" s="1">
        <v>1.0942099999999999</v>
      </c>
      <c r="K114" s="1">
        <v>1.13737</v>
      </c>
      <c r="L114" s="1">
        <v>1.20424</v>
      </c>
      <c r="M114" s="1">
        <v>1.16486</v>
      </c>
      <c r="N114" s="1">
        <v>1.1397299999999999</v>
      </c>
      <c r="O114" s="1">
        <v>1.0801000000000001</v>
      </c>
      <c r="P114" s="1">
        <v>1.0912999999999999</v>
      </c>
      <c r="Q114" s="1">
        <v>1.0942099999999999</v>
      </c>
      <c r="R114" s="1">
        <v>1.13737</v>
      </c>
      <c r="S114" s="1">
        <v>1.20424</v>
      </c>
      <c r="T114" s="1">
        <v>1.16486</v>
      </c>
      <c r="U114" s="1">
        <v>1.1397299999999999</v>
      </c>
      <c r="V114" s="1">
        <v>1.0801000000000001</v>
      </c>
      <c r="W114" s="1">
        <v>1.0912999999999999</v>
      </c>
      <c r="X114" s="1">
        <v>1.0942099999999999</v>
      </c>
      <c r="Y114" s="1">
        <v>1.13737</v>
      </c>
      <c r="Z114" s="1">
        <v>1.20424</v>
      </c>
      <c r="AA114" s="1">
        <v>1.16486</v>
      </c>
      <c r="AB114" s="1">
        <v>1.1397299999999999</v>
      </c>
      <c r="AC114" s="1">
        <v>1.0801000000000001</v>
      </c>
      <c r="AD114" s="1">
        <v>1.0912999999999999</v>
      </c>
      <c r="AE114" s="1">
        <v>1.0942099999999999</v>
      </c>
      <c r="AF114" s="1">
        <v>1.13737</v>
      </c>
      <c r="AG114" s="1">
        <v>1.20424</v>
      </c>
      <c r="AH114" s="1">
        <v>1.16486</v>
      </c>
      <c r="AI114" s="1">
        <v>1.1397299999999999</v>
      </c>
      <c r="AL114" s="4" t="s">
        <v>23</v>
      </c>
      <c r="AM114" s="6" t="str" cm="1">
        <f t="array" ref="AM114">IFERROR((SUMPRODUCT(($D$113:$D$136=AM$111)*($F$110:$AI$110="")*$F$113:$AI$136)+IF(AM$111="P6",SUMPRODUCT(($F$110:$AI$110="P6")*$F$113:$AI$136),0))/(SUMPRODUCT(($D$113:$D$136=AM$111)*($F$110:$AI$110=""))+IF(AM$111="P6",COUNTIF($F$110:$AI$110,"P6")*ROWS($D$113:$D$136),0)),"")</f>
        <v/>
      </c>
      <c r="AN114" s="6" t="str" cm="1">
        <f t="array" ref="AN114">IFERROR((SUMPRODUCT(($D$113:$D$136=AN$111)*($F$110:$AI$110="")*$F$113:$AI$136)+IF(AN$111="P6",SUMPRODUCT(($F$110:$AI$110="P6")*$F$113:$AI$136),0))/(SUMPRODUCT(($D$113:$D$136=AN$111)*($F$110:$AI$110=""))+IF(AN$111="P6",COUNTIF($F$110:$AI$110,"P6")*ROWS($D$113:$D$136),0)),"")</f>
        <v/>
      </c>
      <c r="AO114" s="5" t="str" cm="1">
        <f t="array" ref="AO114">IFERROR((SUMPRODUCT(($D$113:$D$136=AO$111)*($F$110:$AI$110="")*$F$113:$AI$136)+IF(AO$111="P6",SUMPRODUCT(($F$110:$AI$110="P6")*$F$113:$AI$136),0))/(SUMPRODUCT(($D$113:$D$136=AO$111)*($F$110:$AI$110=""))+IF(AO$111="P6",COUNTIF($F$110:$AI$110,"P6")*ROWS($D$113:$D$136),0)),"")</f>
        <v/>
      </c>
      <c r="AP114" s="5" cm="1">
        <f t="array" ref="AP114">IFERROR((SUMPRODUCT(($D$113:$D$136=AP$111)*($F$110:$AI$110="")*$F$113:$AI$136)+IF(AP$111="P6",SUMPRODUCT(($F$110:$AI$110="P6")*$F$113:$AI$136),0))/(SUMPRODUCT(($D$113:$D$136=AP$111)*($F$110:$AI$110=""))+IF(AP$111="P6",COUNTIF($F$110:$AI$110,"P6")*ROWS($D$113:$D$136),0)),"")</f>
        <v>0.97265277777777803</v>
      </c>
      <c r="AQ114" s="5" cm="1">
        <f t="array" ref="AQ114">IFERROR((SUMPRODUCT(($D$113:$D$136=AQ$111)*($F$110:$AI$110="")*$F$113:$AI$136)+IF(AQ$111="P6",SUMPRODUCT(($F$110:$AI$110="P6")*$F$113:$AI$136),0))/(SUMPRODUCT(($D$113:$D$136=AQ$111)*($F$110:$AI$110=""))+IF(AQ$111="P6",COUNTIF($F$110:$AI$110,"P6")*ROWS($D$113:$D$136),0)),"")</f>
        <v>1.1599900000000003</v>
      </c>
      <c r="AR114" s="6" cm="1">
        <f t="array" ref="AR114">IFERROR((SUMPRODUCT(($D$113:$D$136=AR$111)*($F$110:$AI$110="")*$F$113:$AI$136)+IF(AR$111="P6",SUMPRODUCT(($F$110:$AI$110="P6")*$F$113:$AI$136),0))/(SUMPRODUCT(($D$113:$D$136=AR$111)*($F$110:$AI$110=""))+IF(AR$111="P6",COUNTIF($F$110:$AI$110,"P6")*ROWS($D$113:$D$136),0)),"")</f>
        <v>1.0613980978260877</v>
      </c>
    </row>
    <row r="115" spans="1:44" ht="14.25" customHeight="1" x14ac:dyDescent="0.35">
      <c r="A115" s="1" t="s">
        <v>7</v>
      </c>
      <c r="B115" s="1" t="s">
        <v>7</v>
      </c>
      <c r="C115" s="1" t="s">
        <v>15</v>
      </c>
      <c r="D115" s="1" t="s">
        <v>7</v>
      </c>
      <c r="E115" s="1" t="s">
        <v>10</v>
      </c>
      <c r="F115" s="1">
        <v>1.19249</v>
      </c>
      <c r="G115" s="1">
        <v>1.1592800000000001</v>
      </c>
      <c r="H115" s="1">
        <v>1.0857699999999999</v>
      </c>
      <c r="I115" s="1">
        <v>1.10562</v>
      </c>
      <c r="J115" s="1">
        <v>1.1189199999999999</v>
      </c>
      <c r="K115" s="1">
        <v>1.1534500000000001</v>
      </c>
      <c r="L115" s="1">
        <v>1.2351700000000001</v>
      </c>
      <c r="M115" s="1">
        <v>1.19249</v>
      </c>
      <c r="N115" s="1">
        <v>1.1592800000000001</v>
      </c>
      <c r="O115" s="1">
        <v>1.0857699999999999</v>
      </c>
      <c r="P115" s="1">
        <v>1.10562</v>
      </c>
      <c r="Q115" s="1">
        <v>1.1189199999999999</v>
      </c>
      <c r="R115" s="1">
        <v>1.1534500000000001</v>
      </c>
      <c r="S115" s="1">
        <v>1.2351700000000001</v>
      </c>
      <c r="T115" s="1">
        <v>1.19249</v>
      </c>
      <c r="U115" s="1">
        <v>1.1592800000000001</v>
      </c>
      <c r="V115" s="1">
        <v>1.0857699999999999</v>
      </c>
      <c r="W115" s="1">
        <v>1.10562</v>
      </c>
      <c r="X115" s="1">
        <v>1.1189199999999999</v>
      </c>
      <c r="Y115" s="1">
        <v>1.1534500000000001</v>
      </c>
      <c r="Z115" s="1">
        <v>1.2351700000000001</v>
      </c>
      <c r="AA115" s="1">
        <v>1.19249</v>
      </c>
      <c r="AB115" s="1">
        <v>1.1592800000000001</v>
      </c>
      <c r="AC115" s="1">
        <v>1.0857699999999999</v>
      </c>
      <c r="AD115" s="1">
        <v>1.10562</v>
      </c>
      <c r="AE115" s="1">
        <v>1.1189199999999999</v>
      </c>
      <c r="AF115" s="1">
        <v>1.1534500000000001</v>
      </c>
      <c r="AG115" s="1">
        <v>1.2351700000000001</v>
      </c>
      <c r="AH115" s="1">
        <v>1.19249</v>
      </c>
      <c r="AI115" s="1">
        <v>1.1592800000000001</v>
      </c>
      <c r="AL115" s="4" t="s">
        <v>25</v>
      </c>
      <c r="AM115" s="6" t="str" cm="1">
        <f t="array" ref="AM115">IFERROR((SUMPRODUCT(($D$113:$D$136=AM$111)*($F$110:$AI$110="")*$F$113:$AI$136)+IF(AM$111="P6",SUMPRODUCT(($F$110:$AI$110="P6")*$F$113:$AI$136),0))/(SUMPRODUCT(($D$113:$D$136=AM$111)*($F$110:$AI$110=""))+IF(AM$111="P6",COUNTIF($F$110:$AI$110,"P6")*ROWS($D$113:$D$136),0)),"")</f>
        <v/>
      </c>
      <c r="AN115" s="6" t="str" cm="1">
        <f t="array" ref="AN115">IFERROR((SUMPRODUCT(($D$113:$D$136=AN$111)*($F$110:$AI$110="")*$F$113:$AI$136)+IF(AN$111="P6",SUMPRODUCT(($F$110:$AI$110="P6")*$F$113:$AI$136),0))/(SUMPRODUCT(($D$113:$D$136=AN$111)*($F$110:$AI$110=""))+IF(AN$111="P6",COUNTIF($F$110:$AI$110,"P6")*ROWS($D$113:$D$136),0)),"")</f>
        <v/>
      </c>
      <c r="AO115" s="5" t="str" cm="1">
        <f t="array" ref="AO115">IFERROR((SUMPRODUCT(($D$113:$D$136=AO$111)*($F$110:$AI$110="")*$F$113:$AI$136)+IF(AO$111="P6",SUMPRODUCT(($F$110:$AI$110="P6")*$F$113:$AI$136),0))/(SUMPRODUCT(($D$113:$D$136=AO$111)*($F$110:$AI$110=""))+IF(AO$111="P6",COUNTIF($F$110:$AI$110,"P6")*ROWS($D$113:$D$136),0)),"")</f>
        <v/>
      </c>
      <c r="AP115" s="5" cm="1">
        <f t="array" ref="AP115">IFERROR((SUMPRODUCT(($D$113:$D$136=AP$111)*($F$110:$AI$110="")*$F$113:$AI$136)+IF(AP$111="P6",SUMPRODUCT(($F$110:$AI$110="P6")*$F$113:$AI$136),0))/(SUMPRODUCT(($D$113:$D$136=AP$111)*($F$110:$AI$110=""))+IF(AP$111="P6",COUNTIF($F$110:$AI$110,"P6")*ROWS($D$113:$D$136),0)),"")</f>
        <v>0.97265277777777803</v>
      </c>
      <c r="AQ115" s="5" cm="1">
        <f t="array" ref="AQ115">IFERROR((SUMPRODUCT(($D$113:$D$136=AQ$111)*($F$110:$AI$110="")*$F$113:$AI$136)+IF(AQ$111="P6",SUMPRODUCT(($F$110:$AI$110="P6")*$F$113:$AI$136),0))/(SUMPRODUCT(($D$113:$D$136=AQ$111)*($F$110:$AI$110=""))+IF(AQ$111="P6",COUNTIF($F$110:$AI$110,"P6")*ROWS($D$113:$D$136),0)),"")</f>
        <v>1.1599900000000003</v>
      </c>
      <c r="AR115" s="6" cm="1">
        <f t="array" ref="AR115">IFERROR((SUMPRODUCT(($D$113:$D$136=AR$111)*($F$110:$AI$110="")*$F$113:$AI$136)+IF(AR$111="P6",SUMPRODUCT(($F$110:$AI$110="P6")*$F$113:$AI$136),0))/(SUMPRODUCT(($D$113:$D$136=AR$111)*($F$110:$AI$110=""))+IF(AR$111="P6",COUNTIF($F$110:$AI$110,"P6")*ROWS($D$113:$D$136),0)),"")</f>
        <v>1.0613980978260877</v>
      </c>
    </row>
    <row r="116" spans="1:44" ht="14.25" customHeight="1" x14ac:dyDescent="0.35">
      <c r="A116" s="1" t="s">
        <v>7</v>
      </c>
      <c r="B116" s="1" t="s">
        <v>7</v>
      </c>
      <c r="C116" s="1" t="s">
        <v>15</v>
      </c>
      <c r="D116" s="1" t="s">
        <v>7</v>
      </c>
      <c r="E116" s="1" t="s">
        <v>11</v>
      </c>
      <c r="F116" s="1">
        <v>1.2010700000000001</v>
      </c>
      <c r="G116" s="1">
        <v>1.1684000000000001</v>
      </c>
      <c r="H116" s="1">
        <v>1.09385</v>
      </c>
      <c r="I116" s="1">
        <v>1.1112299999999999</v>
      </c>
      <c r="J116" s="1">
        <v>1.1246</v>
      </c>
      <c r="K116" s="1">
        <v>1.1637900000000001</v>
      </c>
      <c r="L116" s="1">
        <v>1.24644</v>
      </c>
      <c r="M116" s="1">
        <v>1.2010700000000001</v>
      </c>
      <c r="N116" s="1">
        <v>1.1684000000000001</v>
      </c>
      <c r="O116" s="1">
        <v>1.09385</v>
      </c>
      <c r="P116" s="1">
        <v>1.1112299999999999</v>
      </c>
      <c r="Q116" s="1">
        <v>1.1246</v>
      </c>
      <c r="R116" s="1">
        <v>1.1637900000000001</v>
      </c>
      <c r="S116" s="1">
        <v>1.24644</v>
      </c>
      <c r="T116" s="1">
        <v>1.2010700000000001</v>
      </c>
      <c r="U116" s="1">
        <v>1.1684000000000001</v>
      </c>
      <c r="V116" s="1">
        <v>1.09385</v>
      </c>
      <c r="W116" s="1">
        <v>1.1112299999999999</v>
      </c>
      <c r="X116" s="1">
        <v>1.1246</v>
      </c>
      <c r="Y116" s="1">
        <v>1.1637900000000001</v>
      </c>
      <c r="Z116" s="1">
        <v>1.24644</v>
      </c>
      <c r="AA116" s="1">
        <v>1.2010700000000001</v>
      </c>
      <c r="AB116" s="1">
        <v>1.1684000000000001</v>
      </c>
      <c r="AC116" s="1">
        <v>1.09385</v>
      </c>
      <c r="AD116" s="1">
        <v>1.1112299999999999</v>
      </c>
      <c r="AE116" s="1">
        <v>1.1246</v>
      </c>
      <c r="AF116" s="1">
        <v>1.1637900000000001</v>
      </c>
      <c r="AG116" s="1">
        <v>1.24644</v>
      </c>
      <c r="AH116" s="1">
        <v>1.2010700000000001</v>
      </c>
      <c r="AI116" s="1">
        <v>1.1684000000000001</v>
      </c>
      <c r="AL116" s="4" t="s">
        <v>27</v>
      </c>
      <c r="AM116" s="6" t="str" cm="1">
        <f t="array" ref="AM116">IFERROR((SUMPRODUCT(($D$113:$D$136=AM$111)*($F$110:$AI$110="")*$F$113:$AI$136)+IF(AM$111="P6",SUMPRODUCT(($F$110:$AI$110="P6")*$F$113:$AI$136),0))/(SUMPRODUCT(($D$113:$D$136=AM$111)*($F$110:$AI$110=""))+IF(AM$111="P6",COUNTIF($F$110:$AI$110,"P6")*ROWS($D$113:$D$136),0)),"")</f>
        <v/>
      </c>
      <c r="AN116" s="6" t="str" cm="1">
        <f t="array" ref="AN116">IFERROR((SUMPRODUCT(($D$113:$D$136=AN$111)*($F$110:$AI$110="")*$F$113:$AI$136)+IF(AN$111="P6",SUMPRODUCT(($F$110:$AI$110="P6")*$F$113:$AI$136),0))/(SUMPRODUCT(($D$113:$D$136=AN$111)*($F$110:$AI$110=""))+IF(AN$111="P6",COUNTIF($F$110:$AI$110,"P6")*ROWS($D$113:$D$136),0)),"")</f>
        <v/>
      </c>
      <c r="AO116" s="5" t="str" cm="1">
        <f t="array" ref="AO116">IFERROR((SUMPRODUCT(($D$113:$D$136=AO$111)*($F$110:$AI$110="")*$F$113:$AI$136)+IF(AO$111="P6",SUMPRODUCT(($F$110:$AI$110="P6")*$F$113:$AI$136),0))/(SUMPRODUCT(($D$113:$D$136=AO$111)*($F$110:$AI$110=""))+IF(AO$111="P6",COUNTIF($F$110:$AI$110,"P6")*ROWS($D$113:$D$136),0)),"")</f>
        <v/>
      </c>
      <c r="AP116" s="5" cm="1">
        <f t="array" ref="AP116">IFERROR((SUMPRODUCT(($D$113:$D$136=AP$111)*($F$110:$AI$110="")*$F$113:$AI$136)+IF(AP$111="P6",SUMPRODUCT(($F$110:$AI$110="P6")*$F$113:$AI$136),0))/(SUMPRODUCT(($D$113:$D$136=AP$111)*($F$110:$AI$110=""))+IF(AP$111="P6",COUNTIF($F$110:$AI$110,"P6")*ROWS($D$113:$D$136),0)),"")</f>
        <v>0.97265277777777803</v>
      </c>
      <c r="AQ116" s="5" cm="1">
        <f t="array" ref="AQ116">IFERROR((SUMPRODUCT(($D$113:$D$136=AQ$111)*($F$110:$AI$110="")*$F$113:$AI$136)+IF(AQ$111="P6",SUMPRODUCT(($F$110:$AI$110="P6")*$F$113:$AI$136),0))/(SUMPRODUCT(($D$113:$D$136=AQ$111)*($F$110:$AI$110=""))+IF(AQ$111="P6",COUNTIF($F$110:$AI$110,"P6")*ROWS($D$113:$D$136),0)),"")</f>
        <v>1.1599900000000003</v>
      </c>
      <c r="AR116" s="6" cm="1">
        <f t="array" ref="AR116">IFERROR((SUMPRODUCT(($D$113:$D$136=AR$111)*($F$110:$AI$110="")*$F$113:$AI$136)+IF(AR$111="P6",SUMPRODUCT(($F$110:$AI$110="P6")*$F$113:$AI$136),0))/(SUMPRODUCT(($D$113:$D$136=AR$111)*($F$110:$AI$110=""))+IF(AR$111="P6",COUNTIF($F$110:$AI$110,"P6")*ROWS($D$113:$D$136),0)),"")</f>
        <v>1.0613980978260877</v>
      </c>
    </row>
    <row r="117" spans="1:44" ht="14.25" customHeight="1" x14ac:dyDescent="0.35">
      <c r="A117" s="1" t="s">
        <v>7</v>
      </c>
      <c r="B117" s="1" t="s">
        <v>7</v>
      </c>
      <c r="C117" s="1" t="s">
        <v>15</v>
      </c>
      <c r="D117" s="1" t="s">
        <v>7</v>
      </c>
      <c r="E117" s="1" t="s">
        <v>12</v>
      </c>
      <c r="F117" s="1">
        <v>1.1914800000000001</v>
      </c>
      <c r="G117" s="1">
        <v>1.16578</v>
      </c>
      <c r="H117" s="1">
        <v>1.1028800000000001</v>
      </c>
      <c r="I117" s="1">
        <v>1.0994999999999999</v>
      </c>
      <c r="J117" s="1">
        <v>1.1195600000000001</v>
      </c>
      <c r="K117" s="1">
        <v>1.16892</v>
      </c>
      <c r="L117" s="1">
        <v>1.24448</v>
      </c>
      <c r="M117" s="1">
        <v>1.1914800000000001</v>
      </c>
      <c r="N117" s="1">
        <v>1.16578</v>
      </c>
      <c r="O117" s="1">
        <v>1.1028800000000001</v>
      </c>
      <c r="P117" s="1">
        <v>1.0994999999999999</v>
      </c>
      <c r="Q117" s="1">
        <v>1.1195600000000001</v>
      </c>
      <c r="R117" s="1">
        <v>1.16892</v>
      </c>
      <c r="S117" s="1">
        <v>1.24448</v>
      </c>
      <c r="T117" s="1">
        <v>1.1914800000000001</v>
      </c>
      <c r="U117" s="1">
        <v>1.16578</v>
      </c>
      <c r="V117" s="1">
        <v>1.1028800000000001</v>
      </c>
      <c r="W117" s="1">
        <v>1.0994999999999999</v>
      </c>
      <c r="X117" s="1">
        <v>1.1195600000000001</v>
      </c>
      <c r="Y117" s="1">
        <v>1.16892</v>
      </c>
      <c r="Z117" s="1">
        <v>1.24448</v>
      </c>
      <c r="AA117" s="1">
        <v>1.1914800000000001</v>
      </c>
      <c r="AB117" s="1">
        <v>1.16578</v>
      </c>
      <c r="AC117" s="1">
        <v>1.1028800000000001</v>
      </c>
      <c r="AD117" s="1">
        <v>1.0994999999999999</v>
      </c>
      <c r="AE117" s="1">
        <v>1.1195600000000001</v>
      </c>
      <c r="AF117" s="1">
        <v>1.16892</v>
      </c>
      <c r="AG117" s="1">
        <v>1.24448</v>
      </c>
      <c r="AH117" s="1">
        <v>1.1914800000000001</v>
      </c>
      <c r="AI117" s="1">
        <v>1.16578</v>
      </c>
      <c r="AL117" s="4" t="s">
        <v>29</v>
      </c>
      <c r="AM117" s="6" t="str" cm="1">
        <f t="array" ref="AM117">IFERROR((SUMPRODUCT(($D$113:$D$136=AM$111)*($F$110:$AI$110="")*$F$113:$AI$136)+IF(AM$111="P6",SUMPRODUCT(($F$110:$AI$110="P6")*$F$113:$AI$136),0))/(SUMPRODUCT(($D$113:$D$136=AM$111)*($F$110:$AI$110=""))+IF(AM$111="P6",COUNTIF($F$110:$AI$110,"P6")*ROWS($D$113:$D$136),0)),"")</f>
        <v/>
      </c>
      <c r="AN117" s="6" t="str" cm="1">
        <f t="array" ref="AN117">IFERROR((SUMPRODUCT(($D$113:$D$136=AN$111)*($F$110:$AI$110="")*$F$113:$AI$136)+IF(AN$111="P6",SUMPRODUCT(($F$110:$AI$110="P6")*$F$113:$AI$136),0))/(SUMPRODUCT(($D$113:$D$136=AN$111)*($F$110:$AI$110=""))+IF(AN$111="P6",COUNTIF($F$110:$AI$110,"P6")*ROWS($D$113:$D$136),0)),"")</f>
        <v/>
      </c>
      <c r="AO117" s="5" t="str" cm="1">
        <f t="array" ref="AO117">IFERROR((SUMPRODUCT(($D$113:$D$136=AO$111)*($F$110:$AI$110="")*$F$113:$AI$136)+IF(AO$111="P6",SUMPRODUCT(($F$110:$AI$110="P6")*$F$113:$AI$136),0))/(SUMPRODUCT(($D$113:$D$136=AO$111)*($F$110:$AI$110=""))+IF(AO$111="P6",COUNTIF($F$110:$AI$110,"P6")*ROWS($D$113:$D$136),0)),"")</f>
        <v/>
      </c>
      <c r="AP117" s="5" cm="1">
        <f t="array" ref="AP117">IFERROR((SUMPRODUCT(($D$113:$D$136=AP$111)*($F$110:$AI$110="")*$F$113:$AI$136)+IF(AP$111="P6",SUMPRODUCT(($F$110:$AI$110="P6")*$F$113:$AI$136),0))/(SUMPRODUCT(($D$113:$D$136=AP$111)*($F$110:$AI$110=""))+IF(AP$111="P6",COUNTIF($F$110:$AI$110,"P6")*ROWS($D$113:$D$136),0)),"")</f>
        <v>0.97265277777777803</v>
      </c>
      <c r="AQ117" s="5" cm="1">
        <f t="array" ref="AQ117">IFERROR((SUMPRODUCT(($D$113:$D$136=AQ$111)*($F$110:$AI$110="")*$F$113:$AI$136)+IF(AQ$111="P6",SUMPRODUCT(($F$110:$AI$110="P6")*$F$113:$AI$136),0))/(SUMPRODUCT(($D$113:$D$136=AQ$111)*($F$110:$AI$110=""))+IF(AQ$111="P6",COUNTIF($F$110:$AI$110,"P6")*ROWS($D$113:$D$136),0)),"")</f>
        <v>1.1599900000000003</v>
      </c>
      <c r="AR117" s="6" cm="1">
        <f t="array" ref="AR117">IFERROR((SUMPRODUCT(($D$113:$D$136=AR$111)*($F$110:$AI$110="")*$F$113:$AI$136)+IF(AR$111="P6",SUMPRODUCT(($F$110:$AI$110="P6")*$F$113:$AI$136),0))/(SUMPRODUCT(($D$113:$D$136=AR$111)*($F$110:$AI$110=""))+IF(AR$111="P6",COUNTIF($F$110:$AI$110,"P6")*ROWS($D$113:$D$136),0)),"")</f>
        <v>1.0613980978260877</v>
      </c>
    </row>
    <row r="118" spans="1:44" ht="14.25" customHeight="1" x14ac:dyDescent="0.35">
      <c r="A118" s="1" t="s">
        <v>7</v>
      </c>
      <c r="B118" s="1" t="s">
        <v>7</v>
      </c>
      <c r="C118" s="1" t="s">
        <v>15</v>
      </c>
      <c r="D118" s="1" t="s">
        <v>7</v>
      </c>
      <c r="E118" s="1" t="s">
        <v>18</v>
      </c>
      <c r="F118" s="1">
        <v>1.1507499999999999</v>
      </c>
      <c r="G118" s="1">
        <v>1.1246499999999999</v>
      </c>
      <c r="H118" s="1">
        <v>1.08162</v>
      </c>
      <c r="I118" s="1">
        <v>1.07755</v>
      </c>
      <c r="J118" s="1">
        <v>1.10025</v>
      </c>
      <c r="K118" s="1">
        <v>1.16499</v>
      </c>
      <c r="L118" s="1">
        <v>1.2414000000000001</v>
      </c>
      <c r="M118" s="1">
        <v>1.1507499999999999</v>
      </c>
      <c r="N118" s="1">
        <v>1.1246499999999999</v>
      </c>
      <c r="O118" s="1">
        <v>1.08162</v>
      </c>
      <c r="P118" s="1">
        <v>1.07755</v>
      </c>
      <c r="Q118" s="1">
        <v>1.10025</v>
      </c>
      <c r="R118" s="1">
        <v>1.16499</v>
      </c>
      <c r="S118" s="1">
        <v>1.2414000000000001</v>
      </c>
      <c r="T118" s="1">
        <v>1.1507499999999999</v>
      </c>
      <c r="U118" s="1">
        <v>1.1246499999999999</v>
      </c>
      <c r="V118" s="1">
        <v>1.08162</v>
      </c>
      <c r="W118" s="1">
        <v>1.07755</v>
      </c>
      <c r="X118" s="1">
        <v>1.10025</v>
      </c>
      <c r="Y118" s="1">
        <v>1.16499</v>
      </c>
      <c r="Z118" s="1">
        <v>1.2414000000000001</v>
      </c>
      <c r="AA118" s="1">
        <v>1.1507499999999999</v>
      </c>
      <c r="AB118" s="1">
        <v>1.1246499999999999</v>
      </c>
      <c r="AC118" s="1">
        <v>1.08162</v>
      </c>
      <c r="AD118" s="1">
        <v>1.07755</v>
      </c>
      <c r="AE118" s="1">
        <v>1.10025</v>
      </c>
      <c r="AF118" s="1">
        <v>1.16499</v>
      </c>
      <c r="AG118" s="1">
        <v>1.2414000000000001</v>
      </c>
      <c r="AH118" s="1">
        <v>1.1507499999999999</v>
      </c>
      <c r="AI118" s="1">
        <v>1.1246499999999999</v>
      </c>
      <c r="AL118" s="10"/>
      <c r="AM118" s="10"/>
      <c r="AN118" s="10"/>
      <c r="AO118" s="10"/>
      <c r="AP118" s="10"/>
      <c r="AQ118" s="10"/>
      <c r="AR118" s="10"/>
    </row>
    <row r="119" spans="1:44" ht="14.25" customHeight="1" x14ac:dyDescent="0.35">
      <c r="A119" s="1" t="s">
        <v>7</v>
      </c>
      <c r="B119" s="1" t="s">
        <v>7</v>
      </c>
      <c r="C119" s="1" t="s">
        <v>15</v>
      </c>
      <c r="D119" s="1" t="s">
        <v>7</v>
      </c>
      <c r="E119" s="1" t="s">
        <v>20</v>
      </c>
      <c r="F119" s="1">
        <v>1.0676399999999999</v>
      </c>
      <c r="G119" s="1">
        <v>1.04819</v>
      </c>
      <c r="H119" s="1">
        <v>1.01349</v>
      </c>
      <c r="I119" s="1">
        <v>1.02745</v>
      </c>
      <c r="J119" s="1">
        <v>1.05233</v>
      </c>
      <c r="K119" s="1">
        <v>1.1285400000000001</v>
      </c>
      <c r="L119" s="1">
        <v>1.21211</v>
      </c>
      <c r="M119" s="1">
        <v>1.0676399999999999</v>
      </c>
      <c r="N119" s="1">
        <v>1.04819</v>
      </c>
      <c r="O119" s="1">
        <v>1.01349</v>
      </c>
      <c r="P119" s="1">
        <v>1.02745</v>
      </c>
      <c r="Q119" s="1">
        <v>1.05233</v>
      </c>
      <c r="R119" s="1">
        <v>1.1285400000000001</v>
      </c>
      <c r="S119" s="1">
        <v>1.21211</v>
      </c>
      <c r="T119" s="1">
        <v>1.0676399999999999</v>
      </c>
      <c r="U119" s="1">
        <v>1.04819</v>
      </c>
      <c r="V119" s="1">
        <v>1.01349</v>
      </c>
      <c r="W119" s="1">
        <v>1.02745</v>
      </c>
      <c r="X119" s="1">
        <v>1.05233</v>
      </c>
      <c r="Y119" s="1">
        <v>1.1285400000000001</v>
      </c>
      <c r="Z119" s="1">
        <v>1.21211</v>
      </c>
      <c r="AA119" s="1">
        <v>1.0676399999999999</v>
      </c>
      <c r="AB119" s="1">
        <v>1.04819</v>
      </c>
      <c r="AC119" s="1">
        <v>1.01349</v>
      </c>
      <c r="AD119" s="1">
        <v>1.02745</v>
      </c>
      <c r="AE119" s="1">
        <v>1.05233</v>
      </c>
      <c r="AF119" s="1">
        <v>1.1285400000000001</v>
      </c>
      <c r="AG119" s="1">
        <v>1.21211</v>
      </c>
      <c r="AH119" s="1">
        <v>1.0676399999999999</v>
      </c>
      <c r="AI119" s="1">
        <v>1.04819</v>
      </c>
      <c r="AL119" s="10"/>
      <c r="AM119" s="10"/>
      <c r="AN119" s="10"/>
      <c r="AO119" s="10"/>
      <c r="AP119" s="10"/>
      <c r="AQ119" s="10"/>
      <c r="AR119" s="10"/>
    </row>
    <row r="120" spans="1:44" ht="14.25" customHeight="1" x14ac:dyDescent="0.35">
      <c r="A120" s="1" t="s">
        <v>7</v>
      </c>
      <c r="B120" s="1" t="s">
        <v>7</v>
      </c>
      <c r="C120" s="1" t="s">
        <v>15</v>
      </c>
      <c r="D120" s="1" t="s">
        <v>7</v>
      </c>
      <c r="E120" s="1" t="s">
        <v>22</v>
      </c>
      <c r="F120" s="1">
        <v>0.99097999999999997</v>
      </c>
      <c r="G120" s="1">
        <v>0.97487999999999997</v>
      </c>
      <c r="H120" s="1">
        <v>0.94355</v>
      </c>
      <c r="I120" s="1">
        <v>0.95865</v>
      </c>
      <c r="J120" s="1">
        <v>0.99087000000000003</v>
      </c>
      <c r="K120" s="1">
        <v>1.08483</v>
      </c>
      <c r="L120" s="1">
        <v>1.1760600000000001</v>
      </c>
      <c r="M120" s="1">
        <v>0.99097999999999997</v>
      </c>
      <c r="N120" s="1">
        <v>0.97487999999999997</v>
      </c>
      <c r="O120" s="1">
        <v>0.94355</v>
      </c>
      <c r="P120" s="1">
        <v>0.95865</v>
      </c>
      <c r="Q120" s="1">
        <v>0.99087000000000003</v>
      </c>
      <c r="R120" s="1">
        <v>1.08483</v>
      </c>
      <c r="S120" s="1">
        <v>1.1760600000000001</v>
      </c>
      <c r="T120" s="1">
        <v>0.99097999999999997</v>
      </c>
      <c r="U120" s="1">
        <v>0.97487999999999997</v>
      </c>
      <c r="V120" s="1">
        <v>0.94355</v>
      </c>
      <c r="W120" s="1">
        <v>0.95865</v>
      </c>
      <c r="X120" s="1">
        <v>0.99087000000000003</v>
      </c>
      <c r="Y120" s="1">
        <v>1.08483</v>
      </c>
      <c r="Z120" s="1">
        <v>1.1760600000000001</v>
      </c>
      <c r="AA120" s="1">
        <v>0.99097999999999997</v>
      </c>
      <c r="AB120" s="1">
        <v>0.97487999999999997</v>
      </c>
      <c r="AC120" s="1">
        <v>0.94355</v>
      </c>
      <c r="AD120" s="1">
        <v>0.95865</v>
      </c>
      <c r="AE120" s="1">
        <v>0.99087000000000003</v>
      </c>
      <c r="AF120" s="1">
        <v>1.08483</v>
      </c>
      <c r="AG120" s="1">
        <v>1.1760600000000001</v>
      </c>
      <c r="AH120" s="1">
        <v>0.99097999999999997</v>
      </c>
      <c r="AI120" s="1">
        <v>0.97487999999999997</v>
      </c>
      <c r="AL120" s="14" t="s">
        <v>167</v>
      </c>
      <c r="AM120" s="14"/>
      <c r="AN120" s="14"/>
      <c r="AO120" s="14"/>
      <c r="AP120" s="14"/>
      <c r="AQ120" s="14"/>
      <c r="AR120" s="14"/>
    </row>
    <row r="121" spans="1:44" ht="14.25" customHeight="1" x14ac:dyDescent="0.35">
      <c r="A121" s="1" t="s">
        <v>17</v>
      </c>
      <c r="B121" s="1" t="s">
        <v>17</v>
      </c>
      <c r="C121" s="1" t="s">
        <v>14</v>
      </c>
      <c r="D121" s="1" t="s">
        <v>17</v>
      </c>
      <c r="E121" s="1" t="s">
        <v>24</v>
      </c>
      <c r="F121" s="1">
        <v>1.1663699999999999</v>
      </c>
      <c r="G121" s="1">
        <v>1.16313</v>
      </c>
      <c r="H121" s="1">
        <v>1.14333</v>
      </c>
      <c r="I121" s="1">
        <v>1.1486400000000001</v>
      </c>
      <c r="J121" s="1">
        <v>1.1738</v>
      </c>
      <c r="K121" s="1">
        <v>0.99883</v>
      </c>
      <c r="L121" s="1">
        <v>1.06586</v>
      </c>
      <c r="M121" s="1">
        <v>1.1663699999999999</v>
      </c>
      <c r="N121" s="1">
        <v>1.16313</v>
      </c>
      <c r="O121" s="1">
        <v>1.14333</v>
      </c>
      <c r="P121" s="1">
        <v>1.1486400000000001</v>
      </c>
      <c r="Q121" s="1">
        <v>1.1738</v>
      </c>
      <c r="R121" s="1">
        <v>0.99883</v>
      </c>
      <c r="S121" s="1">
        <v>1.06586</v>
      </c>
      <c r="T121" s="1">
        <v>1.1663699999999999</v>
      </c>
      <c r="U121" s="1">
        <v>1.16313</v>
      </c>
      <c r="V121" s="1">
        <v>1.14333</v>
      </c>
      <c r="W121" s="1">
        <v>1.1486400000000001</v>
      </c>
      <c r="X121" s="1">
        <v>1.1738</v>
      </c>
      <c r="Y121" s="1">
        <v>0.99883</v>
      </c>
      <c r="Z121" s="1">
        <v>1.06586</v>
      </c>
      <c r="AA121" s="1">
        <v>1.1663699999999999</v>
      </c>
      <c r="AB121" s="1">
        <v>1.16313</v>
      </c>
      <c r="AC121" s="1">
        <v>1.14333</v>
      </c>
      <c r="AD121" s="1">
        <v>1.1486400000000001</v>
      </c>
      <c r="AE121" s="1">
        <v>1.1738</v>
      </c>
      <c r="AF121" s="1">
        <v>0.99883</v>
      </c>
      <c r="AG121" s="1">
        <v>1.06586</v>
      </c>
      <c r="AH121" s="1">
        <v>1.1663699999999999</v>
      </c>
      <c r="AI121" s="1">
        <v>1.16313</v>
      </c>
      <c r="AL121" s="4"/>
      <c r="AM121" s="4" t="s">
        <v>13</v>
      </c>
      <c r="AN121" s="4" t="s">
        <v>14</v>
      </c>
      <c r="AO121" s="4" t="s">
        <v>15</v>
      </c>
      <c r="AP121" s="4" t="s">
        <v>16</v>
      </c>
      <c r="AQ121" s="4" t="s">
        <v>17</v>
      </c>
      <c r="AR121" s="4" t="s">
        <v>7</v>
      </c>
    </row>
    <row r="122" spans="1:44" ht="14.25" customHeight="1" x14ac:dyDescent="0.35">
      <c r="A122" s="1" t="s">
        <v>17</v>
      </c>
      <c r="B122" s="1" t="s">
        <v>17</v>
      </c>
      <c r="C122" s="1" t="s">
        <v>14</v>
      </c>
      <c r="D122" s="1" t="s">
        <v>16</v>
      </c>
      <c r="E122" s="1" t="s">
        <v>26</v>
      </c>
      <c r="F122" s="1">
        <v>0.94706999999999997</v>
      </c>
      <c r="G122" s="1">
        <v>0.93720999999999999</v>
      </c>
      <c r="H122" s="1">
        <v>0.93516999999999995</v>
      </c>
      <c r="I122" s="1">
        <v>0.92869999999999997</v>
      </c>
      <c r="J122" s="1">
        <v>0.94923999999999997</v>
      </c>
      <c r="K122" s="1">
        <v>0.90893999999999997</v>
      </c>
      <c r="L122" s="1">
        <v>0.95415000000000005</v>
      </c>
      <c r="M122" s="1">
        <v>0.94706999999999997</v>
      </c>
      <c r="N122" s="1">
        <v>0.93720999999999999</v>
      </c>
      <c r="O122" s="1">
        <v>0.93516999999999995</v>
      </c>
      <c r="P122" s="1">
        <v>0.92869999999999997</v>
      </c>
      <c r="Q122" s="1">
        <v>0.94923999999999997</v>
      </c>
      <c r="R122" s="1">
        <v>0.90893999999999997</v>
      </c>
      <c r="S122" s="1">
        <v>0.95415000000000005</v>
      </c>
      <c r="T122" s="1">
        <v>0.94706999999999997</v>
      </c>
      <c r="U122" s="1">
        <v>0.93720999999999999</v>
      </c>
      <c r="V122" s="1">
        <v>0.93516999999999995</v>
      </c>
      <c r="W122" s="1">
        <v>0.92869999999999997</v>
      </c>
      <c r="X122" s="1">
        <v>0.94923999999999997</v>
      </c>
      <c r="Y122" s="1">
        <v>0.90893999999999997</v>
      </c>
      <c r="Z122" s="1">
        <v>0.95415000000000005</v>
      </c>
      <c r="AA122" s="1">
        <v>0.94706999999999997</v>
      </c>
      <c r="AB122" s="1">
        <v>0.93720999999999999</v>
      </c>
      <c r="AC122" s="1">
        <v>0.93516999999999995</v>
      </c>
      <c r="AD122" s="1">
        <v>0.92869999999999997</v>
      </c>
      <c r="AE122" s="1">
        <v>0.94923999999999997</v>
      </c>
      <c r="AF122" s="1">
        <v>0.90893999999999997</v>
      </c>
      <c r="AG122" s="1">
        <v>0.95415000000000005</v>
      </c>
      <c r="AH122" s="1">
        <v>0.94706999999999997</v>
      </c>
      <c r="AI122" s="1">
        <v>0.93720999999999999</v>
      </c>
      <c r="AL122" s="4" t="s">
        <v>19</v>
      </c>
      <c r="AM122" s="6" cm="1">
        <f t="array" ref="AM122">IFERROR((SUMPRODUCT(($C$113:$C$136=AM$111)*($F$109:$AI$109="")*$F$113:$AI$136)+IF(AM$111="P3",SUMPRODUCT(($F$109:$AI$109="P3")*$F$113:$AI$136),0))/(SUMPRODUCT(($C$113:$C$136=AM$111)*($F$109:$AI$109=""))+IF(AM$111="P3",COUNTIF($F$109:$AI$109,"P3")*ROWS($C$113:$C$136),0)),"")</f>
        <v>0.97676937500000072</v>
      </c>
      <c r="AN122" s="6" cm="1">
        <f t="array" ref="AN122">IFERROR((SUMPRODUCT(($C$113:$C$136=AN$111)*($F$109:$AI$109="")*$F$113:$AI$136)+IF(AN$111="P3",SUMPRODUCT(($F$109:$AI$109="P3")*$F$113:$AI$136),0))/(SUMPRODUCT(($C$113:$C$136=AN$111)*($F$109:$AI$109=""))+IF(AN$111="P3",COUNTIF($F$109:$AI$109,"P3")*ROWS($C$113:$C$136),0)),"")</f>
        <v>1.1324562500000004</v>
      </c>
      <c r="AO122" s="6" cm="1">
        <f t="array" ref="AO122">IFERROR((SUMPRODUCT(($C$113:$C$136=AO$111)*($F$109:$AI$109="")*$F$113:$AI$136)+IF(AO$111="P3",SUMPRODUCT(($F$109:$AI$109="P3")*$F$113:$AI$136),0))/(SUMPRODUCT(($C$113:$C$136=AO$111)*($F$109:$AI$109=""))+IF(AO$111="P3",COUNTIF($F$109:$AI$109,"P3")*ROWS($C$113:$C$136),0)),"")</f>
        <v>1.0613980978260877</v>
      </c>
      <c r="AP122" s="6" t="str" cm="1">
        <f t="array" ref="AP122">IFERROR((SUMPRODUCT(($C$113:$C$136=AP$111)*($F$109:$AI$109="")*$F$113:$AI$136)+IF(AP$111="P3",SUMPRODUCT(($F$109:$AI$109="P3")*$F$113:$AI$136),0))/(SUMPRODUCT(($C$113:$C$136=AP$111)*($F$109:$AI$109=""))+IF(AP$111="P3",COUNTIF($F$109:$AI$109,"P3")*ROWS($C$113:$C$136),0)),"")</f>
        <v/>
      </c>
      <c r="AQ122" s="6" t="str" cm="1">
        <f t="array" ref="AQ122">IFERROR((SUMPRODUCT(($C$113:$C$136=AQ$111)*($F$109:$AI$109="")*$F$113:$AI$136)+IF(AQ$111="P3",SUMPRODUCT(($F$109:$AI$109="P3")*$F$113:$AI$136),0))/(SUMPRODUCT(($C$113:$C$136=AQ$111)*($F$109:$AI$109=""))+IF(AQ$111="P3",COUNTIF($F$109:$AI$109,"P3")*ROWS($C$113:$C$136),0)),"")</f>
        <v/>
      </c>
      <c r="AR122" s="6" t="str" cm="1">
        <f t="array" ref="AR122">IFERROR((SUMPRODUCT(($C$113:$C$136=AR$111)*($F$109:$AI$109="")*$F$113:$AI$136)+IF(AR$111="P3",SUMPRODUCT(($F$109:$AI$109="P3")*$F$113:$AI$136),0))/(SUMPRODUCT(($C$113:$C$136=AR$111)*($F$109:$AI$109=""))+IF(AR$111="P3",COUNTIF($F$109:$AI$109,"P3")*ROWS($C$113:$C$136),0)),"")</f>
        <v/>
      </c>
    </row>
    <row r="123" spans="1:44" ht="14.25" customHeight="1" x14ac:dyDescent="0.35">
      <c r="A123" s="1" t="s">
        <v>16</v>
      </c>
      <c r="B123" s="1" t="s">
        <v>16</v>
      </c>
      <c r="C123" s="1" t="s">
        <v>13</v>
      </c>
      <c r="D123" s="1" t="s">
        <v>16</v>
      </c>
      <c r="E123" s="1" t="s">
        <v>28</v>
      </c>
      <c r="F123" s="1">
        <v>0.93552000000000002</v>
      </c>
      <c r="G123" s="1">
        <v>0.95304</v>
      </c>
      <c r="H123" s="1">
        <v>0.95582999999999996</v>
      </c>
      <c r="I123" s="1">
        <v>0.94032000000000004</v>
      </c>
      <c r="J123" s="1">
        <v>0.94276000000000004</v>
      </c>
      <c r="K123" s="1">
        <v>0.87727999999999995</v>
      </c>
      <c r="L123" s="1">
        <v>0.88376999999999994</v>
      </c>
      <c r="M123" s="1">
        <v>0.93552000000000002</v>
      </c>
      <c r="N123" s="1">
        <v>0.95304</v>
      </c>
      <c r="O123" s="1">
        <v>0.95582999999999996</v>
      </c>
      <c r="P123" s="1">
        <v>0.94032000000000004</v>
      </c>
      <c r="Q123" s="1">
        <v>0.94276000000000004</v>
      </c>
      <c r="R123" s="1">
        <v>0.87727999999999995</v>
      </c>
      <c r="S123" s="1">
        <v>0.88376999999999994</v>
      </c>
      <c r="T123" s="1">
        <v>0.93552000000000002</v>
      </c>
      <c r="U123" s="1">
        <v>0.95304</v>
      </c>
      <c r="V123" s="1">
        <v>0.95582999999999996</v>
      </c>
      <c r="W123" s="1">
        <v>0.94032000000000004</v>
      </c>
      <c r="X123" s="1">
        <v>0.94276000000000004</v>
      </c>
      <c r="Y123" s="1">
        <v>0.87727999999999995</v>
      </c>
      <c r="Z123" s="1">
        <v>0.88376999999999994</v>
      </c>
      <c r="AA123" s="1">
        <v>0.93552000000000002</v>
      </c>
      <c r="AB123" s="1">
        <v>0.95304</v>
      </c>
      <c r="AC123" s="1">
        <v>0.95582999999999996</v>
      </c>
      <c r="AD123" s="1">
        <v>0.94032000000000004</v>
      </c>
      <c r="AE123" s="1">
        <v>0.94276000000000004</v>
      </c>
      <c r="AF123" s="1">
        <v>0.87727999999999995</v>
      </c>
      <c r="AG123" s="1">
        <v>0.88376999999999994</v>
      </c>
      <c r="AH123" s="1">
        <v>0.93552000000000002</v>
      </c>
      <c r="AI123" s="1">
        <v>0.95304</v>
      </c>
      <c r="AL123" s="4" t="s">
        <v>21</v>
      </c>
      <c r="AM123" s="6" t="str" cm="1">
        <f t="array" ref="AM123">IFERROR((SUMPRODUCT(($A$113:$A$136=AM$111)*($F$110:$AI$110="")*$F$113:$AI$136)+IF(AM$111="P6",SUMPRODUCT(($F$110:$AI$110="P6")*$F$113:$AI$136),0))/(SUMPRODUCT(($A$113:$A$136=AM$111)*($F$110:$AI$110=""))+IF(AM$111="P6",COUNTIF($F$110:$AI$110,"P6")*ROWS($A$113:$A$136),0)),"")</f>
        <v/>
      </c>
      <c r="AN123" s="6" t="str" cm="1">
        <f t="array" ref="AN123">IFERROR((SUMPRODUCT(($A$113:$A$136=AN$111)*($F$110:$AI$110="")*$F$113:$AI$136)+IF(AN$111="P6",SUMPRODUCT(($F$110:$AI$110="P6")*$F$113:$AI$136),0))/(SUMPRODUCT(($A$113:$A$136=AN$111)*($F$110:$AI$110=""))+IF(AN$111="P6",COUNTIF($F$110:$AI$110,"P6")*ROWS($A$113:$A$136),0)),"")</f>
        <v/>
      </c>
      <c r="AO123" s="6" t="str" cm="1">
        <f t="array" ref="AO123">IFERROR((SUMPRODUCT(($A$113:$A$136=AO$111)*($F$110:$AI$110="")*$F$113:$AI$136)+IF(AO$111="P6",SUMPRODUCT(($F$110:$AI$110="P6")*$F$113:$AI$136),0))/(SUMPRODUCT(($A$113:$A$136=AO$111)*($F$110:$AI$110=""))+IF(AO$111="P6",COUNTIF($F$110:$AI$110,"P6")*ROWS($A$113:$A$136),0)),"")</f>
        <v/>
      </c>
      <c r="AP123" s="6" cm="1">
        <f t="array" ref="AP123">IFERROR((SUMPRODUCT(($A$113:$A$136=AP$111)*($F$110:$AI$110="")*$F$113:$AI$136)+IF(AP$111="P6",SUMPRODUCT(($F$110:$AI$110="P6")*$F$113:$AI$136),0))/(SUMPRODUCT(($A$113:$A$136=AP$111)*($F$110:$AI$110=""))+IF(AP$111="P6",COUNTIF($F$110:$AI$110,"P6")*ROWS($A$113:$A$136),0)),"")</f>
        <v>0.98542328282828329</v>
      </c>
      <c r="AQ123" s="6" cm="1">
        <f t="array" ref="AQ123">IFERROR((SUMPRODUCT(($A$113:$A$136=AQ$111)*($F$110:$AI$110="")*$F$113:$AI$136)+IF(AQ$111="P6",SUMPRODUCT(($F$110:$AI$110="P6")*$F$113:$AI$136),0))/(SUMPRODUCT(($A$113:$A$136=AQ$111)*($F$110:$AI$110=""))+IF(AQ$111="P6",COUNTIF($F$110:$AI$110,"P6")*ROWS($A$113:$A$136),0)),"")</f>
        <v>1.1435707792207794</v>
      </c>
      <c r="AR123" s="6" cm="1">
        <f t="array" ref="AR123">IFERROR((SUMPRODUCT(($A$113:$A$136=AR$111)*($F$110:$AI$110="")*$F$113:$AI$136)+IF(AR$111="P6",SUMPRODUCT(($F$110:$AI$110="P6")*$F$113:$AI$136),0))/(SUMPRODUCT(($A$113:$A$136=AR$111)*($F$110:$AI$110=""))+IF(AR$111="P6",COUNTIF($F$110:$AI$110,"P6")*ROWS($A$113:$A$136),0)),"")</f>
        <v>1.0613980978260877</v>
      </c>
    </row>
    <row r="124" spans="1:44" ht="14.25" customHeight="1" x14ac:dyDescent="0.35">
      <c r="A124" s="1" t="s">
        <v>16</v>
      </c>
      <c r="B124" s="1" t="s">
        <v>16</v>
      </c>
      <c r="C124" s="1" t="s">
        <v>13</v>
      </c>
      <c r="D124" s="1" t="s">
        <v>16</v>
      </c>
      <c r="E124" s="1" t="s">
        <v>30</v>
      </c>
      <c r="F124" s="1">
        <v>0.94044000000000005</v>
      </c>
      <c r="G124" s="1">
        <v>0.97087999999999997</v>
      </c>
      <c r="H124" s="1">
        <v>0.97358</v>
      </c>
      <c r="I124" s="1">
        <v>0.95765</v>
      </c>
      <c r="J124" s="1">
        <v>0.91369</v>
      </c>
      <c r="K124" s="1">
        <v>0.87519000000000002</v>
      </c>
      <c r="L124" s="1">
        <v>0.84694999999999998</v>
      </c>
      <c r="M124" s="1">
        <v>0.94044000000000005</v>
      </c>
      <c r="N124" s="1">
        <v>0.97087999999999997</v>
      </c>
      <c r="O124" s="1">
        <v>0.97358</v>
      </c>
      <c r="P124" s="1">
        <v>0.95765</v>
      </c>
      <c r="Q124" s="1">
        <v>0.91369</v>
      </c>
      <c r="R124" s="1">
        <v>0.87519000000000002</v>
      </c>
      <c r="S124" s="1">
        <v>0.84694999999999998</v>
      </c>
      <c r="T124" s="1">
        <v>0.94044000000000005</v>
      </c>
      <c r="U124" s="1">
        <v>0.97087999999999997</v>
      </c>
      <c r="V124" s="1">
        <v>0.97358</v>
      </c>
      <c r="W124" s="1">
        <v>0.95765</v>
      </c>
      <c r="X124" s="1">
        <v>0.91369</v>
      </c>
      <c r="Y124" s="1">
        <v>0.87519000000000002</v>
      </c>
      <c r="Z124" s="1">
        <v>0.84694999999999998</v>
      </c>
      <c r="AA124" s="1">
        <v>0.94044000000000005</v>
      </c>
      <c r="AB124" s="1">
        <v>0.97087999999999997</v>
      </c>
      <c r="AC124" s="1">
        <v>0.97358</v>
      </c>
      <c r="AD124" s="1">
        <v>0.95765</v>
      </c>
      <c r="AE124" s="1">
        <v>0.91369</v>
      </c>
      <c r="AF124" s="1">
        <v>0.87519000000000002</v>
      </c>
      <c r="AG124" s="1">
        <v>0.84694999999999998</v>
      </c>
      <c r="AH124" s="1">
        <v>0.94044000000000005</v>
      </c>
      <c r="AI124" s="1">
        <v>0.97087999999999997</v>
      </c>
      <c r="AL124" s="4" t="s">
        <v>23</v>
      </c>
      <c r="AM124" s="6" t="str" cm="1">
        <f t="array" ref="AM124">IFERROR((SUMPRODUCT(($A$113:$A$136=AM$111)*($F$110:$AI$110="")*$F$113:$AI$136)+IF(AM$111="P6",SUMPRODUCT(($F$110:$AI$110="P6")*$F$113:$AI$136),0))/(SUMPRODUCT(($A$113:$A$136=AM$111)*($F$110:$AI$110=""))+IF(AM$111="P6",COUNTIF($F$110:$AI$110,"P6")*ROWS($A$113:$A$136),0)),"")</f>
        <v/>
      </c>
      <c r="AN124" s="6" t="str" cm="1">
        <f t="array" ref="AN124">IFERROR((SUMPRODUCT(($A$113:$A$136=AN$111)*($F$110:$AI$110="")*$F$113:$AI$136)+IF(AN$111="P6",SUMPRODUCT(($F$110:$AI$110="P6")*$F$113:$AI$136),0))/(SUMPRODUCT(($A$113:$A$136=AN$111)*($F$110:$AI$110=""))+IF(AN$111="P6",COUNTIF($F$110:$AI$110,"P6")*ROWS($A$113:$A$136),0)),"")</f>
        <v/>
      </c>
      <c r="AO124" s="6" t="str" cm="1">
        <f t="array" ref="AO124">IFERROR((SUMPRODUCT(($A$113:$A$136=AO$111)*($F$110:$AI$110="")*$F$113:$AI$136)+IF(AO$111="P6",SUMPRODUCT(($F$110:$AI$110="P6")*$F$113:$AI$136),0))/(SUMPRODUCT(($A$113:$A$136=AO$111)*($F$110:$AI$110=""))+IF(AO$111="P6",COUNTIF($F$110:$AI$110,"P6")*ROWS($A$113:$A$136),0)),"")</f>
        <v/>
      </c>
      <c r="AP124" s="6" cm="1">
        <f t="array" ref="AP124">IFERROR((SUMPRODUCT(($A$113:$A$136=AP$111)*($F$110:$AI$110="")*$F$113:$AI$136)+IF(AP$111="P6",SUMPRODUCT(($F$110:$AI$110="P6")*$F$113:$AI$136),0))/(SUMPRODUCT(($A$113:$A$136=AP$111)*($F$110:$AI$110=""))+IF(AP$111="P6",COUNTIF($F$110:$AI$110,"P6")*ROWS($A$113:$A$136),0)),"")</f>
        <v>0.98542328282828329</v>
      </c>
      <c r="AQ124" s="6" cm="1">
        <f t="array" ref="AQ124">IFERROR((SUMPRODUCT(($A$113:$A$136=AQ$111)*($F$110:$AI$110="")*$F$113:$AI$136)+IF(AQ$111="P6",SUMPRODUCT(($F$110:$AI$110="P6")*$F$113:$AI$136),0))/(SUMPRODUCT(($A$113:$A$136=AQ$111)*($F$110:$AI$110=""))+IF(AQ$111="P6",COUNTIF($F$110:$AI$110,"P6")*ROWS($A$113:$A$136),0)),"")</f>
        <v>1.1435707792207794</v>
      </c>
      <c r="AR124" s="6" cm="1">
        <f t="array" ref="AR124">IFERROR((SUMPRODUCT(($A$113:$A$136=AR$111)*($F$110:$AI$110="")*$F$113:$AI$136)+IF(AR$111="P6",SUMPRODUCT(($F$110:$AI$110="P6")*$F$113:$AI$136),0))/(SUMPRODUCT(($A$113:$A$136=AR$111)*($F$110:$AI$110=""))+IF(AR$111="P6",COUNTIF($F$110:$AI$110,"P6")*ROWS($A$113:$A$136),0)),"")</f>
        <v>1.0613980978260877</v>
      </c>
    </row>
    <row r="125" spans="1:44" ht="14.25" customHeight="1" x14ac:dyDescent="0.35">
      <c r="A125" s="1" t="s">
        <v>16</v>
      </c>
      <c r="B125" s="1" t="s">
        <v>16</v>
      </c>
      <c r="C125" s="1" t="s">
        <v>13</v>
      </c>
      <c r="D125" s="1" t="s">
        <v>16</v>
      </c>
      <c r="E125" s="1" t="s">
        <v>31</v>
      </c>
      <c r="F125" s="1">
        <v>0.92774999999999996</v>
      </c>
      <c r="G125" s="1">
        <v>0.95445999999999998</v>
      </c>
      <c r="H125" s="1">
        <v>0.97316000000000003</v>
      </c>
      <c r="I125" s="1">
        <v>0.95325000000000004</v>
      </c>
      <c r="J125" s="1">
        <v>0.91274999999999995</v>
      </c>
      <c r="K125" s="1">
        <v>0.86992999999999998</v>
      </c>
      <c r="L125" s="1">
        <v>0.83340999999999998</v>
      </c>
      <c r="M125" s="1">
        <v>0.92774999999999996</v>
      </c>
      <c r="N125" s="1">
        <v>0.95445999999999998</v>
      </c>
      <c r="O125" s="1">
        <v>0.97316000000000003</v>
      </c>
      <c r="P125" s="1">
        <v>0.95325000000000004</v>
      </c>
      <c r="Q125" s="1">
        <v>0.91274999999999995</v>
      </c>
      <c r="R125" s="1">
        <v>0.86992999999999998</v>
      </c>
      <c r="S125" s="1">
        <v>0.83340999999999998</v>
      </c>
      <c r="T125" s="1">
        <v>0.92774999999999996</v>
      </c>
      <c r="U125" s="1">
        <v>0.95445999999999998</v>
      </c>
      <c r="V125" s="1">
        <v>0.97316000000000003</v>
      </c>
      <c r="W125" s="1">
        <v>0.95325000000000004</v>
      </c>
      <c r="X125" s="1">
        <v>0.91274999999999995</v>
      </c>
      <c r="Y125" s="1">
        <v>0.86992999999999998</v>
      </c>
      <c r="Z125" s="1">
        <v>0.83340999999999998</v>
      </c>
      <c r="AA125" s="1">
        <v>0.92774999999999996</v>
      </c>
      <c r="AB125" s="1">
        <v>0.95445999999999998</v>
      </c>
      <c r="AC125" s="1">
        <v>0.97316000000000003</v>
      </c>
      <c r="AD125" s="1">
        <v>0.95325000000000004</v>
      </c>
      <c r="AE125" s="1">
        <v>0.91274999999999995</v>
      </c>
      <c r="AF125" s="1">
        <v>0.86992999999999998</v>
      </c>
      <c r="AG125" s="1">
        <v>0.83340999999999998</v>
      </c>
      <c r="AH125" s="1">
        <v>0.92774999999999996</v>
      </c>
      <c r="AI125" s="1">
        <v>0.95445999999999998</v>
      </c>
      <c r="AL125" s="4" t="s">
        <v>25</v>
      </c>
      <c r="AM125" s="6" t="str" cm="1">
        <f t="array" ref="AM125">IFERROR((SUMPRODUCT(($A$113:$A$136=AM$111)*($F$110:$AI$110="")*$F$113:$AI$136)+IF(AM$111="P6",SUMPRODUCT(($F$110:$AI$110="P6")*$F$113:$AI$136),0))/(SUMPRODUCT(($A$113:$A$136=AM$111)*($F$110:$AI$110=""))+IF(AM$111="P6",COUNTIF($F$110:$AI$110,"P6")*ROWS($A$113:$A$136),0)),"")</f>
        <v/>
      </c>
      <c r="AN125" s="6" t="str" cm="1">
        <f t="array" ref="AN125">IFERROR((SUMPRODUCT(($A$113:$A$136=AN$111)*($F$110:$AI$110="")*$F$113:$AI$136)+IF(AN$111="P6",SUMPRODUCT(($F$110:$AI$110="P6")*$F$113:$AI$136),0))/(SUMPRODUCT(($A$113:$A$136=AN$111)*($F$110:$AI$110=""))+IF(AN$111="P6",COUNTIF($F$110:$AI$110,"P6")*ROWS($A$113:$A$136),0)),"")</f>
        <v/>
      </c>
      <c r="AO125" s="6" t="str" cm="1">
        <f t="array" ref="AO125">IFERROR((SUMPRODUCT(($A$113:$A$136=AO$111)*($F$110:$AI$110="")*$F$113:$AI$136)+IF(AO$111="P6",SUMPRODUCT(($F$110:$AI$110="P6")*$F$113:$AI$136),0))/(SUMPRODUCT(($A$113:$A$136=AO$111)*($F$110:$AI$110=""))+IF(AO$111="P6",COUNTIF($F$110:$AI$110,"P6")*ROWS($A$113:$A$136),0)),"")</f>
        <v/>
      </c>
      <c r="AP125" s="6" cm="1">
        <f t="array" ref="AP125">IFERROR((SUMPRODUCT(($A$113:$A$136=AP$111)*($F$110:$AI$110="")*$F$113:$AI$136)+IF(AP$111="P6",SUMPRODUCT(($F$110:$AI$110="P6")*$F$113:$AI$136),0))/(SUMPRODUCT(($A$113:$A$136=AP$111)*($F$110:$AI$110=""))+IF(AP$111="P6",COUNTIF($F$110:$AI$110,"P6")*ROWS($A$113:$A$136),0)),"")</f>
        <v>0.98542328282828329</v>
      </c>
      <c r="AQ125" s="6" cm="1">
        <f t="array" ref="AQ125">IFERROR((SUMPRODUCT(($A$113:$A$136=AQ$111)*($F$110:$AI$110="")*$F$113:$AI$136)+IF(AQ$111="P6",SUMPRODUCT(($F$110:$AI$110="P6")*$F$113:$AI$136),0))/(SUMPRODUCT(($A$113:$A$136=AQ$111)*($F$110:$AI$110=""))+IF(AQ$111="P6",COUNTIF($F$110:$AI$110,"P6")*ROWS($A$113:$A$136),0)),"")</f>
        <v>1.1435707792207794</v>
      </c>
      <c r="AR125" s="6" cm="1">
        <f t="array" ref="AR125">IFERROR((SUMPRODUCT(($A$113:$A$136=AR$111)*($F$110:$AI$110="")*$F$113:$AI$136)+IF(AR$111="P6",SUMPRODUCT(($F$110:$AI$110="P6")*$F$113:$AI$136),0))/(SUMPRODUCT(($A$113:$A$136=AR$111)*($F$110:$AI$110=""))+IF(AR$111="P6",COUNTIF($F$110:$AI$110,"P6")*ROWS($A$113:$A$136),0)),"")</f>
        <v>1.0613980978260877</v>
      </c>
    </row>
    <row r="126" spans="1:44" ht="14.25" customHeight="1" x14ac:dyDescent="0.35">
      <c r="A126" s="1" t="s">
        <v>16</v>
      </c>
      <c r="B126" s="1" t="s">
        <v>16</v>
      </c>
      <c r="C126" s="1" t="s">
        <v>13</v>
      </c>
      <c r="D126" s="1" t="s">
        <v>16</v>
      </c>
      <c r="E126" s="1" t="s">
        <v>32</v>
      </c>
      <c r="F126" s="1">
        <v>0.90208999999999995</v>
      </c>
      <c r="G126" s="1">
        <v>0.92203999999999997</v>
      </c>
      <c r="H126" s="1">
        <v>0.93633999999999995</v>
      </c>
      <c r="I126" s="1">
        <v>0.91920000000000002</v>
      </c>
      <c r="J126" s="1">
        <v>0.88905999999999996</v>
      </c>
      <c r="K126" s="1">
        <v>0.84570000000000001</v>
      </c>
      <c r="L126" s="1">
        <v>0.80517000000000005</v>
      </c>
      <c r="M126" s="1">
        <v>0.90208999999999995</v>
      </c>
      <c r="N126" s="1">
        <v>0.92203999999999997</v>
      </c>
      <c r="O126" s="1">
        <v>0.93633999999999995</v>
      </c>
      <c r="P126" s="1">
        <v>0.91920000000000002</v>
      </c>
      <c r="Q126" s="1">
        <v>0.88905999999999996</v>
      </c>
      <c r="R126" s="1">
        <v>0.84570000000000001</v>
      </c>
      <c r="S126" s="1">
        <v>0.80517000000000005</v>
      </c>
      <c r="T126" s="1">
        <v>0.90208999999999995</v>
      </c>
      <c r="U126" s="1">
        <v>0.92203999999999997</v>
      </c>
      <c r="V126" s="1">
        <v>0.93633999999999995</v>
      </c>
      <c r="W126" s="1">
        <v>0.91920000000000002</v>
      </c>
      <c r="X126" s="1">
        <v>0.88905999999999996</v>
      </c>
      <c r="Y126" s="1">
        <v>0.84570000000000001</v>
      </c>
      <c r="Z126" s="1">
        <v>0.80517000000000005</v>
      </c>
      <c r="AA126" s="1">
        <v>0.90208999999999995</v>
      </c>
      <c r="AB126" s="1">
        <v>0.92203999999999997</v>
      </c>
      <c r="AC126" s="1">
        <v>0.93633999999999995</v>
      </c>
      <c r="AD126" s="1">
        <v>0.91920000000000002</v>
      </c>
      <c r="AE126" s="1">
        <v>0.88905999999999996</v>
      </c>
      <c r="AF126" s="1">
        <v>0.84570000000000001</v>
      </c>
      <c r="AG126" s="1">
        <v>0.80517000000000005</v>
      </c>
      <c r="AH126" s="1">
        <v>0.90208999999999995</v>
      </c>
      <c r="AI126" s="1">
        <v>0.92203999999999997</v>
      </c>
      <c r="AL126" s="4" t="s">
        <v>27</v>
      </c>
      <c r="AM126" s="6" t="str" cm="1">
        <f t="array" ref="AM126">IFERROR((SUMPRODUCT(($A$113:$A$136=AM$111)*($F$110:$AI$110="")*$F$113:$AI$136)+IF(AM$111="P6",SUMPRODUCT(($F$110:$AI$110="P6")*$F$113:$AI$136),0))/(SUMPRODUCT(($A$113:$A$136=AM$111)*($F$110:$AI$110=""))+IF(AM$111="P6",COUNTIF($F$110:$AI$110,"P6")*ROWS($A$113:$A$136),0)),"")</f>
        <v/>
      </c>
      <c r="AN126" s="6" t="str" cm="1">
        <f t="array" ref="AN126">IFERROR((SUMPRODUCT(($A$113:$A$136=AN$111)*($F$110:$AI$110="")*$F$113:$AI$136)+IF(AN$111="P6",SUMPRODUCT(($F$110:$AI$110="P6")*$F$113:$AI$136),0))/(SUMPRODUCT(($A$113:$A$136=AN$111)*($F$110:$AI$110=""))+IF(AN$111="P6",COUNTIF($F$110:$AI$110,"P6")*ROWS($A$113:$A$136),0)),"")</f>
        <v/>
      </c>
      <c r="AO126" s="6" t="str" cm="1">
        <f t="array" ref="AO126">IFERROR((SUMPRODUCT(($A$113:$A$136=AO$111)*($F$110:$AI$110="")*$F$113:$AI$136)+IF(AO$111="P6",SUMPRODUCT(($F$110:$AI$110="P6")*$F$113:$AI$136),0))/(SUMPRODUCT(($A$113:$A$136=AO$111)*($F$110:$AI$110=""))+IF(AO$111="P6",COUNTIF($F$110:$AI$110,"P6")*ROWS($A$113:$A$136),0)),"")</f>
        <v/>
      </c>
      <c r="AP126" s="6" cm="1">
        <f t="array" ref="AP126">IFERROR((SUMPRODUCT(($A$113:$A$136=AP$111)*($F$110:$AI$110="")*$F$113:$AI$136)+IF(AP$111="P6",SUMPRODUCT(($F$110:$AI$110="P6")*$F$113:$AI$136),0))/(SUMPRODUCT(($A$113:$A$136=AP$111)*($F$110:$AI$110=""))+IF(AP$111="P6",COUNTIF($F$110:$AI$110,"P6")*ROWS($A$113:$A$136),0)),"")</f>
        <v>0.98542328282828329</v>
      </c>
      <c r="AQ126" s="6" cm="1">
        <f t="array" ref="AQ126">IFERROR((SUMPRODUCT(($A$113:$A$136=AQ$111)*($F$110:$AI$110="")*$F$113:$AI$136)+IF(AQ$111="P6",SUMPRODUCT(($F$110:$AI$110="P6")*$F$113:$AI$136),0))/(SUMPRODUCT(($A$113:$A$136=AQ$111)*($F$110:$AI$110=""))+IF(AQ$111="P6",COUNTIF($F$110:$AI$110,"P6")*ROWS($A$113:$A$136),0)),"")</f>
        <v>1.1435707792207794</v>
      </c>
      <c r="AR126" s="6" cm="1">
        <f t="array" ref="AR126">IFERROR((SUMPRODUCT(($A$113:$A$136=AR$111)*($F$110:$AI$110="")*$F$113:$AI$136)+IF(AR$111="P6",SUMPRODUCT(($F$110:$AI$110="P6")*$F$113:$AI$136),0))/(SUMPRODUCT(($A$113:$A$136=AR$111)*($F$110:$AI$110=""))+IF(AR$111="P6",COUNTIF($F$110:$AI$110,"P6")*ROWS($A$113:$A$136),0)),"")</f>
        <v>1.0613980978260877</v>
      </c>
    </row>
    <row r="127" spans="1:44" ht="14.25" customHeight="1" x14ac:dyDescent="0.35">
      <c r="A127" s="1" t="s">
        <v>16</v>
      </c>
      <c r="B127" s="1" t="s">
        <v>16</v>
      </c>
      <c r="C127" s="1" t="s">
        <v>14</v>
      </c>
      <c r="D127" s="1" t="s">
        <v>17</v>
      </c>
      <c r="E127" s="1" t="s">
        <v>33</v>
      </c>
      <c r="F127" s="1">
        <v>1.0257499999999999</v>
      </c>
      <c r="G127" s="1">
        <v>1.0635300000000001</v>
      </c>
      <c r="H127" s="1">
        <v>1.0964499999999999</v>
      </c>
      <c r="I127" s="1">
        <v>1.06708</v>
      </c>
      <c r="J127" s="1">
        <v>1.0254700000000001</v>
      </c>
      <c r="K127" s="1">
        <v>0.84584000000000004</v>
      </c>
      <c r="L127" s="1">
        <v>0.81333</v>
      </c>
      <c r="M127" s="1">
        <v>1.0257499999999999</v>
      </c>
      <c r="N127" s="1">
        <v>1.0635300000000001</v>
      </c>
      <c r="O127" s="1">
        <v>1.0964499999999999</v>
      </c>
      <c r="P127" s="1">
        <v>1.06708</v>
      </c>
      <c r="Q127" s="1">
        <v>1.0254700000000001</v>
      </c>
      <c r="R127" s="1">
        <v>0.84584000000000004</v>
      </c>
      <c r="S127" s="1">
        <v>0.81333</v>
      </c>
      <c r="T127" s="1">
        <v>1.0257499999999999</v>
      </c>
      <c r="U127" s="1">
        <v>1.0635300000000001</v>
      </c>
      <c r="V127" s="1">
        <v>1.0964499999999999</v>
      </c>
      <c r="W127" s="1">
        <v>1.06708</v>
      </c>
      <c r="X127" s="1">
        <v>1.0254700000000001</v>
      </c>
      <c r="Y127" s="1">
        <v>0.84584000000000004</v>
      </c>
      <c r="Z127" s="1">
        <v>0.81333</v>
      </c>
      <c r="AA127" s="1">
        <v>1.0257499999999999</v>
      </c>
      <c r="AB127" s="1">
        <v>1.0635300000000001</v>
      </c>
      <c r="AC127" s="1">
        <v>1.0964499999999999</v>
      </c>
      <c r="AD127" s="1">
        <v>1.06708</v>
      </c>
      <c r="AE127" s="1">
        <v>1.0254700000000001</v>
      </c>
      <c r="AF127" s="1">
        <v>0.84584000000000004</v>
      </c>
      <c r="AG127" s="1">
        <v>0.81333</v>
      </c>
      <c r="AH127" s="1">
        <v>1.0257499999999999</v>
      </c>
      <c r="AI127" s="1">
        <v>1.0635300000000001</v>
      </c>
      <c r="AL127" s="4" t="s">
        <v>29</v>
      </c>
      <c r="AM127" s="6" t="str" cm="1">
        <f t="array" ref="AM127">IFERROR((SUMPRODUCT(($A$113:$A$136=AM$111)*($F$110:$AI$110="")*$F$113:$AI$136)+IF(AM$111="P6",SUMPRODUCT(($F$110:$AI$110="P6")*$F$113:$AI$136),0))/(SUMPRODUCT(($A$113:$A$136=AM$111)*($F$110:$AI$110=""))+IF(AM$111="P6",COUNTIF($F$110:$AI$110,"P6")*ROWS($A$113:$A$136),0)),"")</f>
        <v/>
      </c>
      <c r="AN127" s="6" t="str" cm="1">
        <f t="array" ref="AN127">IFERROR((SUMPRODUCT(($A$113:$A$136=AN$111)*($F$110:$AI$110="")*$F$113:$AI$136)+IF(AN$111="P6",SUMPRODUCT(($F$110:$AI$110="P6")*$F$113:$AI$136),0))/(SUMPRODUCT(($A$113:$A$136=AN$111)*($F$110:$AI$110=""))+IF(AN$111="P6",COUNTIF($F$110:$AI$110,"P6")*ROWS($A$113:$A$136),0)),"")</f>
        <v/>
      </c>
      <c r="AO127" s="6" t="str" cm="1">
        <f t="array" ref="AO127">IFERROR((SUMPRODUCT(($A$113:$A$136=AO$111)*($F$110:$AI$110="")*$F$113:$AI$136)+IF(AO$111="P6",SUMPRODUCT(($F$110:$AI$110="P6")*$F$113:$AI$136),0))/(SUMPRODUCT(($A$113:$A$136=AO$111)*($F$110:$AI$110=""))+IF(AO$111="P6",COUNTIF($F$110:$AI$110,"P6")*ROWS($A$113:$A$136),0)),"")</f>
        <v/>
      </c>
      <c r="AP127" s="6" cm="1">
        <f t="array" ref="AP127">IFERROR((SUMPRODUCT(($A$113:$A$136=AP$111)*($F$110:$AI$110="")*$F$113:$AI$136)+IF(AP$111="P6",SUMPRODUCT(($F$110:$AI$110="P6")*$F$113:$AI$136),0))/(SUMPRODUCT(($A$113:$A$136=AP$111)*($F$110:$AI$110=""))+IF(AP$111="P6",COUNTIF($F$110:$AI$110,"P6")*ROWS($A$113:$A$136),0)),"")</f>
        <v>0.98542328282828329</v>
      </c>
      <c r="AQ127" s="6" cm="1">
        <f t="array" ref="AQ127">IFERROR((SUMPRODUCT(($A$113:$A$136=AQ$111)*($F$110:$AI$110="")*$F$113:$AI$136)+IF(AQ$111="P6",SUMPRODUCT(($F$110:$AI$110="P6")*$F$113:$AI$136),0))/(SUMPRODUCT(($A$113:$A$136=AQ$111)*($F$110:$AI$110=""))+IF(AQ$111="P6",COUNTIF($F$110:$AI$110,"P6")*ROWS($A$113:$A$136),0)),"")</f>
        <v>1.1435707792207794</v>
      </c>
      <c r="AR127" s="6" cm="1">
        <f t="array" ref="AR127">IFERROR((SUMPRODUCT(($A$113:$A$136=AR$111)*($F$110:$AI$110="")*$F$113:$AI$136)+IF(AR$111="P6",SUMPRODUCT(($F$110:$AI$110="P6")*$F$113:$AI$136),0))/(SUMPRODUCT(($A$113:$A$136=AR$111)*($F$110:$AI$110=""))+IF(AR$111="P6",COUNTIF($F$110:$AI$110,"P6")*ROWS($A$113:$A$136),0)),"")</f>
        <v>1.0613980978260877</v>
      </c>
    </row>
    <row r="128" spans="1:44" ht="14.25" customHeight="1" x14ac:dyDescent="0.35">
      <c r="A128" s="1" t="s">
        <v>17</v>
      </c>
      <c r="B128" s="1" t="s">
        <v>17</v>
      </c>
      <c r="C128" s="1" t="s">
        <v>14</v>
      </c>
      <c r="D128" s="1" t="s">
        <v>17</v>
      </c>
      <c r="E128" s="1" t="s">
        <v>34</v>
      </c>
      <c r="F128" s="1">
        <v>1.06088</v>
      </c>
      <c r="G128" s="1">
        <v>1.1026100000000001</v>
      </c>
      <c r="H128" s="1">
        <v>1.14229</v>
      </c>
      <c r="I128" s="1">
        <v>1.1135900000000001</v>
      </c>
      <c r="J128" s="1">
        <v>1.0625899999999999</v>
      </c>
      <c r="K128" s="1">
        <v>0.90971999999999997</v>
      </c>
      <c r="L128" s="1">
        <v>0.84838999999999998</v>
      </c>
      <c r="M128" s="1">
        <v>1.06088</v>
      </c>
      <c r="N128" s="1">
        <v>1.1026100000000001</v>
      </c>
      <c r="O128" s="1">
        <v>1.14229</v>
      </c>
      <c r="P128" s="1">
        <v>1.1135900000000001</v>
      </c>
      <c r="Q128" s="1">
        <v>1.0625899999999999</v>
      </c>
      <c r="R128" s="1">
        <v>0.90971999999999997</v>
      </c>
      <c r="S128" s="1">
        <v>0.84838999999999998</v>
      </c>
      <c r="T128" s="1">
        <v>1.06088</v>
      </c>
      <c r="U128" s="1">
        <v>1.1026100000000001</v>
      </c>
      <c r="V128" s="1">
        <v>1.14229</v>
      </c>
      <c r="W128" s="1">
        <v>1.1135900000000001</v>
      </c>
      <c r="X128" s="1">
        <v>1.0625899999999999</v>
      </c>
      <c r="Y128" s="1">
        <v>0.90971999999999997</v>
      </c>
      <c r="Z128" s="1">
        <v>0.84838999999999998</v>
      </c>
      <c r="AA128" s="1">
        <v>1.06088</v>
      </c>
      <c r="AB128" s="1">
        <v>1.1026100000000001</v>
      </c>
      <c r="AC128" s="1">
        <v>1.14229</v>
      </c>
      <c r="AD128" s="1">
        <v>1.1135900000000001</v>
      </c>
      <c r="AE128" s="1">
        <v>1.0625899999999999</v>
      </c>
      <c r="AF128" s="1">
        <v>0.90971999999999997</v>
      </c>
      <c r="AG128" s="1">
        <v>0.84838999999999998</v>
      </c>
      <c r="AH128" s="1">
        <v>1.06088</v>
      </c>
      <c r="AI128" s="1">
        <v>1.1026100000000001</v>
      </c>
      <c r="AL128" s="10"/>
      <c r="AM128" s="10"/>
      <c r="AN128" s="10"/>
      <c r="AO128" s="10"/>
      <c r="AP128" s="10"/>
      <c r="AQ128" s="10"/>
      <c r="AR128" s="10"/>
    </row>
    <row r="129" spans="1:44" ht="14.25" customHeight="1" x14ac:dyDescent="0.35">
      <c r="A129" s="1" t="s">
        <v>17</v>
      </c>
      <c r="B129" s="1" t="s">
        <v>17</v>
      </c>
      <c r="C129" s="1" t="s">
        <v>14</v>
      </c>
      <c r="D129" s="1" t="s">
        <v>17</v>
      </c>
      <c r="E129" s="1" t="s">
        <v>35</v>
      </c>
      <c r="F129" s="1">
        <v>1.1041700000000001</v>
      </c>
      <c r="G129" s="1">
        <v>1.14209</v>
      </c>
      <c r="H129" s="1">
        <v>1.1628499999999999</v>
      </c>
      <c r="I129" s="1">
        <v>1.1414800000000001</v>
      </c>
      <c r="J129" s="1">
        <v>1.0985</v>
      </c>
      <c r="K129" s="1">
        <v>0.94262999999999997</v>
      </c>
      <c r="L129" s="1">
        <v>0.89659999999999995</v>
      </c>
      <c r="M129" s="1">
        <v>1.1041700000000001</v>
      </c>
      <c r="N129" s="1">
        <v>1.14209</v>
      </c>
      <c r="O129" s="1">
        <v>1.1628499999999999</v>
      </c>
      <c r="P129" s="1">
        <v>1.1414800000000001</v>
      </c>
      <c r="Q129" s="1">
        <v>1.0985</v>
      </c>
      <c r="R129" s="1">
        <v>0.94262999999999997</v>
      </c>
      <c r="S129" s="1">
        <v>0.89659999999999995</v>
      </c>
      <c r="T129" s="1">
        <v>1.1041700000000001</v>
      </c>
      <c r="U129" s="1">
        <v>1.14209</v>
      </c>
      <c r="V129" s="1">
        <v>1.1628499999999999</v>
      </c>
      <c r="W129" s="1">
        <v>1.1414800000000001</v>
      </c>
      <c r="X129" s="1">
        <v>1.0985</v>
      </c>
      <c r="Y129" s="1">
        <v>0.94262999999999997</v>
      </c>
      <c r="Z129" s="1">
        <v>0.89659999999999995</v>
      </c>
      <c r="AA129" s="1">
        <v>1.1041700000000001</v>
      </c>
      <c r="AB129" s="1">
        <v>1.14209</v>
      </c>
      <c r="AC129" s="1">
        <v>1.1628499999999999</v>
      </c>
      <c r="AD129" s="1">
        <v>1.1414800000000001</v>
      </c>
      <c r="AE129" s="1">
        <v>1.0985</v>
      </c>
      <c r="AF129" s="1">
        <v>0.94262999999999997</v>
      </c>
      <c r="AG129" s="1">
        <v>0.89659999999999995</v>
      </c>
      <c r="AH129" s="1">
        <v>1.1041700000000001</v>
      </c>
      <c r="AI129" s="1">
        <v>1.14209</v>
      </c>
      <c r="AL129" s="10"/>
      <c r="AM129" s="10"/>
      <c r="AN129" s="10"/>
      <c r="AO129" s="10"/>
      <c r="AP129" s="10"/>
      <c r="AQ129" s="10"/>
      <c r="AR129" s="10"/>
    </row>
    <row r="130" spans="1:44" ht="14.25" customHeight="1" x14ac:dyDescent="0.35">
      <c r="A130" s="1" t="s">
        <v>17</v>
      </c>
      <c r="B130" s="1" t="s">
        <v>17</v>
      </c>
      <c r="C130" s="1" t="s">
        <v>14</v>
      </c>
      <c r="D130" s="1" t="s">
        <v>17</v>
      </c>
      <c r="E130" s="1" t="s">
        <v>36</v>
      </c>
      <c r="F130" s="1">
        <v>1.13785</v>
      </c>
      <c r="G130" s="1">
        <v>1.17754</v>
      </c>
      <c r="H130" s="1">
        <v>1.17265</v>
      </c>
      <c r="I130" s="1">
        <v>1.1698500000000001</v>
      </c>
      <c r="J130" s="1">
        <v>1.1415999999999999</v>
      </c>
      <c r="K130" s="1">
        <v>0.98073999999999995</v>
      </c>
      <c r="L130" s="1">
        <v>0.93794999999999995</v>
      </c>
      <c r="M130" s="1">
        <v>1.13785</v>
      </c>
      <c r="N130" s="1">
        <v>1.17754</v>
      </c>
      <c r="O130" s="1">
        <v>1.17265</v>
      </c>
      <c r="P130" s="1">
        <v>1.1698500000000001</v>
      </c>
      <c r="Q130" s="1">
        <v>1.1415999999999999</v>
      </c>
      <c r="R130" s="1">
        <v>0.98073999999999995</v>
      </c>
      <c r="S130" s="1">
        <v>0.93794999999999995</v>
      </c>
      <c r="T130" s="1">
        <v>1.13785</v>
      </c>
      <c r="U130" s="1">
        <v>1.17754</v>
      </c>
      <c r="V130" s="1">
        <v>1.17265</v>
      </c>
      <c r="W130" s="1">
        <v>1.1698500000000001</v>
      </c>
      <c r="X130" s="1">
        <v>1.1415999999999999</v>
      </c>
      <c r="Y130" s="1">
        <v>0.98073999999999995</v>
      </c>
      <c r="Z130" s="1">
        <v>0.93794999999999995</v>
      </c>
      <c r="AA130" s="1">
        <v>1.13785</v>
      </c>
      <c r="AB130" s="1">
        <v>1.17754</v>
      </c>
      <c r="AC130" s="1">
        <v>1.17265</v>
      </c>
      <c r="AD130" s="1">
        <v>1.1698500000000001</v>
      </c>
      <c r="AE130" s="1">
        <v>1.1415999999999999</v>
      </c>
      <c r="AF130" s="1">
        <v>0.98073999999999995</v>
      </c>
      <c r="AG130" s="1">
        <v>0.93794999999999995</v>
      </c>
      <c r="AH130" s="1">
        <v>1.13785</v>
      </c>
      <c r="AI130" s="1">
        <v>1.17754</v>
      </c>
      <c r="AL130" s="14" t="s">
        <v>168</v>
      </c>
      <c r="AM130" s="14"/>
      <c r="AN130" s="14"/>
      <c r="AO130" s="14"/>
      <c r="AP130" s="14"/>
      <c r="AQ130" s="14"/>
      <c r="AR130" s="14"/>
    </row>
    <row r="131" spans="1:44" ht="14.25" customHeight="1" x14ac:dyDescent="0.35">
      <c r="A131" s="1" t="s">
        <v>16</v>
      </c>
      <c r="B131" s="1" t="s">
        <v>16</v>
      </c>
      <c r="C131" s="1" t="s">
        <v>13</v>
      </c>
      <c r="D131" s="1" t="s">
        <v>16</v>
      </c>
      <c r="E131" s="1" t="s">
        <v>37</v>
      </c>
      <c r="F131" s="1">
        <v>0.98092999999999997</v>
      </c>
      <c r="G131" s="1">
        <v>1.00044</v>
      </c>
      <c r="H131" s="1">
        <v>1.0043500000000001</v>
      </c>
      <c r="I131" s="1">
        <v>0.99504000000000004</v>
      </c>
      <c r="J131" s="1">
        <v>1.01847</v>
      </c>
      <c r="K131" s="1">
        <v>1.0222500000000001</v>
      </c>
      <c r="L131" s="1">
        <v>0.99092000000000002</v>
      </c>
      <c r="M131" s="1">
        <v>0.98092999999999997</v>
      </c>
      <c r="N131" s="1">
        <v>1.00044</v>
      </c>
      <c r="O131" s="1">
        <v>1.0043500000000001</v>
      </c>
      <c r="P131" s="1">
        <v>0.99504000000000004</v>
      </c>
      <c r="Q131" s="1">
        <v>1.01847</v>
      </c>
      <c r="R131" s="1">
        <v>1.0222500000000001</v>
      </c>
      <c r="S131" s="1">
        <v>0.99092000000000002</v>
      </c>
      <c r="T131" s="1">
        <v>0.98092999999999997</v>
      </c>
      <c r="U131" s="1">
        <v>1.00044</v>
      </c>
      <c r="V131" s="1">
        <v>1.0043500000000001</v>
      </c>
      <c r="W131" s="1">
        <v>0.99504000000000004</v>
      </c>
      <c r="X131" s="1">
        <v>1.01847</v>
      </c>
      <c r="Y131" s="1">
        <v>1.0222500000000001</v>
      </c>
      <c r="Z131" s="1">
        <v>0.99092000000000002</v>
      </c>
      <c r="AA131" s="1">
        <v>0.98092999999999997</v>
      </c>
      <c r="AB131" s="1">
        <v>1.00044</v>
      </c>
      <c r="AC131" s="1">
        <v>1.0043500000000001</v>
      </c>
      <c r="AD131" s="1">
        <v>0.99504000000000004</v>
      </c>
      <c r="AE131" s="1">
        <v>1.01847</v>
      </c>
      <c r="AF131" s="1">
        <v>1.0222500000000001</v>
      </c>
      <c r="AG131" s="1">
        <v>0.99092000000000002</v>
      </c>
      <c r="AH131" s="1">
        <v>0.98092999999999997</v>
      </c>
      <c r="AI131" s="1">
        <v>1.00044</v>
      </c>
      <c r="AL131" s="4"/>
      <c r="AM131" s="4" t="s">
        <v>13</v>
      </c>
      <c r="AN131" s="4" t="s">
        <v>14</v>
      </c>
      <c r="AO131" s="4" t="s">
        <v>15</v>
      </c>
      <c r="AP131" s="4" t="s">
        <v>16</v>
      </c>
      <c r="AQ131" s="4" t="s">
        <v>17</v>
      </c>
      <c r="AR131" s="4" t="s">
        <v>7</v>
      </c>
    </row>
    <row r="132" spans="1:44" ht="14.25" customHeight="1" x14ac:dyDescent="0.35">
      <c r="A132" s="1" t="s">
        <v>16</v>
      </c>
      <c r="B132" s="1" t="s">
        <v>16</v>
      </c>
      <c r="C132" s="1" t="s">
        <v>13</v>
      </c>
      <c r="D132" s="1" t="s">
        <v>16</v>
      </c>
      <c r="E132" s="1" t="s">
        <v>38</v>
      </c>
      <c r="F132" s="1">
        <v>0.98411000000000004</v>
      </c>
      <c r="G132" s="1">
        <v>1.0015499999999999</v>
      </c>
      <c r="H132" s="1">
        <v>0.99431999999999998</v>
      </c>
      <c r="I132" s="1">
        <v>1.0029699999999999</v>
      </c>
      <c r="J132" s="1">
        <v>1.05298</v>
      </c>
      <c r="K132" s="1">
        <v>1.0579099999999999</v>
      </c>
      <c r="L132" s="1">
        <v>1.0320800000000001</v>
      </c>
      <c r="M132" s="1">
        <v>0.98411000000000004</v>
      </c>
      <c r="N132" s="1">
        <v>1.0015499999999999</v>
      </c>
      <c r="O132" s="1">
        <v>0.99431999999999998</v>
      </c>
      <c r="P132" s="1">
        <v>1.0029699999999999</v>
      </c>
      <c r="Q132" s="1">
        <v>1.05298</v>
      </c>
      <c r="R132" s="1">
        <v>1.0579099999999999</v>
      </c>
      <c r="S132" s="1">
        <v>1.0320800000000001</v>
      </c>
      <c r="T132" s="1">
        <v>0.98411000000000004</v>
      </c>
      <c r="U132" s="1">
        <v>1.0015499999999999</v>
      </c>
      <c r="V132" s="1">
        <v>0.99431999999999998</v>
      </c>
      <c r="W132" s="1">
        <v>1.0029699999999999</v>
      </c>
      <c r="X132" s="1">
        <v>1.05298</v>
      </c>
      <c r="Y132" s="1">
        <v>1.0579099999999999</v>
      </c>
      <c r="Z132" s="1">
        <v>1.0320800000000001</v>
      </c>
      <c r="AA132" s="1">
        <v>0.98411000000000004</v>
      </c>
      <c r="AB132" s="1">
        <v>1.0015499999999999</v>
      </c>
      <c r="AC132" s="1">
        <v>0.99431999999999998</v>
      </c>
      <c r="AD132" s="1">
        <v>1.0029699999999999</v>
      </c>
      <c r="AE132" s="1">
        <v>1.05298</v>
      </c>
      <c r="AF132" s="1">
        <v>1.0579099999999999</v>
      </c>
      <c r="AG132" s="1">
        <v>1.0320800000000001</v>
      </c>
      <c r="AH132" s="1">
        <v>0.98411000000000004</v>
      </c>
      <c r="AI132" s="1">
        <v>1.0015499999999999</v>
      </c>
      <c r="AL132" s="4" t="s">
        <v>19</v>
      </c>
      <c r="AM132" s="6" cm="1">
        <f t="array" ref="AM132">IFERROR((SUMPRODUCT(($C$113:$C$136=AM$111)*($F$109:$AI$109="")*$F$113:$AI$136)+IF(AM$111="P3",SUMPRODUCT(($F$109:$AI$109="P3")*$F$113:$AI$136),0))/(SUMPRODUCT(($C$113:$C$136=AM$111)*($F$109:$AI$109=""))+IF(AM$111="P3",COUNTIF($F$109:$AI$109,"P3")*ROWS($C$113:$C$136),0)),"")</f>
        <v>0.97676937500000072</v>
      </c>
      <c r="AN132" s="6" cm="1">
        <f t="array" ref="AN132">IFERROR((SUMPRODUCT(($C$113:$C$136=AN$111)*($F$109:$AI$109="")*$F$113:$AI$136)+IF(AN$111="P3",SUMPRODUCT(($F$109:$AI$109="P3")*$F$113:$AI$136),0))/(SUMPRODUCT(($C$113:$C$136=AN$111)*($F$109:$AI$109=""))+IF(AN$111="P3",COUNTIF($F$109:$AI$109,"P3")*ROWS($C$113:$C$136),0)),"")</f>
        <v>1.1324562500000004</v>
      </c>
      <c r="AO132" s="6" cm="1">
        <f t="array" ref="AO132">IFERROR((SUMPRODUCT(($C$113:$C$136=AO$111)*($F$109:$AI$109="")*$F$113:$AI$136)+IF(AO$111="P3",SUMPRODUCT(($F$109:$AI$109="P3")*$F$113:$AI$136),0))/(SUMPRODUCT(($C$113:$C$136=AO$111)*($F$109:$AI$109=""))+IF(AO$111="P3",COUNTIF($F$109:$AI$109,"P3")*ROWS($C$113:$C$136),0)),"")</f>
        <v>1.0613980978260877</v>
      </c>
      <c r="AP132" s="6" t="str" cm="1">
        <f t="array" ref="AP132">IFERROR((SUMPRODUCT(($C$113:$C$136=AP$111)*($F$109:$AI$109="")*$F$113:$AI$136)+IF(AP$111="P3",SUMPRODUCT(($F$109:$AI$109="P3")*$F$113:$AI$136),0))/(SUMPRODUCT(($C$113:$C$136=AP$111)*($F$109:$AI$109=""))+IF(AP$111="P3",COUNTIF($F$109:$AI$109,"P3")*ROWS($C$113:$C$136),0)),"")</f>
        <v/>
      </c>
      <c r="AQ132" s="6" t="str" cm="1">
        <f t="array" ref="AQ132">IFERROR((SUMPRODUCT(($C$113:$C$136=AQ$111)*($F$109:$AI$109="")*$F$113:$AI$136)+IF(AQ$111="P3",SUMPRODUCT(($F$109:$AI$109="P3")*$F$113:$AI$136),0))/(SUMPRODUCT(($C$113:$C$136=AQ$111)*($F$109:$AI$109=""))+IF(AQ$111="P3",COUNTIF($F$109:$AI$109,"P3")*ROWS($C$113:$C$136),0)),"")</f>
        <v/>
      </c>
      <c r="AR132" s="6" t="str" cm="1">
        <f t="array" ref="AR132">IFERROR((SUMPRODUCT(($C$113:$C$136=AR$111)*($F$109:$AI$109="")*$F$113:$AI$136)+IF(AR$111="P3",SUMPRODUCT(($F$109:$AI$109="P3")*$F$113:$AI$136),0))/(SUMPRODUCT(($C$113:$C$136=AR$111)*($F$109:$AI$109=""))+IF(AR$111="P3",COUNTIF($F$109:$AI$109,"P3")*ROWS($C$113:$C$136),0)),"")</f>
        <v/>
      </c>
    </row>
    <row r="133" spans="1:44" ht="14.25" customHeight="1" x14ac:dyDescent="0.35">
      <c r="A133" s="1" t="s">
        <v>16</v>
      </c>
      <c r="B133" s="1" t="s">
        <v>16</v>
      </c>
      <c r="C133" s="1" t="s">
        <v>13</v>
      </c>
      <c r="D133" s="1" t="s">
        <v>16</v>
      </c>
      <c r="E133" s="1" t="s">
        <v>39</v>
      </c>
      <c r="F133" s="1">
        <v>1.0089900000000001</v>
      </c>
      <c r="G133" s="1">
        <v>1.0165500000000001</v>
      </c>
      <c r="H133" s="1">
        <v>1.00803</v>
      </c>
      <c r="I133" s="1">
        <v>1.01935</v>
      </c>
      <c r="J133" s="1">
        <v>1.0826199999999999</v>
      </c>
      <c r="K133" s="1">
        <v>1.1009599999999999</v>
      </c>
      <c r="L133" s="1">
        <v>1.04453</v>
      </c>
      <c r="M133" s="1">
        <v>1.0089900000000001</v>
      </c>
      <c r="N133" s="1">
        <v>1.0165500000000001</v>
      </c>
      <c r="O133" s="1">
        <v>1.00803</v>
      </c>
      <c r="P133" s="1">
        <v>1.01935</v>
      </c>
      <c r="Q133" s="1">
        <v>1.0826199999999999</v>
      </c>
      <c r="R133" s="1">
        <v>1.1009599999999999</v>
      </c>
      <c r="S133" s="1">
        <v>1.04453</v>
      </c>
      <c r="T133" s="1">
        <v>1.0089900000000001</v>
      </c>
      <c r="U133" s="1">
        <v>1.0165500000000001</v>
      </c>
      <c r="V133" s="1">
        <v>1.00803</v>
      </c>
      <c r="W133" s="1">
        <v>1.01935</v>
      </c>
      <c r="X133" s="1">
        <v>1.0826199999999999</v>
      </c>
      <c r="Y133" s="1">
        <v>1.1009599999999999</v>
      </c>
      <c r="Z133" s="1">
        <v>1.04453</v>
      </c>
      <c r="AA133" s="1">
        <v>1.0089900000000001</v>
      </c>
      <c r="AB133" s="1">
        <v>1.0165500000000001</v>
      </c>
      <c r="AC133" s="1">
        <v>1.00803</v>
      </c>
      <c r="AD133" s="1">
        <v>1.01935</v>
      </c>
      <c r="AE133" s="1">
        <v>1.0826199999999999</v>
      </c>
      <c r="AF133" s="1">
        <v>1.1009599999999999</v>
      </c>
      <c r="AG133" s="1">
        <v>1.04453</v>
      </c>
      <c r="AH133" s="1">
        <v>1.0089900000000001</v>
      </c>
      <c r="AI133" s="1">
        <v>1.0165500000000001</v>
      </c>
      <c r="AL133" s="4" t="s">
        <v>21</v>
      </c>
      <c r="AM133" s="6" t="str" cm="1">
        <f t="array" ref="AM133">IFERROR((SUMPRODUCT(($B$113:$B$136=AM$111)*($F$110:$AI$110="")*$F$113:$AI$136)+IF(AM$111="P6",SUMPRODUCT(($F$110:$AI$110="P6")*$F$113:$AI$136),0))/(SUMPRODUCT(($B$113:$B$136=AM$111)*($F$110:$AI$110=""))+IF(AM$111="P6",COUNTIF($F$110:$AI$110,"P6")*ROWS($B$113:$B$136),0)),"")</f>
        <v/>
      </c>
      <c r="AN133" s="6" t="str" cm="1">
        <f t="array" ref="AN133">IFERROR((SUMPRODUCT(($B$113:$B$136=AN$111)*($F$110:$AI$110="")*$F$113:$AI$136)+IF(AN$111="P6",SUMPRODUCT(($F$110:$AI$110="P6")*$F$113:$AI$136),0))/(SUMPRODUCT(($B$113:$B$136=AN$111)*($F$110:$AI$110=""))+IF(AN$111="P6",COUNTIF($F$110:$AI$110,"P6")*ROWS($B$113:$B$136),0)),"")</f>
        <v/>
      </c>
      <c r="AO133" s="6" t="str" cm="1">
        <f t="array" ref="AO133">IFERROR((SUMPRODUCT(($B$113:$B$136=AO$111)*($F$110:$AI$110="")*$F$113:$AI$136)+IF(AO$111="P6",SUMPRODUCT(($F$110:$AI$110="P6")*$F$113:$AI$136),0))/(SUMPRODUCT(($B$113:$B$136=AO$111)*($F$110:$AI$110=""))+IF(AO$111="P6",COUNTIF($F$110:$AI$110,"P6")*ROWS($B$113:$B$136),0)),"")</f>
        <v/>
      </c>
      <c r="AP133" s="6" cm="1">
        <f t="array" ref="AP133">IFERROR((SUMPRODUCT(($B$113:$B$136=AP$111)*($F$110:$AI$110="")*$F$113:$AI$136)+IF(AP$111="P6",SUMPRODUCT(($F$110:$AI$110="P6")*$F$113:$AI$136),0))/(SUMPRODUCT(($B$113:$B$136=AP$111)*($F$110:$AI$110=""))+IF(AP$111="P6",COUNTIF($F$110:$AI$110,"P6")*ROWS($B$113:$B$136),0)),"")</f>
        <v>0.98542328282828329</v>
      </c>
      <c r="AQ133" s="6" cm="1">
        <f t="array" ref="AQ133">IFERROR((SUMPRODUCT(($B$113:$B$136=AQ$111)*($F$110:$AI$110="")*$F$113:$AI$136)+IF(AQ$111="P6",SUMPRODUCT(($F$110:$AI$110="P6")*$F$113:$AI$136),0))/(SUMPRODUCT(($B$113:$B$136=AQ$111)*($F$110:$AI$110=""))+IF(AQ$111="P6",COUNTIF($F$110:$AI$110,"P6")*ROWS($B$113:$B$136),0)),"")</f>
        <v>1.1435707792207794</v>
      </c>
      <c r="AR133" s="6" cm="1">
        <f t="array" ref="AR133">IFERROR((SUMPRODUCT(($B$113:$B$136=AR$111)*($F$110:$AI$110="")*$F$113:$AI$136)+IF(AR$111="P6",SUMPRODUCT(($F$110:$AI$110="P6")*$F$113:$AI$136),0))/(SUMPRODUCT(($B$113:$B$136=AR$111)*($F$110:$AI$110=""))+IF(AR$111="P6",COUNTIF($F$110:$AI$110,"P6")*ROWS($B$113:$B$136),0)),"")</f>
        <v>1.0613980978260877</v>
      </c>
    </row>
    <row r="134" spans="1:44" ht="14.25" customHeight="1" x14ac:dyDescent="0.35">
      <c r="A134" s="1" t="s">
        <v>16</v>
      </c>
      <c r="B134" s="1" t="s">
        <v>16</v>
      </c>
      <c r="C134" s="1" t="s">
        <v>13</v>
      </c>
      <c r="D134" s="1" t="s">
        <v>16</v>
      </c>
      <c r="E134" s="1" t="s">
        <v>40</v>
      </c>
      <c r="F134" s="1">
        <v>1.02251</v>
      </c>
      <c r="G134" s="1">
        <v>1.0214300000000001</v>
      </c>
      <c r="H134" s="1">
        <v>1.0086599999999999</v>
      </c>
      <c r="I134" s="1">
        <v>1.02017</v>
      </c>
      <c r="J134" s="1">
        <v>1.0748899999999999</v>
      </c>
      <c r="K134" s="1">
        <v>1.08823</v>
      </c>
      <c r="L134" s="1">
        <v>1.0198799999999999</v>
      </c>
      <c r="M134" s="1">
        <v>1.02251</v>
      </c>
      <c r="N134" s="1">
        <v>1.0214300000000001</v>
      </c>
      <c r="O134" s="1">
        <v>1.0086599999999999</v>
      </c>
      <c r="P134" s="1">
        <v>1.02017</v>
      </c>
      <c r="Q134" s="1">
        <v>1.0748899999999999</v>
      </c>
      <c r="R134" s="1">
        <v>1.08823</v>
      </c>
      <c r="S134" s="1">
        <v>1.0198799999999999</v>
      </c>
      <c r="T134" s="1">
        <v>1.02251</v>
      </c>
      <c r="U134" s="1">
        <v>1.0214300000000001</v>
      </c>
      <c r="V134" s="1">
        <v>1.0086599999999999</v>
      </c>
      <c r="W134" s="1">
        <v>1.02017</v>
      </c>
      <c r="X134" s="1">
        <v>1.0748899999999999</v>
      </c>
      <c r="Y134" s="1">
        <v>1.08823</v>
      </c>
      <c r="Z134" s="1">
        <v>1.0198799999999999</v>
      </c>
      <c r="AA134" s="1">
        <v>1.02251</v>
      </c>
      <c r="AB134" s="1">
        <v>1.0214300000000001</v>
      </c>
      <c r="AC134" s="1">
        <v>1.0086599999999999</v>
      </c>
      <c r="AD134" s="1">
        <v>1.02017</v>
      </c>
      <c r="AE134" s="1">
        <v>1.0748899999999999</v>
      </c>
      <c r="AF134" s="1">
        <v>1.08823</v>
      </c>
      <c r="AG134" s="1">
        <v>1.0198799999999999</v>
      </c>
      <c r="AH134" s="1">
        <v>1.02251</v>
      </c>
      <c r="AI134" s="1">
        <v>1.0214300000000001</v>
      </c>
      <c r="AL134" s="4" t="s">
        <v>23</v>
      </c>
      <c r="AM134" s="6" t="str" cm="1">
        <f t="array" ref="AM134">IFERROR((SUMPRODUCT(($B$113:$B$136=AM$111)*($F$110:$AI$110="")*$F$113:$AI$136)+IF(AM$111="P6",SUMPRODUCT(($F$110:$AI$110="P6")*$F$113:$AI$136),0))/(SUMPRODUCT(($B$113:$B$136=AM$111)*($F$110:$AI$110=""))+IF(AM$111="P6",COUNTIF($F$110:$AI$110,"P6")*ROWS($B$113:$B$136),0)),"")</f>
        <v/>
      </c>
      <c r="AN134" s="6" t="str" cm="1">
        <f t="array" ref="AN134">IFERROR((SUMPRODUCT(($B$113:$B$136=AN$111)*($F$110:$AI$110="")*$F$113:$AI$136)+IF(AN$111="P6",SUMPRODUCT(($F$110:$AI$110="P6")*$F$113:$AI$136),0))/(SUMPRODUCT(($B$113:$B$136=AN$111)*($F$110:$AI$110=""))+IF(AN$111="P6",COUNTIF($F$110:$AI$110,"P6")*ROWS($B$113:$B$136),0)),"")</f>
        <v/>
      </c>
      <c r="AO134" s="6" t="str" cm="1">
        <f t="array" ref="AO134">IFERROR((SUMPRODUCT(($B$113:$B$136=AO$111)*($F$110:$AI$110="")*$F$113:$AI$136)+IF(AO$111="P6",SUMPRODUCT(($F$110:$AI$110="P6")*$F$113:$AI$136),0))/(SUMPRODUCT(($B$113:$B$136=AO$111)*($F$110:$AI$110=""))+IF(AO$111="P6",COUNTIF($F$110:$AI$110,"P6")*ROWS($B$113:$B$136),0)),"")</f>
        <v/>
      </c>
      <c r="AP134" s="6" cm="1">
        <f t="array" ref="AP134">IFERROR((SUMPRODUCT(($B$113:$B$136=AP$111)*($F$110:$AI$110="")*$F$113:$AI$136)+IF(AP$111="P6",SUMPRODUCT(($F$110:$AI$110="P6")*$F$113:$AI$136),0))/(SUMPRODUCT(($B$113:$B$136=AP$111)*($F$110:$AI$110=""))+IF(AP$111="P6",COUNTIF($F$110:$AI$110,"P6")*ROWS($B$113:$B$136),0)),"")</f>
        <v>0.98542328282828329</v>
      </c>
      <c r="AQ134" s="6" cm="1">
        <f t="array" ref="AQ134">IFERROR((SUMPRODUCT(($B$113:$B$136=AQ$111)*($F$110:$AI$110="")*$F$113:$AI$136)+IF(AQ$111="P6",SUMPRODUCT(($F$110:$AI$110="P6")*$F$113:$AI$136),0))/(SUMPRODUCT(($B$113:$B$136=AQ$111)*($F$110:$AI$110=""))+IF(AQ$111="P6",COUNTIF($F$110:$AI$110,"P6")*ROWS($B$113:$B$136),0)),"")</f>
        <v>1.1435707792207794</v>
      </c>
      <c r="AR134" s="6" cm="1">
        <f t="array" ref="AR134">IFERROR((SUMPRODUCT(($B$113:$B$136=AR$111)*($F$110:$AI$110="")*$F$113:$AI$136)+IF(AR$111="P6",SUMPRODUCT(($F$110:$AI$110="P6")*$F$113:$AI$136),0))/(SUMPRODUCT(($B$113:$B$136=AR$111)*($F$110:$AI$110=""))+IF(AR$111="P6",COUNTIF($F$110:$AI$110,"P6")*ROWS($B$113:$B$136),0)),"")</f>
        <v>1.0613980978260877</v>
      </c>
    </row>
    <row r="135" spans="1:44" ht="14.25" customHeight="1" x14ac:dyDescent="0.35">
      <c r="A135" s="1" t="s">
        <v>17</v>
      </c>
      <c r="B135" s="1" t="s">
        <v>17</v>
      </c>
      <c r="C135" s="1" t="s">
        <v>14</v>
      </c>
      <c r="D135" s="1" t="s">
        <v>17</v>
      </c>
      <c r="E135" s="1" t="s">
        <v>41</v>
      </c>
      <c r="F135" s="1">
        <v>1.23838</v>
      </c>
      <c r="G135" s="1">
        <v>1.21329</v>
      </c>
      <c r="H135" s="1">
        <v>1.2082200000000001</v>
      </c>
      <c r="I135" s="1">
        <v>1.2199</v>
      </c>
      <c r="J135" s="1">
        <v>1.29094</v>
      </c>
      <c r="K135" s="1">
        <v>1.1257600000000001</v>
      </c>
      <c r="L135" s="1">
        <v>1.0401499999999999</v>
      </c>
      <c r="M135" s="1">
        <v>1.23838</v>
      </c>
      <c r="N135" s="1">
        <v>1.21329</v>
      </c>
      <c r="O135" s="1">
        <v>1.2082200000000001</v>
      </c>
      <c r="P135" s="1">
        <v>1.2199</v>
      </c>
      <c r="Q135" s="1">
        <v>1.29094</v>
      </c>
      <c r="R135" s="1">
        <v>1.1257600000000001</v>
      </c>
      <c r="S135" s="1">
        <v>1.0401499999999999</v>
      </c>
      <c r="T135" s="1">
        <v>1.23838</v>
      </c>
      <c r="U135" s="1">
        <v>1.21329</v>
      </c>
      <c r="V135" s="1">
        <v>1.2082200000000001</v>
      </c>
      <c r="W135" s="1">
        <v>1.2199</v>
      </c>
      <c r="X135" s="1">
        <v>1.29094</v>
      </c>
      <c r="Y135" s="1">
        <v>1.1257600000000001</v>
      </c>
      <c r="Z135" s="1">
        <v>1.0401499999999999</v>
      </c>
      <c r="AA135" s="1">
        <v>1.23838</v>
      </c>
      <c r="AB135" s="1">
        <v>1.21329</v>
      </c>
      <c r="AC135" s="1">
        <v>1.2082200000000001</v>
      </c>
      <c r="AD135" s="1">
        <v>1.2199</v>
      </c>
      <c r="AE135" s="1">
        <v>1.29094</v>
      </c>
      <c r="AF135" s="1">
        <v>1.1257600000000001</v>
      </c>
      <c r="AG135" s="1">
        <v>1.0401499999999999</v>
      </c>
      <c r="AH135" s="1">
        <v>1.23838</v>
      </c>
      <c r="AI135" s="1">
        <v>1.21329</v>
      </c>
      <c r="AL135" s="4" t="s">
        <v>25</v>
      </c>
      <c r="AM135" s="6" t="str" cm="1">
        <f t="array" ref="AM135">IFERROR((SUMPRODUCT(($B$113:$B$136=AM$111)*($F$110:$AI$110="")*$F$113:$AI$136)+IF(AM$111="P6",SUMPRODUCT(($F$110:$AI$110="P6")*$F$113:$AI$136),0))/(SUMPRODUCT(($B$113:$B$136=AM$111)*($F$110:$AI$110=""))+IF(AM$111="P6",COUNTIF($F$110:$AI$110,"P6")*ROWS($B$113:$B$136),0)),"")</f>
        <v/>
      </c>
      <c r="AN135" s="6" t="str" cm="1">
        <f t="array" ref="AN135">IFERROR((SUMPRODUCT(($B$113:$B$136=AN$111)*($F$110:$AI$110="")*$F$113:$AI$136)+IF(AN$111="P6",SUMPRODUCT(($F$110:$AI$110="P6")*$F$113:$AI$136),0))/(SUMPRODUCT(($B$113:$B$136=AN$111)*($F$110:$AI$110=""))+IF(AN$111="P6",COUNTIF($F$110:$AI$110,"P6")*ROWS($B$113:$B$136),0)),"")</f>
        <v/>
      </c>
      <c r="AO135" s="6" t="str" cm="1">
        <f t="array" ref="AO135">IFERROR((SUMPRODUCT(($B$113:$B$136=AO$111)*($F$110:$AI$110="")*$F$113:$AI$136)+IF(AO$111="P6",SUMPRODUCT(($F$110:$AI$110="P6")*$F$113:$AI$136),0))/(SUMPRODUCT(($B$113:$B$136=AO$111)*($F$110:$AI$110=""))+IF(AO$111="P6",COUNTIF($F$110:$AI$110,"P6")*ROWS($B$113:$B$136),0)),"")</f>
        <v/>
      </c>
      <c r="AP135" s="6" cm="1">
        <f t="array" ref="AP135">IFERROR((SUMPRODUCT(($B$113:$B$136=AP$111)*($F$110:$AI$110="")*$F$113:$AI$136)+IF(AP$111="P6",SUMPRODUCT(($F$110:$AI$110="P6")*$F$113:$AI$136),0))/(SUMPRODUCT(($B$113:$B$136=AP$111)*($F$110:$AI$110=""))+IF(AP$111="P6",COUNTIF($F$110:$AI$110,"P6")*ROWS($B$113:$B$136),0)),"")</f>
        <v>0.98542328282828329</v>
      </c>
      <c r="AQ135" s="6" cm="1">
        <f t="array" ref="AQ135">IFERROR((SUMPRODUCT(($B$113:$B$136=AQ$111)*($F$110:$AI$110="")*$F$113:$AI$136)+IF(AQ$111="P6",SUMPRODUCT(($F$110:$AI$110="P6")*$F$113:$AI$136),0))/(SUMPRODUCT(($B$113:$B$136=AQ$111)*($F$110:$AI$110=""))+IF(AQ$111="P6",COUNTIF($F$110:$AI$110,"P6")*ROWS($B$113:$B$136),0)),"")</f>
        <v>1.1435707792207794</v>
      </c>
      <c r="AR135" s="6" cm="1">
        <f t="array" ref="AR135">IFERROR((SUMPRODUCT(($B$113:$B$136=AR$111)*($F$110:$AI$110="")*$F$113:$AI$136)+IF(AR$111="P6",SUMPRODUCT(($F$110:$AI$110="P6")*$F$113:$AI$136),0))/(SUMPRODUCT(($B$113:$B$136=AR$111)*($F$110:$AI$110=""))+IF(AR$111="P6",COUNTIF($F$110:$AI$110,"P6")*ROWS($B$113:$B$136),0)),"")</f>
        <v>1.0613980978260877</v>
      </c>
    </row>
    <row r="136" spans="1:44" ht="14.25" customHeight="1" x14ac:dyDescent="0.35">
      <c r="A136" s="1" t="s">
        <v>17</v>
      </c>
      <c r="B136" s="1" t="s">
        <v>17</v>
      </c>
      <c r="C136" s="1" t="s">
        <v>14</v>
      </c>
      <c r="D136" s="1" t="s">
        <v>17</v>
      </c>
      <c r="E136" s="1" t="s">
        <v>42</v>
      </c>
      <c r="F136" s="1">
        <v>1.3063100000000001</v>
      </c>
      <c r="G136" s="1">
        <v>1.2614399999999999</v>
      </c>
      <c r="H136" s="1">
        <v>1.2662199999999999</v>
      </c>
      <c r="I136" s="1">
        <v>1.26929</v>
      </c>
      <c r="J136" s="1">
        <v>1.3407</v>
      </c>
      <c r="K136" s="1">
        <v>1.1526000000000001</v>
      </c>
      <c r="L136" s="1">
        <v>1.07518</v>
      </c>
      <c r="M136" s="1">
        <v>1.3063100000000001</v>
      </c>
      <c r="N136" s="1">
        <v>1.2614399999999999</v>
      </c>
      <c r="O136" s="1">
        <v>1.2662199999999999</v>
      </c>
      <c r="P136" s="1">
        <v>1.26929</v>
      </c>
      <c r="Q136" s="1">
        <v>1.3407</v>
      </c>
      <c r="R136" s="1">
        <v>1.1526000000000001</v>
      </c>
      <c r="S136" s="1">
        <v>1.07518</v>
      </c>
      <c r="T136" s="1">
        <v>1.3063100000000001</v>
      </c>
      <c r="U136" s="1">
        <v>1.2614399999999999</v>
      </c>
      <c r="V136" s="1">
        <v>1.2662199999999999</v>
      </c>
      <c r="W136" s="1">
        <v>1.26929</v>
      </c>
      <c r="X136" s="1">
        <v>1.3407</v>
      </c>
      <c r="Y136" s="1">
        <v>1.1526000000000001</v>
      </c>
      <c r="Z136" s="1">
        <v>1.07518</v>
      </c>
      <c r="AA136" s="1">
        <v>1.3063100000000001</v>
      </c>
      <c r="AB136" s="1">
        <v>1.2614399999999999</v>
      </c>
      <c r="AC136" s="1">
        <v>1.2662199999999999</v>
      </c>
      <c r="AD136" s="1">
        <v>1.26929</v>
      </c>
      <c r="AE136" s="1">
        <v>1.3407</v>
      </c>
      <c r="AF136" s="1">
        <v>1.1526000000000001</v>
      </c>
      <c r="AG136" s="1">
        <v>1.07518</v>
      </c>
      <c r="AH136" s="1">
        <v>1.3063100000000001</v>
      </c>
      <c r="AI136" s="1">
        <v>1.2614399999999999</v>
      </c>
      <c r="AL136" s="4" t="s">
        <v>27</v>
      </c>
      <c r="AM136" s="6" t="str" cm="1">
        <f t="array" ref="AM136">IFERROR((SUMPRODUCT(($B$113:$B$136=AM$111)*($F$110:$AI$110="")*$F$113:$AI$136)+IF(AM$111="P6",SUMPRODUCT(($F$110:$AI$110="P6")*$F$113:$AI$136),0))/(SUMPRODUCT(($B$113:$B$136=AM$111)*($F$110:$AI$110=""))+IF(AM$111="P6",COUNTIF($F$110:$AI$110,"P6")*ROWS($B$113:$B$136),0)),"")</f>
        <v/>
      </c>
      <c r="AN136" s="6" t="str" cm="1">
        <f t="array" ref="AN136">IFERROR((SUMPRODUCT(($B$113:$B$136=AN$111)*($F$110:$AI$110="")*$F$113:$AI$136)+IF(AN$111="P6",SUMPRODUCT(($F$110:$AI$110="P6")*$F$113:$AI$136),0))/(SUMPRODUCT(($B$113:$B$136=AN$111)*($F$110:$AI$110=""))+IF(AN$111="P6",COUNTIF($F$110:$AI$110,"P6")*ROWS($B$113:$B$136),0)),"")</f>
        <v/>
      </c>
      <c r="AO136" s="6" t="str" cm="1">
        <f t="array" ref="AO136">IFERROR((SUMPRODUCT(($B$113:$B$136=AO$111)*($F$110:$AI$110="")*$F$113:$AI$136)+IF(AO$111="P6",SUMPRODUCT(($F$110:$AI$110="P6")*$F$113:$AI$136),0))/(SUMPRODUCT(($B$113:$B$136=AO$111)*($F$110:$AI$110=""))+IF(AO$111="P6",COUNTIF($F$110:$AI$110,"P6")*ROWS($B$113:$B$136),0)),"")</f>
        <v/>
      </c>
      <c r="AP136" s="6" cm="1">
        <f t="array" ref="AP136">IFERROR((SUMPRODUCT(($B$113:$B$136=AP$111)*($F$110:$AI$110="")*$F$113:$AI$136)+IF(AP$111="P6",SUMPRODUCT(($F$110:$AI$110="P6")*$F$113:$AI$136),0))/(SUMPRODUCT(($B$113:$B$136=AP$111)*($F$110:$AI$110=""))+IF(AP$111="P6",COUNTIF($F$110:$AI$110,"P6")*ROWS($B$113:$B$136),0)),"")</f>
        <v>0.98542328282828329</v>
      </c>
      <c r="AQ136" s="6" cm="1">
        <f t="array" ref="AQ136">IFERROR((SUMPRODUCT(($B$113:$B$136=AQ$111)*($F$110:$AI$110="")*$F$113:$AI$136)+IF(AQ$111="P6",SUMPRODUCT(($F$110:$AI$110="P6")*$F$113:$AI$136),0))/(SUMPRODUCT(($B$113:$B$136=AQ$111)*($F$110:$AI$110=""))+IF(AQ$111="P6",COUNTIF($F$110:$AI$110,"P6")*ROWS($B$113:$B$136),0)),"")</f>
        <v>1.1435707792207794</v>
      </c>
      <c r="AR136" s="6" cm="1">
        <f t="array" ref="AR136">IFERROR((SUMPRODUCT(($B$113:$B$136=AR$111)*($F$110:$AI$110="")*$F$113:$AI$136)+IF(AR$111="P6",SUMPRODUCT(($F$110:$AI$110="P6")*$F$113:$AI$136),0))/(SUMPRODUCT(($B$113:$B$136=AR$111)*($F$110:$AI$110=""))+IF(AR$111="P6",COUNTIF($F$110:$AI$110,"P6")*ROWS($B$113:$B$136),0)),"")</f>
        <v>1.0613980978260877</v>
      </c>
    </row>
    <row r="137" spans="1:44" ht="14.25" customHeight="1" x14ac:dyDescent="0.35">
      <c r="AL137" s="4" t="s">
        <v>29</v>
      </c>
      <c r="AM137" s="6" t="str" cm="1">
        <f t="array" ref="AM137">IFERROR((SUMPRODUCT(($B$113:$B$136=AM$111)*($F$110:$AI$110="")*$F$113:$AI$136)+IF(AM$111="P6",SUMPRODUCT(($F$110:$AI$110="P6")*$F$113:$AI$136),0))/(SUMPRODUCT(($B$113:$B$136=AM$111)*($F$110:$AI$110=""))+IF(AM$111="P6",COUNTIF($F$110:$AI$110,"P6")*ROWS($B$113:$B$136),0)),"")</f>
        <v/>
      </c>
      <c r="AN137" s="6" t="str" cm="1">
        <f t="array" ref="AN137">IFERROR((SUMPRODUCT(($B$113:$B$136=AN$111)*($F$110:$AI$110="")*$F$113:$AI$136)+IF(AN$111="P6",SUMPRODUCT(($F$110:$AI$110="P6")*$F$113:$AI$136),0))/(SUMPRODUCT(($B$113:$B$136=AN$111)*($F$110:$AI$110=""))+IF(AN$111="P6",COUNTIF($F$110:$AI$110,"P6")*ROWS($B$113:$B$136),0)),"")</f>
        <v/>
      </c>
      <c r="AO137" s="6" t="str" cm="1">
        <f t="array" ref="AO137">IFERROR((SUMPRODUCT(($B$113:$B$136=AO$111)*($F$110:$AI$110="")*$F$113:$AI$136)+IF(AO$111="P6",SUMPRODUCT(($F$110:$AI$110="P6")*$F$113:$AI$136),0))/(SUMPRODUCT(($B$113:$B$136=AO$111)*($F$110:$AI$110=""))+IF(AO$111="P6",COUNTIF($F$110:$AI$110,"P6")*ROWS($B$113:$B$136),0)),"")</f>
        <v/>
      </c>
      <c r="AP137" s="6" cm="1">
        <f t="array" ref="AP137">IFERROR((SUMPRODUCT(($B$113:$B$136=AP$111)*($F$110:$AI$110="")*$F$113:$AI$136)+IF(AP$111="P6",SUMPRODUCT(($F$110:$AI$110="P6")*$F$113:$AI$136),0))/(SUMPRODUCT(($B$113:$B$136=AP$111)*($F$110:$AI$110=""))+IF(AP$111="P6",COUNTIF($F$110:$AI$110,"P6")*ROWS($B$113:$B$136),0)),"")</f>
        <v>0.98542328282828329</v>
      </c>
      <c r="AQ137" s="6" cm="1">
        <f t="array" ref="AQ137">IFERROR((SUMPRODUCT(($B$113:$B$136=AQ$111)*($F$110:$AI$110="")*$F$113:$AI$136)+IF(AQ$111="P6",SUMPRODUCT(($F$110:$AI$110="P6")*$F$113:$AI$136),0))/(SUMPRODUCT(($B$113:$B$136=AQ$111)*($F$110:$AI$110=""))+IF(AQ$111="P6",COUNTIF($F$110:$AI$110,"P6")*ROWS($B$113:$B$136),0)),"")</f>
        <v>1.1435707792207794</v>
      </c>
      <c r="AR137" s="6" cm="1">
        <f t="array" ref="AR137">IFERROR((SUMPRODUCT(($B$113:$B$136=AR$111)*($F$110:$AI$110="")*$F$113:$AI$136)+IF(AR$111="P6",SUMPRODUCT(($F$110:$AI$110="P6")*$F$113:$AI$136),0))/(SUMPRODUCT(($B$113:$B$136=AR$111)*($F$110:$AI$110=""))+IF(AR$111="P6",COUNTIF($F$110:$AI$110,"P6")*ROWS($B$113:$B$136),0)),"")</f>
        <v>1.0613980978260877</v>
      </c>
    </row>
    <row r="141" spans="1:44" ht="14.25" customHeight="1" x14ac:dyDescent="0.35">
      <c r="A141" s="15" t="s">
        <v>169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</row>
    <row r="142" spans="1:44" ht="14.25" customHeight="1" x14ac:dyDescent="0.3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</row>
    <row r="143" spans="1:44" ht="14.25" customHeight="1" x14ac:dyDescent="0.35">
      <c r="AL143" s="10"/>
      <c r="AM143" s="10"/>
      <c r="AN143" s="10"/>
      <c r="AO143" s="10"/>
      <c r="AP143" s="10"/>
      <c r="AQ143" s="10"/>
      <c r="AR143" s="10"/>
    </row>
    <row r="144" spans="1:44" ht="14.25" customHeight="1" x14ac:dyDescent="0.35">
      <c r="F144" s="1" t="str">
        <f>IF(OR(F146="S",F146="D",F147=DATE(2024,5,1)),"P3","")</f>
        <v>P3</v>
      </c>
      <c r="G144" s="1" t="str">
        <f t="shared" ref="G144:AJ144" si="18">IF(OR(G146="S",G146="D",G147=DATE(2024,5,1)),"P3","")</f>
        <v/>
      </c>
      <c r="H144" s="1" t="str">
        <f t="shared" si="18"/>
        <v/>
      </c>
      <c r="I144" s="1" t="str">
        <f t="shared" si="18"/>
        <v>P3</v>
      </c>
      <c r="J144" s="1" t="str">
        <f t="shared" si="18"/>
        <v>P3</v>
      </c>
      <c r="K144" s="1" t="str">
        <f t="shared" si="18"/>
        <v/>
      </c>
      <c r="L144" s="1" t="str">
        <f t="shared" si="18"/>
        <v/>
      </c>
      <c r="M144" s="1" t="str">
        <f t="shared" si="18"/>
        <v/>
      </c>
      <c r="N144" s="1" t="str">
        <f t="shared" si="18"/>
        <v/>
      </c>
      <c r="O144" s="1" t="str">
        <f t="shared" si="18"/>
        <v/>
      </c>
      <c r="P144" s="1" t="str">
        <f t="shared" si="18"/>
        <v>P3</v>
      </c>
      <c r="Q144" s="1" t="str">
        <f t="shared" si="18"/>
        <v>P3</v>
      </c>
      <c r="R144" s="1" t="str">
        <f t="shared" si="18"/>
        <v/>
      </c>
      <c r="S144" s="1" t="str">
        <f t="shared" si="18"/>
        <v/>
      </c>
      <c r="T144" s="1" t="str">
        <f t="shared" si="18"/>
        <v/>
      </c>
      <c r="U144" s="1" t="str">
        <f t="shared" si="18"/>
        <v/>
      </c>
      <c r="V144" s="1" t="str">
        <f t="shared" si="18"/>
        <v/>
      </c>
      <c r="W144" s="1" t="str">
        <f t="shared" si="18"/>
        <v>P3</v>
      </c>
      <c r="X144" s="1" t="str">
        <f t="shared" si="18"/>
        <v>P3</v>
      </c>
      <c r="Y144" s="1" t="str">
        <f t="shared" si="18"/>
        <v/>
      </c>
      <c r="Z144" s="1" t="str">
        <f t="shared" si="18"/>
        <v/>
      </c>
      <c r="AA144" s="1" t="str">
        <f t="shared" si="18"/>
        <v/>
      </c>
      <c r="AB144" s="1" t="str">
        <f t="shared" si="18"/>
        <v/>
      </c>
      <c r="AC144" s="1" t="str">
        <f t="shared" si="18"/>
        <v/>
      </c>
      <c r="AD144" s="1" t="str">
        <f t="shared" si="18"/>
        <v>P3</v>
      </c>
      <c r="AE144" s="1" t="str">
        <f t="shared" si="18"/>
        <v>P3</v>
      </c>
      <c r="AF144" s="1" t="str">
        <f t="shared" si="18"/>
        <v/>
      </c>
      <c r="AG144" s="1" t="str">
        <f t="shared" si="18"/>
        <v/>
      </c>
      <c r="AH144" s="1" t="str">
        <f t="shared" si="18"/>
        <v/>
      </c>
      <c r="AI144" s="1" t="str">
        <f t="shared" si="18"/>
        <v/>
      </c>
      <c r="AJ144" s="1" t="str">
        <f t="shared" si="18"/>
        <v/>
      </c>
      <c r="AL144" s="10"/>
      <c r="AM144" s="10"/>
      <c r="AN144" s="10"/>
      <c r="AO144" s="10"/>
      <c r="AP144" s="10"/>
      <c r="AQ144" s="10"/>
      <c r="AR144" s="10"/>
    </row>
    <row r="145" spans="1:44" ht="14.25" customHeight="1" x14ac:dyDescent="0.35">
      <c r="F145" s="1" t="str">
        <f>IF(OR(F146="S",F146="D",F147=DATE(2024,5,1)),"P6","")</f>
        <v>P6</v>
      </c>
      <c r="G145" s="1" t="str">
        <f t="shared" ref="G145:AJ145" si="19">IF(OR(G146="S",G146="D",G147=DATE(2024,5,1)),"P6","")</f>
        <v/>
      </c>
      <c r="H145" s="1" t="str">
        <f t="shared" si="19"/>
        <v/>
      </c>
      <c r="I145" s="1" t="str">
        <f t="shared" si="19"/>
        <v>P6</v>
      </c>
      <c r="J145" s="1" t="str">
        <f t="shared" si="19"/>
        <v>P6</v>
      </c>
      <c r="K145" s="1" t="str">
        <f t="shared" si="19"/>
        <v/>
      </c>
      <c r="L145" s="1" t="str">
        <f t="shared" si="19"/>
        <v/>
      </c>
      <c r="M145" s="1" t="str">
        <f t="shared" si="19"/>
        <v/>
      </c>
      <c r="N145" s="1" t="str">
        <f t="shared" si="19"/>
        <v/>
      </c>
      <c r="O145" s="1" t="str">
        <f t="shared" si="19"/>
        <v/>
      </c>
      <c r="P145" s="1" t="str">
        <f t="shared" si="19"/>
        <v>P6</v>
      </c>
      <c r="Q145" s="1" t="str">
        <f t="shared" si="19"/>
        <v>P6</v>
      </c>
      <c r="R145" s="1" t="str">
        <f t="shared" si="19"/>
        <v/>
      </c>
      <c r="S145" s="1" t="str">
        <f t="shared" si="19"/>
        <v/>
      </c>
      <c r="T145" s="1" t="str">
        <f t="shared" si="19"/>
        <v/>
      </c>
      <c r="U145" s="1" t="str">
        <f t="shared" si="19"/>
        <v/>
      </c>
      <c r="V145" s="1" t="str">
        <f t="shared" si="19"/>
        <v/>
      </c>
      <c r="W145" s="1" t="str">
        <f t="shared" si="19"/>
        <v>P6</v>
      </c>
      <c r="X145" s="1" t="str">
        <f t="shared" si="19"/>
        <v>P6</v>
      </c>
      <c r="Y145" s="1" t="str">
        <f t="shared" si="19"/>
        <v/>
      </c>
      <c r="Z145" s="1" t="str">
        <f t="shared" si="19"/>
        <v/>
      </c>
      <c r="AA145" s="1" t="str">
        <f t="shared" si="19"/>
        <v/>
      </c>
      <c r="AB145" s="1" t="str">
        <f t="shared" si="19"/>
        <v/>
      </c>
      <c r="AC145" s="1" t="str">
        <f t="shared" si="19"/>
        <v/>
      </c>
      <c r="AD145" s="1" t="str">
        <f t="shared" si="19"/>
        <v>P6</v>
      </c>
      <c r="AE145" s="1" t="str">
        <f t="shared" si="19"/>
        <v>P6</v>
      </c>
      <c r="AF145" s="1" t="str">
        <f t="shared" si="19"/>
        <v/>
      </c>
      <c r="AG145" s="1" t="str">
        <f t="shared" si="19"/>
        <v/>
      </c>
      <c r="AH145" s="1" t="str">
        <f t="shared" si="19"/>
        <v/>
      </c>
      <c r="AI145" s="1" t="str">
        <f t="shared" si="19"/>
        <v/>
      </c>
      <c r="AJ145" s="1" t="str">
        <f t="shared" si="19"/>
        <v/>
      </c>
      <c r="AL145" s="14" t="s">
        <v>170</v>
      </c>
      <c r="AM145" s="14"/>
      <c r="AN145" s="14"/>
      <c r="AO145" s="14"/>
      <c r="AP145" s="14"/>
      <c r="AQ145" s="14"/>
      <c r="AR145" s="14"/>
    </row>
    <row r="146" spans="1:44" ht="14.25" customHeight="1" x14ac:dyDescent="0.35">
      <c r="F146" s="1" t="str">
        <f>CHOOSE(WEEKDAY(F147,2),"L","M","X","J","V","S","D")</f>
        <v>X</v>
      </c>
      <c r="G146" s="1" t="str">
        <f t="shared" ref="G146:AJ146" si="20">CHOOSE(WEEKDAY(G147,2),"L","M","X","J","V","S","D")</f>
        <v>J</v>
      </c>
      <c r="H146" s="1" t="str">
        <f t="shared" si="20"/>
        <v>V</v>
      </c>
      <c r="I146" s="1" t="str">
        <f t="shared" si="20"/>
        <v>S</v>
      </c>
      <c r="J146" s="1" t="str">
        <f t="shared" si="20"/>
        <v>D</v>
      </c>
      <c r="K146" s="1" t="str">
        <f t="shared" si="20"/>
        <v>L</v>
      </c>
      <c r="L146" s="1" t="str">
        <f t="shared" si="20"/>
        <v>M</v>
      </c>
      <c r="M146" s="1" t="str">
        <f t="shared" si="20"/>
        <v>X</v>
      </c>
      <c r="N146" s="1" t="str">
        <f t="shared" si="20"/>
        <v>J</v>
      </c>
      <c r="O146" s="1" t="str">
        <f t="shared" si="20"/>
        <v>V</v>
      </c>
      <c r="P146" s="1" t="str">
        <f t="shared" si="20"/>
        <v>S</v>
      </c>
      <c r="Q146" s="1" t="str">
        <f t="shared" si="20"/>
        <v>D</v>
      </c>
      <c r="R146" s="1" t="str">
        <f t="shared" si="20"/>
        <v>L</v>
      </c>
      <c r="S146" s="1" t="str">
        <f t="shared" si="20"/>
        <v>M</v>
      </c>
      <c r="T146" s="1" t="str">
        <f t="shared" si="20"/>
        <v>X</v>
      </c>
      <c r="U146" s="1" t="str">
        <f t="shared" si="20"/>
        <v>J</v>
      </c>
      <c r="V146" s="1" t="str">
        <f t="shared" si="20"/>
        <v>V</v>
      </c>
      <c r="W146" s="1" t="str">
        <f t="shared" si="20"/>
        <v>S</v>
      </c>
      <c r="X146" s="1" t="str">
        <f t="shared" si="20"/>
        <v>D</v>
      </c>
      <c r="Y146" s="1" t="str">
        <f t="shared" si="20"/>
        <v>L</v>
      </c>
      <c r="Z146" s="1" t="str">
        <f t="shared" si="20"/>
        <v>M</v>
      </c>
      <c r="AA146" s="1" t="str">
        <f t="shared" si="20"/>
        <v>X</v>
      </c>
      <c r="AB146" s="1" t="str">
        <f t="shared" si="20"/>
        <v>J</v>
      </c>
      <c r="AC146" s="1" t="str">
        <f t="shared" si="20"/>
        <v>V</v>
      </c>
      <c r="AD146" s="1" t="str">
        <f t="shared" si="20"/>
        <v>S</v>
      </c>
      <c r="AE146" s="1" t="str">
        <f t="shared" si="20"/>
        <v>D</v>
      </c>
      <c r="AF146" s="1" t="str">
        <f t="shared" si="20"/>
        <v>L</v>
      </c>
      <c r="AG146" s="1" t="str">
        <f t="shared" si="20"/>
        <v>M</v>
      </c>
      <c r="AH146" s="1" t="str">
        <f t="shared" si="20"/>
        <v>X</v>
      </c>
      <c r="AI146" s="1" t="str">
        <f t="shared" si="20"/>
        <v>J</v>
      </c>
      <c r="AJ146" s="1" t="str">
        <f t="shared" si="20"/>
        <v>V</v>
      </c>
      <c r="AL146" s="4"/>
      <c r="AM146" s="4" t="s">
        <v>13</v>
      </c>
      <c r="AN146" s="4" t="s">
        <v>14</v>
      </c>
      <c r="AO146" s="4" t="s">
        <v>15</v>
      </c>
      <c r="AP146" s="4" t="s">
        <v>16</v>
      </c>
      <c r="AQ146" s="4" t="s">
        <v>17</v>
      </c>
      <c r="AR146" s="4" t="s">
        <v>7</v>
      </c>
    </row>
    <row r="147" spans="1:44" s="8" customFormat="1" ht="14.25" customHeight="1" x14ac:dyDescent="0.35">
      <c r="A147" s="3" t="s">
        <v>76</v>
      </c>
      <c r="B147" s="3" t="s">
        <v>77</v>
      </c>
      <c r="C147" s="3" t="s">
        <v>75</v>
      </c>
      <c r="D147" s="3" t="s">
        <v>74</v>
      </c>
      <c r="F147" s="8">
        <v>45413</v>
      </c>
      <c r="G147" s="8">
        <v>45414</v>
      </c>
      <c r="H147" s="8">
        <v>45415</v>
      </c>
      <c r="I147" s="8">
        <v>45416</v>
      </c>
      <c r="J147" s="8">
        <v>45417</v>
      </c>
      <c r="K147" s="8">
        <v>45418</v>
      </c>
      <c r="L147" s="8">
        <v>45419</v>
      </c>
      <c r="M147" s="8">
        <v>45420</v>
      </c>
      <c r="N147" s="8">
        <v>45421</v>
      </c>
      <c r="O147" s="8">
        <v>45422</v>
      </c>
      <c r="P147" s="8">
        <v>45423</v>
      </c>
      <c r="Q147" s="8">
        <v>45424</v>
      </c>
      <c r="R147" s="8">
        <v>45425</v>
      </c>
      <c r="S147" s="8">
        <v>45426</v>
      </c>
      <c r="T147" s="8">
        <v>45427</v>
      </c>
      <c r="U147" s="8">
        <v>45428</v>
      </c>
      <c r="V147" s="8">
        <v>45429</v>
      </c>
      <c r="W147" s="8">
        <v>45430</v>
      </c>
      <c r="X147" s="8">
        <v>45431</v>
      </c>
      <c r="Y147" s="8">
        <v>45432</v>
      </c>
      <c r="Z147" s="8">
        <v>45433</v>
      </c>
      <c r="AA147" s="8">
        <v>45434</v>
      </c>
      <c r="AB147" s="8">
        <v>45435</v>
      </c>
      <c r="AC147" s="8">
        <v>45436</v>
      </c>
      <c r="AD147" s="8">
        <v>45437</v>
      </c>
      <c r="AE147" s="8">
        <v>45438</v>
      </c>
      <c r="AF147" s="8">
        <v>45439</v>
      </c>
      <c r="AG147" s="8">
        <v>45440</v>
      </c>
      <c r="AH147" s="8">
        <v>45441</v>
      </c>
      <c r="AI147" s="8">
        <v>45442</v>
      </c>
      <c r="AJ147" s="8">
        <v>45443</v>
      </c>
      <c r="AL147" s="4" t="s">
        <v>19</v>
      </c>
      <c r="AM147" s="6" cm="1">
        <f t="array" ref="AM147">IFERROR((SUMPRODUCT(($C$148:$C$171=AM$146)*($F$144:$AJ$144="")*$F$148:$AJ$171)+IF(AM$146="P3",SUMPRODUCT(($F$144:$AJ$144="P3")*$F$148:$AJ$171),0))/(SUMPRODUCT(($C$148:$C$171=AM$146)*($F$144:$AJ$144=""))+IF(AM$146="P3",COUNTIF($F$144:$AJ$144,"P3")*ROWS($C$148:$C$171),0)),"")</f>
        <v>0.91834295454545445</v>
      </c>
      <c r="AN147" s="6" cm="1">
        <f t="array" ref="AN147">IFERROR((SUMPRODUCT(($C$148:$C$171=AN$146)*($F$144:$AJ$144="")*$F$148:$AJ$171)+IF(AN$146="P3",SUMPRODUCT(($F$144:$AJ$144="P3")*$F$148:$AJ$171),0))/(SUMPRODUCT(($C$148:$C$171=AN$146)*($F$144:$AJ$144=""))+IF(AN$146="P3",COUNTIF($F$144:$AJ$144,"P3")*ROWS($C$148:$C$171),0)),"")</f>
        <v>1.0773881818181832</v>
      </c>
      <c r="AO147" s="6" cm="1">
        <f t="array" ref="AO147">IFERROR((SUMPRODUCT(($C$148:$C$171=AO$146)*($F$144:$AJ$144="")*$F$148:$AJ$171)+IF(AO$146="P3",SUMPRODUCT(($F$144:$AJ$144="P3")*$F$148:$AJ$171),0))/(SUMPRODUCT(($C$148:$C$171=AO$146)*($F$144:$AJ$144=""))+IF(AO$146="P3",COUNTIF($F$144:$AJ$144,"P3")*ROWS($C$148:$C$171),0)),"")</f>
        <v>1.0007234183673475</v>
      </c>
      <c r="AP147" s="6" t="str" cm="1">
        <f t="array" ref="AP147">IFERROR((SUMPRODUCT(($C$148:$C$171=AP$146)*($F$144:$AJ$144="")*$F$148:$AJ$171)+IF(AP$146="P3",SUMPRODUCT(($F$144:$AJ$144="P3")*$F$148:$AJ$171),0))/(SUMPRODUCT(($C$148:$C$171=AP$146)*($F$144:$AJ$144=""))+IF(AP$146="P3",COUNTIF($F$144:$AJ$144,"P3")*ROWS($C$148:$C$171),0)),"")</f>
        <v/>
      </c>
      <c r="AQ147" s="6" t="str" cm="1">
        <f t="array" ref="AQ147">IFERROR((SUMPRODUCT(($C$148:$C$171=AQ$146)*($F$144:$AJ$144="")*$F$148:$AJ$171)+IF(AQ$146="P3",SUMPRODUCT(($F$144:$AJ$144="P3")*$F$148:$AJ$171),0))/(SUMPRODUCT(($C$148:$C$171=AQ$146)*($F$144:$AJ$144=""))+IF(AQ$146="P3",COUNTIF($F$144:$AJ$144,"P3")*ROWS($C$148:$C$171),0)),"")</f>
        <v/>
      </c>
      <c r="AR147" s="6" t="str" cm="1">
        <f t="array" ref="AR147">IFERROR((SUMPRODUCT(($C$148:$C$171=AR$146)*($F$144:$AJ$144="")*$F$148:$AJ$171)+IF(AR$146="P3",SUMPRODUCT(($F$144:$AJ$144="P3")*$F$148:$AJ$171),0))/(SUMPRODUCT(($C$148:$C$171=AR$146)*($F$144:$AJ$144=""))+IF(AR$146="P3",COUNTIF($F$144:$AJ$144,"P3")*ROWS($C$148:$C$171),0)),"")</f>
        <v/>
      </c>
    </row>
    <row r="148" spans="1:44" ht="14.25" customHeight="1" x14ac:dyDescent="0.35">
      <c r="A148" s="1" t="s">
        <v>7</v>
      </c>
      <c r="B148" s="1" t="s">
        <v>7</v>
      </c>
      <c r="C148" s="1" t="s">
        <v>15</v>
      </c>
      <c r="D148" s="1" t="s">
        <v>7</v>
      </c>
      <c r="E148" s="1" t="s">
        <v>8</v>
      </c>
      <c r="F148" s="1">
        <v>1.07362</v>
      </c>
      <c r="G148" s="1">
        <v>1.0402499999999999</v>
      </c>
      <c r="H148" s="1">
        <v>1.03654</v>
      </c>
      <c r="I148" s="1">
        <v>1.0687500000000001</v>
      </c>
      <c r="J148" s="1">
        <v>1.1012299999999999</v>
      </c>
      <c r="K148" s="1">
        <v>1.0457399999999999</v>
      </c>
      <c r="L148" s="1">
        <v>1.0159800000000001</v>
      </c>
      <c r="M148" s="1">
        <v>0.97448000000000001</v>
      </c>
      <c r="N148" s="1">
        <v>1.0402499999999999</v>
      </c>
      <c r="O148" s="1">
        <v>1.03654</v>
      </c>
      <c r="P148" s="1">
        <v>1.0687500000000001</v>
      </c>
      <c r="Q148" s="1">
        <v>1.1012299999999999</v>
      </c>
      <c r="R148" s="1">
        <v>1.0457399999999999</v>
      </c>
      <c r="S148" s="1">
        <v>1.0159800000000001</v>
      </c>
      <c r="T148" s="1">
        <v>0.97448000000000001</v>
      </c>
      <c r="U148" s="1">
        <v>1.0402499999999999</v>
      </c>
      <c r="V148" s="1">
        <v>1.03654</v>
      </c>
      <c r="W148" s="1">
        <v>1.0687500000000001</v>
      </c>
      <c r="X148" s="1">
        <v>1.1012299999999999</v>
      </c>
      <c r="Y148" s="1">
        <v>1.0457399999999999</v>
      </c>
      <c r="Z148" s="1">
        <v>1.0159800000000001</v>
      </c>
      <c r="AA148" s="1">
        <v>0.97448000000000001</v>
      </c>
      <c r="AB148" s="1">
        <v>1.0402499999999999</v>
      </c>
      <c r="AC148" s="1">
        <v>1.03654</v>
      </c>
      <c r="AD148" s="1">
        <v>1.0687500000000001</v>
      </c>
      <c r="AE148" s="1">
        <v>1.1012299999999999</v>
      </c>
      <c r="AF148" s="1">
        <v>1.0457399999999999</v>
      </c>
      <c r="AG148" s="1">
        <v>1.0159800000000001</v>
      </c>
      <c r="AH148" s="1">
        <v>0.97448000000000001</v>
      </c>
      <c r="AI148" s="1">
        <v>1.0402499999999999</v>
      </c>
      <c r="AJ148" s="1">
        <v>1.03654</v>
      </c>
      <c r="AL148" s="4" t="s">
        <v>21</v>
      </c>
      <c r="AM148" s="6" t="str" cm="1">
        <f t="array" ref="AM148">IFERROR((SUMPRODUCT(($D$148:$D$171=AM$146)*($F$145:$AJ$145="")*$F$148:$AJ$171)+IF(AM$146="P6",SUMPRODUCT(($F$145:$AJ$145="P6")*$F$148:$AJ$171),0))/(SUMPRODUCT(($D$148:$D$171=AM$146)*($F$145:$AJ$145=""))+IF(AM$146="P6",COUNTIF($F$145:$AJ$145,"P6")*ROWS($D$148:$D$171),0)),"")</f>
        <v/>
      </c>
      <c r="AN148" s="6" t="str" cm="1">
        <f t="array" ref="AN148">IFERROR((SUMPRODUCT(($D$148:$D$171=AN$146)*($F$145:$AJ$145="")*$F$148:$AJ$171)+IF(AN$146="P6",SUMPRODUCT(($F$145:$AJ$145="P6")*$F$148:$AJ$171),0))/(SUMPRODUCT(($D$148:$D$171=AN$146)*($F$145:$AJ$145=""))+IF(AN$146="P6",COUNTIF($F$145:$AJ$145,"P6")*ROWS($D$148:$D$171),0)),"")</f>
        <v/>
      </c>
      <c r="AO148" s="6" t="str" cm="1">
        <f t="array" ref="AO148">IFERROR((SUMPRODUCT(($D$148:$D$171=AO$146)*($F$145:$AJ$145="")*$F$148:$AJ$171)+IF(AO$146="P6",SUMPRODUCT(($F$145:$AJ$145="P6")*$F$148:$AJ$171),0))/(SUMPRODUCT(($D$148:$D$171=AO$146)*($F$145:$AJ$145=""))+IF(AO$146="P6",COUNTIF($F$145:$AJ$145,"P6")*ROWS($D$148:$D$171),0)),"")</f>
        <v/>
      </c>
      <c r="AP148" s="6" cm="1">
        <f t="array" ref="AP148">IFERROR((SUMPRODUCT(($D$148:$D$171=AP$146)*($F$145:$AJ$145="")*$F$148:$AJ$171)+IF(AP$146="P6",SUMPRODUCT(($F$145:$AJ$145="P6")*$F$148:$AJ$171),0))/(SUMPRODUCT(($D$148:$D$171=AP$146)*($F$145:$AJ$145=""))+IF(AP$146="P6",COUNTIF($F$145:$AJ$145,"P6")*ROWS($D$148:$D$171),0)),"")</f>
        <v>0.9161388888888885</v>
      </c>
      <c r="AQ148" s="6" cm="1">
        <f t="array" ref="AQ148">IFERROR((SUMPRODUCT(($D$148:$D$171=AQ$146)*($F$145:$AJ$145="")*$F$148:$AJ$171)+IF(AQ$146="P6",SUMPRODUCT(($F$145:$AJ$145="P6")*$F$148:$AJ$171),0))/(SUMPRODUCT(($D$148:$D$171=AQ$146)*($F$145:$AJ$145=""))+IF(AQ$146="P6",COUNTIF($F$145:$AJ$145,"P6")*ROWS($D$148:$D$171),0)),"")</f>
        <v>1.1029427272727281</v>
      </c>
      <c r="AR148" s="6" cm="1">
        <f t="array" ref="AR148">IFERROR((SUMPRODUCT(($D$148:$D$171=AR$146)*($F$145:$AJ$145="")*$F$148:$AJ$171)+IF(AR$146="P6",SUMPRODUCT(($F$145:$AJ$145="P6")*$F$148:$AJ$171),0))/(SUMPRODUCT(($D$148:$D$171=AR$146)*($F$145:$AJ$145=""))+IF(AR$146="P6",COUNTIF($F$145:$AJ$145,"P6")*ROWS($D$148:$D$171),0)),"")</f>
        <v>1.0007234183673475</v>
      </c>
    </row>
    <row r="149" spans="1:44" ht="14.25" customHeight="1" x14ac:dyDescent="0.35">
      <c r="A149" s="1" t="s">
        <v>7</v>
      </c>
      <c r="B149" s="1" t="s">
        <v>7</v>
      </c>
      <c r="C149" s="1" t="s">
        <v>15</v>
      </c>
      <c r="D149" s="1" t="s">
        <v>7</v>
      </c>
      <c r="E149" s="1" t="s">
        <v>9</v>
      </c>
      <c r="F149" s="1">
        <v>1.1116999999999999</v>
      </c>
      <c r="G149" s="1">
        <v>1.07043</v>
      </c>
      <c r="H149" s="1">
        <v>1.05793</v>
      </c>
      <c r="I149" s="1">
        <v>1.0818099999999999</v>
      </c>
      <c r="J149" s="1">
        <v>1.11242</v>
      </c>
      <c r="K149" s="1">
        <v>1.0682100000000001</v>
      </c>
      <c r="L149" s="1">
        <v>1.0464800000000001</v>
      </c>
      <c r="M149" s="1">
        <v>0.99</v>
      </c>
      <c r="N149" s="1">
        <v>1.07043</v>
      </c>
      <c r="O149" s="1">
        <v>1.05793</v>
      </c>
      <c r="P149" s="1">
        <v>1.0818099999999999</v>
      </c>
      <c r="Q149" s="1">
        <v>1.11242</v>
      </c>
      <c r="R149" s="1">
        <v>1.0682100000000001</v>
      </c>
      <c r="S149" s="1">
        <v>1.0464800000000001</v>
      </c>
      <c r="T149" s="1">
        <v>0.99</v>
      </c>
      <c r="U149" s="1">
        <v>1.07043</v>
      </c>
      <c r="V149" s="1">
        <v>1.05793</v>
      </c>
      <c r="W149" s="1">
        <v>1.0818099999999999</v>
      </c>
      <c r="X149" s="1">
        <v>1.11242</v>
      </c>
      <c r="Y149" s="1">
        <v>1.0682100000000001</v>
      </c>
      <c r="Z149" s="1">
        <v>1.0464800000000001</v>
      </c>
      <c r="AA149" s="1">
        <v>0.99</v>
      </c>
      <c r="AB149" s="1">
        <v>1.07043</v>
      </c>
      <c r="AC149" s="1">
        <v>1.05793</v>
      </c>
      <c r="AD149" s="1">
        <v>1.0818099999999999</v>
      </c>
      <c r="AE149" s="1">
        <v>1.11242</v>
      </c>
      <c r="AF149" s="1">
        <v>1.0682100000000001</v>
      </c>
      <c r="AG149" s="1">
        <v>1.0464800000000001</v>
      </c>
      <c r="AH149" s="1">
        <v>0.99</v>
      </c>
      <c r="AI149" s="1">
        <v>1.07043</v>
      </c>
      <c r="AJ149" s="1">
        <v>1.05793</v>
      </c>
      <c r="AL149" s="4" t="s">
        <v>23</v>
      </c>
      <c r="AM149" s="6" t="str" cm="1">
        <f t="array" ref="AM149">IFERROR((SUMPRODUCT(($D$148:$D$171=AM$146)*($F$145:$AJ$145="")*$F$148:$AJ$171)+IF(AM$146="P6",SUMPRODUCT(($F$145:$AJ$145="P6")*$F$148:$AJ$171),0))/(SUMPRODUCT(($D$148:$D$171=AM$146)*($F$145:$AJ$145=""))+IF(AM$146="P6",COUNTIF($F$145:$AJ$145,"P6")*ROWS($D$148:$D$171),0)),"")</f>
        <v/>
      </c>
      <c r="AN149" s="6" t="str" cm="1">
        <f t="array" ref="AN149">IFERROR((SUMPRODUCT(($D$148:$D$171=AN$146)*($F$145:$AJ$145="")*$F$148:$AJ$171)+IF(AN$146="P6",SUMPRODUCT(($F$145:$AJ$145="P6")*$F$148:$AJ$171),0))/(SUMPRODUCT(($D$148:$D$171=AN$146)*($F$145:$AJ$145=""))+IF(AN$146="P6",COUNTIF($F$145:$AJ$145,"P6")*ROWS($D$148:$D$171),0)),"")</f>
        <v/>
      </c>
      <c r="AO149" s="5" t="str" cm="1">
        <f t="array" ref="AO149">IFERROR((SUMPRODUCT(($D$148:$D$171=AO$146)*($F$145:$AJ$145="")*$F$148:$AJ$171)+IF(AO$146="P6",SUMPRODUCT(($F$145:$AJ$145="P6")*$F$148:$AJ$171),0))/(SUMPRODUCT(($D$148:$D$171=AO$146)*($F$145:$AJ$145=""))+IF(AO$146="P6",COUNTIF($F$145:$AJ$145,"P6")*ROWS($D$148:$D$171),0)),"")</f>
        <v/>
      </c>
      <c r="AP149" s="5" cm="1">
        <f t="array" ref="AP149">IFERROR((SUMPRODUCT(($D$148:$D$171=AP$146)*($F$145:$AJ$145="")*$F$148:$AJ$171)+IF(AP$146="P6",SUMPRODUCT(($F$145:$AJ$145="P6")*$F$148:$AJ$171),0))/(SUMPRODUCT(($D$148:$D$171=AP$146)*($F$145:$AJ$145=""))+IF(AP$146="P6",COUNTIF($F$145:$AJ$145,"P6")*ROWS($D$148:$D$171),0)),"")</f>
        <v>0.9161388888888885</v>
      </c>
      <c r="AQ149" s="5" cm="1">
        <f t="array" ref="AQ149">IFERROR((SUMPRODUCT(($D$148:$D$171=AQ$146)*($F$145:$AJ$145="")*$F$148:$AJ$171)+IF(AQ$146="P6",SUMPRODUCT(($F$145:$AJ$145="P6")*$F$148:$AJ$171),0))/(SUMPRODUCT(($D$148:$D$171=AQ$146)*($F$145:$AJ$145=""))+IF(AQ$146="P6",COUNTIF($F$145:$AJ$145,"P6")*ROWS($D$148:$D$171),0)),"")</f>
        <v>1.1029427272727281</v>
      </c>
      <c r="AR149" s="6" cm="1">
        <f t="array" ref="AR149">IFERROR((SUMPRODUCT(($D$148:$D$171=AR$146)*($F$145:$AJ$145="")*$F$148:$AJ$171)+IF(AR$146="P6",SUMPRODUCT(($F$145:$AJ$145="P6")*$F$148:$AJ$171),0))/(SUMPRODUCT(($D$148:$D$171=AR$146)*($F$145:$AJ$145=""))+IF(AR$146="P6",COUNTIF($F$145:$AJ$145,"P6")*ROWS($D$148:$D$171),0)),"")</f>
        <v>1.0007234183673475</v>
      </c>
    </row>
    <row r="150" spans="1:44" ht="14.25" customHeight="1" x14ac:dyDescent="0.35">
      <c r="A150" s="1" t="s">
        <v>7</v>
      </c>
      <c r="B150" s="1" t="s">
        <v>7</v>
      </c>
      <c r="C150" s="1" t="s">
        <v>15</v>
      </c>
      <c r="D150" s="1" t="s">
        <v>7</v>
      </c>
      <c r="E150" s="1" t="s">
        <v>10</v>
      </c>
      <c r="F150" s="1">
        <v>1.16194</v>
      </c>
      <c r="G150" s="1">
        <v>1.07534</v>
      </c>
      <c r="H150" s="1">
        <v>1.05819</v>
      </c>
      <c r="I150" s="1">
        <v>1.0999099999999999</v>
      </c>
      <c r="J150" s="1">
        <v>1.13405</v>
      </c>
      <c r="K150" s="1">
        <v>1.0827500000000001</v>
      </c>
      <c r="L150" s="1">
        <v>1.06229</v>
      </c>
      <c r="M150" s="1">
        <v>0.99895999999999996</v>
      </c>
      <c r="N150" s="1">
        <v>1.07534</v>
      </c>
      <c r="O150" s="1">
        <v>1.05819</v>
      </c>
      <c r="P150" s="1">
        <v>1.0999099999999999</v>
      </c>
      <c r="Q150" s="1">
        <v>1.13405</v>
      </c>
      <c r="R150" s="1">
        <v>1.0827500000000001</v>
      </c>
      <c r="S150" s="1">
        <v>1.06229</v>
      </c>
      <c r="T150" s="1">
        <v>0.99895999999999996</v>
      </c>
      <c r="U150" s="1">
        <v>1.07534</v>
      </c>
      <c r="V150" s="1">
        <v>1.05819</v>
      </c>
      <c r="W150" s="1">
        <v>1.0999099999999999</v>
      </c>
      <c r="X150" s="1">
        <v>1.13405</v>
      </c>
      <c r="Y150" s="1">
        <v>1.0827500000000001</v>
      </c>
      <c r="Z150" s="1">
        <v>1.06229</v>
      </c>
      <c r="AA150" s="1">
        <v>0.99895999999999996</v>
      </c>
      <c r="AB150" s="1">
        <v>1.07534</v>
      </c>
      <c r="AC150" s="1">
        <v>1.05819</v>
      </c>
      <c r="AD150" s="1">
        <v>1.0999099999999999</v>
      </c>
      <c r="AE150" s="1">
        <v>1.13405</v>
      </c>
      <c r="AF150" s="1">
        <v>1.0827500000000001</v>
      </c>
      <c r="AG150" s="1">
        <v>1.06229</v>
      </c>
      <c r="AH150" s="1">
        <v>0.99895999999999996</v>
      </c>
      <c r="AI150" s="1">
        <v>1.07534</v>
      </c>
      <c r="AJ150" s="1">
        <v>1.05819</v>
      </c>
      <c r="AL150" s="4" t="s">
        <v>25</v>
      </c>
      <c r="AM150" s="6" t="str" cm="1">
        <f t="array" ref="AM150">IFERROR((SUMPRODUCT(($D$148:$D$171=AM$146)*($F$145:$AJ$145="")*$F$148:$AJ$171)+IF(AM$146="P6",SUMPRODUCT(($F$145:$AJ$145="P6")*$F$148:$AJ$171),0))/(SUMPRODUCT(($D$148:$D$171=AM$146)*($F$145:$AJ$145=""))+IF(AM$146="P6",COUNTIF($F$145:$AJ$145,"P6")*ROWS($D$148:$D$171),0)),"")</f>
        <v/>
      </c>
      <c r="AN150" s="6" t="str" cm="1">
        <f t="array" ref="AN150">IFERROR((SUMPRODUCT(($D$148:$D$171=AN$146)*($F$145:$AJ$145="")*$F$148:$AJ$171)+IF(AN$146="P6",SUMPRODUCT(($F$145:$AJ$145="P6")*$F$148:$AJ$171),0))/(SUMPRODUCT(($D$148:$D$171=AN$146)*($F$145:$AJ$145=""))+IF(AN$146="P6",COUNTIF($F$145:$AJ$145,"P6")*ROWS($D$148:$D$171),0)),"")</f>
        <v/>
      </c>
      <c r="AO150" s="5" t="str" cm="1">
        <f t="array" ref="AO150">IFERROR((SUMPRODUCT(($D$148:$D$171=AO$146)*($F$145:$AJ$145="")*$F$148:$AJ$171)+IF(AO$146="P6",SUMPRODUCT(($F$145:$AJ$145="P6")*$F$148:$AJ$171),0))/(SUMPRODUCT(($D$148:$D$171=AO$146)*($F$145:$AJ$145=""))+IF(AO$146="P6",COUNTIF($F$145:$AJ$145,"P6")*ROWS($D$148:$D$171),0)),"")</f>
        <v/>
      </c>
      <c r="AP150" s="5" cm="1">
        <f t="array" ref="AP150">IFERROR((SUMPRODUCT(($D$148:$D$171=AP$146)*($F$145:$AJ$145="")*$F$148:$AJ$171)+IF(AP$146="P6",SUMPRODUCT(($F$145:$AJ$145="P6")*$F$148:$AJ$171),0))/(SUMPRODUCT(($D$148:$D$171=AP$146)*($F$145:$AJ$145=""))+IF(AP$146="P6",COUNTIF($F$145:$AJ$145,"P6")*ROWS($D$148:$D$171),0)),"")</f>
        <v>0.9161388888888885</v>
      </c>
      <c r="AQ150" s="5" cm="1">
        <f t="array" ref="AQ150">IFERROR((SUMPRODUCT(($D$148:$D$171=AQ$146)*($F$145:$AJ$145="")*$F$148:$AJ$171)+IF(AQ$146="P6",SUMPRODUCT(($F$145:$AJ$145="P6")*$F$148:$AJ$171),0))/(SUMPRODUCT(($D$148:$D$171=AQ$146)*($F$145:$AJ$145=""))+IF(AQ$146="P6",COUNTIF($F$145:$AJ$145,"P6")*ROWS($D$148:$D$171),0)),"")</f>
        <v>1.1029427272727281</v>
      </c>
      <c r="AR150" s="6" cm="1">
        <f t="array" ref="AR150">IFERROR((SUMPRODUCT(($D$148:$D$171=AR$146)*($F$145:$AJ$145="")*$F$148:$AJ$171)+IF(AR$146="P6",SUMPRODUCT(($F$145:$AJ$145="P6")*$F$148:$AJ$171),0))/(SUMPRODUCT(($D$148:$D$171=AR$146)*($F$145:$AJ$145=""))+IF(AR$146="P6",COUNTIF($F$145:$AJ$145,"P6")*ROWS($D$148:$D$171),0)),"")</f>
        <v>1.0007234183673475</v>
      </c>
    </row>
    <row r="151" spans="1:44" ht="14.25" customHeight="1" x14ac:dyDescent="0.35">
      <c r="A151" s="1" t="s">
        <v>7</v>
      </c>
      <c r="B151" s="1" t="s">
        <v>7</v>
      </c>
      <c r="C151" s="1" t="s">
        <v>15</v>
      </c>
      <c r="D151" s="1" t="s">
        <v>7</v>
      </c>
      <c r="E151" s="1" t="s">
        <v>11</v>
      </c>
      <c r="F151" s="1">
        <v>1.1737200000000001</v>
      </c>
      <c r="G151" s="1">
        <v>1.0780400000000001</v>
      </c>
      <c r="H151" s="1">
        <v>1.0518799999999999</v>
      </c>
      <c r="I151" s="1">
        <v>1.0961399999999999</v>
      </c>
      <c r="J151" s="1">
        <v>1.13622</v>
      </c>
      <c r="K151" s="1">
        <v>1.0849</v>
      </c>
      <c r="L151" s="1">
        <v>1.0627800000000001</v>
      </c>
      <c r="M151" s="1">
        <v>1.0017199999999999</v>
      </c>
      <c r="N151" s="1">
        <v>1.0780400000000001</v>
      </c>
      <c r="O151" s="1">
        <v>1.0518799999999999</v>
      </c>
      <c r="P151" s="1">
        <v>1.0961399999999999</v>
      </c>
      <c r="Q151" s="1">
        <v>1.13622</v>
      </c>
      <c r="R151" s="1">
        <v>1.0849</v>
      </c>
      <c r="S151" s="1">
        <v>1.0627800000000001</v>
      </c>
      <c r="T151" s="1">
        <v>1.0017199999999999</v>
      </c>
      <c r="U151" s="1">
        <v>1.0780400000000001</v>
      </c>
      <c r="V151" s="1">
        <v>1.0518799999999999</v>
      </c>
      <c r="W151" s="1">
        <v>1.0961399999999999</v>
      </c>
      <c r="X151" s="1">
        <v>1.13622</v>
      </c>
      <c r="Y151" s="1">
        <v>1.0849</v>
      </c>
      <c r="Z151" s="1">
        <v>1.0627800000000001</v>
      </c>
      <c r="AA151" s="1">
        <v>1.0017199999999999</v>
      </c>
      <c r="AB151" s="1">
        <v>1.0780400000000001</v>
      </c>
      <c r="AC151" s="1">
        <v>1.0518799999999999</v>
      </c>
      <c r="AD151" s="1">
        <v>1.0961399999999999</v>
      </c>
      <c r="AE151" s="1">
        <v>1.13622</v>
      </c>
      <c r="AF151" s="1">
        <v>1.0849</v>
      </c>
      <c r="AG151" s="1">
        <v>1.0627800000000001</v>
      </c>
      <c r="AH151" s="1">
        <v>1.0017199999999999</v>
      </c>
      <c r="AI151" s="1">
        <v>1.0780400000000001</v>
      </c>
      <c r="AJ151" s="1">
        <v>1.0518799999999999</v>
      </c>
      <c r="AL151" s="4" t="s">
        <v>27</v>
      </c>
      <c r="AM151" s="6" t="str" cm="1">
        <f t="array" ref="AM151">IFERROR((SUMPRODUCT(($D$148:$D$171=AM$146)*($F$145:$AJ$145="")*$F$148:$AJ$171)+IF(AM$146="P6",SUMPRODUCT(($F$145:$AJ$145="P6")*$F$148:$AJ$171),0))/(SUMPRODUCT(($D$148:$D$171=AM$146)*($F$145:$AJ$145=""))+IF(AM$146="P6",COUNTIF($F$145:$AJ$145,"P6")*ROWS($D$148:$D$171),0)),"")</f>
        <v/>
      </c>
      <c r="AN151" s="6" t="str" cm="1">
        <f t="array" ref="AN151">IFERROR((SUMPRODUCT(($D$148:$D$171=AN$146)*($F$145:$AJ$145="")*$F$148:$AJ$171)+IF(AN$146="P6",SUMPRODUCT(($F$145:$AJ$145="P6")*$F$148:$AJ$171),0))/(SUMPRODUCT(($D$148:$D$171=AN$146)*($F$145:$AJ$145=""))+IF(AN$146="P6",COUNTIF($F$145:$AJ$145,"P6")*ROWS($D$148:$D$171),0)),"")</f>
        <v/>
      </c>
      <c r="AO151" s="5" t="str" cm="1">
        <f t="array" ref="AO151">IFERROR((SUMPRODUCT(($D$148:$D$171=AO$146)*($F$145:$AJ$145="")*$F$148:$AJ$171)+IF(AO$146="P6",SUMPRODUCT(($F$145:$AJ$145="P6")*$F$148:$AJ$171),0))/(SUMPRODUCT(($D$148:$D$171=AO$146)*($F$145:$AJ$145=""))+IF(AO$146="P6",COUNTIF($F$145:$AJ$145,"P6")*ROWS($D$148:$D$171),0)),"")</f>
        <v/>
      </c>
      <c r="AP151" s="5" cm="1">
        <f t="array" ref="AP151">IFERROR((SUMPRODUCT(($D$148:$D$171=AP$146)*($F$145:$AJ$145="")*$F$148:$AJ$171)+IF(AP$146="P6",SUMPRODUCT(($F$145:$AJ$145="P6")*$F$148:$AJ$171),0))/(SUMPRODUCT(($D$148:$D$171=AP$146)*($F$145:$AJ$145=""))+IF(AP$146="P6",COUNTIF($F$145:$AJ$145,"P6")*ROWS($D$148:$D$171),0)),"")</f>
        <v>0.9161388888888885</v>
      </c>
      <c r="AQ151" s="5" cm="1">
        <f t="array" ref="AQ151">IFERROR((SUMPRODUCT(($D$148:$D$171=AQ$146)*($F$145:$AJ$145="")*$F$148:$AJ$171)+IF(AQ$146="P6",SUMPRODUCT(($F$145:$AJ$145="P6")*$F$148:$AJ$171),0))/(SUMPRODUCT(($D$148:$D$171=AQ$146)*($F$145:$AJ$145=""))+IF(AQ$146="P6",COUNTIF($F$145:$AJ$145,"P6")*ROWS($D$148:$D$171),0)),"")</f>
        <v>1.1029427272727281</v>
      </c>
      <c r="AR151" s="6" cm="1">
        <f t="array" ref="AR151">IFERROR((SUMPRODUCT(($D$148:$D$171=AR$146)*($F$145:$AJ$145="")*$F$148:$AJ$171)+IF(AR$146="P6",SUMPRODUCT(($F$145:$AJ$145="P6")*$F$148:$AJ$171),0))/(SUMPRODUCT(($D$148:$D$171=AR$146)*($F$145:$AJ$145=""))+IF(AR$146="P6",COUNTIF($F$145:$AJ$145,"P6")*ROWS($D$148:$D$171),0)),"")</f>
        <v>1.0007234183673475</v>
      </c>
    </row>
    <row r="152" spans="1:44" ht="14.25" customHeight="1" x14ac:dyDescent="0.35">
      <c r="A152" s="1" t="s">
        <v>7</v>
      </c>
      <c r="B152" s="1" t="s">
        <v>7</v>
      </c>
      <c r="C152" s="1" t="s">
        <v>15</v>
      </c>
      <c r="D152" s="1" t="s">
        <v>7</v>
      </c>
      <c r="E152" s="1" t="s">
        <v>12</v>
      </c>
      <c r="F152" s="1">
        <v>1.1920299999999999</v>
      </c>
      <c r="G152" s="1">
        <v>1.0730500000000001</v>
      </c>
      <c r="H152" s="1">
        <v>1.04613</v>
      </c>
      <c r="I152" s="1">
        <v>1.0957300000000001</v>
      </c>
      <c r="J152" s="1">
        <v>1.1395999999999999</v>
      </c>
      <c r="K152" s="1">
        <v>1.0729599999999999</v>
      </c>
      <c r="L152" s="1">
        <v>1.05986</v>
      </c>
      <c r="M152" s="1">
        <v>1.0014400000000001</v>
      </c>
      <c r="N152" s="1">
        <v>1.0730500000000001</v>
      </c>
      <c r="O152" s="1">
        <v>1.04613</v>
      </c>
      <c r="P152" s="1">
        <v>1.0957300000000001</v>
      </c>
      <c r="Q152" s="1">
        <v>1.1395999999999999</v>
      </c>
      <c r="R152" s="1">
        <v>1.0729599999999999</v>
      </c>
      <c r="S152" s="1">
        <v>1.05986</v>
      </c>
      <c r="T152" s="1">
        <v>1.0014400000000001</v>
      </c>
      <c r="U152" s="1">
        <v>1.0730500000000001</v>
      </c>
      <c r="V152" s="1">
        <v>1.04613</v>
      </c>
      <c r="W152" s="1">
        <v>1.0957300000000001</v>
      </c>
      <c r="X152" s="1">
        <v>1.1395999999999999</v>
      </c>
      <c r="Y152" s="1">
        <v>1.0729599999999999</v>
      </c>
      <c r="Z152" s="1">
        <v>1.05986</v>
      </c>
      <c r="AA152" s="1">
        <v>1.0014400000000001</v>
      </c>
      <c r="AB152" s="1">
        <v>1.0730500000000001</v>
      </c>
      <c r="AC152" s="1">
        <v>1.04613</v>
      </c>
      <c r="AD152" s="1">
        <v>1.0957300000000001</v>
      </c>
      <c r="AE152" s="1">
        <v>1.1395999999999999</v>
      </c>
      <c r="AF152" s="1">
        <v>1.0729599999999999</v>
      </c>
      <c r="AG152" s="1">
        <v>1.05986</v>
      </c>
      <c r="AH152" s="1">
        <v>1.0014400000000001</v>
      </c>
      <c r="AI152" s="1">
        <v>1.0730500000000001</v>
      </c>
      <c r="AJ152" s="1">
        <v>1.04613</v>
      </c>
      <c r="AL152" s="4" t="s">
        <v>29</v>
      </c>
      <c r="AM152" s="6" t="str" cm="1">
        <f t="array" ref="AM152">IFERROR((SUMPRODUCT(($D$148:$D$171=AM$146)*($F$145:$AJ$145="")*$F$148:$AJ$171)+IF(AM$146="P6",SUMPRODUCT(($F$145:$AJ$145="P6")*$F$148:$AJ$171),0))/(SUMPRODUCT(($D$148:$D$171=AM$146)*($F$145:$AJ$145=""))+IF(AM$146="P6",COUNTIF($F$145:$AJ$145,"P6")*ROWS($D$148:$D$171),0)),"")</f>
        <v/>
      </c>
      <c r="AN152" s="6" t="str" cm="1">
        <f t="array" ref="AN152">IFERROR((SUMPRODUCT(($D$148:$D$171=AN$146)*($F$145:$AJ$145="")*$F$148:$AJ$171)+IF(AN$146="P6",SUMPRODUCT(($F$145:$AJ$145="P6")*$F$148:$AJ$171),0))/(SUMPRODUCT(($D$148:$D$171=AN$146)*($F$145:$AJ$145=""))+IF(AN$146="P6",COUNTIF($F$145:$AJ$145,"P6")*ROWS($D$148:$D$171),0)),"")</f>
        <v/>
      </c>
      <c r="AO152" s="5" t="str" cm="1">
        <f t="array" ref="AO152">IFERROR((SUMPRODUCT(($D$148:$D$171=AO$146)*($F$145:$AJ$145="")*$F$148:$AJ$171)+IF(AO$146="P6",SUMPRODUCT(($F$145:$AJ$145="P6")*$F$148:$AJ$171),0))/(SUMPRODUCT(($D$148:$D$171=AO$146)*($F$145:$AJ$145=""))+IF(AO$146="P6",COUNTIF($F$145:$AJ$145,"P6")*ROWS($D$148:$D$171),0)),"")</f>
        <v/>
      </c>
      <c r="AP152" s="5" cm="1">
        <f t="array" ref="AP152">IFERROR((SUMPRODUCT(($D$148:$D$171=AP$146)*($F$145:$AJ$145="")*$F$148:$AJ$171)+IF(AP$146="P6",SUMPRODUCT(($F$145:$AJ$145="P6")*$F$148:$AJ$171),0))/(SUMPRODUCT(($D$148:$D$171=AP$146)*($F$145:$AJ$145=""))+IF(AP$146="P6",COUNTIF($F$145:$AJ$145,"P6")*ROWS($D$148:$D$171),0)),"")</f>
        <v>0.9161388888888885</v>
      </c>
      <c r="AQ152" s="5" cm="1">
        <f t="array" ref="AQ152">IFERROR((SUMPRODUCT(($D$148:$D$171=AQ$146)*($F$145:$AJ$145="")*$F$148:$AJ$171)+IF(AQ$146="P6",SUMPRODUCT(($F$145:$AJ$145="P6")*$F$148:$AJ$171),0))/(SUMPRODUCT(($D$148:$D$171=AQ$146)*($F$145:$AJ$145=""))+IF(AQ$146="P6",COUNTIF($F$145:$AJ$145,"P6")*ROWS($D$148:$D$171),0)),"")</f>
        <v>1.1029427272727281</v>
      </c>
      <c r="AR152" s="6" cm="1">
        <f t="array" ref="AR152">IFERROR((SUMPRODUCT(($D$148:$D$171=AR$146)*($F$145:$AJ$145="")*$F$148:$AJ$171)+IF(AR$146="P6",SUMPRODUCT(($F$145:$AJ$145="P6")*$F$148:$AJ$171),0))/(SUMPRODUCT(($D$148:$D$171=AR$146)*($F$145:$AJ$145=""))+IF(AR$146="P6",COUNTIF($F$145:$AJ$145,"P6")*ROWS($D$148:$D$171),0)),"")</f>
        <v>1.0007234183673475</v>
      </c>
    </row>
    <row r="153" spans="1:44" ht="14.25" customHeight="1" x14ac:dyDescent="0.35">
      <c r="A153" s="1" t="s">
        <v>7</v>
      </c>
      <c r="B153" s="1" t="s">
        <v>7</v>
      </c>
      <c r="C153" s="1" t="s">
        <v>15</v>
      </c>
      <c r="D153" s="1" t="s">
        <v>7</v>
      </c>
      <c r="E153" s="1" t="s">
        <v>18</v>
      </c>
      <c r="F153" s="1">
        <v>1.2056800000000001</v>
      </c>
      <c r="G153" s="1">
        <v>1.0515300000000001</v>
      </c>
      <c r="H153" s="1">
        <v>1.0283100000000001</v>
      </c>
      <c r="I153" s="1">
        <v>1.09978</v>
      </c>
      <c r="J153" s="1">
        <v>1.13818</v>
      </c>
      <c r="K153" s="1">
        <v>1.04461</v>
      </c>
      <c r="L153" s="1">
        <v>1.0387999999999999</v>
      </c>
      <c r="M153" s="1">
        <v>0.98897999999999997</v>
      </c>
      <c r="N153" s="1">
        <v>1.0515300000000001</v>
      </c>
      <c r="O153" s="1">
        <v>1.0283100000000001</v>
      </c>
      <c r="P153" s="1">
        <v>1.09978</v>
      </c>
      <c r="Q153" s="1">
        <v>1.13818</v>
      </c>
      <c r="R153" s="1">
        <v>1.04461</v>
      </c>
      <c r="S153" s="1">
        <v>1.0387999999999999</v>
      </c>
      <c r="T153" s="1">
        <v>0.98897999999999997</v>
      </c>
      <c r="U153" s="1">
        <v>1.0515300000000001</v>
      </c>
      <c r="V153" s="1">
        <v>1.0283100000000001</v>
      </c>
      <c r="W153" s="1">
        <v>1.09978</v>
      </c>
      <c r="X153" s="1">
        <v>1.13818</v>
      </c>
      <c r="Y153" s="1">
        <v>1.04461</v>
      </c>
      <c r="Z153" s="1">
        <v>1.0387999999999999</v>
      </c>
      <c r="AA153" s="1">
        <v>0.98897999999999997</v>
      </c>
      <c r="AB153" s="1">
        <v>1.0515300000000001</v>
      </c>
      <c r="AC153" s="1">
        <v>1.0283100000000001</v>
      </c>
      <c r="AD153" s="1">
        <v>1.09978</v>
      </c>
      <c r="AE153" s="1">
        <v>1.13818</v>
      </c>
      <c r="AF153" s="1">
        <v>1.04461</v>
      </c>
      <c r="AG153" s="1">
        <v>1.0387999999999999</v>
      </c>
      <c r="AH153" s="1">
        <v>0.98897999999999997</v>
      </c>
      <c r="AI153" s="1">
        <v>1.0515300000000001</v>
      </c>
      <c r="AJ153" s="1">
        <v>1.0283100000000001</v>
      </c>
      <c r="AL153" s="10"/>
      <c r="AM153" s="10"/>
      <c r="AN153" s="10"/>
      <c r="AO153" s="10"/>
      <c r="AP153" s="10"/>
      <c r="AQ153" s="10"/>
      <c r="AR153" s="10"/>
    </row>
    <row r="154" spans="1:44" ht="14.25" customHeight="1" x14ac:dyDescent="0.35">
      <c r="A154" s="1" t="s">
        <v>7</v>
      </c>
      <c r="B154" s="1" t="s">
        <v>7</v>
      </c>
      <c r="C154" s="1" t="s">
        <v>15</v>
      </c>
      <c r="D154" s="1" t="s">
        <v>7</v>
      </c>
      <c r="E154" s="1" t="s">
        <v>20</v>
      </c>
      <c r="F154" s="1">
        <v>1.2029799999999999</v>
      </c>
      <c r="G154" s="1">
        <v>0.97041999999999995</v>
      </c>
      <c r="H154" s="1">
        <v>0.97799999999999998</v>
      </c>
      <c r="I154" s="1">
        <v>1.08358</v>
      </c>
      <c r="J154" s="1">
        <v>1.1227199999999999</v>
      </c>
      <c r="K154" s="1">
        <v>0.96580999999999995</v>
      </c>
      <c r="L154" s="1">
        <v>0.96216000000000002</v>
      </c>
      <c r="M154" s="1">
        <v>0.93156000000000005</v>
      </c>
      <c r="N154" s="1">
        <v>0.97041999999999995</v>
      </c>
      <c r="O154" s="1">
        <v>0.97799999999999998</v>
      </c>
      <c r="P154" s="1">
        <v>1.08358</v>
      </c>
      <c r="Q154" s="1">
        <v>1.1227199999999999</v>
      </c>
      <c r="R154" s="1">
        <v>0.96580999999999995</v>
      </c>
      <c r="S154" s="1">
        <v>0.96216000000000002</v>
      </c>
      <c r="T154" s="1">
        <v>0.93156000000000005</v>
      </c>
      <c r="U154" s="1">
        <v>0.97041999999999995</v>
      </c>
      <c r="V154" s="1">
        <v>0.97799999999999998</v>
      </c>
      <c r="W154" s="1">
        <v>1.08358</v>
      </c>
      <c r="X154" s="1">
        <v>1.1227199999999999</v>
      </c>
      <c r="Y154" s="1">
        <v>0.96580999999999995</v>
      </c>
      <c r="Z154" s="1">
        <v>0.96216000000000002</v>
      </c>
      <c r="AA154" s="1">
        <v>0.93156000000000005</v>
      </c>
      <c r="AB154" s="1">
        <v>0.97041999999999995</v>
      </c>
      <c r="AC154" s="1">
        <v>0.97799999999999998</v>
      </c>
      <c r="AD154" s="1">
        <v>1.08358</v>
      </c>
      <c r="AE154" s="1">
        <v>1.1227199999999999</v>
      </c>
      <c r="AF154" s="1">
        <v>0.96580999999999995</v>
      </c>
      <c r="AG154" s="1">
        <v>0.96216000000000002</v>
      </c>
      <c r="AH154" s="1">
        <v>0.93156000000000005</v>
      </c>
      <c r="AI154" s="1">
        <v>0.97041999999999995</v>
      </c>
      <c r="AJ154" s="1">
        <v>0.97799999999999998</v>
      </c>
      <c r="AL154" s="10"/>
      <c r="AM154" s="10"/>
      <c r="AN154" s="10"/>
      <c r="AO154" s="10"/>
      <c r="AP154" s="10"/>
      <c r="AQ154" s="10"/>
      <c r="AR154" s="10"/>
    </row>
    <row r="155" spans="1:44" ht="14.25" customHeight="1" x14ac:dyDescent="0.35">
      <c r="A155" s="1" t="s">
        <v>7</v>
      </c>
      <c r="B155" s="1" t="s">
        <v>7</v>
      </c>
      <c r="C155" s="1" t="s">
        <v>15</v>
      </c>
      <c r="D155" s="1" t="s">
        <v>7</v>
      </c>
      <c r="E155" s="1" t="s">
        <v>22</v>
      </c>
      <c r="F155" s="1">
        <v>1.1992499999999999</v>
      </c>
      <c r="G155" s="1">
        <v>0.91547999999999996</v>
      </c>
      <c r="H155" s="1">
        <v>0.93886999999999998</v>
      </c>
      <c r="I155" s="1">
        <v>1.0611600000000001</v>
      </c>
      <c r="J155" s="1">
        <v>1.1074200000000001</v>
      </c>
      <c r="K155" s="1">
        <v>0.90971999999999997</v>
      </c>
      <c r="L155" s="1">
        <v>0.89573000000000003</v>
      </c>
      <c r="M155" s="1">
        <v>0.88165000000000004</v>
      </c>
      <c r="N155" s="1">
        <v>0.91547999999999996</v>
      </c>
      <c r="O155" s="1">
        <v>0.93886999999999998</v>
      </c>
      <c r="P155" s="1">
        <v>1.0611600000000001</v>
      </c>
      <c r="Q155" s="1">
        <v>1.1074200000000001</v>
      </c>
      <c r="R155" s="1">
        <v>0.90971999999999997</v>
      </c>
      <c r="S155" s="1">
        <v>0.89573000000000003</v>
      </c>
      <c r="T155" s="1">
        <v>0.88165000000000004</v>
      </c>
      <c r="U155" s="1">
        <v>0.91547999999999996</v>
      </c>
      <c r="V155" s="1">
        <v>0.93886999999999998</v>
      </c>
      <c r="W155" s="1">
        <v>1.0611600000000001</v>
      </c>
      <c r="X155" s="1">
        <v>1.1074200000000001</v>
      </c>
      <c r="Y155" s="1">
        <v>0.90971999999999997</v>
      </c>
      <c r="Z155" s="1">
        <v>0.89573000000000003</v>
      </c>
      <c r="AA155" s="1">
        <v>0.88165000000000004</v>
      </c>
      <c r="AB155" s="1">
        <v>0.91547999999999996</v>
      </c>
      <c r="AC155" s="1">
        <v>0.93886999999999998</v>
      </c>
      <c r="AD155" s="1">
        <v>1.0611600000000001</v>
      </c>
      <c r="AE155" s="1">
        <v>1.1074200000000001</v>
      </c>
      <c r="AF155" s="1">
        <v>0.90971999999999997</v>
      </c>
      <c r="AG155" s="1">
        <v>0.89573000000000003</v>
      </c>
      <c r="AH155" s="1">
        <v>0.88165000000000004</v>
      </c>
      <c r="AI155" s="1">
        <v>0.91547999999999996</v>
      </c>
      <c r="AJ155" s="1">
        <v>0.93886999999999998</v>
      </c>
      <c r="AL155" s="14" t="s">
        <v>171</v>
      </c>
      <c r="AM155" s="14"/>
      <c r="AN155" s="14"/>
      <c r="AO155" s="14"/>
      <c r="AP155" s="14"/>
      <c r="AQ155" s="14"/>
      <c r="AR155" s="14"/>
    </row>
    <row r="156" spans="1:44" ht="14.25" customHeight="1" x14ac:dyDescent="0.35">
      <c r="A156" s="1" t="s">
        <v>17</v>
      </c>
      <c r="B156" s="1" t="s">
        <v>15</v>
      </c>
      <c r="C156" s="1" t="s">
        <v>14</v>
      </c>
      <c r="D156" s="1" t="s">
        <v>17</v>
      </c>
      <c r="E156" s="1" t="s">
        <v>24</v>
      </c>
      <c r="F156" s="1">
        <v>1.0672600000000001</v>
      </c>
      <c r="G156" s="1">
        <v>1.08972</v>
      </c>
      <c r="H156" s="1">
        <v>1.11002</v>
      </c>
      <c r="I156" s="1">
        <v>0.95667000000000002</v>
      </c>
      <c r="J156" s="1">
        <v>0.99314000000000002</v>
      </c>
      <c r="K156" s="1">
        <v>1.0971</v>
      </c>
      <c r="L156" s="1">
        <v>1.07779</v>
      </c>
      <c r="M156" s="1">
        <v>1.0703800000000001</v>
      </c>
      <c r="N156" s="1">
        <v>1.08972</v>
      </c>
      <c r="O156" s="1">
        <v>1.11002</v>
      </c>
      <c r="P156" s="1">
        <v>0.95667000000000002</v>
      </c>
      <c r="Q156" s="1">
        <v>0.99314000000000002</v>
      </c>
      <c r="R156" s="1">
        <v>1.0971</v>
      </c>
      <c r="S156" s="1">
        <v>1.07779</v>
      </c>
      <c r="T156" s="1">
        <v>1.0703800000000001</v>
      </c>
      <c r="U156" s="1">
        <v>1.08972</v>
      </c>
      <c r="V156" s="1">
        <v>1.11002</v>
      </c>
      <c r="W156" s="1">
        <v>0.95667000000000002</v>
      </c>
      <c r="X156" s="1">
        <v>0.99314000000000002</v>
      </c>
      <c r="Y156" s="1">
        <v>1.0971</v>
      </c>
      <c r="Z156" s="1">
        <v>1.07779</v>
      </c>
      <c r="AA156" s="1">
        <v>1.0703800000000001</v>
      </c>
      <c r="AB156" s="1">
        <v>1.08972</v>
      </c>
      <c r="AC156" s="1">
        <v>1.11002</v>
      </c>
      <c r="AD156" s="1">
        <v>0.95667000000000002</v>
      </c>
      <c r="AE156" s="1">
        <v>0.99314000000000002</v>
      </c>
      <c r="AF156" s="1">
        <v>1.0971</v>
      </c>
      <c r="AG156" s="1">
        <v>1.07779</v>
      </c>
      <c r="AH156" s="1">
        <v>1.0703800000000001</v>
      </c>
      <c r="AI156" s="1">
        <v>1.08972</v>
      </c>
      <c r="AJ156" s="1">
        <v>1.11002</v>
      </c>
      <c r="AL156" s="4"/>
      <c r="AM156" s="4" t="s">
        <v>13</v>
      </c>
      <c r="AN156" s="4" t="s">
        <v>14</v>
      </c>
      <c r="AO156" s="4" t="s">
        <v>15</v>
      </c>
      <c r="AP156" s="4" t="s">
        <v>16</v>
      </c>
      <c r="AQ156" s="4" t="s">
        <v>17</v>
      </c>
      <c r="AR156" s="4" t="s">
        <v>7</v>
      </c>
    </row>
    <row r="157" spans="1:44" ht="14.25" customHeight="1" x14ac:dyDescent="0.35">
      <c r="A157" s="1" t="s">
        <v>17</v>
      </c>
      <c r="B157" s="1" t="s">
        <v>15</v>
      </c>
      <c r="C157" s="1" t="s">
        <v>14</v>
      </c>
      <c r="D157" s="1" t="s">
        <v>16</v>
      </c>
      <c r="E157" s="1" t="s">
        <v>26</v>
      </c>
      <c r="F157" s="1">
        <v>0.96709999999999996</v>
      </c>
      <c r="G157" s="1">
        <v>0.89605000000000001</v>
      </c>
      <c r="H157" s="1">
        <v>0.91049000000000002</v>
      </c>
      <c r="I157" s="1">
        <v>0.88105</v>
      </c>
      <c r="J157" s="1">
        <v>0.90095999999999998</v>
      </c>
      <c r="K157" s="1">
        <v>0.90112999999999999</v>
      </c>
      <c r="L157" s="1">
        <v>0.89683000000000002</v>
      </c>
      <c r="M157" s="1">
        <v>0.88565000000000005</v>
      </c>
      <c r="N157" s="1">
        <v>0.89605000000000001</v>
      </c>
      <c r="O157" s="1">
        <v>0.91049000000000002</v>
      </c>
      <c r="P157" s="1">
        <v>0.88105</v>
      </c>
      <c r="Q157" s="1">
        <v>0.90095999999999998</v>
      </c>
      <c r="R157" s="1">
        <v>0.90112999999999999</v>
      </c>
      <c r="S157" s="1">
        <v>0.89683000000000002</v>
      </c>
      <c r="T157" s="1">
        <v>0.88565000000000005</v>
      </c>
      <c r="U157" s="1">
        <v>0.89605000000000001</v>
      </c>
      <c r="V157" s="1">
        <v>0.91049000000000002</v>
      </c>
      <c r="W157" s="1">
        <v>0.88105</v>
      </c>
      <c r="X157" s="1">
        <v>0.90095999999999998</v>
      </c>
      <c r="Y157" s="1">
        <v>0.90112999999999999</v>
      </c>
      <c r="Z157" s="1">
        <v>0.89683000000000002</v>
      </c>
      <c r="AA157" s="1">
        <v>0.88565000000000005</v>
      </c>
      <c r="AB157" s="1">
        <v>0.89605000000000001</v>
      </c>
      <c r="AC157" s="1">
        <v>0.91049000000000002</v>
      </c>
      <c r="AD157" s="1">
        <v>0.88105</v>
      </c>
      <c r="AE157" s="1">
        <v>0.90095999999999998</v>
      </c>
      <c r="AF157" s="1">
        <v>0.90112999999999999</v>
      </c>
      <c r="AG157" s="1">
        <v>0.89683000000000002</v>
      </c>
      <c r="AH157" s="1">
        <v>0.88565000000000005</v>
      </c>
      <c r="AI157" s="1">
        <v>0.89605000000000001</v>
      </c>
      <c r="AJ157" s="1">
        <v>0.91049000000000002</v>
      </c>
      <c r="AL157" s="4" t="s">
        <v>19</v>
      </c>
      <c r="AM157" s="6" cm="1">
        <f t="array" ref="AM157">IFERROR((SUMPRODUCT(($C$148:$C$171=AM$146)*($F$144:$AJ$144="")*$F$148:$AJ$171)+IF(AM$146="P3",SUMPRODUCT(($F$144:$AJ$144="P3")*$F$148:$AJ$171),0))/(SUMPRODUCT(($C$148:$C$171=AM$146)*($F$144:$AJ$144=""))+IF(AM$146="P3",COUNTIF($F$144:$AJ$144,"P3")*ROWS($C$148:$C$171),0)),"")</f>
        <v>0.91834295454545445</v>
      </c>
      <c r="AN157" s="6" cm="1">
        <f t="array" ref="AN157">IFERROR((SUMPRODUCT(($C$148:$C$171=AN$146)*($F$144:$AJ$144="")*$F$148:$AJ$171)+IF(AN$146="P3",SUMPRODUCT(($F$144:$AJ$144="P3")*$F$148:$AJ$171),0))/(SUMPRODUCT(($C$148:$C$171=AN$146)*($F$144:$AJ$144=""))+IF(AN$146="P3",COUNTIF($F$144:$AJ$144,"P3")*ROWS($C$148:$C$171),0)),"")</f>
        <v>1.0773881818181832</v>
      </c>
      <c r="AO157" s="6" cm="1">
        <f t="array" ref="AO157">IFERROR((SUMPRODUCT(($C$148:$C$171=AO$146)*($F$144:$AJ$144="")*$F$148:$AJ$171)+IF(AO$146="P3",SUMPRODUCT(($F$144:$AJ$144="P3")*$F$148:$AJ$171),0))/(SUMPRODUCT(($C$148:$C$171=AO$146)*($F$144:$AJ$144=""))+IF(AO$146="P3",COUNTIF($F$144:$AJ$144,"P3")*ROWS($C$148:$C$171),0)),"")</f>
        <v>1.0007234183673475</v>
      </c>
      <c r="AP157" s="6" t="str" cm="1">
        <f t="array" ref="AP157">IFERROR((SUMPRODUCT(($C$148:$C$171=AP$146)*($F$144:$AJ$144="")*$F$148:$AJ$171)+IF(AP$146="P3",SUMPRODUCT(($F$144:$AJ$144="P3")*$F$148:$AJ$171),0))/(SUMPRODUCT(($C$148:$C$171=AP$146)*($F$144:$AJ$144=""))+IF(AP$146="P3",COUNTIF($F$144:$AJ$144,"P3")*ROWS($C$148:$C$171),0)),"")</f>
        <v/>
      </c>
      <c r="AQ157" s="6" t="str" cm="1">
        <f t="array" ref="AQ157">IFERROR((SUMPRODUCT(($C$148:$C$171=AQ$146)*($F$144:$AJ$144="")*$F$148:$AJ$171)+IF(AQ$146="P3",SUMPRODUCT(($F$144:$AJ$144="P3")*$F$148:$AJ$171),0))/(SUMPRODUCT(($C$148:$C$171=AQ$146)*($F$144:$AJ$144=""))+IF(AQ$146="P3",COUNTIF($F$144:$AJ$144,"P3")*ROWS($C$148:$C$171),0)),"")</f>
        <v/>
      </c>
      <c r="AR157" s="6" t="str" cm="1">
        <f t="array" ref="AR157">IFERROR((SUMPRODUCT(($C$148:$C$171=AR$146)*($F$144:$AJ$144="")*$F$148:$AJ$171)+IF(AR$146="P3",SUMPRODUCT(($F$144:$AJ$144="P3")*$F$148:$AJ$171),0))/(SUMPRODUCT(($C$148:$C$171=AR$146)*($F$144:$AJ$144=""))+IF(AR$146="P3",COUNTIF($F$144:$AJ$144,"P3")*ROWS($C$148:$C$171),0)),"")</f>
        <v/>
      </c>
    </row>
    <row r="158" spans="1:44" ht="14.25" customHeight="1" x14ac:dyDescent="0.35">
      <c r="A158" s="1" t="s">
        <v>16</v>
      </c>
      <c r="B158" s="1" t="s">
        <v>14</v>
      </c>
      <c r="C158" s="1" t="s">
        <v>13</v>
      </c>
      <c r="D158" s="1" t="s">
        <v>16</v>
      </c>
      <c r="E158" s="1" t="s">
        <v>28</v>
      </c>
      <c r="F158" s="1">
        <v>0.93157000000000001</v>
      </c>
      <c r="G158" s="1">
        <v>0.88922999999999996</v>
      </c>
      <c r="H158" s="1">
        <v>0.89678000000000002</v>
      </c>
      <c r="I158" s="1">
        <v>0.84616000000000002</v>
      </c>
      <c r="J158" s="1">
        <v>0.82515000000000005</v>
      </c>
      <c r="K158" s="1">
        <v>0.87102999999999997</v>
      </c>
      <c r="L158" s="1">
        <v>0.87573999999999996</v>
      </c>
      <c r="M158" s="1">
        <v>0.85977999999999999</v>
      </c>
      <c r="N158" s="1">
        <v>0.88922999999999996</v>
      </c>
      <c r="O158" s="1">
        <v>0.89678000000000002</v>
      </c>
      <c r="P158" s="1">
        <v>0.84616000000000002</v>
      </c>
      <c r="Q158" s="1">
        <v>0.82515000000000005</v>
      </c>
      <c r="R158" s="1">
        <v>0.87102999999999997</v>
      </c>
      <c r="S158" s="1">
        <v>0.87573999999999996</v>
      </c>
      <c r="T158" s="1">
        <v>0.85977999999999999</v>
      </c>
      <c r="U158" s="1">
        <v>0.88922999999999996</v>
      </c>
      <c r="V158" s="1">
        <v>0.89678000000000002</v>
      </c>
      <c r="W158" s="1">
        <v>0.84616000000000002</v>
      </c>
      <c r="X158" s="1">
        <v>0.82515000000000005</v>
      </c>
      <c r="Y158" s="1">
        <v>0.87102999999999997</v>
      </c>
      <c r="Z158" s="1">
        <v>0.87573999999999996</v>
      </c>
      <c r="AA158" s="1">
        <v>0.85977999999999999</v>
      </c>
      <c r="AB158" s="1">
        <v>0.88922999999999996</v>
      </c>
      <c r="AC158" s="1">
        <v>0.89678000000000002</v>
      </c>
      <c r="AD158" s="1">
        <v>0.84616000000000002</v>
      </c>
      <c r="AE158" s="1">
        <v>0.82515000000000005</v>
      </c>
      <c r="AF158" s="1">
        <v>0.87102999999999997</v>
      </c>
      <c r="AG158" s="1">
        <v>0.87573999999999996</v>
      </c>
      <c r="AH158" s="1">
        <v>0.85977999999999999</v>
      </c>
      <c r="AI158" s="1">
        <v>0.88922999999999996</v>
      </c>
      <c r="AJ158" s="1">
        <v>0.89678000000000002</v>
      </c>
      <c r="AL158" s="4" t="s">
        <v>21</v>
      </c>
      <c r="AM158" s="6" t="str" cm="1">
        <f t="array" ref="AM158">IFERROR((SUMPRODUCT(($A$148:$A$171=AM$146)*($F$145:$AJ$145="")*$F$148:$AJ$171)+IF(AM$146="P6",SUMPRODUCT(($F$145:$AJ$145="P6")*$F$148:$AJ$171),0))/(SUMPRODUCT(($A$148:$A$171=AM$146)*($F$145:$AJ$145=""))+IF(AM$146="P6",COUNTIF($F$145:$AJ$145,"P6")*ROWS($A$148:$A$171),0)),"")</f>
        <v/>
      </c>
      <c r="AN158" s="6" t="str" cm="1">
        <f t="array" ref="AN158">IFERROR((SUMPRODUCT(($A$148:$A$171=AN$146)*($F$145:$AJ$145="")*$F$148:$AJ$171)+IF(AN$146="P6",SUMPRODUCT(($F$145:$AJ$145="P6")*$F$148:$AJ$171),0))/(SUMPRODUCT(($A$148:$A$171=AN$146)*($F$145:$AJ$145=""))+IF(AN$146="P6",COUNTIF($F$145:$AJ$145,"P6")*ROWS($A$148:$A$171),0)),"")</f>
        <v/>
      </c>
      <c r="AO158" s="6" t="str" cm="1">
        <f t="array" ref="AO158">IFERROR((SUMPRODUCT(($A$148:$A$171=AO$146)*($F$145:$AJ$145="")*$F$148:$AJ$171)+IF(AO$146="P6",SUMPRODUCT(($F$145:$AJ$145="P6")*$F$148:$AJ$171),0))/(SUMPRODUCT(($A$148:$A$171=AO$146)*($F$145:$AJ$145=""))+IF(AO$146="P6",COUNTIF($F$145:$AJ$145,"P6")*ROWS($A$148:$A$171),0)),"")</f>
        <v/>
      </c>
      <c r="AP158" s="6" cm="1">
        <f t="array" ref="AP158">IFERROR((SUMPRODUCT(($A$148:$A$171=AP$146)*($F$145:$AJ$145="")*$F$148:$AJ$171)+IF(AP$146="P6",SUMPRODUCT(($F$145:$AJ$145="P6")*$F$148:$AJ$171),0))/(SUMPRODUCT(($A$148:$A$171=AP$146)*($F$145:$AJ$145=""))+IF(AP$146="P6",COUNTIF($F$145:$AJ$145,"P6")*ROWS($A$148:$A$171),0)),"")</f>
        <v>0.92703813131313084</v>
      </c>
      <c r="AQ158" s="6" cm="1">
        <f t="array" ref="AQ158">IFERROR((SUMPRODUCT(($A$148:$A$171=AQ$146)*($F$145:$AJ$145="")*$F$148:$AJ$171)+IF(AQ$146="P6",SUMPRODUCT(($F$145:$AJ$145="P6")*$F$148:$AJ$171),0))/(SUMPRODUCT(($A$148:$A$171=AQ$146)*($F$145:$AJ$145=""))+IF(AQ$146="P6",COUNTIF($F$145:$AJ$145,"P6")*ROWS($A$148:$A$171),0)),"")</f>
        <v>1.0889294155844162</v>
      </c>
      <c r="AR158" s="6" cm="1">
        <f t="array" ref="AR158">IFERROR((SUMPRODUCT(($A$148:$A$171=AR$146)*($F$145:$AJ$145="")*$F$148:$AJ$171)+IF(AR$146="P6",SUMPRODUCT(($F$145:$AJ$145="P6")*$F$148:$AJ$171),0))/(SUMPRODUCT(($A$148:$A$171=AR$146)*($F$145:$AJ$145=""))+IF(AR$146="P6",COUNTIF($F$145:$AJ$145,"P6")*ROWS($A$148:$A$171),0)),"")</f>
        <v>1.0007234183673475</v>
      </c>
    </row>
    <row r="159" spans="1:44" ht="14.25" customHeight="1" x14ac:dyDescent="0.35">
      <c r="A159" s="1" t="s">
        <v>16</v>
      </c>
      <c r="B159" s="1" t="s">
        <v>14</v>
      </c>
      <c r="C159" s="1" t="s">
        <v>13</v>
      </c>
      <c r="D159" s="1" t="s">
        <v>16</v>
      </c>
      <c r="E159" s="1" t="s">
        <v>30</v>
      </c>
      <c r="F159" s="1">
        <v>0.88473000000000002</v>
      </c>
      <c r="G159" s="1">
        <v>0.88793</v>
      </c>
      <c r="H159" s="1">
        <v>0.91527999999999998</v>
      </c>
      <c r="I159" s="1">
        <v>0.83708000000000005</v>
      </c>
      <c r="J159" s="1">
        <v>0.82215000000000005</v>
      </c>
      <c r="K159" s="1">
        <v>0.86636999999999997</v>
      </c>
      <c r="L159" s="1">
        <v>0.87202000000000002</v>
      </c>
      <c r="M159" s="1">
        <v>0.86409000000000002</v>
      </c>
      <c r="N159" s="1">
        <v>0.88793</v>
      </c>
      <c r="O159" s="1">
        <v>0.91527999999999998</v>
      </c>
      <c r="P159" s="1">
        <v>0.83708000000000005</v>
      </c>
      <c r="Q159" s="1">
        <v>0.82215000000000005</v>
      </c>
      <c r="R159" s="1">
        <v>0.86636999999999997</v>
      </c>
      <c r="S159" s="1">
        <v>0.87202000000000002</v>
      </c>
      <c r="T159" s="1">
        <v>0.86409000000000002</v>
      </c>
      <c r="U159" s="1">
        <v>0.88793</v>
      </c>
      <c r="V159" s="1">
        <v>0.91527999999999998</v>
      </c>
      <c r="W159" s="1">
        <v>0.83708000000000005</v>
      </c>
      <c r="X159" s="1">
        <v>0.82215000000000005</v>
      </c>
      <c r="Y159" s="1">
        <v>0.86636999999999997</v>
      </c>
      <c r="Z159" s="1">
        <v>0.87202000000000002</v>
      </c>
      <c r="AA159" s="1">
        <v>0.86409000000000002</v>
      </c>
      <c r="AB159" s="1">
        <v>0.88793</v>
      </c>
      <c r="AC159" s="1">
        <v>0.91527999999999998</v>
      </c>
      <c r="AD159" s="1">
        <v>0.83708000000000005</v>
      </c>
      <c r="AE159" s="1">
        <v>0.82215000000000005</v>
      </c>
      <c r="AF159" s="1">
        <v>0.86636999999999997</v>
      </c>
      <c r="AG159" s="1">
        <v>0.87202000000000002</v>
      </c>
      <c r="AH159" s="1">
        <v>0.86409000000000002</v>
      </c>
      <c r="AI159" s="1">
        <v>0.88793</v>
      </c>
      <c r="AJ159" s="1">
        <v>0.91527999999999998</v>
      </c>
      <c r="AL159" s="4" t="s">
        <v>23</v>
      </c>
      <c r="AM159" s="6" t="str" cm="1">
        <f t="array" ref="AM159">IFERROR((SUMPRODUCT(($A$148:$A$171=AM$146)*($F$145:$AJ$145="")*$F$148:$AJ$171)+IF(AM$146="P6",SUMPRODUCT(($F$145:$AJ$145="P6")*$F$148:$AJ$171),0))/(SUMPRODUCT(($A$148:$A$171=AM$146)*($F$145:$AJ$145=""))+IF(AM$146="P6",COUNTIF($F$145:$AJ$145,"P6")*ROWS($A$148:$A$171),0)),"")</f>
        <v/>
      </c>
      <c r="AN159" s="6" t="str" cm="1">
        <f t="array" ref="AN159">IFERROR((SUMPRODUCT(($A$148:$A$171=AN$146)*($F$145:$AJ$145="")*$F$148:$AJ$171)+IF(AN$146="P6",SUMPRODUCT(($F$145:$AJ$145="P6")*$F$148:$AJ$171),0))/(SUMPRODUCT(($A$148:$A$171=AN$146)*($F$145:$AJ$145=""))+IF(AN$146="P6",COUNTIF($F$145:$AJ$145,"P6")*ROWS($A$148:$A$171),0)),"")</f>
        <v/>
      </c>
      <c r="AO159" s="6" t="str" cm="1">
        <f t="array" ref="AO159">IFERROR((SUMPRODUCT(($A$148:$A$171=AO$146)*($F$145:$AJ$145="")*$F$148:$AJ$171)+IF(AO$146="P6",SUMPRODUCT(($F$145:$AJ$145="P6")*$F$148:$AJ$171),0))/(SUMPRODUCT(($A$148:$A$171=AO$146)*($F$145:$AJ$145=""))+IF(AO$146="P6",COUNTIF($F$145:$AJ$145,"P6")*ROWS($A$148:$A$171),0)),"")</f>
        <v/>
      </c>
      <c r="AP159" s="6" cm="1">
        <f t="array" ref="AP159">IFERROR((SUMPRODUCT(($A$148:$A$171=AP$146)*($F$145:$AJ$145="")*$F$148:$AJ$171)+IF(AP$146="P6",SUMPRODUCT(($F$145:$AJ$145="P6")*$F$148:$AJ$171),0))/(SUMPRODUCT(($A$148:$A$171=AP$146)*($F$145:$AJ$145=""))+IF(AP$146="P6",COUNTIF($F$145:$AJ$145,"P6")*ROWS($A$148:$A$171),0)),"")</f>
        <v>0.92703813131313084</v>
      </c>
      <c r="AQ159" s="6" cm="1">
        <f t="array" ref="AQ159">IFERROR((SUMPRODUCT(($A$148:$A$171=AQ$146)*($F$145:$AJ$145="")*$F$148:$AJ$171)+IF(AQ$146="P6",SUMPRODUCT(($F$145:$AJ$145="P6")*$F$148:$AJ$171),0))/(SUMPRODUCT(($A$148:$A$171=AQ$146)*($F$145:$AJ$145=""))+IF(AQ$146="P6",COUNTIF($F$145:$AJ$145,"P6")*ROWS($A$148:$A$171),0)),"")</f>
        <v>1.0889294155844162</v>
      </c>
      <c r="AR159" s="6" cm="1">
        <f t="array" ref="AR159">IFERROR((SUMPRODUCT(($A$148:$A$171=AR$146)*($F$145:$AJ$145="")*$F$148:$AJ$171)+IF(AR$146="P6",SUMPRODUCT(($F$145:$AJ$145="P6")*$F$148:$AJ$171),0))/(SUMPRODUCT(($A$148:$A$171=AR$146)*($F$145:$AJ$145=""))+IF(AR$146="P6",COUNTIF($F$145:$AJ$145,"P6")*ROWS($A$148:$A$171),0)),"")</f>
        <v>1.0007234183673475</v>
      </c>
    </row>
    <row r="160" spans="1:44" ht="14.25" customHeight="1" x14ac:dyDescent="0.35">
      <c r="A160" s="1" t="s">
        <v>16</v>
      </c>
      <c r="B160" s="1" t="s">
        <v>14</v>
      </c>
      <c r="C160" s="1" t="s">
        <v>13</v>
      </c>
      <c r="D160" s="1" t="s">
        <v>16</v>
      </c>
      <c r="E160" s="1" t="s">
        <v>31</v>
      </c>
      <c r="F160" s="1">
        <v>0.89775000000000005</v>
      </c>
      <c r="G160" s="1">
        <v>0.87695999999999996</v>
      </c>
      <c r="H160" s="1">
        <v>0.92112000000000005</v>
      </c>
      <c r="I160" s="1">
        <v>0.82872999999999997</v>
      </c>
      <c r="J160" s="1">
        <v>0.82055</v>
      </c>
      <c r="K160" s="1">
        <v>0.85563999999999996</v>
      </c>
      <c r="L160" s="1">
        <v>0.87429000000000001</v>
      </c>
      <c r="M160" s="1">
        <v>0.85233000000000003</v>
      </c>
      <c r="N160" s="1">
        <v>0.87695999999999996</v>
      </c>
      <c r="O160" s="1">
        <v>0.92112000000000005</v>
      </c>
      <c r="P160" s="1">
        <v>0.82872999999999997</v>
      </c>
      <c r="Q160" s="1">
        <v>0.82055</v>
      </c>
      <c r="R160" s="1">
        <v>0.85563999999999996</v>
      </c>
      <c r="S160" s="1">
        <v>0.87429000000000001</v>
      </c>
      <c r="T160" s="1">
        <v>0.85233000000000003</v>
      </c>
      <c r="U160" s="1">
        <v>0.87695999999999996</v>
      </c>
      <c r="V160" s="1">
        <v>0.92112000000000005</v>
      </c>
      <c r="W160" s="1">
        <v>0.82872999999999997</v>
      </c>
      <c r="X160" s="1">
        <v>0.82055</v>
      </c>
      <c r="Y160" s="1">
        <v>0.85563999999999996</v>
      </c>
      <c r="Z160" s="1">
        <v>0.87429000000000001</v>
      </c>
      <c r="AA160" s="1">
        <v>0.85233000000000003</v>
      </c>
      <c r="AB160" s="1">
        <v>0.87695999999999996</v>
      </c>
      <c r="AC160" s="1">
        <v>0.92112000000000005</v>
      </c>
      <c r="AD160" s="1">
        <v>0.82872999999999997</v>
      </c>
      <c r="AE160" s="1">
        <v>0.82055</v>
      </c>
      <c r="AF160" s="1">
        <v>0.85563999999999996</v>
      </c>
      <c r="AG160" s="1">
        <v>0.87429000000000001</v>
      </c>
      <c r="AH160" s="1">
        <v>0.85233000000000003</v>
      </c>
      <c r="AI160" s="1">
        <v>0.87695999999999996</v>
      </c>
      <c r="AJ160" s="1">
        <v>0.92112000000000005</v>
      </c>
      <c r="AL160" s="4" t="s">
        <v>25</v>
      </c>
      <c r="AM160" s="6" t="str" cm="1">
        <f t="array" ref="AM160">IFERROR((SUMPRODUCT(($A$148:$A$171=AM$146)*($F$145:$AJ$145="")*$F$148:$AJ$171)+IF(AM$146="P6",SUMPRODUCT(($F$145:$AJ$145="P6")*$F$148:$AJ$171),0))/(SUMPRODUCT(($A$148:$A$171=AM$146)*($F$145:$AJ$145=""))+IF(AM$146="P6",COUNTIF($F$145:$AJ$145,"P6")*ROWS($A$148:$A$171),0)),"")</f>
        <v/>
      </c>
      <c r="AN160" s="6" t="str" cm="1">
        <f t="array" ref="AN160">IFERROR((SUMPRODUCT(($A$148:$A$171=AN$146)*($F$145:$AJ$145="")*$F$148:$AJ$171)+IF(AN$146="P6",SUMPRODUCT(($F$145:$AJ$145="P6")*$F$148:$AJ$171),0))/(SUMPRODUCT(($A$148:$A$171=AN$146)*($F$145:$AJ$145=""))+IF(AN$146="P6",COUNTIF($F$145:$AJ$145,"P6")*ROWS($A$148:$A$171),0)),"")</f>
        <v/>
      </c>
      <c r="AO160" s="6" t="str" cm="1">
        <f t="array" ref="AO160">IFERROR((SUMPRODUCT(($A$148:$A$171=AO$146)*($F$145:$AJ$145="")*$F$148:$AJ$171)+IF(AO$146="P6",SUMPRODUCT(($F$145:$AJ$145="P6")*$F$148:$AJ$171),0))/(SUMPRODUCT(($A$148:$A$171=AO$146)*($F$145:$AJ$145=""))+IF(AO$146="P6",COUNTIF($F$145:$AJ$145,"P6")*ROWS($A$148:$A$171),0)),"")</f>
        <v/>
      </c>
      <c r="AP160" s="6" cm="1">
        <f t="array" ref="AP160">IFERROR((SUMPRODUCT(($A$148:$A$171=AP$146)*($F$145:$AJ$145="")*$F$148:$AJ$171)+IF(AP$146="P6",SUMPRODUCT(($F$145:$AJ$145="P6")*$F$148:$AJ$171),0))/(SUMPRODUCT(($A$148:$A$171=AP$146)*($F$145:$AJ$145=""))+IF(AP$146="P6",COUNTIF($F$145:$AJ$145,"P6")*ROWS($A$148:$A$171),0)),"")</f>
        <v>0.92703813131313084</v>
      </c>
      <c r="AQ160" s="6" cm="1">
        <f t="array" ref="AQ160">IFERROR((SUMPRODUCT(($A$148:$A$171=AQ$146)*($F$145:$AJ$145="")*$F$148:$AJ$171)+IF(AQ$146="P6",SUMPRODUCT(($F$145:$AJ$145="P6")*$F$148:$AJ$171),0))/(SUMPRODUCT(($A$148:$A$171=AQ$146)*($F$145:$AJ$145=""))+IF(AQ$146="P6",COUNTIF($F$145:$AJ$145,"P6")*ROWS($A$148:$A$171),0)),"")</f>
        <v>1.0889294155844162</v>
      </c>
      <c r="AR160" s="6" cm="1">
        <f t="array" ref="AR160">IFERROR((SUMPRODUCT(($A$148:$A$171=AR$146)*($F$145:$AJ$145="")*$F$148:$AJ$171)+IF(AR$146="P6",SUMPRODUCT(($F$145:$AJ$145="P6")*$F$148:$AJ$171),0))/(SUMPRODUCT(($A$148:$A$171=AR$146)*($F$145:$AJ$145=""))+IF(AR$146="P6",COUNTIF($F$145:$AJ$145,"P6")*ROWS($A$148:$A$171),0)),"")</f>
        <v>1.0007234183673475</v>
      </c>
    </row>
    <row r="161" spans="1:44" ht="14.25" customHeight="1" x14ac:dyDescent="0.35">
      <c r="A161" s="1" t="s">
        <v>16</v>
      </c>
      <c r="B161" s="1" t="s">
        <v>14</v>
      </c>
      <c r="C161" s="1" t="s">
        <v>13</v>
      </c>
      <c r="D161" s="1" t="s">
        <v>16</v>
      </c>
      <c r="E161" s="1" t="s">
        <v>32</v>
      </c>
      <c r="F161" s="1">
        <v>0.87067000000000005</v>
      </c>
      <c r="G161" s="1">
        <v>0.85941999999999996</v>
      </c>
      <c r="H161" s="1">
        <v>0.88805999999999996</v>
      </c>
      <c r="I161" s="1">
        <v>0.81203999999999998</v>
      </c>
      <c r="J161" s="1">
        <v>0.79993999999999998</v>
      </c>
      <c r="K161" s="1">
        <v>0.83774000000000004</v>
      </c>
      <c r="L161" s="1">
        <v>0.84253999999999996</v>
      </c>
      <c r="M161" s="1">
        <v>0.82503000000000004</v>
      </c>
      <c r="N161" s="1">
        <v>0.85941999999999996</v>
      </c>
      <c r="O161" s="1">
        <v>0.88805999999999996</v>
      </c>
      <c r="P161" s="1">
        <v>0.81203999999999998</v>
      </c>
      <c r="Q161" s="1">
        <v>0.79993999999999998</v>
      </c>
      <c r="R161" s="1">
        <v>0.83774000000000004</v>
      </c>
      <c r="S161" s="1">
        <v>0.84253999999999996</v>
      </c>
      <c r="T161" s="1">
        <v>0.82503000000000004</v>
      </c>
      <c r="U161" s="1">
        <v>0.85941999999999996</v>
      </c>
      <c r="V161" s="1">
        <v>0.88805999999999996</v>
      </c>
      <c r="W161" s="1">
        <v>0.81203999999999998</v>
      </c>
      <c r="X161" s="1">
        <v>0.79993999999999998</v>
      </c>
      <c r="Y161" s="1">
        <v>0.83774000000000004</v>
      </c>
      <c r="Z161" s="1">
        <v>0.84253999999999996</v>
      </c>
      <c r="AA161" s="1">
        <v>0.82503000000000004</v>
      </c>
      <c r="AB161" s="1">
        <v>0.85941999999999996</v>
      </c>
      <c r="AC161" s="1">
        <v>0.88805999999999996</v>
      </c>
      <c r="AD161" s="1">
        <v>0.81203999999999998</v>
      </c>
      <c r="AE161" s="1">
        <v>0.79993999999999998</v>
      </c>
      <c r="AF161" s="1">
        <v>0.83774000000000004</v>
      </c>
      <c r="AG161" s="1">
        <v>0.84253999999999996</v>
      </c>
      <c r="AH161" s="1">
        <v>0.82503000000000004</v>
      </c>
      <c r="AI161" s="1">
        <v>0.85941999999999996</v>
      </c>
      <c r="AJ161" s="1">
        <v>0.88805999999999996</v>
      </c>
      <c r="AL161" s="4" t="s">
        <v>27</v>
      </c>
      <c r="AM161" s="6" t="str" cm="1">
        <f t="array" ref="AM161">IFERROR((SUMPRODUCT(($A$148:$A$171=AM$146)*($F$145:$AJ$145="")*$F$148:$AJ$171)+IF(AM$146="P6",SUMPRODUCT(($F$145:$AJ$145="P6")*$F$148:$AJ$171),0))/(SUMPRODUCT(($A$148:$A$171=AM$146)*($F$145:$AJ$145=""))+IF(AM$146="P6",COUNTIF($F$145:$AJ$145,"P6")*ROWS($A$148:$A$171),0)),"")</f>
        <v/>
      </c>
      <c r="AN161" s="6" t="str" cm="1">
        <f t="array" ref="AN161">IFERROR((SUMPRODUCT(($A$148:$A$171=AN$146)*($F$145:$AJ$145="")*$F$148:$AJ$171)+IF(AN$146="P6",SUMPRODUCT(($F$145:$AJ$145="P6")*$F$148:$AJ$171),0))/(SUMPRODUCT(($A$148:$A$171=AN$146)*($F$145:$AJ$145=""))+IF(AN$146="P6",COUNTIF($F$145:$AJ$145,"P6")*ROWS($A$148:$A$171),0)),"")</f>
        <v/>
      </c>
      <c r="AO161" s="6" t="str" cm="1">
        <f t="array" ref="AO161">IFERROR((SUMPRODUCT(($A$148:$A$171=AO$146)*($F$145:$AJ$145="")*$F$148:$AJ$171)+IF(AO$146="P6",SUMPRODUCT(($F$145:$AJ$145="P6")*$F$148:$AJ$171),0))/(SUMPRODUCT(($A$148:$A$171=AO$146)*($F$145:$AJ$145=""))+IF(AO$146="P6",COUNTIF($F$145:$AJ$145,"P6")*ROWS($A$148:$A$171),0)),"")</f>
        <v/>
      </c>
      <c r="AP161" s="6" cm="1">
        <f t="array" ref="AP161">IFERROR((SUMPRODUCT(($A$148:$A$171=AP$146)*($F$145:$AJ$145="")*$F$148:$AJ$171)+IF(AP$146="P6",SUMPRODUCT(($F$145:$AJ$145="P6")*$F$148:$AJ$171),0))/(SUMPRODUCT(($A$148:$A$171=AP$146)*($F$145:$AJ$145=""))+IF(AP$146="P6",COUNTIF($F$145:$AJ$145,"P6")*ROWS($A$148:$A$171),0)),"")</f>
        <v>0.92703813131313084</v>
      </c>
      <c r="AQ161" s="6" cm="1">
        <f t="array" ref="AQ161">IFERROR((SUMPRODUCT(($A$148:$A$171=AQ$146)*($F$145:$AJ$145="")*$F$148:$AJ$171)+IF(AQ$146="P6",SUMPRODUCT(($F$145:$AJ$145="P6")*$F$148:$AJ$171),0))/(SUMPRODUCT(($A$148:$A$171=AQ$146)*($F$145:$AJ$145=""))+IF(AQ$146="P6",COUNTIF($F$145:$AJ$145,"P6")*ROWS($A$148:$A$171),0)),"")</f>
        <v>1.0889294155844162</v>
      </c>
      <c r="AR161" s="6" cm="1">
        <f t="array" ref="AR161">IFERROR((SUMPRODUCT(($A$148:$A$171=AR$146)*($F$145:$AJ$145="")*$F$148:$AJ$171)+IF(AR$146="P6",SUMPRODUCT(($F$145:$AJ$145="P6")*$F$148:$AJ$171),0))/(SUMPRODUCT(($A$148:$A$171=AR$146)*($F$145:$AJ$145=""))+IF(AR$146="P6",COUNTIF($F$145:$AJ$145,"P6")*ROWS($A$148:$A$171),0)),"")</f>
        <v>1.0007234183673475</v>
      </c>
    </row>
    <row r="162" spans="1:44" ht="14.25" customHeight="1" x14ac:dyDescent="0.35">
      <c r="A162" s="1" t="s">
        <v>16</v>
      </c>
      <c r="B162" s="1" t="s">
        <v>14</v>
      </c>
      <c r="C162" s="1" t="s">
        <v>14</v>
      </c>
      <c r="D162" s="1" t="s">
        <v>17</v>
      </c>
      <c r="E162" s="1" t="s">
        <v>33</v>
      </c>
      <c r="F162" s="1">
        <v>0.88244999999999996</v>
      </c>
      <c r="G162" s="1">
        <v>0.996</v>
      </c>
      <c r="H162" s="1">
        <v>1.03183</v>
      </c>
      <c r="I162" s="1">
        <v>0.81398999999999999</v>
      </c>
      <c r="J162" s="1">
        <v>0.80040999999999995</v>
      </c>
      <c r="K162" s="1">
        <v>0.98551999999999995</v>
      </c>
      <c r="L162" s="1">
        <v>0.99839</v>
      </c>
      <c r="M162" s="1">
        <v>0.96260000000000001</v>
      </c>
      <c r="N162" s="1">
        <v>0.996</v>
      </c>
      <c r="O162" s="1">
        <v>1.03183</v>
      </c>
      <c r="P162" s="1">
        <v>0.81398999999999999</v>
      </c>
      <c r="Q162" s="1">
        <v>0.80040999999999995</v>
      </c>
      <c r="R162" s="1">
        <v>0.98551999999999995</v>
      </c>
      <c r="S162" s="1">
        <v>0.99839</v>
      </c>
      <c r="T162" s="1">
        <v>0.96260000000000001</v>
      </c>
      <c r="U162" s="1">
        <v>0.996</v>
      </c>
      <c r="V162" s="1">
        <v>1.03183</v>
      </c>
      <c r="W162" s="1">
        <v>0.81398999999999999</v>
      </c>
      <c r="X162" s="1">
        <v>0.80040999999999995</v>
      </c>
      <c r="Y162" s="1">
        <v>0.98551999999999995</v>
      </c>
      <c r="Z162" s="1">
        <v>0.99839</v>
      </c>
      <c r="AA162" s="1">
        <v>0.96260000000000001</v>
      </c>
      <c r="AB162" s="1">
        <v>0.996</v>
      </c>
      <c r="AC162" s="1">
        <v>1.03183</v>
      </c>
      <c r="AD162" s="1">
        <v>0.81398999999999999</v>
      </c>
      <c r="AE162" s="1">
        <v>0.80040999999999995</v>
      </c>
      <c r="AF162" s="1">
        <v>0.98551999999999995</v>
      </c>
      <c r="AG162" s="1">
        <v>0.99839</v>
      </c>
      <c r="AH162" s="1">
        <v>0.96260000000000001</v>
      </c>
      <c r="AI162" s="1">
        <v>0.996</v>
      </c>
      <c r="AJ162" s="1">
        <v>1.03183</v>
      </c>
      <c r="AL162" s="4" t="s">
        <v>29</v>
      </c>
      <c r="AM162" s="6" t="str" cm="1">
        <f t="array" ref="AM162">IFERROR((SUMPRODUCT(($A$148:$A$171=AM$146)*($F$145:$AJ$145="")*$F$148:$AJ$171)+IF(AM$146="P6",SUMPRODUCT(($F$145:$AJ$145="P6")*$F$148:$AJ$171),0))/(SUMPRODUCT(($A$148:$A$171=AM$146)*($F$145:$AJ$145=""))+IF(AM$146="P6",COUNTIF($F$145:$AJ$145,"P6")*ROWS($A$148:$A$171),0)),"")</f>
        <v/>
      </c>
      <c r="AN162" s="6" t="str" cm="1">
        <f t="array" ref="AN162">IFERROR((SUMPRODUCT(($A$148:$A$171=AN$146)*($F$145:$AJ$145="")*$F$148:$AJ$171)+IF(AN$146="P6",SUMPRODUCT(($F$145:$AJ$145="P6")*$F$148:$AJ$171),0))/(SUMPRODUCT(($A$148:$A$171=AN$146)*($F$145:$AJ$145=""))+IF(AN$146="P6",COUNTIF($F$145:$AJ$145,"P6")*ROWS($A$148:$A$171),0)),"")</f>
        <v/>
      </c>
      <c r="AO162" s="6" t="str" cm="1">
        <f t="array" ref="AO162">IFERROR((SUMPRODUCT(($A$148:$A$171=AO$146)*($F$145:$AJ$145="")*$F$148:$AJ$171)+IF(AO$146="P6",SUMPRODUCT(($F$145:$AJ$145="P6")*$F$148:$AJ$171),0))/(SUMPRODUCT(($A$148:$A$171=AO$146)*($F$145:$AJ$145=""))+IF(AO$146="P6",COUNTIF($F$145:$AJ$145,"P6")*ROWS($A$148:$A$171),0)),"")</f>
        <v/>
      </c>
      <c r="AP162" s="6" cm="1">
        <f t="array" ref="AP162">IFERROR((SUMPRODUCT(($A$148:$A$171=AP$146)*($F$145:$AJ$145="")*$F$148:$AJ$171)+IF(AP$146="P6",SUMPRODUCT(($F$145:$AJ$145="P6")*$F$148:$AJ$171),0))/(SUMPRODUCT(($A$148:$A$171=AP$146)*($F$145:$AJ$145=""))+IF(AP$146="P6",COUNTIF($F$145:$AJ$145,"P6")*ROWS($A$148:$A$171),0)),"")</f>
        <v>0.92703813131313084</v>
      </c>
      <c r="AQ162" s="6" cm="1">
        <f t="array" ref="AQ162">IFERROR((SUMPRODUCT(($A$148:$A$171=AQ$146)*($F$145:$AJ$145="")*$F$148:$AJ$171)+IF(AQ$146="P6",SUMPRODUCT(($F$145:$AJ$145="P6")*$F$148:$AJ$171),0))/(SUMPRODUCT(($A$148:$A$171=AQ$146)*($F$145:$AJ$145=""))+IF(AQ$146="P6",COUNTIF($F$145:$AJ$145,"P6")*ROWS($A$148:$A$171),0)),"")</f>
        <v>1.0889294155844162</v>
      </c>
      <c r="AR162" s="6" cm="1">
        <f t="array" ref="AR162">IFERROR((SUMPRODUCT(($A$148:$A$171=AR$146)*($F$145:$AJ$145="")*$F$148:$AJ$171)+IF(AR$146="P6",SUMPRODUCT(($F$145:$AJ$145="P6")*$F$148:$AJ$171),0))/(SUMPRODUCT(($A$148:$A$171=AR$146)*($F$145:$AJ$145=""))+IF(AR$146="P6",COUNTIF($F$145:$AJ$145,"P6")*ROWS($A$148:$A$171),0)),"")</f>
        <v>1.0007234183673475</v>
      </c>
    </row>
    <row r="163" spans="1:44" ht="14.25" customHeight="1" x14ac:dyDescent="0.35">
      <c r="A163" s="1" t="s">
        <v>17</v>
      </c>
      <c r="B163" s="1" t="s">
        <v>15</v>
      </c>
      <c r="C163" s="1" t="s">
        <v>14</v>
      </c>
      <c r="D163" s="1" t="s">
        <v>17</v>
      </c>
      <c r="E163" s="1" t="s">
        <v>34</v>
      </c>
      <c r="F163" s="1">
        <v>0.96406000000000003</v>
      </c>
      <c r="G163" s="1">
        <v>1.03871</v>
      </c>
      <c r="H163" s="1">
        <v>1.0807199999999999</v>
      </c>
      <c r="I163" s="1">
        <v>0.87038000000000004</v>
      </c>
      <c r="J163" s="1">
        <v>0.85060999999999998</v>
      </c>
      <c r="K163" s="1">
        <v>1.0408900000000001</v>
      </c>
      <c r="L163" s="1">
        <v>1.0339499999999999</v>
      </c>
      <c r="M163" s="1">
        <v>0.99951000000000001</v>
      </c>
      <c r="N163" s="1">
        <v>1.03871</v>
      </c>
      <c r="O163" s="1">
        <v>1.0807199999999999</v>
      </c>
      <c r="P163" s="1">
        <v>0.87038000000000004</v>
      </c>
      <c r="Q163" s="1">
        <v>0.85060999999999998</v>
      </c>
      <c r="R163" s="1">
        <v>1.0408900000000001</v>
      </c>
      <c r="S163" s="1">
        <v>1.0339499999999999</v>
      </c>
      <c r="T163" s="1">
        <v>0.99951000000000001</v>
      </c>
      <c r="U163" s="1">
        <v>1.03871</v>
      </c>
      <c r="V163" s="1">
        <v>1.0807199999999999</v>
      </c>
      <c r="W163" s="1">
        <v>0.87038000000000004</v>
      </c>
      <c r="X163" s="1">
        <v>0.85060999999999998</v>
      </c>
      <c r="Y163" s="1">
        <v>1.0408900000000001</v>
      </c>
      <c r="Z163" s="1">
        <v>1.0339499999999999</v>
      </c>
      <c r="AA163" s="1">
        <v>0.99951000000000001</v>
      </c>
      <c r="AB163" s="1">
        <v>1.03871</v>
      </c>
      <c r="AC163" s="1">
        <v>1.0807199999999999</v>
      </c>
      <c r="AD163" s="1">
        <v>0.87038000000000004</v>
      </c>
      <c r="AE163" s="1">
        <v>0.85060999999999998</v>
      </c>
      <c r="AF163" s="1">
        <v>1.0408900000000001</v>
      </c>
      <c r="AG163" s="1">
        <v>1.0339499999999999</v>
      </c>
      <c r="AH163" s="1">
        <v>0.99951000000000001</v>
      </c>
      <c r="AI163" s="1">
        <v>1.03871</v>
      </c>
      <c r="AJ163" s="1">
        <v>1.0807199999999999</v>
      </c>
      <c r="AL163" s="10"/>
      <c r="AM163" s="10"/>
      <c r="AN163" s="10"/>
      <c r="AO163" s="10"/>
      <c r="AP163" s="10"/>
      <c r="AQ163" s="10"/>
      <c r="AR163" s="10"/>
    </row>
    <row r="164" spans="1:44" ht="14.25" customHeight="1" x14ac:dyDescent="0.35">
      <c r="A164" s="1" t="s">
        <v>17</v>
      </c>
      <c r="B164" s="1" t="s">
        <v>15</v>
      </c>
      <c r="C164" s="1" t="s">
        <v>14</v>
      </c>
      <c r="D164" s="1" t="s">
        <v>17</v>
      </c>
      <c r="E164" s="1" t="s">
        <v>35</v>
      </c>
      <c r="F164" s="1">
        <v>0.99946999999999997</v>
      </c>
      <c r="G164" s="1">
        <v>1.08752</v>
      </c>
      <c r="H164" s="1">
        <v>1.1020000000000001</v>
      </c>
      <c r="I164" s="1">
        <v>0.90169999999999995</v>
      </c>
      <c r="J164" s="1">
        <v>0.88068000000000002</v>
      </c>
      <c r="K164" s="1">
        <v>1.079</v>
      </c>
      <c r="L164" s="1">
        <v>1.0691600000000001</v>
      </c>
      <c r="M164" s="1">
        <v>1.0282800000000001</v>
      </c>
      <c r="N164" s="1">
        <v>1.08752</v>
      </c>
      <c r="O164" s="1">
        <v>1.1020000000000001</v>
      </c>
      <c r="P164" s="1">
        <v>0.90169999999999995</v>
      </c>
      <c r="Q164" s="1">
        <v>0.88068000000000002</v>
      </c>
      <c r="R164" s="1">
        <v>1.079</v>
      </c>
      <c r="S164" s="1">
        <v>1.0691600000000001</v>
      </c>
      <c r="T164" s="1">
        <v>1.0282800000000001</v>
      </c>
      <c r="U164" s="1">
        <v>1.08752</v>
      </c>
      <c r="V164" s="1">
        <v>1.1020000000000001</v>
      </c>
      <c r="W164" s="1">
        <v>0.90169999999999995</v>
      </c>
      <c r="X164" s="1">
        <v>0.88068000000000002</v>
      </c>
      <c r="Y164" s="1">
        <v>1.079</v>
      </c>
      <c r="Z164" s="1">
        <v>1.0691600000000001</v>
      </c>
      <c r="AA164" s="1">
        <v>1.0282800000000001</v>
      </c>
      <c r="AB164" s="1">
        <v>1.08752</v>
      </c>
      <c r="AC164" s="1">
        <v>1.1020000000000001</v>
      </c>
      <c r="AD164" s="1">
        <v>0.90169999999999995</v>
      </c>
      <c r="AE164" s="1">
        <v>0.88068000000000002</v>
      </c>
      <c r="AF164" s="1">
        <v>1.079</v>
      </c>
      <c r="AG164" s="1">
        <v>1.0691600000000001</v>
      </c>
      <c r="AH164" s="1">
        <v>1.0282800000000001</v>
      </c>
      <c r="AI164" s="1">
        <v>1.08752</v>
      </c>
      <c r="AJ164" s="1">
        <v>1.1020000000000001</v>
      </c>
      <c r="AL164" s="10"/>
      <c r="AM164" s="10"/>
      <c r="AN164" s="10"/>
      <c r="AO164" s="10"/>
      <c r="AP164" s="10"/>
      <c r="AQ164" s="10"/>
      <c r="AR164" s="10"/>
    </row>
    <row r="165" spans="1:44" ht="14.25" customHeight="1" x14ac:dyDescent="0.35">
      <c r="A165" s="1" t="s">
        <v>17</v>
      </c>
      <c r="B165" s="1" t="s">
        <v>15</v>
      </c>
      <c r="C165" s="1" t="s">
        <v>14</v>
      </c>
      <c r="D165" s="1" t="s">
        <v>17</v>
      </c>
      <c r="E165" s="1" t="s">
        <v>36</v>
      </c>
      <c r="F165" s="1">
        <v>1.0225900000000001</v>
      </c>
      <c r="G165" s="1">
        <v>1.11805</v>
      </c>
      <c r="H165" s="1">
        <v>1.13388</v>
      </c>
      <c r="I165" s="1">
        <v>0.93206999999999995</v>
      </c>
      <c r="J165" s="1">
        <v>0.90500000000000003</v>
      </c>
      <c r="K165" s="1">
        <v>1.0806100000000001</v>
      </c>
      <c r="L165" s="1">
        <v>1.0871299999999999</v>
      </c>
      <c r="M165" s="1">
        <v>1.05762</v>
      </c>
      <c r="N165" s="1">
        <v>1.11805</v>
      </c>
      <c r="O165" s="1">
        <v>1.13388</v>
      </c>
      <c r="P165" s="1">
        <v>0.93206999999999995</v>
      </c>
      <c r="Q165" s="1">
        <v>0.90500000000000003</v>
      </c>
      <c r="R165" s="1">
        <v>1.0806100000000001</v>
      </c>
      <c r="S165" s="1">
        <v>1.0871299999999999</v>
      </c>
      <c r="T165" s="1">
        <v>1.05762</v>
      </c>
      <c r="U165" s="1">
        <v>1.11805</v>
      </c>
      <c r="V165" s="1">
        <v>1.13388</v>
      </c>
      <c r="W165" s="1">
        <v>0.93206999999999995</v>
      </c>
      <c r="X165" s="1">
        <v>0.90500000000000003</v>
      </c>
      <c r="Y165" s="1">
        <v>1.0806100000000001</v>
      </c>
      <c r="Z165" s="1">
        <v>1.0871299999999999</v>
      </c>
      <c r="AA165" s="1">
        <v>1.05762</v>
      </c>
      <c r="AB165" s="1">
        <v>1.11805</v>
      </c>
      <c r="AC165" s="1">
        <v>1.13388</v>
      </c>
      <c r="AD165" s="1">
        <v>0.93206999999999995</v>
      </c>
      <c r="AE165" s="1">
        <v>0.90500000000000003</v>
      </c>
      <c r="AF165" s="1">
        <v>1.0806100000000001</v>
      </c>
      <c r="AG165" s="1">
        <v>1.0871299999999999</v>
      </c>
      <c r="AH165" s="1">
        <v>1.05762</v>
      </c>
      <c r="AI165" s="1">
        <v>1.11805</v>
      </c>
      <c r="AJ165" s="1">
        <v>1.13388</v>
      </c>
      <c r="AL165" s="14" t="s">
        <v>172</v>
      </c>
      <c r="AM165" s="14"/>
      <c r="AN165" s="14"/>
      <c r="AO165" s="14"/>
      <c r="AP165" s="14"/>
      <c r="AQ165" s="14"/>
      <c r="AR165" s="14"/>
    </row>
    <row r="166" spans="1:44" ht="14.25" customHeight="1" x14ac:dyDescent="0.35">
      <c r="A166" s="1" t="s">
        <v>16</v>
      </c>
      <c r="B166" s="1" t="s">
        <v>14</v>
      </c>
      <c r="C166" s="1" t="s">
        <v>13</v>
      </c>
      <c r="D166" s="1" t="s">
        <v>16</v>
      </c>
      <c r="E166" s="1" t="s">
        <v>37</v>
      </c>
      <c r="F166" s="1">
        <v>1.0535600000000001</v>
      </c>
      <c r="G166" s="1">
        <v>0.96653999999999995</v>
      </c>
      <c r="H166" s="1">
        <v>0.95996000000000004</v>
      </c>
      <c r="I166" s="1">
        <v>0.95411000000000001</v>
      </c>
      <c r="J166" s="1">
        <v>0.93245</v>
      </c>
      <c r="K166" s="1">
        <v>0.92230999999999996</v>
      </c>
      <c r="L166" s="1">
        <v>0.92274999999999996</v>
      </c>
      <c r="M166" s="1">
        <v>0.90315000000000001</v>
      </c>
      <c r="N166" s="1">
        <v>0.96653999999999995</v>
      </c>
      <c r="O166" s="1">
        <v>0.95996000000000004</v>
      </c>
      <c r="P166" s="1">
        <v>0.95411000000000001</v>
      </c>
      <c r="Q166" s="1">
        <v>0.93245</v>
      </c>
      <c r="R166" s="1">
        <v>0.92230999999999996</v>
      </c>
      <c r="S166" s="1">
        <v>0.92274999999999996</v>
      </c>
      <c r="T166" s="1">
        <v>0.90315000000000001</v>
      </c>
      <c r="U166" s="1">
        <v>0.96653999999999995</v>
      </c>
      <c r="V166" s="1">
        <v>0.95996000000000004</v>
      </c>
      <c r="W166" s="1">
        <v>0.95411000000000001</v>
      </c>
      <c r="X166" s="1">
        <v>0.93245</v>
      </c>
      <c r="Y166" s="1">
        <v>0.92230999999999996</v>
      </c>
      <c r="Z166" s="1">
        <v>0.92274999999999996</v>
      </c>
      <c r="AA166" s="1">
        <v>0.90315000000000001</v>
      </c>
      <c r="AB166" s="1">
        <v>0.96653999999999995</v>
      </c>
      <c r="AC166" s="1">
        <v>0.95996000000000004</v>
      </c>
      <c r="AD166" s="1">
        <v>0.95411000000000001</v>
      </c>
      <c r="AE166" s="1">
        <v>0.93245</v>
      </c>
      <c r="AF166" s="1">
        <v>0.92230999999999996</v>
      </c>
      <c r="AG166" s="1">
        <v>0.92274999999999996</v>
      </c>
      <c r="AH166" s="1">
        <v>0.90315000000000001</v>
      </c>
      <c r="AI166" s="1">
        <v>0.96653999999999995</v>
      </c>
      <c r="AJ166" s="1">
        <v>0.95996000000000004</v>
      </c>
      <c r="AL166" s="4"/>
      <c r="AM166" s="4" t="s">
        <v>13</v>
      </c>
      <c r="AN166" s="4" t="s">
        <v>14</v>
      </c>
      <c r="AO166" s="4" t="s">
        <v>15</v>
      </c>
      <c r="AP166" s="4" t="s">
        <v>16</v>
      </c>
      <c r="AQ166" s="4" t="s">
        <v>17</v>
      </c>
      <c r="AR166" s="4" t="s">
        <v>7</v>
      </c>
    </row>
    <row r="167" spans="1:44" ht="14.25" customHeight="1" x14ac:dyDescent="0.35">
      <c r="A167" s="1" t="s">
        <v>16</v>
      </c>
      <c r="B167" s="1" t="s">
        <v>14</v>
      </c>
      <c r="C167" s="1" t="s">
        <v>13</v>
      </c>
      <c r="D167" s="1" t="s">
        <v>16</v>
      </c>
      <c r="E167" s="1" t="s">
        <v>38</v>
      </c>
      <c r="F167" s="1">
        <v>1.06026</v>
      </c>
      <c r="G167" s="1">
        <v>0.96492999999999995</v>
      </c>
      <c r="H167" s="1">
        <v>0.97543000000000002</v>
      </c>
      <c r="I167" s="1">
        <v>1.0152300000000001</v>
      </c>
      <c r="J167" s="1">
        <v>0.96201000000000003</v>
      </c>
      <c r="K167" s="1">
        <v>0.94593000000000005</v>
      </c>
      <c r="L167" s="1">
        <v>0.94742000000000004</v>
      </c>
      <c r="M167" s="1">
        <v>0.93786999999999998</v>
      </c>
      <c r="N167" s="1">
        <v>0.96492999999999995</v>
      </c>
      <c r="O167" s="1">
        <v>0.97543000000000002</v>
      </c>
      <c r="P167" s="1">
        <v>1.0152300000000001</v>
      </c>
      <c r="Q167" s="1">
        <v>0.96201000000000003</v>
      </c>
      <c r="R167" s="1">
        <v>0.94593000000000005</v>
      </c>
      <c r="S167" s="1">
        <v>0.94742000000000004</v>
      </c>
      <c r="T167" s="1">
        <v>0.93786999999999998</v>
      </c>
      <c r="U167" s="1">
        <v>0.96492999999999995</v>
      </c>
      <c r="V167" s="1">
        <v>0.97543000000000002</v>
      </c>
      <c r="W167" s="1">
        <v>1.0152300000000001</v>
      </c>
      <c r="X167" s="1">
        <v>0.96201000000000003</v>
      </c>
      <c r="Y167" s="1">
        <v>0.94593000000000005</v>
      </c>
      <c r="Z167" s="1">
        <v>0.94742000000000004</v>
      </c>
      <c r="AA167" s="1">
        <v>0.93786999999999998</v>
      </c>
      <c r="AB167" s="1">
        <v>0.96492999999999995</v>
      </c>
      <c r="AC167" s="1">
        <v>0.97543000000000002</v>
      </c>
      <c r="AD167" s="1">
        <v>1.0152300000000001</v>
      </c>
      <c r="AE167" s="1">
        <v>0.96201000000000003</v>
      </c>
      <c r="AF167" s="1">
        <v>0.94593000000000005</v>
      </c>
      <c r="AG167" s="1">
        <v>0.94742000000000004</v>
      </c>
      <c r="AH167" s="1">
        <v>0.93786999999999998</v>
      </c>
      <c r="AI167" s="1">
        <v>0.96492999999999995</v>
      </c>
      <c r="AJ167" s="1">
        <v>0.97543000000000002</v>
      </c>
      <c r="AL167" s="4" t="s">
        <v>19</v>
      </c>
      <c r="AM167" s="6" cm="1">
        <f t="array" ref="AM167">IFERROR((SUMPRODUCT(($C$148:$C$171=AM$146)*($F$144:$AJ$144="")*$F$148:$AJ$171)+IF(AM$146="P3",SUMPRODUCT(($F$144:$AJ$144="P3")*$F$148:$AJ$171),0))/(SUMPRODUCT(($C$148:$C$171=AM$146)*($F$144:$AJ$144=""))+IF(AM$146="P3",COUNTIF($F$144:$AJ$144,"P3")*ROWS($C$148:$C$171),0)),"")</f>
        <v>0.91834295454545445</v>
      </c>
      <c r="AN167" s="6" cm="1">
        <f t="array" ref="AN167">IFERROR((SUMPRODUCT(($C$148:$C$171=AN$146)*($F$144:$AJ$144="")*$F$148:$AJ$171)+IF(AN$146="P3",SUMPRODUCT(($F$144:$AJ$144="P3")*$F$148:$AJ$171),0))/(SUMPRODUCT(($C$148:$C$171=AN$146)*($F$144:$AJ$144=""))+IF(AN$146="P3",COUNTIF($F$144:$AJ$144,"P3")*ROWS($C$148:$C$171),0)),"")</f>
        <v>1.0773881818181832</v>
      </c>
      <c r="AO167" s="6" cm="1">
        <f t="array" ref="AO167">IFERROR((SUMPRODUCT(($C$148:$C$171=AO$146)*($F$144:$AJ$144="")*$F$148:$AJ$171)+IF(AO$146="P3",SUMPRODUCT(($F$144:$AJ$144="P3")*$F$148:$AJ$171),0))/(SUMPRODUCT(($C$148:$C$171=AO$146)*($F$144:$AJ$144=""))+IF(AO$146="P3",COUNTIF($F$144:$AJ$144,"P3")*ROWS($C$148:$C$171),0)),"")</f>
        <v>1.0007234183673475</v>
      </c>
      <c r="AP167" s="6" t="str" cm="1">
        <f t="array" ref="AP167">IFERROR((SUMPRODUCT(($C$148:$C$171=AP$146)*($F$144:$AJ$144="")*$F$148:$AJ$171)+IF(AP$146="P3",SUMPRODUCT(($F$144:$AJ$144="P3")*$F$148:$AJ$171),0))/(SUMPRODUCT(($C$148:$C$171=AP$146)*($F$144:$AJ$144=""))+IF(AP$146="P3",COUNTIF($F$144:$AJ$144,"P3")*ROWS($C$148:$C$171),0)),"")</f>
        <v/>
      </c>
      <c r="AQ167" s="6" t="str" cm="1">
        <f t="array" ref="AQ167">IFERROR((SUMPRODUCT(($C$148:$C$171=AQ$146)*($F$144:$AJ$144="")*$F$148:$AJ$171)+IF(AQ$146="P3",SUMPRODUCT(($F$144:$AJ$144="P3")*$F$148:$AJ$171),0))/(SUMPRODUCT(($C$148:$C$171=AQ$146)*($F$144:$AJ$144=""))+IF(AQ$146="P3",COUNTIF($F$144:$AJ$144,"P3")*ROWS($C$148:$C$171),0)),"")</f>
        <v/>
      </c>
      <c r="AR167" s="6" t="str" cm="1">
        <f t="array" ref="AR167">IFERROR((SUMPRODUCT(($C$148:$C$171=AR$146)*($F$144:$AJ$144="")*$F$148:$AJ$171)+IF(AR$146="P3",SUMPRODUCT(($F$144:$AJ$144="P3")*$F$148:$AJ$171),0))/(SUMPRODUCT(($C$148:$C$171=AR$146)*($F$144:$AJ$144=""))+IF(AR$146="P3",COUNTIF($F$144:$AJ$144,"P3")*ROWS($C$148:$C$171),0)),"")</f>
        <v/>
      </c>
    </row>
    <row r="168" spans="1:44" ht="14.25" customHeight="1" x14ac:dyDescent="0.35">
      <c r="A168" s="1" t="s">
        <v>16</v>
      </c>
      <c r="B168" s="1" t="s">
        <v>14</v>
      </c>
      <c r="C168" s="1" t="s">
        <v>13</v>
      </c>
      <c r="D168" s="1" t="s">
        <v>16</v>
      </c>
      <c r="E168" s="1" t="s">
        <v>39</v>
      </c>
      <c r="F168" s="1">
        <v>1.0300800000000001</v>
      </c>
      <c r="G168" s="1">
        <v>0.97035000000000005</v>
      </c>
      <c r="H168" s="1">
        <v>0.98919999999999997</v>
      </c>
      <c r="I168" s="1">
        <v>1.03349</v>
      </c>
      <c r="J168" s="1">
        <v>0.97709000000000001</v>
      </c>
      <c r="K168" s="1">
        <v>0.94381999999999999</v>
      </c>
      <c r="L168" s="1">
        <v>0.93527000000000005</v>
      </c>
      <c r="M168" s="1">
        <v>0.98282000000000003</v>
      </c>
      <c r="N168" s="1">
        <v>0.97035000000000005</v>
      </c>
      <c r="O168" s="1">
        <v>0.98919999999999997</v>
      </c>
      <c r="P168" s="1">
        <v>1.03349</v>
      </c>
      <c r="Q168" s="1">
        <v>0.97709000000000001</v>
      </c>
      <c r="R168" s="1">
        <v>0.94381999999999999</v>
      </c>
      <c r="S168" s="1">
        <v>0.93527000000000005</v>
      </c>
      <c r="T168" s="1">
        <v>0.98282000000000003</v>
      </c>
      <c r="U168" s="1">
        <v>0.97035000000000005</v>
      </c>
      <c r="V168" s="1">
        <v>0.98919999999999997</v>
      </c>
      <c r="W168" s="1">
        <v>1.03349</v>
      </c>
      <c r="X168" s="1">
        <v>0.97709000000000001</v>
      </c>
      <c r="Y168" s="1">
        <v>0.94381999999999999</v>
      </c>
      <c r="Z168" s="1">
        <v>0.93527000000000005</v>
      </c>
      <c r="AA168" s="1">
        <v>0.98282000000000003</v>
      </c>
      <c r="AB168" s="1">
        <v>0.97035000000000005</v>
      </c>
      <c r="AC168" s="1">
        <v>0.98919999999999997</v>
      </c>
      <c r="AD168" s="1">
        <v>1.03349</v>
      </c>
      <c r="AE168" s="1">
        <v>0.97709000000000001</v>
      </c>
      <c r="AF168" s="1">
        <v>0.94381999999999999</v>
      </c>
      <c r="AG168" s="1">
        <v>0.93527000000000005</v>
      </c>
      <c r="AH168" s="1">
        <v>0.98282000000000003</v>
      </c>
      <c r="AI168" s="1">
        <v>0.97035000000000005</v>
      </c>
      <c r="AJ168" s="1">
        <v>0.98919999999999997</v>
      </c>
      <c r="AL168" s="4" t="s">
        <v>21</v>
      </c>
      <c r="AM168" s="6" t="str" cm="1">
        <f t="array" ref="AM168">IFERROR((SUMPRODUCT(($B$148:$B$171=AM$146)*($F$145:$AJ$145="")*$F$148:$AJ$171)+IF(AM$146="P6",SUMPRODUCT(($F$145:$AJ$145="P6")*$F$148:$AJ$171),0))/(SUMPRODUCT(($B$148:$B$171=AM$146)*($F$145:$AJ$145=""))+IF(AM$146="P6",COUNTIF($F$145:$AJ$145,"P6")*ROWS($B$148:$B$171),0)),"")</f>
        <v/>
      </c>
      <c r="AN168" s="6" cm="1">
        <f t="array" ref="AN168">IFERROR((SUMPRODUCT(($B$148:$B$171=AN$146)*($F$145:$AJ$145="")*$F$148:$AJ$171)+IF(AN$146="P6",SUMPRODUCT(($F$145:$AJ$145="P6")*$F$148:$AJ$171),0))/(SUMPRODUCT(($B$148:$B$171=AN$146)*($F$145:$AJ$145=""))+IF(AN$146="P6",COUNTIF($F$145:$AJ$145,"P6")*ROWS($B$148:$B$171),0)),"")</f>
        <v>0.92703813131313084</v>
      </c>
      <c r="AO168" s="6" cm="1">
        <f t="array" ref="AO168">IFERROR((SUMPRODUCT(($B$148:$B$171=AO$146)*($F$145:$AJ$145="")*$F$148:$AJ$171)+IF(AO$146="P6",SUMPRODUCT(($F$145:$AJ$145="P6")*$F$148:$AJ$171),0))/(SUMPRODUCT(($B$148:$B$171=AO$146)*($F$145:$AJ$145=""))+IF(AO$146="P6",COUNTIF($F$145:$AJ$145,"P6")*ROWS($B$148:$B$171),0)),"")</f>
        <v>1.0889294155844162</v>
      </c>
      <c r="AP168" s="6" t="str" cm="1">
        <f t="array" ref="AP168">IFERROR((SUMPRODUCT(($B$148:$B$171=AP$146)*($F$145:$AJ$145="")*$F$148:$AJ$171)+IF(AP$146="P6",SUMPRODUCT(($F$145:$AJ$145="P6")*$F$148:$AJ$171),0))/(SUMPRODUCT(($B$148:$B$171=AP$146)*($F$145:$AJ$145=""))+IF(AP$146="P6",COUNTIF($F$145:$AJ$145,"P6")*ROWS($B$148:$B$171),0)),"")</f>
        <v/>
      </c>
      <c r="AQ168" s="6" t="str" cm="1">
        <f t="array" ref="AQ168">IFERROR((SUMPRODUCT(($B$148:$B$171=AQ$146)*($F$145:$AJ$145="")*$F$148:$AJ$171)+IF(AQ$146="P6",SUMPRODUCT(($F$145:$AJ$145="P6")*$F$148:$AJ$171),0))/(SUMPRODUCT(($B$148:$B$171=AQ$146)*($F$145:$AJ$145=""))+IF(AQ$146="P6",COUNTIF($F$145:$AJ$145,"P6")*ROWS($B$148:$B$171),0)),"")</f>
        <v/>
      </c>
      <c r="AR168" s="6" cm="1">
        <f t="array" ref="AR168">IFERROR((SUMPRODUCT(($B$148:$B$171=AR$146)*($F$145:$AJ$145="")*$F$148:$AJ$171)+IF(AR$146="P6",SUMPRODUCT(($F$145:$AJ$145="P6")*$F$148:$AJ$171),0))/(SUMPRODUCT(($B$148:$B$171=AR$146)*($F$145:$AJ$145=""))+IF(AR$146="P6",COUNTIF($F$145:$AJ$145,"P6")*ROWS($B$148:$B$171),0)),"")</f>
        <v>1.0007234183673475</v>
      </c>
    </row>
    <row r="169" spans="1:44" ht="14.25" customHeight="1" x14ac:dyDescent="0.35">
      <c r="A169" s="1" t="s">
        <v>16</v>
      </c>
      <c r="B169" s="1" t="s">
        <v>14</v>
      </c>
      <c r="C169" s="1" t="s">
        <v>13</v>
      </c>
      <c r="D169" s="1" t="s">
        <v>16</v>
      </c>
      <c r="E169" s="1" t="s">
        <v>40</v>
      </c>
      <c r="F169" s="1">
        <v>0.99399000000000004</v>
      </c>
      <c r="G169" s="1">
        <v>1.0056700000000001</v>
      </c>
      <c r="H169" s="1">
        <v>1.0137</v>
      </c>
      <c r="I169" s="1">
        <v>1.04721</v>
      </c>
      <c r="J169" s="1">
        <v>0.96694999999999998</v>
      </c>
      <c r="K169" s="1">
        <v>0.97433999999999998</v>
      </c>
      <c r="L169" s="1">
        <v>0.95572000000000001</v>
      </c>
      <c r="M169" s="1">
        <v>1.01339</v>
      </c>
      <c r="N169" s="1">
        <v>1.0056700000000001</v>
      </c>
      <c r="O169" s="1">
        <v>1.0137</v>
      </c>
      <c r="P169" s="1">
        <v>1.04721</v>
      </c>
      <c r="Q169" s="1">
        <v>0.96694999999999998</v>
      </c>
      <c r="R169" s="1">
        <v>0.97433999999999998</v>
      </c>
      <c r="S169" s="1">
        <v>0.95572000000000001</v>
      </c>
      <c r="T169" s="1">
        <v>1.01339</v>
      </c>
      <c r="U169" s="1">
        <v>1.0056700000000001</v>
      </c>
      <c r="V169" s="1">
        <v>1.0137</v>
      </c>
      <c r="W169" s="1">
        <v>1.04721</v>
      </c>
      <c r="X169" s="1">
        <v>0.96694999999999998</v>
      </c>
      <c r="Y169" s="1">
        <v>0.97433999999999998</v>
      </c>
      <c r="Z169" s="1">
        <v>0.95572000000000001</v>
      </c>
      <c r="AA169" s="1">
        <v>1.01339</v>
      </c>
      <c r="AB169" s="1">
        <v>1.0056700000000001</v>
      </c>
      <c r="AC169" s="1">
        <v>1.0137</v>
      </c>
      <c r="AD169" s="1">
        <v>1.04721</v>
      </c>
      <c r="AE169" s="1">
        <v>0.96694999999999998</v>
      </c>
      <c r="AF169" s="1">
        <v>0.97433999999999998</v>
      </c>
      <c r="AG169" s="1">
        <v>0.95572000000000001</v>
      </c>
      <c r="AH169" s="1">
        <v>1.01339</v>
      </c>
      <c r="AI169" s="1">
        <v>1.0056700000000001</v>
      </c>
      <c r="AJ169" s="1">
        <v>1.0137</v>
      </c>
      <c r="AL169" s="4" t="s">
        <v>23</v>
      </c>
      <c r="AM169" s="6" t="str" cm="1">
        <f t="array" ref="AM169">IFERROR((SUMPRODUCT(($B$148:$B$171=AM$146)*($F$145:$AJ$145="")*$F$148:$AJ$171)+IF(AM$146="P6",SUMPRODUCT(($F$145:$AJ$145="P6")*$F$148:$AJ$171),0))/(SUMPRODUCT(($B$148:$B$171=AM$146)*($F$145:$AJ$145=""))+IF(AM$146="P6",COUNTIF($F$145:$AJ$145,"P6")*ROWS($B$148:$B$171),0)),"")</f>
        <v/>
      </c>
      <c r="AN169" s="6" cm="1">
        <f t="array" ref="AN169">IFERROR((SUMPRODUCT(($B$148:$B$171=AN$146)*($F$145:$AJ$145="")*$F$148:$AJ$171)+IF(AN$146="P6",SUMPRODUCT(($F$145:$AJ$145="P6")*$F$148:$AJ$171),0))/(SUMPRODUCT(($B$148:$B$171=AN$146)*($F$145:$AJ$145=""))+IF(AN$146="P6",COUNTIF($F$145:$AJ$145,"P6")*ROWS($B$148:$B$171),0)),"")</f>
        <v>0.92703813131313084</v>
      </c>
      <c r="AO169" s="6" cm="1">
        <f t="array" ref="AO169">IFERROR((SUMPRODUCT(($B$148:$B$171=AO$146)*($F$145:$AJ$145="")*$F$148:$AJ$171)+IF(AO$146="P6",SUMPRODUCT(($F$145:$AJ$145="P6")*$F$148:$AJ$171),0))/(SUMPRODUCT(($B$148:$B$171=AO$146)*($F$145:$AJ$145=""))+IF(AO$146="P6",COUNTIF($F$145:$AJ$145,"P6")*ROWS($B$148:$B$171),0)),"")</f>
        <v>1.0889294155844162</v>
      </c>
      <c r="AP169" s="6" t="str" cm="1">
        <f t="array" ref="AP169">IFERROR((SUMPRODUCT(($B$148:$B$171=AP$146)*($F$145:$AJ$145="")*$F$148:$AJ$171)+IF(AP$146="P6",SUMPRODUCT(($F$145:$AJ$145="P6")*$F$148:$AJ$171),0))/(SUMPRODUCT(($B$148:$B$171=AP$146)*($F$145:$AJ$145=""))+IF(AP$146="P6",COUNTIF($F$145:$AJ$145,"P6")*ROWS($B$148:$B$171),0)),"")</f>
        <v/>
      </c>
      <c r="AQ169" s="6" t="str" cm="1">
        <f t="array" ref="AQ169">IFERROR((SUMPRODUCT(($B$148:$B$171=AQ$146)*($F$145:$AJ$145="")*$F$148:$AJ$171)+IF(AQ$146="P6",SUMPRODUCT(($F$145:$AJ$145="P6")*$F$148:$AJ$171),0))/(SUMPRODUCT(($B$148:$B$171=AQ$146)*($F$145:$AJ$145=""))+IF(AQ$146="P6",COUNTIF($F$145:$AJ$145,"P6")*ROWS($B$148:$B$171),0)),"")</f>
        <v/>
      </c>
      <c r="AR169" s="6" cm="1">
        <f t="array" ref="AR169">IFERROR((SUMPRODUCT(($B$148:$B$171=AR$146)*($F$145:$AJ$145="")*$F$148:$AJ$171)+IF(AR$146="P6",SUMPRODUCT(($F$145:$AJ$145="P6")*$F$148:$AJ$171),0))/(SUMPRODUCT(($B$148:$B$171=AR$146)*($F$145:$AJ$145=""))+IF(AR$146="P6",COUNTIF($F$145:$AJ$145,"P6")*ROWS($B$148:$B$171),0)),"")</f>
        <v>1.0007234183673475</v>
      </c>
    </row>
    <row r="170" spans="1:44" ht="14.25" customHeight="1" x14ac:dyDescent="0.35">
      <c r="A170" s="1" t="s">
        <v>17</v>
      </c>
      <c r="B170" s="1" t="s">
        <v>15</v>
      </c>
      <c r="C170" s="1" t="s">
        <v>14</v>
      </c>
      <c r="D170" s="1" t="s">
        <v>17</v>
      </c>
      <c r="E170" s="1" t="s">
        <v>41</v>
      </c>
      <c r="F170" s="1">
        <v>1.0170999999999999</v>
      </c>
      <c r="G170" s="1">
        <v>1.2092499999999999</v>
      </c>
      <c r="H170" s="1">
        <v>1.222</v>
      </c>
      <c r="I170" s="1">
        <v>1.07264</v>
      </c>
      <c r="J170" s="1">
        <v>0.99294000000000004</v>
      </c>
      <c r="K170" s="1">
        <v>1.16733</v>
      </c>
      <c r="L170" s="1">
        <v>1.14957</v>
      </c>
      <c r="M170" s="1">
        <v>1.21722</v>
      </c>
      <c r="N170" s="1">
        <v>1.2092499999999999</v>
      </c>
      <c r="O170" s="1">
        <v>1.222</v>
      </c>
      <c r="P170" s="1">
        <v>1.07264</v>
      </c>
      <c r="Q170" s="1">
        <v>0.99294000000000004</v>
      </c>
      <c r="R170" s="1">
        <v>1.16733</v>
      </c>
      <c r="S170" s="1">
        <v>1.14957</v>
      </c>
      <c r="T170" s="1">
        <v>1.21722</v>
      </c>
      <c r="U170" s="1">
        <v>1.2092499999999999</v>
      </c>
      <c r="V170" s="1">
        <v>1.222</v>
      </c>
      <c r="W170" s="1">
        <v>1.07264</v>
      </c>
      <c r="X170" s="1">
        <v>0.99294000000000004</v>
      </c>
      <c r="Y170" s="1">
        <v>1.16733</v>
      </c>
      <c r="Z170" s="1">
        <v>1.14957</v>
      </c>
      <c r="AA170" s="1">
        <v>1.21722</v>
      </c>
      <c r="AB170" s="1">
        <v>1.2092499999999999</v>
      </c>
      <c r="AC170" s="1">
        <v>1.222</v>
      </c>
      <c r="AD170" s="1">
        <v>1.07264</v>
      </c>
      <c r="AE170" s="1">
        <v>0.99294000000000004</v>
      </c>
      <c r="AF170" s="1">
        <v>1.16733</v>
      </c>
      <c r="AG170" s="1">
        <v>1.14957</v>
      </c>
      <c r="AH170" s="1">
        <v>1.21722</v>
      </c>
      <c r="AI170" s="1">
        <v>1.2092499999999999</v>
      </c>
      <c r="AJ170" s="1">
        <v>1.222</v>
      </c>
      <c r="AL170" s="4" t="s">
        <v>25</v>
      </c>
      <c r="AM170" s="6" t="str" cm="1">
        <f t="array" ref="AM170">IFERROR((SUMPRODUCT(($B$148:$B$171=AM$146)*($F$145:$AJ$145="")*$F$148:$AJ$171)+IF(AM$146="P6",SUMPRODUCT(($F$145:$AJ$145="P6")*$F$148:$AJ$171),0))/(SUMPRODUCT(($B$148:$B$171=AM$146)*($F$145:$AJ$145=""))+IF(AM$146="P6",COUNTIF($F$145:$AJ$145,"P6")*ROWS($B$148:$B$171),0)),"")</f>
        <v/>
      </c>
      <c r="AN170" s="6" cm="1">
        <f t="array" ref="AN170">IFERROR((SUMPRODUCT(($B$148:$B$171=AN$146)*($F$145:$AJ$145="")*$F$148:$AJ$171)+IF(AN$146="P6",SUMPRODUCT(($F$145:$AJ$145="P6")*$F$148:$AJ$171),0))/(SUMPRODUCT(($B$148:$B$171=AN$146)*($F$145:$AJ$145=""))+IF(AN$146="P6",COUNTIF($F$145:$AJ$145,"P6")*ROWS($B$148:$B$171),0)),"")</f>
        <v>0.92703813131313084</v>
      </c>
      <c r="AO170" s="6" cm="1">
        <f t="array" ref="AO170">IFERROR((SUMPRODUCT(($B$148:$B$171=AO$146)*($F$145:$AJ$145="")*$F$148:$AJ$171)+IF(AO$146="P6",SUMPRODUCT(($F$145:$AJ$145="P6")*$F$148:$AJ$171),0))/(SUMPRODUCT(($B$148:$B$171=AO$146)*($F$145:$AJ$145=""))+IF(AO$146="P6",COUNTIF($F$145:$AJ$145,"P6")*ROWS($B$148:$B$171),0)),"")</f>
        <v>1.0889294155844162</v>
      </c>
      <c r="AP170" s="6" t="str" cm="1">
        <f t="array" ref="AP170">IFERROR((SUMPRODUCT(($B$148:$B$171=AP$146)*($F$145:$AJ$145="")*$F$148:$AJ$171)+IF(AP$146="P6",SUMPRODUCT(($F$145:$AJ$145="P6")*$F$148:$AJ$171),0))/(SUMPRODUCT(($B$148:$B$171=AP$146)*($F$145:$AJ$145=""))+IF(AP$146="P6",COUNTIF($F$145:$AJ$145,"P6")*ROWS($B$148:$B$171),0)),"")</f>
        <v/>
      </c>
      <c r="AQ170" s="6" t="str" cm="1">
        <f t="array" ref="AQ170">IFERROR((SUMPRODUCT(($B$148:$B$171=AQ$146)*($F$145:$AJ$145="")*$F$148:$AJ$171)+IF(AQ$146="P6",SUMPRODUCT(($F$145:$AJ$145="P6")*$F$148:$AJ$171),0))/(SUMPRODUCT(($B$148:$B$171=AQ$146)*($F$145:$AJ$145=""))+IF(AQ$146="P6",COUNTIF($F$145:$AJ$145,"P6")*ROWS($B$148:$B$171),0)),"")</f>
        <v/>
      </c>
      <c r="AR170" s="6" cm="1">
        <f t="array" ref="AR170">IFERROR((SUMPRODUCT(($B$148:$B$171=AR$146)*($F$145:$AJ$145="")*$F$148:$AJ$171)+IF(AR$146="P6",SUMPRODUCT(($F$145:$AJ$145="P6")*$F$148:$AJ$171),0))/(SUMPRODUCT(($B$148:$B$171=AR$146)*($F$145:$AJ$145=""))+IF(AR$146="P6",COUNTIF($F$145:$AJ$145,"P6")*ROWS($B$148:$B$171),0)),"")</f>
        <v>1.0007234183673475</v>
      </c>
    </row>
    <row r="171" spans="1:44" ht="14.25" customHeight="1" x14ac:dyDescent="0.35">
      <c r="A171" s="1" t="s">
        <v>17</v>
      </c>
      <c r="B171" s="1" t="s">
        <v>15</v>
      </c>
      <c r="C171" s="1" t="s">
        <v>14</v>
      </c>
      <c r="D171" s="1" t="s">
        <v>17</v>
      </c>
      <c r="E171" s="1" t="s">
        <v>42</v>
      </c>
      <c r="F171" s="1">
        <v>1.06243</v>
      </c>
      <c r="G171" s="1">
        <v>1.23983</v>
      </c>
      <c r="H171" s="1">
        <v>1.2560500000000001</v>
      </c>
      <c r="I171" s="1">
        <v>1.1008599999999999</v>
      </c>
      <c r="J171" s="1">
        <v>1.0266999999999999</v>
      </c>
      <c r="K171" s="1">
        <v>1.20221</v>
      </c>
      <c r="L171" s="1">
        <v>1.17804</v>
      </c>
      <c r="M171" s="1">
        <v>1.2365200000000001</v>
      </c>
      <c r="N171" s="1">
        <v>1.23983</v>
      </c>
      <c r="O171" s="1">
        <v>1.2560500000000001</v>
      </c>
      <c r="P171" s="1">
        <v>1.1008599999999999</v>
      </c>
      <c r="Q171" s="1">
        <v>1.0266999999999999</v>
      </c>
      <c r="R171" s="1">
        <v>1.20221</v>
      </c>
      <c r="S171" s="1">
        <v>1.17804</v>
      </c>
      <c r="T171" s="1">
        <v>1.2365200000000001</v>
      </c>
      <c r="U171" s="1">
        <v>1.23983</v>
      </c>
      <c r="V171" s="1">
        <v>1.2560500000000001</v>
      </c>
      <c r="W171" s="1">
        <v>1.1008599999999999</v>
      </c>
      <c r="X171" s="1">
        <v>1.0266999999999999</v>
      </c>
      <c r="Y171" s="1">
        <v>1.20221</v>
      </c>
      <c r="Z171" s="1">
        <v>1.17804</v>
      </c>
      <c r="AA171" s="1">
        <v>1.2365200000000001</v>
      </c>
      <c r="AB171" s="1">
        <v>1.23983</v>
      </c>
      <c r="AC171" s="1">
        <v>1.2560500000000001</v>
      </c>
      <c r="AD171" s="1">
        <v>1.1008599999999999</v>
      </c>
      <c r="AE171" s="1">
        <v>1.0266999999999999</v>
      </c>
      <c r="AF171" s="1">
        <v>1.20221</v>
      </c>
      <c r="AG171" s="1">
        <v>1.17804</v>
      </c>
      <c r="AH171" s="1">
        <v>1.2365200000000001</v>
      </c>
      <c r="AI171" s="1">
        <v>1.23983</v>
      </c>
      <c r="AJ171" s="1">
        <v>1.2560500000000001</v>
      </c>
      <c r="AL171" s="4" t="s">
        <v>27</v>
      </c>
      <c r="AM171" s="6" t="str" cm="1">
        <f t="array" ref="AM171">IFERROR((SUMPRODUCT(($B$148:$B$171=AM$146)*($F$145:$AJ$145="")*$F$148:$AJ$171)+IF(AM$146="P6",SUMPRODUCT(($F$145:$AJ$145="P6")*$F$148:$AJ$171),0))/(SUMPRODUCT(($B$148:$B$171=AM$146)*($F$145:$AJ$145=""))+IF(AM$146="P6",COUNTIF($F$145:$AJ$145,"P6")*ROWS($B$148:$B$171),0)),"")</f>
        <v/>
      </c>
      <c r="AN171" s="6" cm="1">
        <f t="array" ref="AN171">IFERROR((SUMPRODUCT(($B$148:$B$171=AN$146)*($F$145:$AJ$145="")*$F$148:$AJ$171)+IF(AN$146="P6",SUMPRODUCT(($F$145:$AJ$145="P6")*$F$148:$AJ$171),0))/(SUMPRODUCT(($B$148:$B$171=AN$146)*($F$145:$AJ$145=""))+IF(AN$146="P6",COUNTIF($F$145:$AJ$145,"P6")*ROWS($B$148:$B$171),0)),"")</f>
        <v>0.92703813131313084</v>
      </c>
      <c r="AO171" s="6" cm="1">
        <f t="array" ref="AO171">IFERROR((SUMPRODUCT(($B$148:$B$171=AO$146)*($F$145:$AJ$145="")*$F$148:$AJ$171)+IF(AO$146="P6",SUMPRODUCT(($F$145:$AJ$145="P6")*$F$148:$AJ$171),0))/(SUMPRODUCT(($B$148:$B$171=AO$146)*($F$145:$AJ$145=""))+IF(AO$146="P6",COUNTIF($F$145:$AJ$145,"P6")*ROWS($B$148:$B$171),0)),"")</f>
        <v>1.0889294155844162</v>
      </c>
      <c r="AP171" s="6" t="str" cm="1">
        <f t="array" ref="AP171">IFERROR((SUMPRODUCT(($B$148:$B$171=AP$146)*($F$145:$AJ$145="")*$F$148:$AJ$171)+IF(AP$146="P6",SUMPRODUCT(($F$145:$AJ$145="P6")*$F$148:$AJ$171),0))/(SUMPRODUCT(($B$148:$B$171=AP$146)*($F$145:$AJ$145=""))+IF(AP$146="P6",COUNTIF($F$145:$AJ$145,"P6")*ROWS($B$148:$B$171),0)),"")</f>
        <v/>
      </c>
      <c r="AQ171" s="6" t="str" cm="1">
        <f t="array" ref="AQ171">IFERROR((SUMPRODUCT(($B$148:$B$171=AQ$146)*($F$145:$AJ$145="")*$F$148:$AJ$171)+IF(AQ$146="P6",SUMPRODUCT(($F$145:$AJ$145="P6")*$F$148:$AJ$171),0))/(SUMPRODUCT(($B$148:$B$171=AQ$146)*($F$145:$AJ$145=""))+IF(AQ$146="P6",COUNTIF($F$145:$AJ$145,"P6")*ROWS($B$148:$B$171),0)),"")</f>
        <v/>
      </c>
      <c r="AR171" s="6" cm="1">
        <f t="array" ref="AR171">IFERROR((SUMPRODUCT(($B$148:$B$171=AR$146)*($F$145:$AJ$145="")*$F$148:$AJ$171)+IF(AR$146="P6",SUMPRODUCT(($F$145:$AJ$145="P6")*$F$148:$AJ$171),0))/(SUMPRODUCT(($B$148:$B$171=AR$146)*($F$145:$AJ$145=""))+IF(AR$146="P6",COUNTIF($F$145:$AJ$145,"P6")*ROWS($B$148:$B$171),0)),"")</f>
        <v>1.0007234183673475</v>
      </c>
    </row>
    <row r="172" spans="1:44" ht="14.25" customHeight="1" x14ac:dyDescent="0.35">
      <c r="AL172" s="4" t="s">
        <v>29</v>
      </c>
      <c r="AM172" s="6" t="str" cm="1">
        <f t="array" ref="AM172">IFERROR((SUMPRODUCT(($B$148:$B$171=AM$146)*($F$145:$AJ$145="")*$F$148:$AJ$171)+IF(AM$146="P6",SUMPRODUCT(($F$145:$AJ$145="P6")*$F$148:$AJ$171),0))/(SUMPRODUCT(($B$148:$B$171=AM$146)*($F$145:$AJ$145=""))+IF(AM$146="P6",COUNTIF($F$145:$AJ$145,"P6")*ROWS($B$148:$B$171),0)),"")</f>
        <v/>
      </c>
      <c r="AN172" s="6" cm="1">
        <f t="array" ref="AN172">IFERROR((SUMPRODUCT(($B$148:$B$171=AN$146)*($F$145:$AJ$145="")*$F$148:$AJ$171)+IF(AN$146="P6",SUMPRODUCT(($F$145:$AJ$145="P6")*$F$148:$AJ$171),0))/(SUMPRODUCT(($B$148:$B$171=AN$146)*($F$145:$AJ$145=""))+IF(AN$146="P6",COUNTIF($F$145:$AJ$145,"P6")*ROWS($B$148:$B$171),0)),"")</f>
        <v>0.92703813131313084</v>
      </c>
      <c r="AO172" s="6" cm="1">
        <f t="array" ref="AO172">IFERROR((SUMPRODUCT(($B$148:$B$171=AO$146)*($F$145:$AJ$145="")*$F$148:$AJ$171)+IF(AO$146="P6",SUMPRODUCT(($F$145:$AJ$145="P6")*$F$148:$AJ$171),0))/(SUMPRODUCT(($B$148:$B$171=AO$146)*($F$145:$AJ$145=""))+IF(AO$146="P6",COUNTIF($F$145:$AJ$145,"P6")*ROWS($B$148:$B$171),0)),"")</f>
        <v>1.0889294155844162</v>
      </c>
      <c r="AP172" s="6" t="str" cm="1">
        <f t="array" ref="AP172">IFERROR((SUMPRODUCT(($B$148:$B$171=AP$146)*($F$145:$AJ$145="")*$F$148:$AJ$171)+IF(AP$146="P6",SUMPRODUCT(($F$145:$AJ$145="P6")*$F$148:$AJ$171),0))/(SUMPRODUCT(($B$148:$B$171=AP$146)*($F$145:$AJ$145=""))+IF(AP$146="P6",COUNTIF($F$145:$AJ$145,"P6")*ROWS($B$148:$B$171),0)),"")</f>
        <v/>
      </c>
      <c r="AQ172" s="6" t="str" cm="1">
        <f t="array" ref="AQ172">IFERROR((SUMPRODUCT(($B$148:$B$171=AQ$146)*($F$145:$AJ$145="")*$F$148:$AJ$171)+IF(AQ$146="P6",SUMPRODUCT(($F$145:$AJ$145="P6")*$F$148:$AJ$171),0))/(SUMPRODUCT(($B$148:$B$171=AQ$146)*($F$145:$AJ$145=""))+IF(AQ$146="P6",COUNTIF($F$145:$AJ$145,"P6")*ROWS($B$148:$B$171),0)),"")</f>
        <v/>
      </c>
      <c r="AR172" s="6" cm="1">
        <f t="array" ref="AR172">IFERROR((SUMPRODUCT(($B$148:$B$171=AR$146)*($F$145:$AJ$145="")*$F$148:$AJ$171)+IF(AR$146="P6",SUMPRODUCT(($F$145:$AJ$145="P6")*$F$148:$AJ$171),0))/(SUMPRODUCT(($B$148:$B$171=AR$146)*($F$145:$AJ$145=""))+IF(AR$146="P6",COUNTIF($F$145:$AJ$145,"P6")*ROWS($B$148:$B$171),0)),"")</f>
        <v>1.0007234183673475</v>
      </c>
    </row>
    <row r="176" spans="1:44" ht="14.25" customHeight="1" x14ac:dyDescent="0.35">
      <c r="A176" s="15" t="s">
        <v>173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</row>
    <row r="177" spans="1:44" ht="14.25" customHeight="1" x14ac:dyDescent="0.3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</row>
    <row r="178" spans="1:44" ht="14.25" customHeight="1" x14ac:dyDescent="0.35">
      <c r="AL178" s="10"/>
      <c r="AM178" s="10"/>
      <c r="AN178" s="10"/>
      <c r="AO178" s="10"/>
      <c r="AP178" s="10"/>
      <c r="AQ178" s="10"/>
      <c r="AR178" s="10"/>
    </row>
    <row r="179" spans="1:44" ht="14.25" customHeight="1" x14ac:dyDescent="0.35">
      <c r="F179" s="1" t="str">
        <f>IF(OR(F181="S",F181="D"),"P3","")</f>
        <v>P3</v>
      </c>
      <c r="G179" s="1" t="str">
        <f t="shared" ref="G179:AI179" si="21">IF(OR(G181="S",G181="D"),"P3","")</f>
        <v>P3</v>
      </c>
      <c r="H179" s="1" t="str">
        <f t="shared" si="21"/>
        <v/>
      </c>
      <c r="I179" s="1" t="str">
        <f t="shared" si="21"/>
        <v/>
      </c>
      <c r="J179" s="1" t="str">
        <f t="shared" si="21"/>
        <v/>
      </c>
      <c r="K179" s="1" t="str">
        <f t="shared" si="21"/>
        <v/>
      </c>
      <c r="L179" s="1" t="str">
        <f t="shared" si="21"/>
        <v/>
      </c>
      <c r="M179" s="1" t="str">
        <f t="shared" si="21"/>
        <v>P3</v>
      </c>
      <c r="N179" s="1" t="str">
        <f t="shared" si="21"/>
        <v>P3</v>
      </c>
      <c r="O179" s="1" t="str">
        <f t="shared" si="21"/>
        <v/>
      </c>
      <c r="P179" s="1" t="str">
        <f t="shared" si="21"/>
        <v/>
      </c>
      <c r="Q179" s="1" t="str">
        <f t="shared" si="21"/>
        <v/>
      </c>
      <c r="R179" s="1" t="str">
        <f t="shared" si="21"/>
        <v/>
      </c>
      <c r="S179" s="1" t="str">
        <f t="shared" si="21"/>
        <v/>
      </c>
      <c r="T179" s="1" t="str">
        <f t="shared" si="21"/>
        <v>P3</v>
      </c>
      <c r="U179" s="1" t="str">
        <f t="shared" si="21"/>
        <v>P3</v>
      </c>
      <c r="V179" s="1" t="str">
        <f t="shared" si="21"/>
        <v/>
      </c>
      <c r="W179" s="1" t="str">
        <f t="shared" si="21"/>
        <v/>
      </c>
      <c r="X179" s="1" t="str">
        <f t="shared" si="21"/>
        <v/>
      </c>
      <c r="Y179" s="1" t="str">
        <f t="shared" si="21"/>
        <v/>
      </c>
      <c r="Z179" s="1" t="str">
        <f t="shared" si="21"/>
        <v/>
      </c>
      <c r="AA179" s="1" t="str">
        <f t="shared" si="21"/>
        <v>P3</v>
      </c>
      <c r="AB179" s="1" t="str">
        <f t="shared" si="21"/>
        <v>P3</v>
      </c>
      <c r="AC179" s="1" t="str">
        <f t="shared" si="21"/>
        <v/>
      </c>
      <c r="AD179" s="1" t="str">
        <f t="shared" si="21"/>
        <v/>
      </c>
      <c r="AE179" s="1" t="str">
        <f t="shared" si="21"/>
        <v/>
      </c>
      <c r="AF179" s="1" t="str">
        <f t="shared" si="21"/>
        <v/>
      </c>
      <c r="AG179" s="1" t="str">
        <f t="shared" si="21"/>
        <v/>
      </c>
      <c r="AH179" s="1" t="str">
        <f t="shared" si="21"/>
        <v>P3</v>
      </c>
      <c r="AI179" s="1" t="str">
        <f t="shared" si="21"/>
        <v>P3</v>
      </c>
      <c r="AL179" s="10"/>
      <c r="AM179" s="10"/>
      <c r="AN179" s="10"/>
      <c r="AO179" s="10"/>
      <c r="AP179" s="10"/>
      <c r="AQ179" s="10"/>
      <c r="AR179" s="10"/>
    </row>
    <row r="180" spans="1:44" ht="14.25" customHeight="1" x14ac:dyDescent="0.35">
      <c r="F180" s="1" t="str">
        <f>IF(OR(F181="S",F181="D"),"P6","")</f>
        <v>P6</v>
      </c>
      <c r="G180" s="1" t="str">
        <f t="shared" ref="G180:AI180" si="22">IF(OR(G181="S",G181="D"),"P6","")</f>
        <v>P6</v>
      </c>
      <c r="H180" s="1" t="str">
        <f t="shared" si="22"/>
        <v/>
      </c>
      <c r="I180" s="1" t="str">
        <f t="shared" si="22"/>
        <v/>
      </c>
      <c r="J180" s="1" t="str">
        <f t="shared" si="22"/>
        <v/>
      </c>
      <c r="K180" s="1" t="str">
        <f t="shared" si="22"/>
        <v/>
      </c>
      <c r="L180" s="1" t="str">
        <f t="shared" si="22"/>
        <v/>
      </c>
      <c r="M180" s="1" t="str">
        <f t="shared" si="22"/>
        <v>P6</v>
      </c>
      <c r="N180" s="1" t="str">
        <f t="shared" si="22"/>
        <v>P6</v>
      </c>
      <c r="O180" s="1" t="str">
        <f t="shared" si="22"/>
        <v/>
      </c>
      <c r="P180" s="1" t="str">
        <f t="shared" si="22"/>
        <v/>
      </c>
      <c r="Q180" s="1" t="str">
        <f t="shared" si="22"/>
        <v/>
      </c>
      <c r="R180" s="1" t="str">
        <f t="shared" si="22"/>
        <v/>
      </c>
      <c r="S180" s="1" t="str">
        <f t="shared" si="22"/>
        <v/>
      </c>
      <c r="T180" s="1" t="str">
        <f t="shared" si="22"/>
        <v>P6</v>
      </c>
      <c r="U180" s="1" t="str">
        <f t="shared" si="22"/>
        <v>P6</v>
      </c>
      <c r="V180" s="1" t="str">
        <f t="shared" si="22"/>
        <v/>
      </c>
      <c r="W180" s="1" t="str">
        <f t="shared" si="22"/>
        <v/>
      </c>
      <c r="X180" s="1" t="str">
        <f t="shared" si="22"/>
        <v/>
      </c>
      <c r="Y180" s="1" t="str">
        <f t="shared" si="22"/>
        <v/>
      </c>
      <c r="Z180" s="1" t="str">
        <f t="shared" si="22"/>
        <v/>
      </c>
      <c r="AA180" s="1" t="str">
        <f t="shared" si="22"/>
        <v>P6</v>
      </c>
      <c r="AB180" s="1" t="str">
        <f t="shared" si="22"/>
        <v>P6</v>
      </c>
      <c r="AC180" s="1" t="str">
        <f t="shared" si="22"/>
        <v/>
      </c>
      <c r="AD180" s="1" t="str">
        <f t="shared" si="22"/>
        <v/>
      </c>
      <c r="AE180" s="1" t="str">
        <f t="shared" si="22"/>
        <v/>
      </c>
      <c r="AF180" s="1" t="str">
        <f t="shared" si="22"/>
        <v/>
      </c>
      <c r="AG180" s="1" t="str">
        <f t="shared" si="22"/>
        <v/>
      </c>
      <c r="AH180" s="1" t="str">
        <f t="shared" si="22"/>
        <v>P6</v>
      </c>
      <c r="AI180" s="1" t="str">
        <f t="shared" si="22"/>
        <v>P6</v>
      </c>
      <c r="AL180" s="14" t="s">
        <v>174</v>
      </c>
      <c r="AM180" s="14"/>
      <c r="AN180" s="14"/>
      <c r="AO180" s="14"/>
      <c r="AP180" s="14"/>
      <c r="AQ180" s="14"/>
      <c r="AR180" s="14"/>
    </row>
    <row r="181" spans="1:44" ht="14.25" customHeight="1" x14ac:dyDescent="0.35">
      <c r="F181" s="1" t="str">
        <f>CHOOSE(WEEKDAY(F182,2),"L","M","X","J","V","S","D")</f>
        <v>S</v>
      </c>
      <c r="G181" s="1" t="str">
        <f t="shared" ref="G181:AI181" si="23">CHOOSE(WEEKDAY(G182,2),"L","M","X","J","V","S","D")</f>
        <v>D</v>
      </c>
      <c r="H181" s="1" t="str">
        <f t="shared" si="23"/>
        <v>L</v>
      </c>
      <c r="I181" s="1" t="str">
        <f t="shared" si="23"/>
        <v>M</v>
      </c>
      <c r="J181" s="1" t="str">
        <f t="shared" si="23"/>
        <v>X</v>
      </c>
      <c r="K181" s="1" t="str">
        <f t="shared" si="23"/>
        <v>J</v>
      </c>
      <c r="L181" s="1" t="str">
        <f t="shared" si="23"/>
        <v>V</v>
      </c>
      <c r="M181" s="1" t="str">
        <f t="shared" si="23"/>
        <v>S</v>
      </c>
      <c r="N181" s="1" t="str">
        <f t="shared" si="23"/>
        <v>D</v>
      </c>
      <c r="O181" s="1" t="str">
        <f t="shared" si="23"/>
        <v>L</v>
      </c>
      <c r="P181" s="1" t="str">
        <f t="shared" si="23"/>
        <v>M</v>
      </c>
      <c r="Q181" s="1" t="str">
        <f t="shared" si="23"/>
        <v>X</v>
      </c>
      <c r="R181" s="1" t="str">
        <f t="shared" si="23"/>
        <v>J</v>
      </c>
      <c r="S181" s="1" t="str">
        <f t="shared" si="23"/>
        <v>V</v>
      </c>
      <c r="T181" s="1" t="str">
        <f t="shared" si="23"/>
        <v>S</v>
      </c>
      <c r="U181" s="1" t="str">
        <f t="shared" si="23"/>
        <v>D</v>
      </c>
      <c r="V181" s="1" t="str">
        <f t="shared" si="23"/>
        <v>L</v>
      </c>
      <c r="W181" s="1" t="str">
        <f t="shared" si="23"/>
        <v>M</v>
      </c>
      <c r="X181" s="1" t="str">
        <f t="shared" si="23"/>
        <v>X</v>
      </c>
      <c r="Y181" s="1" t="str">
        <f t="shared" si="23"/>
        <v>J</v>
      </c>
      <c r="Z181" s="1" t="str">
        <f t="shared" si="23"/>
        <v>V</v>
      </c>
      <c r="AA181" s="1" t="str">
        <f t="shared" si="23"/>
        <v>S</v>
      </c>
      <c r="AB181" s="1" t="str">
        <f t="shared" si="23"/>
        <v>D</v>
      </c>
      <c r="AC181" s="1" t="str">
        <f t="shared" si="23"/>
        <v>L</v>
      </c>
      <c r="AD181" s="1" t="str">
        <f t="shared" si="23"/>
        <v>M</v>
      </c>
      <c r="AE181" s="1" t="str">
        <f t="shared" si="23"/>
        <v>X</v>
      </c>
      <c r="AF181" s="1" t="str">
        <f t="shared" si="23"/>
        <v>J</v>
      </c>
      <c r="AG181" s="1" t="str">
        <f t="shared" si="23"/>
        <v>V</v>
      </c>
      <c r="AH181" s="1" t="str">
        <f t="shared" si="23"/>
        <v>S</v>
      </c>
      <c r="AI181" s="1" t="str">
        <f t="shared" si="23"/>
        <v>D</v>
      </c>
      <c r="AL181" s="4"/>
      <c r="AM181" s="4" t="s">
        <v>13</v>
      </c>
      <c r="AN181" s="4" t="s">
        <v>14</v>
      </c>
      <c r="AO181" s="4" t="s">
        <v>15</v>
      </c>
      <c r="AP181" s="4" t="s">
        <v>16</v>
      </c>
      <c r="AQ181" s="4" t="s">
        <v>17</v>
      </c>
      <c r="AR181" s="4" t="s">
        <v>7</v>
      </c>
    </row>
    <row r="182" spans="1:44" ht="14.25" customHeight="1" x14ac:dyDescent="0.35">
      <c r="A182" s="3" t="s">
        <v>76</v>
      </c>
      <c r="B182" s="3" t="s">
        <v>77</v>
      </c>
      <c r="C182" s="3" t="s">
        <v>75</v>
      </c>
      <c r="D182" s="3" t="s">
        <v>74</v>
      </c>
      <c r="F182" s="8">
        <v>45444</v>
      </c>
      <c r="G182" s="8">
        <v>45445</v>
      </c>
      <c r="H182" s="8">
        <v>45446</v>
      </c>
      <c r="I182" s="8">
        <v>45447</v>
      </c>
      <c r="J182" s="8">
        <v>45448</v>
      </c>
      <c r="K182" s="8">
        <v>45449</v>
      </c>
      <c r="L182" s="8">
        <v>45450</v>
      </c>
      <c r="M182" s="8">
        <v>45451</v>
      </c>
      <c r="N182" s="8">
        <v>45452</v>
      </c>
      <c r="O182" s="8">
        <v>45453</v>
      </c>
      <c r="P182" s="8">
        <v>45454</v>
      </c>
      <c r="Q182" s="8">
        <v>45455</v>
      </c>
      <c r="R182" s="8">
        <v>45456</v>
      </c>
      <c r="S182" s="8">
        <v>45457</v>
      </c>
      <c r="T182" s="8">
        <v>45458</v>
      </c>
      <c r="U182" s="8">
        <v>45459</v>
      </c>
      <c r="V182" s="8">
        <v>45460</v>
      </c>
      <c r="W182" s="8">
        <v>45461</v>
      </c>
      <c r="X182" s="8">
        <v>45462</v>
      </c>
      <c r="Y182" s="8">
        <v>45463</v>
      </c>
      <c r="Z182" s="8">
        <v>45464</v>
      </c>
      <c r="AA182" s="8">
        <v>45465</v>
      </c>
      <c r="AB182" s="8">
        <v>45466</v>
      </c>
      <c r="AC182" s="8">
        <v>45467</v>
      </c>
      <c r="AD182" s="8">
        <v>45468</v>
      </c>
      <c r="AE182" s="8">
        <v>45469</v>
      </c>
      <c r="AF182" s="8">
        <v>45470</v>
      </c>
      <c r="AG182" s="8">
        <v>45471</v>
      </c>
      <c r="AH182" s="8">
        <v>45472</v>
      </c>
      <c r="AI182" s="8">
        <v>45473</v>
      </c>
      <c r="AL182" s="4" t="s">
        <v>19</v>
      </c>
      <c r="AM182" s="6" cm="1">
        <f t="array" ref="AM182">IFERROR((SUMPRODUCT(($C$183:$C$206=AM$181)*($F$179:$AI$179="")*$F$183:$AI$206)+IF(AM$181="P3",SUMPRODUCT(($F$179:$AI$179="P3")*$F$183:$AI$206),0))/(SUMPRODUCT(($C$183:$C$206=AM$181)*($F$179:$AI$179=""))+IF(AM$181="P3",COUNTIF($F$179:$AI$179,"P3")*ROWS($C$183:$C$206),0)),"")</f>
        <v>0.89181349999999926</v>
      </c>
      <c r="AN182" s="6" cm="1">
        <f t="array" ref="AN182">IFERROR((SUMPRODUCT(($C$183:$C$206=AN$181)*($F$179:$AI$179="")*$F$183:$AI$206)+IF(AN$181="P3",SUMPRODUCT(($F$179:$AI$179="P3")*$F$183:$AI$206),0))/(SUMPRODUCT(($C$183:$C$206=AN$181)*($F$179:$AI$179=""))+IF(AN$181="P3",COUNTIF($F$179:$AI$179,"P3")*ROWS($C$183:$C$206),0)),"")</f>
        <v>0.91147850000000064</v>
      </c>
      <c r="AO182" s="6" cm="1">
        <f t="array" ref="AO182">IFERROR((SUMPRODUCT(($C$183:$C$206=AO$181)*($F$179:$AI$179="")*$F$183:$AI$206)+IF(AO$181="P3",SUMPRODUCT(($F$179:$AI$179="P3")*$F$183:$AI$206),0))/(SUMPRODUCT(($C$183:$C$206=AO$181)*($F$179:$AI$179=""))+IF(AO$181="P3",COUNTIF($F$179:$AI$179,"P3")*ROWS($C$183:$C$206),0)),"")</f>
        <v>0.91773935000000006</v>
      </c>
      <c r="AP182" s="6" t="str" cm="1">
        <f t="array" ref="AP182">IFERROR((SUMPRODUCT(($C$183:$C$206=AP$181)*($F$179:$AI$179="")*$F$183:$AI$206)+IF(AP$181="P3",SUMPRODUCT(($F$179:$AI$179="P3")*$F$183:$AI$206),0))/(SUMPRODUCT(($C$183:$C$206=AP$181)*($F$179:$AI$179=""))+IF(AP$181="P3",COUNTIF($F$179:$AI$179,"P3")*ROWS($C$183:$C$206),0)),"")</f>
        <v/>
      </c>
      <c r="AQ182" s="6" t="str" cm="1">
        <f t="array" ref="AQ182">IFERROR((SUMPRODUCT(($C$183:$C$206=AQ$181)*($F$179:$AI$179="")*$F$183:$AI$206)+IF(AQ$181="P3",SUMPRODUCT(($F$179:$AI$179="P3")*$F$183:$AI$206),0))/(SUMPRODUCT(($C$183:$C$206=AQ$181)*($F$179:$AI$179=""))+IF(AQ$181="P3",COUNTIF($F$179:$AI$179,"P3")*ROWS($C$183:$C$206),0)),"")</f>
        <v/>
      </c>
      <c r="AR182" s="6" t="str" cm="1">
        <f t="array" ref="AR182">IFERROR((SUMPRODUCT(($C$183:$C$206=AR$181)*($F$179:$AI$179="")*$F$183:$AI$206)+IF(AR$181="P3",SUMPRODUCT(($F$179:$AI$179="P3")*$F$183:$AI$206),0))/(SUMPRODUCT(($C$183:$C$206=AR$181)*($F$179:$AI$179=""))+IF(AR$181="P3",COUNTIF($F$179:$AI$179,"P3")*ROWS($C$183:$C$206),0)),"")</f>
        <v/>
      </c>
    </row>
    <row r="183" spans="1:44" ht="14.25" customHeight="1" x14ac:dyDescent="0.35">
      <c r="A183" s="1" t="s">
        <v>7</v>
      </c>
      <c r="B183" s="1" t="s">
        <v>7</v>
      </c>
      <c r="C183" s="1" t="s">
        <v>15</v>
      </c>
      <c r="D183" s="1" t="s">
        <v>7</v>
      </c>
      <c r="E183" s="1" t="s">
        <v>8</v>
      </c>
      <c r="F183" s="1">
        <v>0.95818999999999999</v>
      </c>
      <c r="G183" s="1">
        <v>1.0048900000000001</v>
      </c>
      <c r="H183" s="1">
        <v>0.97884000000000004</v>
      </c>
      <c r="I183" s="1">
        <v>0.92942999999999998</v>
      </c>
      <c r="J183" s="1">
        <v>0.94845999999999997</v>
      </c>
      <c r="K183" s="1">
        <v>0.93701999999999996</v>
      </c>
      <c r="L183" s="1">
        <v>0.94782999999999995</v>
      </c>
      <c r="M183" s="1">
        <v>0.95818999999999999</v>
      </c>
      <c r="N183" s="1">
        <v>1.0048900000000001</v>
      </c>
      <c r="O183" s="1">
        <v>0.97884000000000004</v>
      </c>
      <c r="P183" s="1">
        <v>0.92942999999999998</v>
      </c>
      <c r="Q183" s="1">
        <v>0.94845999999999997</v>
      </c>
      <c r="R183" s="1">
        <v>0.93701999999999996</v>
      </c>
      <c r="S183" s="1">
        <v>0.94782999999999995</v>
      </c>
      <c r="T183" s="1">
        <v>0.95818999999999999</v>
      </c>
      <c r="U183" s="1">
        <v>1.0048900000000001</v>
      </c>
      <c r="V183" s="1">
        <v>0.97884000000000004</v>
      </c>
      <c r="W183" s="1">
        <v>0.92942999999999998</v>
      </c>
      <c r="X183" s="1">
        <v>0.94845999999999997</v>
      </c>
      <c r="Y183" s="1">
        <v>0.93701999999999996</v>
      </c>
      <c r="Z183" s="1">
        <v>0.94782999999999995</v>
      </c>
      <c r="AA183" s="1">
        <v>0.95818999999999999</v>
      </c>
      <c r="AB183" s="1">
        <v>1.0048900000000001</v>
      </c>
      <c r="AC183" s="1">
        <v>0.97884000000000004</v>
      </c>
      <c r="AD183" s="1">
        <v>0.92942999999999998</v>
      </c>
      <c r="AE183" s="1">
        <v>0.94845999999999997</v>
      </c>
      <c r="AF183" s="1">
        <v>0.93701999999999996</v>
      </c>
      <c r="AG183" s="1">
        <v>0.94782999999999995</v>
      </c>
      <c r="AH183" s="1">
        <v>0.95818999999999999</v>
      </c>
      <c r="AI183" s="1">
        <v>1.0048900000000001</v>
      </c>
      <c r="AL183" s="4" t="s">
        <v>21</v>
      </c>
      <c r="AM183" s="6" t="str" cm="1">
        <f t="array" ref="AM183">IFERROR((SUMPRODUCT(($D$183:$D$206=AM$181)*($F$180:$AI$180="")*$F$183:$AI$206)+IF(AM$181="P6",SUMPRODUCT(($F$180:$AI$180="P6")*$F$183:$AI$206),0))/(SUMPRODUCT(($D$183:$D$206=AM$181)*($F$180:$AI$180=""))+IF(AM$181="P6",COUNTIF($F$180:$AI$180,"P6")*ROWS($D$183:$D$206),0)),"")</f>
        <v/>
      </c>
      <c r="AN183" s="6" t="str" cm="1">
        <f t="array" ref="AN183">IFERROR((SUMPRODUCT(($D$183:$D$206=AN$181)*($F$180:$AI$180="")*$F$183:$AI$206)+IF(AN$181="P6",SUMPRODUCT(($F$180:$AI$180="P6")*$F$183:$AI$206),0))/(SUMPRODUCT(($D$183:$D$206=AN$181)*($F$180:$AI$180=""))+IF(AN$181="P6",COUNTIF($F$180:$AI$180,"P6")*ROWS($D$183:$D$206),0)),"")</f>
        <v/>
      </c>
      <c r="AO183" s="6" cm="1">
        <f t="array" ref="AO183">IFERROR((SUMPRODUCT(($D$183:$D$206=AO$181)*($F$180:$AI$180="")*$F$183:$AI$206)+IF(AO$181="P6",SUMPRODUCT(($F$180:$AI$180="P6")*$F$183:$AI$206),0))/(SUMPRODUCT(($D$183:$D$206=AO$181)*($F$180:$AI$180=""))+IF(AO$181="P6",COUNTIF($F$180:$AI$180,"P6")*ROWS($D$183:$D$206),0)),"")</f>
        <v>0.88914533333333268</v>
      </c>
      <c r="AP183" s="6" cm="1">
        <f t="array" ref="AP183">IFERROR((SUMPRODUCT(($D$183:$D$206=AP$181)*($F$180:$AI$180="")*$F$183:$AI$206)+IF(AP$181="P6",SUMPRODUCT(($F$180:$AI$180="P6")*$F$183:$AI$206),0))/(SUMPRODUCT(($D$183:$D$206=AP$181)*($F$180:$AI$180=""))+IF(AP$181="P6",COUNTIF($F$180:$AI$180,"P6")*ROWS($D$183:$D$206),0)),"")</f>
        <v>0.91771828571428549</v>
      </c>
      <c r="AQ183" s="6" t="str" cm="1">
        <f t="array" ref="AQ183">IFERROR((SUMPRODUCT(($D$183:$D$206=AQ$181)*($F$180:$AI$180="")*$F$183:$AI$206)+IF(AQ$181="P6",SUMPRODUCT(($F$180:$AI$180="P6")*$F$183:$AI$206),0))/(SUMPRODUCT(($D$183:$D$206=AQ$181)*($F$180:$AI$180=""))+IF(AQ$181="P6",COUNTIF($F$180:$AI$180,"P6")*ROWS($D$183:$D$206),0)),"")</f>
        <v/>
      </c>
      <c r="AR183" s="6" cm="1">
        <f t="array" ref="AR183">IFERROR((SUMPRODUCT(($D$183:$D$206=AR$181)*($F$180:$AI$180="")*$F$183:$AI$206)+IF(AR$181="P6",SUMPRODUCT(($F$180:$AI$180="P6")*$F$183:$AI$206),0))/(SUMPRODUCT(($D$183:$D$206=AR$181)*($F$180:$AI$180=""))+IF(AR$181="P6",COUNTIF($F$180:$AI$180,"P6")*ROWS($D$183:$D$206),0)),"")</f>
        <v>0.91773935000000006</v>
      </c>
    </row>
    <row r="184" spans="1:44" ht="14.25" customHeight="1" x14ac:dyDescent="0.35">
      <c r="A184" s="1" t="s">
        <v>7</v>
      </c>
      <c r="B184" s="1" t="s">
        <v>7</v>
      </c>
      <c r="C184" s="1" t="s">
        <v>15</v>
      </c>
      <c r="D184" s="1" t="s">
        <v>7</v>
      </c>
      <c r="E184" s="1" t="s">
        <v>9</v>
      </c>
      <c r="F184" s="1">
        <v>0.95811999999999997</v>
      </c>
      <c r="G184" s="1">
        <v>1.0094700000000001</v>
      </c>
      <c r="H184" s="1">
        <v>0.97470000000000001</v>
      </c>
      <c r="I184" s="1">
        <v>0.93957000000000002</v>
      </c>
      <c r="J184" s="1">
        <v>0.94579000000000002</v>
      </c>
      <c r="K184" s="1">
        <v>0.93711</v>
      </c>
      <c r="L184" s="1">
        <v>0.95118000000000003</v>
      </c>
      <c r="M184" s="1">
        <v>0.95811999999999997</v>
      </c>
      <c r="N184" s="1">
        <v>1.0094700000000001</v>
      </c>
      <c r="O184" s="1">
        <v>0.97470000000000001</v>
      </c>
      <c r="P184" s="1">
        <v>0.93957000000000002</v>
      </c>
      <c r="Q184" s="1">
        <v>0.94579000000000002</v>
      </c>
      <c r="R184" s="1">
        <v>0.93711</v>
      </c>
      <c r="S184" s="1">
        <v>0.95118000000000003</v>
      </c>
      <c r="T184" s="1">
        <v>0.95811999999999997</v>
      </c>
      <c r="U184" s="1">
        <v>1.0094700000000001</v>
      </c>
      <c r="V184" s="1">
        <v>0.97470000000000001</v>
      </c>
      <c r="W184" s="1">
        <v>0.93957000000000002</v>
      </c>
      <c r="X184" s="1">
        <v>0.94579000000000002</v>
      </c>
      <c r="Y184" s="1">
        <v>0.93711</v>
      </c>
      <c r="Z184" s="1">
        <v>0.95118000000000003</v>
      </c>
      <c r="AA184" s="1">
        <v>0.95811999999999997</v>
      </c>
      <c r="AB184" s="1">
        <v>1.0094700000000001</v>
      </c>
      <c r="AC184" s="1">
        <v>0.97470000000000001</v>
      </c>
      <c r="AD184" s="1">
        <v>0.93957000000000002</v>
      </c>
      <c r="AE184" s="1">
        <v>0.94579000000000002</v>
      </c>
      <c r="AF184" s="1">
        <v>0.93711</v>
      </c>
      <c r="AG184" s="1">
        <v>0.95118000000000003</v>
      </c>
      <c r="AH184" s="1">
        <v>0.95811999999999997</v>
      </c>
      <c r="AI184" s="1">
        <v>1.0094700000000001</v>
      </c>
      <c r="AL184" s="4" t="s">
        <v>23</v>
      </c>
      <c r="AM184" s="6" t="str" cm="1">
        <f t="array" ref="AM184">IFERROR((SUMPRODUCT(($D$183:$D$206=AM$181)*($F$180:$AI$180="")*$F$183:$AI$206)+IF(AM$181="P6",SUMPRODUCT(($F$180:$AI$180="P6")*$F$183:$AI$206),0))/(SUMPRODUCT(($D$183:$D$206=AM$181)*($F$180:$AI$180=""))+IF(AM$181="P6",COUNTIF($F$180:$AI$180,"P6")*ROWS($D$183:$D$206),0)),"")</f>
        <v/>
      </c>
      <c r="AN184" s="6" t="str" cm="1">
        <f t="array" ref="AN184">IFERROR((SUMPRODUCT(($D$183:$D$206=AN$181)*($F$180:$AI$180="")*$F$183:$AI$206)+IF(AN$181="P6",SUMPRODUCT(($F$180:$AI$180="P6")*$F$183:$AI$206),0))/(SUMPRODUCT(($D$183:$D$206=AN$181)*($F$180:$AI$180=""))+IF(AN$181="P6",COUNTIF($F$180:$AI$180,"P6")*ROWS($D$183:$D$206),0)),"")</f>
        <v/>
      </c>
      <c r="AO184" s="5" cm="1">
        <f t="array" ref="AO184">IFERROR((SUMPRODUCT(($D$183:$D$206=AO$181)*($F$180:$AI$180="")*$F$183:$AI$206)+IF(AO$181="P6",SUMPRODUCT(($F$180:$AI$180="P6")*$F$183:$AI$206),0))/(SUMPRODUCT(($D$183:$D$206=AO$181)*($F$180:$AI$180=""))+IF(AO$181="P6",COUNTIF($F$180:$AI$180,"P6")*ROWS($D$183:$D$206),0)),"")</f>
        <v>0.88914533333333268</v>
      </c>
      <c r="AP184" s="5" cm="1">
        <f t="array" ref="AP184">IFERROR((SUMPRODUCT(($D$183:$D$206=AP$181)*($F$180:$AI$180="")*$F$183:$AI$206)+IF(AP$181="P6",SUMPRODUCT(($F$180:$AI$180="P6")*$F$183:$AI$206),0))/(SUMPRODUCT(($D$183:$D$206=AP$181)*($F$180:$AI$180=""))+IF(AP$181="P6",COUNTIF($F$180:$AI$180,"P6")*ROWS($D$183:$D$206),0)),"")</f>
        <v>0.91771828571428549</v>
      </c>
      <c r="AQ184" s="5" t="str" cm="1">
        <f t="array" ref="AQ184">IFERROR((SUMPRODUCT(($D$183:$D$206=AQ$181)*($F$180:$AI$180="")*$F$183:$AI$206)+IF(AQ$181="P6",SUMPRODUCT(($F$180:$AI$180="P6")*$F$183:$AI$206),0))/(SUMPRODUCT(($D$183:$D$206=AQ$181)*($F$180:$AI$180=""))+IF(AQ$181="P6",COUNTIF($F$180:$AI$180,"P6")*ROWS($D$183:$D$206),0)),"")</f>
        <v/>
      </c>
      <c r="AR184" s="6" cm="1">
        <f t="array" ref="AR184">IFERROR((SUMPRODUCT(($D$183:$D$206=AR$181)*($F$180:$AI$180="")*$F$183:$AI$206)+IF(AR$181="P6",SUMPRODUCT(($F$180:$AI$180="P6")*$F$183:$AI$206),0))/(SUMPRODUCT(($D$183:$D$206=AR$181)*($F$180:$AI$180=""))+IF(AR$181="P6",COUNTIF($F$180:$AI$180,"P6")*ROWS($D$183:$D$206),0)),"")</f>
        <v>0.91773935000000006</v>
      </c>
    </row>
    <row r="185" spans="1:44" ht="14.25" customHeight="1" x14ac:dyDescent="0.35">
      <c r="A185" s="1" t="s">
        <v>7</v>
      </c>
      <c r="B185" s="1" t="s">
        <v>7</v>
      </c>
      <c r="C185" s="1" t="s">
        <v>15</v>
      </c>
      <c r="D185" s="1" t="s">
        <v>7</v>
      </c>
      <c r="E185" s="1" t="s">
        <v>10</v>
      </c>
      <c r="F185" s="1">
        <v>0.96228000000000002</v>
      </c>
      <c r="G185" s="1">
        <v>1.0203</v>
      </c>
      <c r="H185" s="1">
        <v>0.98546</v>
      </c>
      <c r="I185" s="1">
        <v>0.94755999999999996</v>
      </c>
      <c r="J185" s="1">
        <v>0.95018999999999998</v>
      </c>
      <c r="K185" s="1">
        <v>0.93833</v>
      </c>
      <c r="L185" s="1">
        <v>0.95443</v>
      </c>
      <c r="M185" s="1">
        <v>0.96228000000000002</v>
      </c>
      <c r="N185" s="1">
        <v>1.0203</v>
      </c>
      <c r="O185" s="1">
        <v>0.98546</v>
      </c>
      <c r="P185" s="1">
        <v>0.94755999999999996</v>
      </c>
      <c r="Q185" s="1">
        <v>0.95018999999999998</v>
      </c>
      <c r="R185" s="1">
        <v>0.93833</v>
      </c>
      <c r="S185" s="1">
        <v>0.95443</v>
      </c>
      <c r="T185" s="1">
        <v>0.96228000000000002</v>
      </c>
      <c r="U185" s="1">
        <v>1.0203</v>
      </c>
      <c r="V185" s="1">
        <v>0.98546</v>
      </c>
      <c r="W185" s="1">
        <v>0.94755999999999996</v>
      </c>
      <c r="X185" s="1">
        <v>0.95018999999999998</v>
      </c>
      <c r="Y185" s="1">
        <v>0.93833</v>
      </c>
      <c r="Z185" s="1">
        <v>0.95443</v>
      </c>
      <c r="AA185" s="1">
        <v>0.96228000000000002</v>
      </c>
      <c r="AB185" s="1">
        <v>1.0203</v>
      </c>
      <c r="AC185" s="1">
        <v>0.98546</v>
      </c>
      <c r="AD185" s="1">
        <v>0.94755999999999996</v>
      </c>
      <c r="AE185" s="1">
        <v>0.95018999999999998</v>
      </c>
      <c r="AF185" s="1">
        <v>0.93833</v>
      </c>
      <c r="AG185" s="1">
        <v>0.95443</v>
      </c>
      <c r="AH185" s="1">
        <v>0.96228000000000002</v>
      </c>
      <c r="AI185" s="1">
        <v>1.0203</v>
      </c>
      <c r="AL185" s="4" t="s">
        <v>25</v>
      </c>
      <c r="AM185" s="6" t="str" cm="1">
        <f t="array" ref="AM185">IFERROR((SUMPRODUCT(($D$183:$D$206=AM$181)*($F$180:$AI$180="")*$F$183:$AI$206)+IF(AM$181="P6",SUMPRODUCT(($F$180:$AI$180="P6")*$F$183:$AI$206),0))/(SUMPRODUCT(($D$183:$D$206=AM$181)*($F$180:$AI$180=""))+IF(AM$181="P6",COUNTIF($F$180:$AI$180,"P6")*ROWS($D$183:$D$206),0)),"")</f>
        <v/>
      </c>
      <c r="AN185" s="6" t="str" cm="1">
        <f t="array" ref="AN185">IFERROR((SUMPRODUCT(($D$183:$D$206=AN$181)*($F$180:$AI$180="")*$F$183:$AI$206)+IF(AN$181="P6",SUMPRODUCT(($F$180:$AI$180="P6")*$F$183:$AI$206),0))/(SUMPRODUCT(($D$183:$D$206=AN$181)*($F$180:$AI$180=""))+IF(AN$181="P6",COUNTIF($F$180:$AI$180,"P6")*ROWS($D$183:$D$206),0)),"")</f>
        <v/>
      </c>
      <c r="AO185" s="5" cm="1">
        <f t="array" ref="AO185">IFERROR((SUMPRODUCT(($D$183:$D$206=AO$181)*($F$180:$AI$180="")*$F$183:$AI$206)+IF(AO$181="P6",SUMPRODUCT(($F$180:$AI$180="P6")*$F$183:$AI$206),0))/(SUMPRODUCT(($D$183:$D$206=AO$181)*($F$180:$AI$180=""))+IF(AO$181="P6",COUNTIF($F$180:$AI$180,"P6")*ROWS($D$183:$D$206),0)),"")</f>
        <v>0.88914533333333268</v>
      </c>
      <c r="AP185" s="5" cm="1">
        <f t="array" ref="AP185">IFERROR((SUMPRODUCT(($D$183:$D$206=AP$181)*($F$180:$AI$180="")*$F$183:$AI$206)+IF(AP$181="P6",SUMPRODUCT(($F$180:$AI$180="P6")*$F$183:$AI$206),0))/(SUMPRODUCT(($D$183:$D$206=AP$181)*($F$180:$AI$180=""))+IF(AP$181="P6",COUNTIF($F$180:$AI$180,"P6")*ROWS($D$183:$D$206),0)),"")</f>
        <v>0.91771828571428549</v>
      </c>
      <c r="AQ185" s="5" t="str" cm="1">
        <f t="array" ref="AQ185">IFERROR((SUMPRODUCT(($D$183:$D$206=AQ$181)*($F$180:$AI$180="")*$F$183:$AI$206)+IF(AQ$181="P6",SUMPRODUCT(($F$180:$AI$180="P6")*$F$183:$AI$206),0))/(SUMPRODUCT(($D$183:$D$206=AQ$181)*($F$180:$AI$180=""))+IF(AQ$181="P6",COUNTIF($F$180:$AI$180,"P6")*ROWS($D$183:$D$206),0)),"")</f>
        <v/>
      </c>
      <c r="AR185" s="6" cm="1">
        <f t="array" ref="AR185">IFERROR((SUMPRODUCT(($D$183:$D$206=AR$181)*($F$180:$AI$180="")*$F$183:$AI$206)+IF(AR$181="P6",SUMPRODUCT(($F$180:$AI$180="P6")*$F$183:$AI$206),0))/(SUMPRODUCT(($D$183:$D$206=AR$181)*($F$180:$AI$180=""))+IF(AR$181="P6",COUNTIF($F$180:$AI$180,"P6")*ROWS($D$183:$D$206),0)),"")</f>
        <v>0.91773935000000006</v>
      </c>
    </row>
    <row r="186" spans="1:44" ht="14.25" customHeight="1" x14ac:dyDescent="0.35">
      <c r="A186" s="1" t="s">
        <v>7</v>
      </c>
      <c r="B186" s="1" t="s">
        <v>7</v>
      </c>
      <c r="C186" s="1" t="s">
        <v>15</v>
      </c>
      <c r="D186" s="1" t="s">
        <v>7</v>
      </c>
      <c r="E186" s="1" t="s">
        <v>11</v>
      </c>
      <c r="F186" s="1">
        <v>0.96265000000000001</v>
      </c>
      <c r="G186" s="1">
        <v>1.02369</v>
      </c>
      <c r="H186" s="1">
        <v>0.97904999999999998</v>
      </c>
      <c r="I186" s="1">
        <v>0.94377</v>
      </c>
      <c r="J186" s="1">
        <v>0.95315000000000005</v>
      </c>
      <c r="K186" s="1">
        <v>0.93432000000000004</v>
      </c>
      <c r="L186" s="1">
        <v>0.93969999999999998</v>
      </c>
      <c r="M186" s="1">
        <v>0.96265000000000001</v>
      </c>
      <c r="N186" s="1">
        <v>1.02369</v>
      </c>
      <c r="O186" s="1">
        <v>0.97904999999999998</v>
      </c>
      <c r="P186" s="1">
        <v>0.94377</v>
      </c>
      <c r="Q186" s="1">
        <v>0.95315000000000005</v>
      </c>
      <c r="R186" s="1">
        <v>0.93432000000000004</v>
      </c>
      <c r="S186" s="1">
        <v>0.93969999999999998</v>
      </c>
      <c r="T186" s="1">
        <v>0.96265000000000001</v>
      </c>
      <c r="U186" s="1">
        <v>1.02369</v>
      </c>
      <c r="V186" s="1">
        <v>0.97904999999999998</v>
      </c>
      <c r="W186" s="1">
        <v>0.94377</v>
      </c>
      <c r="X186" s="1">
        <v>0.95315000000000005</v>
      </c>
      <c r="Y186" s="1">
        <v>0.93432000000000004</v>
      </c>
      <c r="Z186" s="1">
        <v>0.93969999999999998</v>
      </c>
      <c r="AA186" s="1">
        <v>0.96265000000000001</v>
      </c>
      <c r="AB186" s="1">
        <v>1.02369</v>
      </c>
      <c r="AC186" s="1">
        <v>0.97904999999999998</v>
      </c>
      <c r="AD186" s="1">
        <v>0.94377</v>
      </c>
      <c r="AE186" s="1">
        <v>0.95315000000000005</v>
      </c>
      <c r="AF186" s="1">
        <v>0.93432000000000004</v>
      </c>
      <c r="AG186" s="1">
        <v>0.93969999999999998</v>
      </c>
      <c r="AH186" s="1">
        <v>0.96265000000000001</v>
      </c>
      <c r="AI186" s="1">
        <v>1.02369</v>
      </c>
      <c r="AL186" s="4" t="s">
        <v>27</v>
      </c>
      <c r="AM186" s="6" t="str" cm="1">
        <f t="array" ref="AM186">IFERROR((SUMPRODUCT(($D$183:$D$206=AM$181)*($F$180:$AI$180="")*$F$183:$AI$206)+IF(AM$181="P6",SUMPRODUCT(($F$180:$AI$180="P6")*$F$183:$AI$206),0))/(SUMPRODUCT(($D$183:$D$206=AM$181)*($F$180:$AI$180=""))+IF(AM$181="P6",COUNTIF($F$180:$AI$180,"P6")*ROWS($D$183:$D$206),0)),"")</f>
        <v/>
      </c>
      <c r="AN186" s="6" t="str" cm="1">
        <f t="array" ref="AN186">IFERROR((SUMPRODUCT(($D$183:$D$206=AN$181)*($F$180:$AI$180="")*$F$183:$AI$206)+IF(AN$181="P6",SUMPRODUCT(($F$180:$AI$180="P6")*$F$183:$AI$206),0))/(SUMPRODUCT(($D$183:$D$206=AN$181)*($F$180:$AI$180=""))+IF(AN$181="P6",COUNTIF($F$180:$AI$180,"P6")*ROWS($D$183:$D$206),0)),"")</f>
        <v/>
      </c>
      <c r="AO186" s="5" cm="1">
        <f t="array" ref="AO186">IFERROR((SUMPRODUCT(($D$183:$D$206=AO$181)*($F$180:$AI$180="")*$F$183:$AI$206)+IF(AO$181="P6",SUMPRODUCT(($F$180:$AI$180="P6")*$F$183:$AI$206),0))/(SUMPRODUCT(($D$183:$D$206=AO$181)*($F$180:$AI$180=""))+IF(AO$181="P6",COUNTIF($F$180:$AI$180,"P6")*ROWS($D$183:$D$206),0)),"")</f>
        <v>0.88914533333333268</v>
      </c>
      <c r="AP186" s="5" cm="1">
        <f t="array" ref="AP186">IFERROR((SUMPRODUCT(($D$183:$D$206=AP$181)*($F$180:$AI$180="")*$F$183:$AI$206)+IF(AP$181="P6",SUMPRODUCT(($F$180:$AI$180="P6")*$F$183:$AI$206),0))/(SUMPRODUCT(($D$183:$D$206=AP$181)*($F$180:$AI$180=""))+IF(AP$181="P6",COUNTIF($F$180:$AI$180,"P6")*ROWS($D$183:$D$206),0)),"")</f>
        <v>0.91771828571428549</v>
      </c>
      <c r="AQ186" s="5" t="str" cm="1">
        <f t="array" ref="AQ186">IFERROR((SUMPRODUCT(($D$183:$D$206=AQ$181)*($F$180:$AI$180="")*$F$183:$AI$206)+IF(AQ$181="P6",SUMPRODUCT(($F$180:$AI$180="P6")*$F$183:$AI$206),0))/(SUMPRODUCT(($D$183:$D$206=AQ$181)*($F$180:$AI$180=""))+IF(AQ$181="P6",COUNTIF($F$180:$AI$180,"P6")*ROWS($D$183:$D$206),0)),"")</f>
        <v/>
      </c>
      <c r="AR186" s="6" cm="1">
        <f t="array" ref="AR186">IFERROR((SUMPRODUCT(($D$183:$D$206=AR$181)*($F$180:$AI$180="")*$F$183:$AI$206)+IF(AR$181="P6",SUMPRODUCT(($F$180:$AI$180="P6")*$F$183:$AI$206),0))/(SUMPRODUCT(($D$183:$D$206=AR$181)*($F$180:$AI$180=""))+IF(AR$181="P6",COUNTIF($F$180:$AI$180,"P6")*ROWS($D$183:$D$206),0)),"")</f>
        <v>0.91773935000000006</v>
      </c>
    </row>
    <row r="187" spans="1:44" ht="14.25" customHeight="1" x14ac:dyDescent="0.35">
      <c r="A187" s="1" t="s">
        <v>7</v>
      </c>
      <c r="B187" s="1" t="s">
        <v>7</v>
      </c>
      <c r="C187" s="1" t="s">
        <v>15</v>
      </c>
      <c r="D187" s="1" t="s">
        <v>7</v>
      </c>
      <c r="E187" s="1" t="s">
        <v>12</v>
      </c>
      <c r="F187" s="1">
        <v>0.9597</v>
      </c>
      <c r="G187" s="1">
        <v>1.02037</v>
      </c>
      <c r="H187" s="1">
        <v>0.96577999999999997</v>
      </c>
      <c r="I187" s="1">
        <v>0.94333</v>
      </c>
      <c r="J187" s="1">
        <v>0.95111000000000001</v>
      </c>
      <c r="K187" s="1">
        <v>0.93125999999999998</v>
      </c>
      <c r="L187" s="1">
        <v>0.93433999999999995</v>
      </c>
      <c r="M187" s="1">
        <v>0.9597</v>
      </c>
      <c r="N187" s="1">
        <v>1.02037</v>
      </c>
      <c r="O187" s="1">
        <v>0.96577999999999997</v>
      </c>
      <c r="P187" s="1">
        <v>0.94333</v>
      </c>
      <c r="Q187" s="1">
        <v>0.95111000000000001</v>
      </c>
      <c r="R187" s="1">
        <v>0.93125999999999998</v>
      </c>
      <c r="S187" s="1">
        <v>0.93433999999999995</v>
      </c>
      <c r="T187" s="1">
        <v>0.9597</v>
      </c>
      <c r="U187" s="1">
        <v>1.02037</v>
      </c>
      <c r="V187" s="1">
        <v>0.96577999999999997</v>
      </c>
      <c r="W187" s="1">
        <v>0.94333</v>
      </c>
      <c r="X187" s="1">
        <v>0.95111000000000001</v>
      </c>
      <c r="Y187" s="1">
        <v>0.93125999999999998</v>
      </c>
      <c r="Z187" s="1">
        <v>0.93433999999999995</v>
      </c>
      <c r="AA187" s="1">
        <v>0.9597</v>
      </c>
      <c r="AB187" s="1">
        <v>1.02037</v>
      </c>
      <c r="AC187" s="1">
        <v>0.96577999999999997</v>
      </c>
      <c r="AD187" s="1">
        <v>0.94333</v>
      </c>
      <c r="AE187" s="1">
        <v>0.95111000000000001</v>
      </c>
      <c r="AF187" s="1">
        <v>0.93125999999999998</v>
      </c>
      <c r="AG187" s="1">
        <v>0.93433999999999995</v>
      </c>
      <c r="AH187" s="1">
        <v>0.9597</v>
      </c>
      <c r="AI187" s="1">
        <v>1.02037</v>
      </c>
      <c r="AL187" s="4" t="s">
        <v>29</v>
      </c>
      <c r="AM187" s="6" t="str" cm="1">
        <f t="array" ref="AM187">IFERROR((SUMPRODUCT(($D$183:$D$206=AM$181)*($F$180:$AI$180="")*$F$183:$AI$206)+IF(AM$181="P6",SUMPRODUCT(($F$180:$AI$180="P6")*$F$183:$AI$206),0))/(SUMPRODUCT(($D$183:$D$206=AM$181)*($F$180:$AI$180=""))+IF(AM$181="P6",COUNTIF($F$180:$AI$180,"P6")*ROWS($D$183:$D$206),0)),"")</f>
        <v/>
      </c>
      <c r="AN187" s="6" t="str" cm="1">
        <f t="array" ref="AN187">IFERROR((SUMPRODUCT(($D$183:$D$206=AN$181)*($F$180:$AI$180="")*$F$183:$AI$206)+IF(AN$181="P6",SUMPRODUCT(($F$180:$AI$180="P6")*$F$183:$AI$206),0))/(SUMPRODUCT(($D$183:$D$206=AN$181)*($F$180:$AI$180=""))+IF(AN$181="P6",COUNTIF($F$180:$AI$180,"P6")*ROWS($D$183:$D$206),0)),"")</f>
        <v/>
      </c>
      <c r="AO187" s="5" cm="1">
        <f t="array" ref="AO187">IFERROR((SUMPRODUCT(($D$183:$D$206=AO$181)*($F$180:$AI$180="")*$F$183:$AI$206)+IF(AO$181="P6",SUMPRODUCT(($F$180:$AI$180="P6")*$F$183:$AI$206),0))/(SUMPRODUCT(($D$183:$D$206=AO$181)*($F$180:$AI$180=""))+IF(AO$181="P6",COUNTIF($F$180:$AI$180,"P6")*ROWS($D$183:$D$206),0)),"")</f>
        <v>0.88914533333333268</v>
      </c>
      <c r="AP187" s="5" cm="1">
        <f t="array" ref="AP187">IFERROR((SUMPRODUCT(($D$183:$D$206=AP$181)*($F$180:$AI$180="")*$F$183:$AI$206)+IF(AP$181="P6",SUMPRODUCT(($F$180:$AI$180="P6")*$F$183:$AI$206),0))/(SUMPRODUCT(($D$183:$D$206=AP$181)*($F$180:$AI$180=""))+IF(AP$181="P6",COUNTIF($F$180:$AI$180,"P6")*ROWS($D$183:$D$206),0)),"")</f>
        <v>0.91771828571428549</v>
      </c>
      <c r="AQ187" s="5" t="str" cm="1">
        <f t="array" ref="AQ187">IFERROR((SUMPRODUCT(($D$183:$D$206=AQ$181)*($F$180:$AI$180="")*$F$183:$AI$206)+IF(AQ$181="P6",SUMPRODUCT(($F$180:$AI$180="P6")*$F$183:$AI$206),0))/(SUMPRODUCT(($D$183:$D$206=AQ$181)*($F$180:$AI$180=""))+IF(AQ$181="P6",COUNTIF($F$180:$AI$180,"P6")*ROWS($D$183:$D$206),0)),"")</f>
        <v/>
      </c>
      <c r="AR187" s="6" cm="1">
        <f t="array" ref="AR187">IFERROR((SUMPRODUCT(($D$183:$D$206=AR$181)*($F$180:$AI$180="")*$F$183:$AI$206)+IF(AR$181="P6",SUMPRODUCT(($F$180:$AI$180="P6")*$F$183:$AI$206),0))/(SUMPRODUCT(($D$183:$D$206=AR$181)*($F$180:$AI$180=""))+IF(AR$181="P6",COUNTIF($F$180:$AI$180,"P6")*ROWS($D$183:$D$206),0)),"")</f>
        <v>0.91773935000000006</v>
      </c>
    </row>
    <row r="188" spans="1:44" ht="14.25" customHeight="1" x14ac:dyDescent="0.35">
      <c r="A188" s="1" t="s">
        <v>7</v>
      </c>
      <c r="B188" s="1" t="s">
        <v>7</v>
      </c>
      <c r="C188" s="1" t="s">
        <v>15</v>
      </c>
      <c r="D188" s="1" t="s">
        <v>7</v>
      </c>
      <c r="E188" s="1" t="s">
        <v>18</v>
      </c>
      <c r="F188" s="1">
        <v>0.96355999999999997</v>
      </c>
      <c r="G188" s="1">
        <v>1.0207200000000001</v>
      </c>
      <c r="H188" s="1">
        <v>0.94145000000000001</v>
      </c>
      <c r="I188" s="1">
        <v>0.92520999999999998</v>
      </c>
      <c r="J188" s="1">
        <v>0.93059000000000003</v>
      </c>
      <c r="K188" s="1">
        <v>0.92413000000000001</v>
      </c>
      <c r="L188" s="1">
        <v>0.92627000000000004</v>
      </c>
      <c r="M188" s="1">
        <v>0.96355999999999997</v>
      </c>
      <c r="N188" s="1">
        <v>1.0207200000000001</v>
      </c>
      <c r="O188" s="1">
        <v>0.94145000000000001</v>
      </c>
      <c r="P188" s="1">
        <v>0.92520999999999998</v>
      </c>
      <c r="Q188" s="1">
        <v>0.93059000000000003</v>
      </c>
      <c r="R188" s="1">
        <v>0.92413000000000001</v>
      </c>
      <c r="S188" s="1">
        <v>0.92627000000000004</v>
      </c>
      <c r="T188" s="1">
        <v>0.96355999999999997</v>
      </c>
      <c r="U188" s="1">
        <v>1.0207200000000001</v>
      </c>
      <c r="V188" s="1">
        <v>0.94145000000000001</v>
      </c>
      <c r="W188" s="1">
        <v>0.92520999999999998</v>
      </c>
      <c r="X188" s="1">
        <v>0.93059000000000003</v>
      </c>
      <c r="Y188" s="1">
        <v>0.92413000000000001</v>
      </c>
      <c r="Z188" s="1">
        <v>0.92627000000000004</v>
      </c>
      <c r="AA188" s="1">
        <v>0.96355999999999997</v>
      </c>
      <c r="AB188" s="1">
        <v>1.0207200000000001</v>
      </c>
      <c r="AC188" s="1">
        <v>0.94145000000000001</v>
      </c>
      <c r="AD188" s="1">
        <v>0.92520999999999998</v>
      </c>
      <c r="AE188" s="1">
        <v>0.93059000000000003</v>
      </c>
      <c r="AF188" s="1">
        <v>0.92413000000000001</v>
      </c>
      <c r="AG188" s="1">
        <v>0.92627000000000004</v>
      </c>
      <c r="AH188" s="1">
        <v>0.96355999999999997</v>
      </c>
      <c r="AI188" s="1">
        <v>1.0207200000000001</v>
      </c>
      <c r="AL188" s="10"/>
      <c r="AM188" s="10"/>
      <c r="AN188" s="10"/>
      <c r="AO188" s="10"/>
      <c r="AP188" s="10"/>
      <c r="AQ188" s="10"/>
      <c r="AR188" s="10"/>
    </row>
    <row r="189" spans="1:44" ht="14.25" customHeight="1" x14ac:dyDescent="0.35">
      <c r="A189" s="1" t="s">
        <v>7</v>
      </c>
      <c r="B189" s="1" t="s">
        <v>7</v>
      </c>
      <c r="C189" s="1" t="s">
        <v>15</v>
      </c>
      <c r="D189" s="1" t="s">
        <v>7</v>
      </c>
      <c r="E189" s="1" t="s">
        <v>20</v>
      </c>
      <c r="F189" s="1">
        <v>0.95064000000000004</v>
      </c>
      <c r="G189" s="1">
        <v>1.01414</v>
      </c>
      <c r="H189" s="1">
        <v>0.89981</v>
      </c>
      <c r="I189" s="1">
        <v>0.90097000000000005</v>
      </c>
      <c r="J189" s="1">
        <v>0.89261999999999997</v>
      </c>
      <c r="K189" s="1">
        <v>0.88782000000000005</v>
      </c>
      <c r="L189" s="1">
        <v>0.89576999999999996</v>
      </c>
      <c r="M189" s="1">
        <v>0.95064000000000004</v>
      </c>
      <c r="N189" s="1">
        <v>1.01414</v>
      </c>
      <c r="O189" s="1">
        <v>0.89981</v>
      </c>
      <c r="P189" s="1">
        <v>0.90097000000000005</v>
      </c>
      <c r="Q189" s="1">
        <v>0.89261999999999997</v>
      </c>
      <c r="R189" s="1">
        <v>0.88782000000000005</v>
      </c>
      <c r="S189" s="1">
        <v>0.89576999999999996</v>
      </c>
      <c r="T189" s="1">
        <v>0.95064000000000004</v>
      </c>
      <c r="U189" s="1">
        <v>1.01414</v>
      </c>
      <c r="V189" s="1">
        <v>0.89981</v>
      </c>
      <c r="W189" s="1">
        <v>0.90097000000000005</v>
      </c>
      <c r="X189" s="1">
        <v>0.89261999999999997</v>
      </c>
      <c r="Y189" s="1">
        <v>0.88782000000000005</v>
      </c>
      <c r="Z189" s="1">
        <v>0.89576999999999996</v>
      </c>
      <c r="AA189" s="1">
        <v>0.95064000000000004</v>
      </c>
      <c r="AB189" s="1">
        <v>1.01414</v>
      </c>
      <c r="AC189" s="1">
        <v>0.89981</v>
      </c>
      <c r="AD189" s="1">
        <v>0.90097000000000005</v>
      </c>
      <c r="AE189" s="1">
        <v>0.89261999999999997</v>
      </c>
      <c r="AF189" s="1">
        <v>0.88782000000000005</v>
      </c>
      <c r="AG189" s="1">
        <v>0.89576999999999996</v>
      </c>
      <c r="AH189" s="1">
        <v>0.95064000000000004</v>
      </c>
      <c r="AI189" s="1">
        <v>1.01414</v>
      </c>
      <c r="AL189" s="10"/>
      <c r="AM189" s="10"/>
      <c r="AN189" s="10"/>
      <c r="AO189" s="10"/>
      <c r="AP189" s="10"/>
      <c r="AQ189" s="10"/>
      <c r="AR189" s="10"/>
    </row>
    <row r="190" spans="1:44" ht="14.25" customHeight="1" x14ac:dyDescent="0.35">
      <c r="A190" s="1" t="s">
        <v>7</v>
      </c>
      <c r="B190" s="1" t="s">
        <v>7</v>
      </c>
      <c r="C190" s="1" t="s">
        <v>15</v>
      </c>
      <c r="D190" s="1" t="s">
        <v>7</v>
      </c>
      <c r="E190" s="1" t="s">
        <v>22</v>
      </c>
      <c r="F190" s="1">
        <v>0.90120999999999996</v>
      </c>
      <c r="G190" s="1">
        <v>0.95870999999999995</v>
      </c>
      <c r="H190" s="1">
        <v>0.87146000000000001</v>
      </c>
      <c r="I190" s="1">
        <v>0.88715999999999995</v>
      </c>
      <c r="J190" s="1">
        <v>0.87917000000000001</v>
      </c>
      <c r="K190" s="1">
        <v>0.87936999999999999</v>
      </c>
      <c r="L190" s="1">
        <v>0.88839999999999997</v>
      </c>
      <c r="M190" s="1">
        <v>0.90120999999999996</v>
      </c>
      <c r="N190" s="1">
        <v>0.95870999999999995</v>
      </c>
      <c r="O190" s="1">
        <v>0.87146000000000001</v>
      </c>
      <c r="P190" s="1">
        <v>0.88715999999999995</v>
      </c>
      <c r="Q190" s="1">
        <v>0.87917000000000001</v>
      </c>
      <c r="R190" s="1">
        <v>0.87936999999999999</v>
      </c>
      <c r="S190" s="1">
        <v>0.88839999999999997</v>
      </c>
      <c r="T190" s="1">
        <v>0.90120999999999996</v>
      </c>
      <c r="U190" s="1">
        <v>0.95870999999999995</v>
      </c>
      <c r="V190" s="1">
        <v>0.87146000000000001</v>
      </c>
      <c r="W190" s="1">
        <v>0.88715999999999995</v>
      </c>
      <c r="X190" s="1">
        <v>0.87917000000000001</v>
      </c>
      <c r="Y190" s="1">
        <v>0.87936999999999999</v>
      </c>
      <c r="Z190" s="1">
        <v>0.88839999999999997</v>
      </c>
      <c r="AA190" s="1">
        <v>0.90120999999999996</v>
      </c>
      <c r="AB190" s="1">
        <v>0.95870999999999995</v>
      </c>
      <c r="AC190" s="1">
        <v>0.87146000000000001</v>
      </c>
      <c r="AD190" s="1">
        <v>0.88715999999999995</v>
      </c>
      <c r="AE190" s="1">
        <v>0.87917000000000001</v>
      </c>
      <c r="AF190" s="1">
        <v>0.87936999999999999</v>
      </c>
      <c r="AG190" s="1">
        <v>0.88839999999999997</v>
      </c>
      <c r="AH190" s="1">
        <v>0.90120999999999996</v>
      </c>
      <c r="AI190" s="1">
        <v>0.95870999999999995</v>
      </c>
      <c r="AL190" s="14" t="s">
        <v>175</v>
      </c>
      <c r="AM190" s="14"/>
      <c r="AN190" s="14"/>
      <c r="AO190" s="14"/>
      <c r="AP190" s="14"/>
      <c r="AQ190" s="14"/>
      <c r="AR190" s="14"/>
    </row>
    <row r="191" spans="1:44" ht="14.25" customHeight="1" x14ac:dyDescent="0.35">
      <c r="A191" s="1" t="s">
        <v>17</v>
      </c>
      <c r="B191" s="1" t="s">
        <v>14</v>
      </c>
      <c r="C191" s="1" t="s">
        <v>14</v>
      </c>
      <c r="D191" s="1" t="s">
        <v>16</v>
      </c>
      <c r="E191" s="1" t="s">
        <v>24</v>
      </c>
      <c r="F191" s="1">
        <v>0.82799999999999996</v>
      </c>
      <c r="G191" s="1">
        <v>0.87561</v>
      </c>
      <c r="H191" s="1">
        <v>0.88983999999999996</v>
      </c>
      <c r="I191" s="1">
        <v>0.91342999999999996</v>
      </c>
      <c r="J191" s="1">
        <v>0.90459999999999996</v>
      </c>
      <c r="K191" s="1">
        <v>0.89115</v>
      </c>
      <c r="L191" s="1">
        <v>0.89900999999999998</v>
      </c>
      <c r="M191" s="1">
        <v>0.82799999999999996</v>
      </c>
      <c r="N191" s="1">
        <v>0.87561</v>
      </c>
      <c r="O191" s="1">
        <v>0.88983999999999996</v>
      </c>
      <c r="P191" s="1">
        <v>0.91342999999999996</v>
      </c>
      <c r="Q191" s="1">
        <v>0.90459999999999996</v>
      </c>
      <c r="R191" s="1">
        <v>0.89115</v>
      </c>
      <c r="S191" s="1">
        <v>0.89900999999999998</v>
      </c>
      <c r="T191" s="1">
        <v>0.82799999999999996</v>
      </c>
      <c r="U191" s="1">
        <v>0.87561</v>
      </c>
      <c r="V191" s="1">
        <v>0.88983999999999996</v>
      </c>
      <c r="W191" s="1">
        <v>0.91342999999999996</v>
      </c>
      <c r="X191" s="1">
        <v>0.90459999999999996</v>
      </c>
      <c r="Y191" s="1">
        <v>0.89115</v>
      </c>
      <c r="Z191" s="1">
        <v>0.89900999999999998</v>
      </c>
      <c r="AA191" s="1">
        <v>0.82799999999999996</v>
      </c>
      <c r="AB191" s="1">
        <v>0.87561</v>
      </c>
      <c r="AC191" s="1">
        <v>0.88983999999999996</v>
      </c>
      <c r="AD191" s="1">
        <v>0.91342999999999996</v>
      </c>
      <c r="AE191" s="1">
        <v>0.90459999999999996</v>
      </c>
      <c r="AF191" s="1">
        <v>0.89115</v>
      </c>
      <c r="AG191" s="1">
        <v>0.89900999999999998</v>
      </c>
      <c r="AH191" s="1">
        <v>0.82799999999999996</v>
      </c>
      <c r="AI191" s="1">
        <v>0.87561</v>
      </c>
      <c r="AL191" s="4"/>
      <c r="AM191" s="4" t="s">
        <v>13</v>
      </c>
      <c r="AN191" s="4" t="s">
        <v>14</v>
      </c>
      <c r="AO191" s="4" t="s">
        <v>15</v>
      </c>
      <c r="AP191" s="4" t="s">
        <v>16</v>
      </c>
      <c r="AQ191" s="4" t="s">
        <v>17</v>
      </c>
      <c r="AR191" s="4" t="s">
        <v>7</v>
      </c>
    </row>
    <row r="192" spans="1:44" ht="14.25" customHeight="1" x14ac:dyDescent="0.35">
      <c r="A192" s="1" t="s">
        <v>17</v>
      </c>
      <c r="B192" s="1" t="s">
        <v>14</v>
      </c>
      <c r="C192" s="1" t="s">
        <v>14</v>
      </c>
      <c r="D192" s="1" t="s">
        <v>15</v>
      </c>
      <c r="E192" s="1" t="s">
        <v>26</v>
      </c>
      <c r="F192" s="1">
        <v>0.80613000000000001</v>
      </c>
      <c r="G192" s="1">
        <v>0.81383000000000005</v>
      </c>
      <c r="H192" s="1">
        <v>0.84404999999999997</v>
      </c>
      <c r="I192" s="1">
        <v>0.89000999999999997</v>
      </c>
      <c r="J192" s="1">
        <v>0.87966999999999995</v>
      </c>
      <c r="K192" s="1">
        <v>0.86404000000000003</v>
      </c>
      <c r="L192" s="1">
        <v>0.86123000000000005</v>
      </c>
      <c r="M192" s="1">
        <v>0.80613000000000001</v>
      </c>
      <c r="N192" s="1">
        <v>0.81383000000000005</v>
      </c>
      <c r="O192" s="1">
        <v>0.84404999999999997</v>
      </c>
      <c r="P192" s="1">
        <v>0.89000999999999997</v>
      </c>
      <c r="Q192" s="1">
        <v>0.87966999999999995</v>
      </c>
      <c r="R192" s="1">
        <v>0.86404000000000003</v>
      </c>
      <c r="S192" s="1">
        <v>0.86123000000000005</v>
      </c>
      <c r="T192" s="1">
        <v>0.80613000000000001</v>
      </c>
      <c r="U192" s="1">
        <v>0.81383000000000005</v>
      </c>
      <c r="V192" s="1">
        <v>0.84404999999999997</v>
      </c>
      <c r="W192" s="1">
        <v>0.89000999999999997</v>
      </c>
      <c r="X192" s="1">
        <v>0.87966999999999995</v>
      </c>
      <c r="Y192" s="1">
        <v>0.86404000000000003</v>
      </c>
      <c r="Z192" s="1">
        <v>0.86123000000000005</v>
      </c>
      <c r="AA192" s="1">
        <v>0.80613000000000001</v>
      </c>
      <c r="AB192" s="1">
        <v>0.81383000000000005</v>
      </c>
      <c r="AC192" s="1">
        <v>0.84404999999999997</v>
      </c>
      <c r="AD192" s="1">
        <v>0.89000999999999997</v>
      </c>
      <c r="AE192" s="1">
        <v>0.87966999999999995</v>
      </c>
      <c r="AF192" s="1">
        <v>0.86404000000000003</v>
      </c>
      <c r="AG192" s="1">
        <v>0.86123000000000005</v>
      </c>
      <c r="AH192" s="1">
        <v>0.80613000000000001</v>
      </c>
      <c r="AI192" s="1">
        <v>0.81383000000000005</v>
      </c>
      <c r="AL192" s="4" t="s">
        <v>19</v>
      </c>
      <c r="AM192" s="6" cm="1">
        <f t="array" ref="AM192">IFERROR((SUMPRODUCT(($C$183:$C$206=AM$181)*($F$179:$AI$179="")*$F$183:$AI$206)+IF(AM$181="P3",SUMPRODUCT(($F$179:$AI$179="P3")*$F$183:$AI$206),0))/(SUMPRODUCT(($C$183:$C$206=AM$181)*($F$179:$AI$179=""))+IF(AM$181="P3",COUNTIF($F$179:$AI$179,"P3")*ROWS($C$183:$C$206),0)),"")</f>
        <v>0.89181349999999926</v>
      </c>
      <c r="AN192" s="6" cm="1">
        <f t="array" ref="AN192">IFERROR((SUMPRODUCT(($C$183:$C$206=AN$181)*($F$179:$AI$179="")*$F$183:$AI$206)+IF(AN$181="P3",SUMPRODUCT(($F$179:$AI$179="P3")*$F$183:$AI$206),0))/(SUMPRODUCT(($C$183:$C$206=AN$181)*($F$179:$AI$179=""))+IF(AN$181="P3",COUNTIF($F$179:$AI$179,"P3")*ROWS($C$183:$C$206),0)),"")</f>
        <v>0.91147850000000064</v>
      </c>
      <c r="AO192" s="6" cm="1">
        <f t="array" ref="AO192">IFERROR((SUMPRODUCT(($C$183:$C$206=AO$181)*($F$179:$AI$179="")*$F$183:$AI$206)+IF(AO$181="P3",SUMPRODUCT(($F$179:$AI$179="P3")*$F$183:$AI$206),0))/(SUMPRODUCT(($C$183:$C$206=AO$181)*($F$179:$AI$179=""))+IF(AO$181="P3",COUNTIF($F$179:$AI$179,"P3")*ROWS($C$183:$C$206),0)),"")</f>
        <v>0.91773935000000006</v>
      </c>
      <c r="AP192" s="6" t="str" cm="1">
        <f t="array" ref="AP192">IFERROR((SUMPRODUCT(($C$183:$C$206=AP$181)*($F$179:$AI$179="")*$F$183:$AI$206)+IF(AP$181="P3",SUMPRODUCT(($F$179:$AI$179="P3")*$F$183:$AI$206),0))/(SUMPRODUCT(($C$183:$C$206=AP$181)*($F$179:$AI$179=""))+IF(AP$181="P3",COUNTIF($F$179:$AI$179,"P3")*ROWS($C$183:$C$206),0)),"")</f>
        <v/>
      </c>
      <c r="AQ192" s="6" t="str" cm="1">
        <f t="array" ref="AQ192">IFERROR((SUMPRODUCT(($C$183:$C$206=AQ$181)*($F$179:$AI$179="")*$F$183:$AI$206)+IF(AQ$181="P3",SUMPRODUCT(($F$179:$AI$179="P3")*$F$183:$AI$206),0))/(SUMPRODUCT(($C$183:$C$206=AQ$181)*($F$179:$AI$179=""))+IF(AQ$181="P3",COUNTIF($F$179:$AI$179,"P3")*ROWS($C$183:$C$206),0)),"")</f>
        <v/>
      </c>
      <c r="AR192" s="6" t="str" cm="1">
        <f t="array" ref="AR192">IFERROR((SUMPRODUCT(($C$183:$C$206=AR$181)*($F$179:$AI$179="")*$F$183:$AI$206)+IF(AR$181="P3",SUMPRODUCT(($F$179:$AI$179="P3")*$F$183:$AI$206),0))/(SUMPRODUCT(($C$183:$C$206=AR$181)*($F$179:$AI$179=""))+IF(AR$181="P3",COUNTIF($F$179:$AI$179,"P3")*ROWS($C$183:$C$206),0)),"")</f>
        <v/>
      </c>
    </row>
    <row r="193" spans="1:44" ht="14.25" customHeight="1" x14ac:dyDescent="0.35">
      <c r="A193" s="1" t="s">
        <v>16</v>
      </c>
      <c r="B193" s="1" t="s">
        <v>13</v>
      </c>
      <c r="C193" s="1" t="s">
        <v>13</v>
      </c>
      <c r="D193" s="1" t="s">
        <v>15</v>
      </c>
      <c r="E193" s="1" t="s">
        <v>28</v>
      </c>
      <c r="F193" s="1">
        <v>0.80418999999999996</v>
      </c>
      <c r="G193" s="1">
        <v>0.78774999999999995</v>
      </c>
      <c r="H193" s="1">
        <v>0.85843000000000003</v>
      </c>
      <c r="I193" s="1">
        <v>0.86897000000000002</v>
      </c>
      <c r="J193" s="1">
        <v>0.86338000000000004</v>
      </c>
      <c r="K193" s="1">
        <v>0.86524999999999996</v>
      </c>
      <c r="L193" s="1">
        <v>0.87561</v>
      </c>
      <c r="M193" s="1">
        <v>0.80418999999999996</v>
      </c>
      <c r="N193" s="1">
        <v>0.78774999999999995</v>
      </c>
      <c r="O193" s="1">
        <v>0.85843000000000003</v>
      </c>
      <c r="P193" s="1">
        <v>0.86897000000000002</v>
      </c>
      <c r="Q193" s="1">
        <v>0.86338000000000004</v>
      </c>
      <c r="R193" s="1">
        <v>0.86524999999999996</v>
      </c>
      <c r="S193" s="1">
        <v>0.87561</v>
      </c>
      <c r="T193" s="1">
        <v>0.80418999999999996</v>
      </c>
      <c r="U193" s="1">
        <v>0.78774999999999995</v>
      </c>
      <c r="V193" s="1">
        <v>0.85843000000000003</v>
      </c>
      <c r="W193" s="1">
        <v>0.86897000000000002</v>
      </c>
      <c r="X193" s="1">
        <v>0.86338000000000004</v>
      </c>
      <c r="Y193" s="1">
        <v>0.86524999999999996</v>
      </c>
      <c r="Z193" s="1">
        <v>0.87561</v>
      </c>
      <c r="AA193" s="1">
        <v>0.80418999999999996</v>
      </c>
      <c r="AB193" s="1">
        <v>0.78774999999999995</v>
      </c>
      <c r="AC193" s="1">
        <v>0.85843000000000003</v>
      </c>
      <c r="AD193" s="1">
        <v>0.86897000000000002</v>
      </c>
      <c r="AE193" s="1">
        <v>0.86338000000000004</v>
      </c>
      <c r="AF193" s="1">
        <v>0.86524999999999996</v>
      </c>
      <c r="AG193" s="1">
        <v>0.87561</v>
      </c>
      <c r="AH193" s="1">
        <v>0.80418999999999996</v>
      </c>
      <c r="AI193" s="1">
        <v>0.78774999999999995</v>
      </c>
      <c r="AL193" s="4" t="s">
        <v>21</v>
      </c>
      <c r="AM193" s="6" t="str" cm="1">
        <f t="array" ref="AM193">IFERROR((SUMPRODUCT(($A$183:$A$206=AM$181)*($F$180:$AI$180="")*$F$183:$AI$206)+IF(AM$181="P6",SUMPRODUCT(($F$180:$AI$180="P6")*$F$183:$AI$206),0))/(SUMPRODUCT(($A$183:$A$206=AM$181)*($F$180:$AI$180=""))+IF(AM$181="P6",COUNTIF($F$180:$AI$180,"P6")*ROWS($A$183:$A$206),0)),"")</f>
        <v/>
      </c>
      <c r="AN193" s="6" t="str" cm="1">
        <f t="array" ref="AN193">IFERROR((SUMPRODUCT(($A$183:$A$206=AN$181)*($F$180:$AI$180="")*$F$183:$AI$206)+IF(AN$181="P6",SUMPRODUCT(($F$180:$AI$180="P6")*$F$183:$AI$206),0))/(SUMPRODUCT(($A$183:$A$206=AN$181)*($F$180:$AI$180=""))+IF(AN$181="P6",COUNTIF($F$180:$AI$180,"P6")*ROWS($A$183:$A$206),0)),"")</f>
        <v/>
      </c>
      <c r="AO193" s="6" t="str" cm="1">
        <f t="array" ref="AO193">IFERROR((SUMPRODUCT(($A$183:$A$206=AO$181)*($F$180:$AI$180="")*$F$183:$AI$206)+IF(AO$181="P6",SUMPRODUCT(($F$180:$AI$180="P6")*$F$183:$AI$206),0))/(SUMPRODUCT(($A$183:$A$206=AO$181)*($F$180:$AI$180=""))+IF(AO$181="P6",COUNTIF($F$180:$AI$180,"P6")*ROWS($A$183:$A$206),0)),"")</f>
        <v/>
      </c>
      <c r="AP193" s="6" cm="1">
        <f t="array" ref="AP193">IFERROR((SUMPRODUCT(($A$183:$A$206=AP$181)*($F$180:$AI$180="")*$F$183:$AI$206)+IF(AP$181="P6",SUMPRODUCT(($F$180:$AI$180="P6")*$F$183:$AI$206),0))/(SUMPRODUCT(($A$183:$A$206=AP$181)*($F$180:$AI$180=""))+IF(AP$181="P6",COUNTIF($F$180:$AI$180,"P6")*ROWS($A$183:$A$206),0)),"")</f>
        <v>0.89042622222222201</v>
      </c>
      <c r="AQ193" s="6" cm="1">
        <f t="array" ref="AQ193">IFERROR((SUMPRODUCT(($A$183:$A$206=AQ$181)*($F$180:$AI$180="")*$F$183:$AI$206)+IF(AQ$181="P6",SUMPRODUCT(($F$180:$AI$180="P6")*$F$183:$AI$206),0))/(SUMPRODUCT(($A$183:$A$206=AQ$181)*($F$180:$AI$180=""))+IF(AQ$181="P6",COUNTIF($F$180:$AI$180,"P6")*ROWS($A$183:$A$206),0)),"")</f>
        <v>0.9160714285714282</v>
      </c>
      <c r="AR193" s="6" cm="1">
        <f t="array" ref="AR193">IFERROR((SUMPRODUCT(($A$183:$A$206=AR$181)*($F$180:$AI$180="")*$F$183:$AI$206)+IF(AR$181="P6",SUMPRODUCT(($F$180:$AI$180="P6")*$F$183:$AI$206),0))/(SUMPRODUCT(($A$183:$A$206=AR$181)*($F$180:$AI$180=""))+IF(AR$181="P6",COUNTIF($F$180:$AI$180,"P6")*ROWS($A$183:$A$206),0)),"")</f>
        <v>0.91773935000000006</v>
      </c>
    </row>
    <row r="194" spans="1:44" ht="14.25" customHeight="1" x14ac:dyDescent="0.35">
      <c r="A194" s="1" t="s">
        <v>16</v>
      </c>
      <c r="B194" s="1" t="s">
        <v>13</v>
      </c>
      <c r="C194" s="1" t="s">
        <v>13</v>
      </c>
      <c r="D194" s="1" t="s">
        <v>15</v>
      </c>
      <c r="E194" s="1" t="s">
        <v>30</v>
      </c>
      <c r="F194" s="1">
        <v>0.80020000000000002</v>
      </c>
      <c r="G194" s="1">
        <v>0.78108999999999995</v>
      </c>
      <c r="H194" s="1">
        <v>0.88270999999999999</v>
      </c>
      <c r="I194" s="1">
        <v>0.88319999999999999</v>
      </c>
      <c r="J194" s="1">
        <v>0.86024999999999996</v>
      </c>
      <c r="K194" s="1">
        <v>0.87902000000000002</v>
      </c>
      <c r="L194" s="1">
        <v>0.88400999999999996</v>
      </c>
      <c r="M194" s="1">
        <v>0.80020000000000002</v>
      </c>
      <c r="N194" s="1">
        <v>0.78108999999999995</v>
      </c>
      <c r="O194" s="1">
        <v>0.88270999999999999</v>
      </c>
      <c r="P194" s="1">
        <v>0.88319999999999999</v>
      </c>
      <c r="Q194" s="1">
        <v>0.86024999999999996</v>
      </c>
      <c r="R194" s="1">
        <v>0.87902000000000002</v>
      </c>
      <c r="S194" s="1">
        <v>0.88400999999999996</v>
      </c>
      <c r="T194" s="1">
        <v>0.80020000000000002</v>
      </c>
      <c r="U194" s="1">
        <v>0.78108999999999995</v>
      </c>
      <c r="V194" s="1">
        <v>0.88270999999999999</v>
      </c>
      <c r="W194" s="1">
        <v>0.88319999999999999</v>
      </c>
      <c r="X194" s="1">
        <v>0.86024999999999996</v>
      </c>
      <c r="Y194" s="1">
        <v>0.87902000000000002</v>
      </c>
      <c r="Z194" s="1">
        <v>0.88400999999999996</v>
      </c>
      <c r="AA194" s="1">
        <v>0.80020000000000002</v>
      </c>
      <c r="AB194" s="1">
        <v>0.78108999999999995</v>
      </c>
      <c r="AC194" s="1">
        <v>0.88270999999999999</v>
      </c>
      <c r="AD194" s="1">
        <v>0.88319999999999999</v>
      </c>
      <c r="AE194" s="1">
        <v>0.86024999999999996</v>
      </c>
      <c r="AF194" s="1">
        <v>0.87902000000000002</v>
      </c>
      <c r="AG194" s="1">
        <v>0.88400999999999996</v>
      </c>
      <c r="AH194" s="1">
        <v>0.80020000000000002</v>
      </c>
      <c r="AI194" s="1">
        <v>0.78108999999999995</v>
      </c>
      <c r="AL194" s="4" t="s">
        <v>23</v>
      </c>
      <c r="AM194" s="6" t="str" cm="1">
        <f t="array" ref="AM194">IFERROR((SUMPRODUCT(($A$183:$A$206=AM$181)*($F$180:$AI$180="")*$F$183:$AI$206)+IF(AM$181="P6",SUMPRODUCT(($F$180:$AI$180="P6")*$F$183:$AI$206),0))/(SUMPRODUCT(($A$183:$A$206=AM$181)*($F$180:$AI$180=""))+IF(AM$181="P6",COUNTIF($F$180:$AI$180,"P6")*ROWS($A$183:$A$206),0)),"")</f>
        <v/>
      </c>
      <c r="AN194" s="6" t="str" cm="1">
        <f t="array" ref="AN194">IFERROR((SUMPRODUCT(($A$183:$A$206=AN$181)*($F$180:$AI$180="")*$F$183:$AI$206)+IF(AN$181="P6",SUMPRODUCT(($F$180:$AI$180="P6")*$F$183:$AI$206),0))/(SUMPRODUCT(($A$183:$A$206=AN$181)*($F$180:$AI$180=""))+IF(AN$181="P6",COUNTIF($F$180:$AI$180,"P6")*ROWS($A$183:$A$206),0)),"")</f>
        <v/>
      </c>
      <c r="AO194" s="6" t="str" cm="1">
        <f t="array" ref="AO194">IFERROR((SUMPRODUCT(($A$183:$A$206=AO$181)*($F$180:$AI$180="")*$F$183:$AI$206)+IF(AO$181="P6",SUMPRODUCT(($F$180:$AI$180="P6")*$F$183:$AI$206),0))/(SUMPRODUCT(($A$183:$A$206=AO$181)*($F$180:$AI$180=""))+IF(AO$181="P6",COUNTIF($F$180:$AI$180,"P6")*ROWS($A$183:$A$206),0)),"")</f>
        <v/>
      </c>
      <c r="AP194" s="6" cm="1">
        <f t="array" ref="AP194">IFERROR((SUMPRODUCT(($A$183:$A$206=AP$181)*($F$180:$AI$180="")*$F$183:$AI$206)+IF(AP$181="P6",SUMPRODUCT(($F$180:$AI$180="P6")*$F$183:$AI$206),0))/(SUMPRODUCT(($A$183:$A$206=AP$181)*($F$180:$AI$180=""))+IF(AP$181="P6",COUNTIF($F$180:$AI$180,"P6")*ROWS($A$183:$A$206),0)),"")</f>
        <v>0.89042622222222201</v>
      </c>
      <c r="AQ194" s="6" cm="1">
        <f t="array" ref="AQ194">IFERROR((SUMPRODUCT(($A$183:$A$206=AQ$181)*($F$180:$AI$180="")*$F$183:$AI$206)+IF(AQ$181="P6",SUMPRODUCT(($F$180:$AI$180="P6")*$F$183:$AI$206),0))/(SUMPRODUCT(($A$183:$A$206=AQ$181)*($F$180:$AI$180=""))+IF(AQ$181="P6",COUNTIF($F$180:$AI$180,"P6")*ROWS($A$183:$A$206),0)),"")</f>
        <v>0.9160714285714282</v>
      </c>
      <c r="AR194" s="6" cm="1">
        <f t="array" ref="AR194">IFERROR((SUMPRODUCT(($A$183:$A$206=AR$181)*($F$180:$AI$180="")*$F$183:$AI$206)+IF(AR$181="P6",SUMPRODUCT(($F$180:$AI$180="P6")*$F$183:$AI$206),0))/(SUMPRODUCT(($A$183:$A$206=AR$181)*($F$180:$AI$180=""))+IF(AR$181="P6",COUNTIF($F$180:$AI$180,"P6")*ROWS($A$183:$A$206),0)),"")</f>
        <v>0.91773935000000006</v>
      </c>
    </row>
    <row r="195" spans="1:44" ht="14.25" customHeight="1" x14ac:dyDescent="0.35">
      <c r="A195" s="1" t="s">
        <v>16</v>
      </c>
      <c r="B195" s="1" t="s">
        <v>13</v>
      </c>
      <c r="C195" s="1" t="s">
        <v>13</v>
      </c>
      <c r="D195" s="1" t="s">
        <v>15</v>
      </c>
      <c r="E195" s="1" t="s">
        <v>31</v>
      </c>
      <c r="F195" s="1">
        <v>0.80791999999999997</v>
      </c>
      <c r="G195" s="1">
        <v>0.79276000000000002</v>
      </c>
      <c r="H195" s="1">
        <v>0.87239</v>
      </c>
      <c r="I195" s="1">
        <v>0.88273999999999997</v>
      </c>
      <c r="J195" s="1">
        <v>0.87321000000000004</v>
      </c>
      <c r="K195" s="1">
        <v>0.88529999999999998</v>
      </c>
      <c r="L195" s="1">
        <v>0.87848999999999999</v>
      </c>
      <c r="M195" s="1">
        <v>0.80791999999999997</v>
      </c>
      <c r="N195" s="1">
        <v>0.79276000000000002</v>
      </c>
      <c r="O195" s="1">
        <v>0.87239</v>
      </c>
      <c r="P195" s="1">
        <v>0.88273999999999997</v>
      </c>
      <c r="Q195" s="1">
        <v>0.87321000000000004</v>
      </c>
      <c r="R195" s="1">
        <v>0.88529999999999998</v>
      </c>
      <c r="S195" s="1">
        <v>0.87848999999999999</v>
      </c>
      <c r="T195" s="1">
        <v>0.80791999999999997</v>
      </c>
      <c r="U195" s="1">
        <v>0.79276000000000002</v>
      </c>
      <c r="V195" s="1">
        <v>0.87239</v>
      </c>
      <c r="W195" s="1">
        <v>0.88273999999999997</v>
      </c>
      <c r="X195" s="1">
        <v>0.87321000000000004</v>
      </c>
      <c r="Y195" s="1">
        <v>0.88529999999999998</v>
      </c>
      <c r="Z195" s="1">
        <v>0.87848999999999999</v>
      </c>
      <c r="AA195" s="1">
        <v>0.80791999999999997</v>
      </c>
      <c r="AB195" s="1">
        <v>0.79276000000000002</v>
      </c>
      <c r="AC195" s="1">
        <v>0.87239</v>
      </c>
      <c r="AD195" s="1">
        <v>0.88273999999999997</v>
      </c>
      <c r="AE195" s="1">
        <v>0.87321000000000004</v>
      </c>
      <c r="AF195" s="1">
        <v>0.88529999999999998</v>
      </c>
      <c r="AG195" s="1">
        <v>0.87848999999999999</v>
      </c>
      <c r="AH195" s="1">
        <v>0.80791999999999997</v>
      </c>
      <c r="AI195" s="1">
        <v>0.79276000000000002</v>
      </c>
      <c r="AL195" s="4" t="s">
        <v>25</v>
      </c>
      <c r="AM195" s="6" t="str" cm="1">
        <f t="array" ref="AM195">IFERROR((SUMPRODUCT(($A$183:$A$206=AM$181)*($F$180:$AI$180="")*$F$183:$AI$206)+IF(AM$181="P6",SUMPRODUCT(($F$180:$AI$180="P6")*$F$183:$AI$206),0))/(SUMPRODUCT(($A$183:$A$206=AM$181)*($F$180:$AI$180=""))+IF(AM$181="P6",COUNTIF($F$180:$AI$180,"P6")*ROWS($A$183:$A$206),0)),"")</f>
        <v/>
      </c>
      <c r="AN195" s="6" t="str" cm="1">
        <f t="array" ref="AN195">IFERROR((SUMPRODUCT(($A$183:$A$206=AN$181)*($F$180:$AI$180="")*$F$183:$AI$206)+IF(AN$181="P6",SUMPRODUCT(($F$180:$AI$180="P6")*$F$183:$AI$206),0))/(SUMPRODUCT(($A$183:$A$206=AN$181)*($F$180:$AI$180=""))+IF(AN$181="P6",COUNTIF($F$180:$AI$180,"P6")*ROWS($A$183:$A$206),0)),"")</f>
        <v/>
      </c>
      <c r="AO195" s="6" t="str" cm="1">
        <f t="array" ref="AO195">IFERROR((SUMPRODUCT(($A$183:$A$206=AO$181)*($F$180:$AI$180="")*$F$183:$AI$206)+IF(AO$181="P6",SUMPRODUCT(($F$180:$AI$180="P6")*$F$183:$AI$206),0))/(SUMPRODUCT(($A$183:$A$206=AO$181)*($F$180:$AI$180=""))+IF(AO$181="P6",COUNTIF($F$180:$AI$180,"P6")*ROWS($A$183:$A$206),0)),"")</f>
        <v/>
      </c>
      <c r="AP195" s="6" cm="1">
        <f t="array" ref="AP195">IFERROR((SUMPRODUCT(($A$183:$A$206=AP$181)*($F$180:$AI$180="")*$F$183:$AI$206)+IF(AP$181="P6",SUMPRODUCT(($F$180:$AI$180="P6")*$F$183:$AI$206),0))/(SUMPRODUCT(($A$183:$A$206=AP$181)*($F$180:$AI$180=""))+IF(AP$181="P6",COUNTIF($F$180:$AI$180,"P6")*ROWS($A$183:$A$206),0)),"")</f>
        <v>0.89042622222222201</v>
      </c>
      <c r="AQ195" s="6" cm="1">
        <f t="array" ref="AQ195">IFERROR((SUMPRODUCT(($A$183:$A$206=AQ$181)*($F$180:$AI$180="")*$F$183:$AI$206)+IF(AQ$181="P6",SUMPRODUCT(($F$180:$AI$180="P6")*$F$183:$AI$206),0))/(SUMPRODUCT(($A$183:$A$206=AQ$181)*($F$180:$AI$180=""))+IF(AQ$181="P6",COUNTIF($F$180:$AI$180,"P6")*ROWS($A$183:$A$206),0)),"")</f>
        <v>0.9160714285714282</v>
      </c>
      <c r="AR195" s="6" cm="1">
        <f t="array" ref="AR195">IFERROR((SUMPRODUCT(($A$183:$A$206=AR$181)*($F$180:$AI$180="")*$F$183:$AI$206)+IF(AR$181="P6",SUMPRODUCT(($F$180:$AI$180="P6")*$F$183:$AI$206),0))/(SUMPRODUCT(($A$183:$A$206=AR$181)*($F$180:$AI$180=""))+IF(AR$181="P6",COUNTIF($F$180:$AI$180,"P6")*ROWS($A$183:$A$206),0)),"")</f>
        <v>0.91773935000000006</v>
      </c>
    </row>
    <row r="196" spans="1:44" ht="14.25" customHeight="1" x14ac:dyDescent="0.35">
      <c r="A196" s="1" t="s">
        <v>16</v>
      </c>
      <c r="B196" s="1" t="s">
        <v>13</v>
      </c>
      <c r="C196" s="1" t="s">
        <v>13</v>
      </c>
      <c r="D196" s="1" t="s">
        <v>15</v>
      </c>
      <c r="E196" s="1" t="s">
        <v>32</v>
      </c>
      <c r="F196" s="1">
        <v>0.78898999999999997</v>
      </c>
      <c r="G196" s="1">
        <v>0.77749000000000001</v>
      </c>
      <c r="H196" s="1">
        <v>0.83638000000000001</v>
      </c>
      <c r="I196" s="1">
        <v>0.85694000000000004</v>
      </c>
      <c r="J196" s="1">
        <v>0.85948999999999998</v>
      </c>
      <c r="K196" s="1">
        <v>0.86160000000000003</v>
      </c>
      <c r="L196" s="1">
        <v>0.85350999999999999</v>
      </c>
      <c r="M196" s="1">
        <v>0.78898999999999997</v>
      </c>
      <c r="N196" s="1">
        <v>0.77749000000000001</v>
      </c>
      <c r="O196" s="1">
        <v>0.83638000000000001</v>
      </c>
      <c r="P196" s="1">
        <v>0.85694000000000004</v>
      </c>
      <c r="Q196" s="1">
        <v>0.85948999999999998</v>
      </c>
      <c r="R196" s="1">
        <v>0.86160000000000003</v>
      </c>
      <c r="S196" s="1">
        <v>0.85350999999999999</v>
      </c>
      <c r="T196" s="1">
        <v>0.78898999999999997</v>
      </c>
      <c r="U196" s="1">
        <v>0.77749000000000001</v>
      </c>
      <c r="V196" s="1">
        <v>0.83638000000000001</v>
      </c>
      <c r="W196" s="1">
        <v>0.85694000000000004</v>
      </c>
      <c r="X196" s="1">
        <v>0.85948999999999998</v>
      </c>
      <c r="Y196" s="1">
        <v>0.86160000000000003</v>
      </c>
      <c r="Z196" s="1">
        <v>0.85350999999999999</v>
      </c>
      <c r="AA196" s="1">
        <v>0.78898999999999997</v>
      </c>
      <c r="AB196" s="1">
        <v>0.77749000000000001</v>
      </c>
      <c r="AC196" s="1">
        <v>0.83638000000000001</v>
      </c>
      <c r="AD196" s="1">
        <v>0.85694000000000004</v>
      </c>
      <c r="AE196" s="1">
        <v>0.85948999999999998</v>
      </c>
      <c r="AF196" s="1">
        <v>0.86160000000000003</v>
      </c>
      <c r="AG196" s="1">
        <v>0.85350999999999999</v>
      </c>
      <c r="AH196" s="1">
        <v>0.78898999999999997</v>
      </c>
      <c r="AI196" s="1">
        <v>0.77749000000000001</v>
      </c>
      <c r="AL196" s="4" t="s">
        <v>27</v>
      </c>
      <c r="AM196" s="6" t="str" cm="1">
        <f t="array" ref="AM196">IFERROR((SUMPRODUCT(($A$183:$A$206=AM$181)*($F$180:$AI$180="")*$F$183:$AI$206)+IF(AM$181="P6",SUMPRODUCT(($F$180:$AI$180="P6")*$F$183:$AI$206),0))/(SUMPRODUCT(($A$183:$A$206=AM$181)*($F$180:$AI$180=""))+IF(AM$181="P6",COUNTIF($F$180:$AI$180,"P6")*ROWS($A$183:$A$206),0)),"")</f>
        <v/>
      </c>
      <c r="AN196" s="6" t="str" cm="1">
        <f t="array" ref="AN196">IFERROR((SUMPRODUCT(($A$183:$A$206=AN$181)*($F$180:$AI$180="")*$F$183:$AI$206)+IF(AN$181="P6",SUMPRODUCT(($F$180:$AI$180="P6")*$F$183:$AI$206),0))/(SUMPRODUCT(($A$183:$A$206=AN$181)*($F$180:$AI$180=""))+IF(AN$181="P6",COUNTIF($F$180:$AI$180,"P6")*ROWS($A$183:$A$206),0)),"")</f>
        <v/>
      </c>
      <c r="AO196" s="6" t="str" cm="1">
        <f t="array" ref="AO196">IFERROR((SUMPRODUCT(($A$183:$A$206=AO$181)*($F$180:$AI$180="")*$F$183:$AI$206)+IF(AO$181="P6",SUMPRODUCT(($F$180:$AI$180="P6")*$F$183:$AI$206),0))/(SUMPRODUCT(($A$183:$A$206=AO$181)*($F$180:$AI$180=""))+IF(AO$181="P6",COUNTIF($F$180:$AI$180,"P6")*ROWS($A$183:$A$206),0)),"")</f>
        <v/>
      </c>
      <c r="AP196" s="6" cm="1">
        <f t="array" ref="AP196">IFERROR((SUMPRODUCT(($A$183:$A$206=AP$181)*($F$180:$AI$180="")*$F$183:$AI$206)+IF(AP$181="P6",SUMPRODUCT(($F$180:$AI$180="P6")*$F$183:$AI$206),0))/(SUMPRODUCT(($A$183:$A$206=AP$181)*($F$180:$AI$180=""))+IF(AP$181="P6",COUNTIF($F$180:$AI$180,"P6")*ROWS($A$183:$A$206),0)),"")</f>
        <v>0.89042622222222201</v>
      </c>
      <c r="AQ196" s="6" cm="1">
        <f t="array" ref="AQ196">IFERROR((SUMPRODUCT(($A$183:$A$206=AQ$181)*($F$180:$AI$180="")*$F$183:$AI$206)+IF(AQ$181="P6",SUMPRODUCT(($F$180:$AI$180="P6")*$F$183:$AI$206),0))/(SUMPRODUCT(($A$183:$A$206=AQ$181)*($F$180:$AI$180=""))+IF(AQ$181="P6",COUNTIF($F$180:$AI$180,"P6")*ROWS($A$183:$A$206),0)),"")</f>
        <v>0.9160714285714282</v>
      </c>
      <c r="AR196" s="6" cm="1">
        <f t="array" ref="AR196">IFERROR((SUMPRODUCT(($A$183:$A$206=AR$181)*($F$180:$AI$180="")*$F$183:$AI$206)+IF(AR$181="P6",SUMPRODUCT(($F$180:$AI$180="P6")*$F$183:$AI$206),0))/(SUMPRODUCT(($A$183:$A$206=AR$181)*($F$180:$AI$180=""))+IF(AR$181="P6",COUNTIF($F$180:$AI$180,"P6")*ROWS($A$183:$A$206),0)),"")</f>
        <v>0.91773935000000006</v>
      </c>
    </row>
    <row r="197" spans="1:44" ht="14.25" customHeight="1" x14ac:dyDescent="0.35">
      <c r="A197" s="1" t="s">
        <v>16</v>
      </c>
      <c r="B197" s="1" t="s">
        <v>13</v>
      </c>
      <c r="C197" s="1" t="s">
        <v>14</v>
      </c>
      <c r="D197" s="1" t="s">
        <v>16</v>
      </c>
      <c r="E197" s="1" t="s">
        <v>33</v>
      </c>
      <c r="F197" s="1">
        <v>0.78927999999999998</v>
      </c>
      <c r="G197" s="1">
        <v>0.76924999999999999</v>
      </c>
      <c r="H197" s="1">
        <v>0.86019999999999996</v>
      </c>
      <c r="I197" s="1">
        <v>0.88822000000000001</v>
      </c>
      <c r="J197" s="1">
        <v>0.88527999999999996</v>
      </c>
      <c r="K197" s="1">
        <v>0.88734000000000002</v>
      </c>
      <c r="L197" s="1">
        <v>0.87560000000000004</v>
      </c>
      <c r="M197" s="1">
        <v>0.78927999999999998</v>
      </c>
      <c r="N197" s="1">
        <v>0.76924999999999999</v>
      </c>
      <c r="O197" s="1">
        <v>0.86019999999999996</v>
      </c>
      <c r="P197" s="1">
        <v>0.88822000000000001</v>
      </c>
      <c r="Q197" s="1">
        <v>0.88527999999999996</v>
      </c>
      <c r="R197" s="1">
        <v>0.88734000000000002</v>
      </c>
      <c r="S197" s="1">
        <v>0.87560000000000004</v>
      </c>
      <c r="T197" s="1">
        <v>0.78927999999999998</v>
      </c>
      <c r="U197" s="1">
        <v>0.76924999999999999</v>
      </c>
      <c r="V197" s="1">
        <v>0.86019999999999996</v>
      </c>
      <c r="W197" s="1">
        <v>0.88822000000000001</v>
      </c>
      <c r="X197" s="1">
        <v>0.88527999999999996</v>
      </c>
      <c r="Y197" s="1">
        <v>0.88734000000000002</v>
      </c>
      <c r="Z197" s="1">
        <v>0.87560000000000004</v>
      </c>
      <c r="AA197" s="1">
        <v>0.78927999999999998</v>
      </c>
      <c r="AB197" s="1">
        <v>0.76924999999999999</v>
      </c>
      <c r="AC197" s="1">
        <v>0.86019999999999996</v>
      </c>
      <c r="AD197" s="1">
        <v>0.88822000000000001</v>
      </c>
      <c r="AE197" s="1">
        <v>0.88527999999999996</v>
      </c>
      <c r="AF197" s="1">
        <v>0.88734000000000002</v>
      </c>
      <c r="AG197" s="1">
        <v>0.87560000000000004</v>
      </c>
      <c r="AH197" s="1">
        <v>0.78927999999999998</v>
      </c>
      <c r="AI197" s="1">
        <v>0.76924999999999999</v>
      </c>
      <c r="AL197" s="4" t="s">
        <v>29</v>
      </c>
      <c r="AM197" s="6" t="str" cm="1">
        <f t="array" ref="AM197">IFERROR((SUMPRODUCT(($A$183:$A$206=AM$181)*($F$180:$AI$180="")*$F$183:$AI$206)+IF(AM$181="P6",SUMPRODUCT(($F$180:$AI$180="P6")*$F$183:$AI$206),0))/(SUMPRODUCT(($A$183:$A$206=AM$181)*($F$180:$AI$180=""))+IF(AM$181="P6",COUNTIF($F$180:$AI$180,"P6")*ROWS($A$183:$A$206),0)),"")</f>
        <v/>
      </c>
      <c r="AN197" s="6" t="str" cm="1">
        <f t="array" ref="AN197">IFERROR((SUMPRODUCT(($A$183:$A$206=AN$181)*($F$180:$AI$180="")*$F$183:$AI$206)+IF(AN$181="P6",SUMPRODUCT(($F$180:$AI$180="P6")*$F$183:$AI$206),0))/(SUMPRODUCT(($A$183:$A$206=AN$181)*($F$180:$AI$180=""))+IF(AN$181="P6",COUNTIF($F$180:$AI$180,"P6")*ROWS($A$183:$A$206),0)),"")</f>
        <v/>
      </c>
      <c r="AO197" s="6" t="str" cm="1">
        <f t="array" ref="AO197">IFERROR((SUMPRODUCT(($A$183:$A$206=AO$181)*($F$180:$AI$180="")*$F$183:$AI$206)+IF(AO$181="P6",SUMPRODUCT(($F$180:$AI$180="P6")*$F$183:$AI$206),0))/(SUMPRODUCT(($A$183:$A$206=AO$181)*($F$180:$AI$180=""))+IF(AO$181="P6",COUNTIF($F$180:$AI$180,"P6")*ROWS($A$183:$A$206),0)),"")</f>
        <v/>
      </c>
      <c r="AP197" s="6" cm="1">
        <f t="array" ref="AP197">IFERROR((SUMPRODUCT(($A$183:$A$206=AP$181)*($F$180:$AI$180="")*$F$183:$AI$206)+IF(AP$181="P6",SUMPRODUCT(($F$180:$AI$180="P6")*$F$183:$AI$206),0))/(SUMPRODUCT(($A$183:$A$206=AP$181)*($F$180:$AI$180=""))+IF(AP$181="P6",COUNTIF($F$180:$AI$180,"P6")*ROWS($A$183:$A$206),0)),"")</f>
        <v>0.89042622222222201</v>
      </c>
      <c r="AQ197" s="6" cm="1">
        <f t="array" ref="AQ197">IFERROR((SUMPRODUCT(($A$183:$A$206=AQ$181)*($F$180:$AI$180="")*$F$183:$AI$206)+IF(AQ$181="P6",SUMPRODUCT(($F$180:$AI$180="P6")*$F$183:$AI$206),0))/(SUMPRODUCT(($A$183:$A$206=AQ$181)*($F$180:$AI$180=""))+IF(AQ$181="P6",COUNTIF($F$180:$AI$180,"P6")*ROWS($A$183:$A$206),0)),"")</f>
        <v>0.9160714285714282</v>
      </c>
      <c r="AR197" s="6" cm="1">
        <f t="array" ref="AR197">IFERROR((SUMPRODUCT(($A$183:$A$206=AR$181)*($F$180:$AI$180="")*$F$183:$AI$206)+IF(AR$181="P6",SUMPRODUCT(($F$180:$AI$180="P6")*$F$183:$AI$206),0))/(SUMPRODUCT(($A$183:$A$206=AR$181)*($F$180:$AI$180=""))+IF(AR$181="P6",COUNTIF($F$180:$AI$180,"P6")*ROWS($A$183:$A$206),0)),"")</f>
        <v>0.91773935000000006</v>
      </c>
    </row>
    <row r="198" spans="1:44" ht="14.25" customHeight="1" x14ac:dyDescent="0.35">
      <c r="A198" s="1" t="s">
        <v>17</v>
      </c>
      <c r="B198" s="1" t="s">
        <v>14</v>
      </c>
      <c r="C198" s="1" t="s">
        <v>14</v>
      </c>
      <c r="D198" s="1" t="s">
        <v>16</v>
      </c>
      <c r="E198" s="1" t="s">
        <v>34</v>
      </c>
      <c r="F198" s="1">
        <v>0.81830000000000003</v>
      </c>
      <c r="G198" s="1">
        <v>0.81137999999999999</v>
      </c>
      <c r="H198" s="1">
        <v>0.86675999999999997</v>
      </c>
      <c r="I198" s="1">
        <v>0.90473000000000003</v>
      </c>
      <c r="J198" s="1">
        <v>0.89287000000000005</v>
      </c>
      <c r="K198" s="1">
        <v>0.90620000000000001</v>
      </c>
      <c r="L198" s="1">
        <v>0.89061000000000001</v>
      </c>
      <c r="M198" s="1">
        <v>0.81830000000000003</v>
      </c>
      <c r="N198" s="1">
        <v>0.81137999999999999</v>
      </c>
      <c r="O198" s="1">
        <v>0.86675999999999997</v>
      </c>
      <c r="P198" s="1">
        <v>0.90473000000000003</v>
      </c>
      <c r="Q198" s="1">
        <v>0.89287000000000005</v>
      </c>
      <c r="R198" s="1">
        <v>0.90620000000000001</v>
      </c>
      <c r="S198" s="1">
        <v>0.89061000000000001</v>
      </c>
      <c r="T198" s="1">
        <v>0.81830000000000003</v>
      </c>
      <c r="U198" s="1">
        <v>0.81137999999999999</v>
      </c>
      <c r="V198" s="1">
        <v>0.86675999999999997</v>
      </c>
      <c r="W198" s="1">
        <v>0.90473000000000003</v>
      </c>
      <c r="X198" s="1">
        <v>0.89287000000000005</v>
      </c>
      <c r="Y198" s="1">
        <v>0.90620000000000001</v>
      </c>
      <c r="Z198" s="1">
        <v>0.89061000000000001</v>
      </c>
      <c r="AA198" s="1">
        <v>0.81830000000000003</v>
      </c>
      <c r="AB198" s="1">
        <v>0.81137999999999999</v>
      </c>
      <c r="AC198" s="1">
        <v>0.86675999999999997</v>
      </c>
      <c r="AD198" s="1">
        <v>0.90473000000000003</v>
      </c>
      <c r="AE198" s="1">
        <v>0.89287000000000005</v>
      </c>
      <c r="AF198" s="1">
        <v>0.90620000000000001</v>
      </c>
      <c r="AG198" s="1">
        <v>0.89061000000000001</v>
      </c>
      <c r="AH198" s="1">
        <v>0.81830000000000003</v>
      </c>
      <c r="AI198" s="1">
        <v>0.81137999999999999</v>
      </c>
      <c r="AL198" s="10"/>
      <c r="AM198" s="10"/>
      <c r="AN198" s="10"/>
      <c r="AO198" s="10"/>
      <c r="AP198" s="10"/>
      <c r="AQ198" s="10"/>
      <c r="AR198" s="10"/>
    </row>
    <row r="199" spans="1:44" ht="14.25" customHeight="1" x14ac:dyDescent="0.35">
      <c r="A199" s="1" t="s">
        <v>17</v>
      </c>
      <c r="B199" s="1" t="s">
        <v>14</v>
      </c>
      <c r="C199" s="1" t="s">
        <v>14</v>
      </c>
      <c r="D199" s="1" t="s">
        <v>16</v>
      </c>
      <c r="E199" s="1" t="s">
        <v>35</v>
      </c>
      <c r="F199" s="1">
        <v>0.85270000000000001</v>
      </c>
      <c r="G199" s="1">
        <v>0.83472000000000002</v>
      </c>
      <c r="H199" s="1">
        <v>0.88397999999999999</v>
      </c>
      <c r="I199" s="1">
        <v>0.90300000000000002</v>
      </c>
      <c r="J199" s="1">
        <v>0.90054000000000001</v>
      </c>
      <c r="K199" s="1">
        <v>0.91676000000000002</v>
      </c>
      <c r="L199" s="1">
        <v>0.90151999999999999</v>
      </c>
      <c r="M199" s="1">
        <v>0.85270000000000001</v>
      </c>
      <c r="N199" s="1">
        <v>0.83472000000000002</v>
      </c>
      <c r="O199" s="1">
        <v>0.88397999999999999</v>
      </c>
      <c r="P199" s="1">
        <v>0.90300000000000002</v>
      </c>
      <c r="Q199" s="1">
        <v>0.90054000000000001</v>
      </c>
      <c r="R199" s="1">
        <v>0.91676000000000002</v>
      </c>
      <c r="S199" s="1">
        <v>0.90151999999999999</v>
      </c>
      <c r="T199" s="1">
        <v>0.85270000000000001</v>
      </c>
      <c r="U199" s="1">
        <v>0.83472000000000002</v>
      </c>
      <c r="V199" s="1">
        <v>0.88397999999999999</v>
      </c>
      <c r="W199" s="1">
        <v>0.90300000000000002</v>
      </c>
      <c r="X199" s="1">
        <v>0.90054000000000001</v>
      </c>
      <c r="Y199" s="1">
        <v>0.91676000000000002</v>
      </c>
      <c r="Z199" s="1">
        <v>0.90151999999999999</v>
      </c>
      <c r="AA199" s="1">
        <v>0.85270000000000001</v>
      </c>
      <c r="AB199" s="1">
        <v>0.83472000000000002</v>
      </c>
      <c r="AC199" s="1">
        <v>0.88397999999999999</v>
      </c>
      <c r="AD199" s="1">
        <v>0.90300000000000002</v>
      </c>
      <c r="AE199" s="1">
        <v>0.90054000000000001</v>
      </c>
      <c r="AF199" s="1">
        <v>0.91676000000000002</v>
      </c>
      <c r="AG199" s="1">
        <v>0.90151999999999999</v>
      </c>
      <c r="AH199" s="1">
        <v>0.85270000000000001</v>
      </c>
      <c r="AI199" s="1">
        <v>0.83472000000000002</v>
      </c>
      <c r="AL199" s="10"/>
      <c r="AM199" s="10"/>
      <c r="AN199" s="10"/>
      <c r="AO199" s="10"/>
      <c r="AP199" s="10"/>
      <c r="AQ199" s="10"/>
      <c r="AR199" s="10"/>
    </row>
    <row r="200" spans="1:44" ht="14.25" customHeight="1" x14ac:dyDescent="0.35">
      <c r="A200" s="1" t="s">
        <v>17</v>
      </c>
      <c r="B200" s="1" t="s">
        <v>14</v>
      </c>
      <c r="C200" s="1" t="s">
        <v>14</v>
      </c>
      <c r="D200" s="1" t="s">
        <v>16</v>
      </c>
      <c r="E200" s="1" t="s">
        <v>36</v>
      </c>
      <c r="F200" s="1">
        <v>0.89227999999999996</v>
      </c>
      <c r="G200" s="1">
        <v>0.87687000000000004</v>
      </c>
      <c r="H200" s="1">
        <v>0.89522000000000002</v>
      </c>
      <c r="I200" s="1">
        <v>0.91456000000000004</v>
      </c>
      <c r="J200" s="1">
        <v>0.91832000000000003</v>
      </c>
      <c r="K200" s="1">
        <v>0.93542999999999998</v>
      </c>
      <c r="L200" s="1">
        <v>0.90508999999999995</v>
      </c>
      <c r="M200" s="1">
        <v>0.89227999999999996</v>
      </c>
      <c r="N200" s="1">
        <v>0.87687000000000004</v>
      </c>
      <c r="O200" s="1">
        <v>0.89522000000000002</v>
      </c>
      <c r="P200" s="1">
        <v>0.91456000000000004</v>
      </c>
      <c r="Q200" s="1">
        <v>0.91832000000000003</v>
      </c>
      <c r="R200" s="1">
        <v>0.93542999999999998</v>
      </c>
      <c r="S200" s="1">
        <v>0.90508999999999995</v>
      </c>
      <c r="T200" s="1">
        <v>0.89227999999999996</v>
      </c>
      <c r="U200" s="1">
        <v>0.87687000000000004</v>
      </c>
      <c r="V200" s="1">
        <v>0.89522000000000002</v>
      </c>
      <c r="W200" s="1">
        <v>0.91456000000000004</v>
      </c>
      <c r="X200" s="1">
        <v>0.91832000000000003</v>
      </c>
      <c r="Y200" s="1">
        <v>0.93542999999999998</v>
      </c>
      <c r="Z200" s="1">
        <v>0.90508999999999995</v>
      </c>
      <c r="AA200" s="1">
        <v>0.89227999999999996</v>
      </c>
      <c r="AB200" s="1">
        <v>0.87687000000000004</v>
      </c>
      <c r="AC200" s="1">
        <v>0.89522000000000002</v>
      </c>
      <c r="AD200" s="1">
        <v>0.91456000000000004</v>
      </c>
      <c r="AE200" s="1">
        <v>0.91832000000000003</v>
      </c>
      <c r="AF200" s="1">
        <v>0.93542999999999998</v>
      </c>
      <c r="AG200" s="1">
        <v>0.90508999999999995</v>
      </c>
      <c r="AH200" s="1">
        <v>0.89227999999999996</v>
      </c>
      <c r="AI200" s="1">
        <v>0.87687000000000004</v>
      </c>
      <c r="AL200" s="14" t="s">
        <v>176</v>
      </c>
      <c r="AM200" s="14"/>
      <c r="AN200" s="14"/>
      <c r="AO200" s="14"/>
      <c r="AP200" s="14"/>
      <c r="AQ200" s="14"/>
      <c r="AR200" s="14"/>
    </row>
    <row r="201" spans="1:44" ht="14.25" customHeight="1" x14ac:dyDescent="0.35">
      <c r="A201" s="1" t="s">
        <v>16</v>
      </c>
      <c r="B201" s="1" t="s">
        <v>13</v>
      </c>
      <c r="C201" s="1" t="s">
        <v>13</v>
      </c>
      <c r="D201" s="1" t="s">
        <v>15</v>
      </c>
      <c r="E201" s="1" t="s">
        <v>37</v>
      </c>
      <c r="F201" s="1">
        <v>0.91803000000000001</v>
      </c>
      <c r="G201" s="1">
        <v>0.91849000000000003</v>
      </c>
      <c r="H201" s="1">
        <v>0.86758000000000002</v>
      </c>
      <c r="I201" s="1">
        <v>0.89012999999999998</v>
      </c>
      <c r="J201" s="1">
        <v>0.91039000000000003</v>
      </c>
      <c r="K201" s="1">
        <v>0.92135</v>
      </c>
      <c r="L201" s="1">
        <v>0.88402999999999998</v>
      </c>
      <c r="M201" s="1">
        <v>0.91803000000000001</v>
      </c>
      <c r="N201" s="1">
        <v>0.91849000000000003</v>
      </c>
      <c r="O201" s="1">
        <v>0.86758000000000002</v>
      </c>
      <c r="P201" s="1">
        <v>0.89012999999999998</v>
      </c>
      <c r="Q201" s="1">
        <v>0.91039000000000003</v>
      </c>
      <c r="R201" s="1">
        <v>0.92135</v>
      </c>
      <c r="S201" s="1">
        <v>0.88402999999999998</v>
      </c>
      <c r="T201" s="1">
        <v>0.91803000000000001</v>
      </c>
      <c r="U201" s="1">
        <v>0.91849000000000003</v>
      </c>
      <c r="V201" s="1">
        <v>0.86758000000000002</v>
      </c>
      <c r="W201" s="1">
        <v>0.89012999999999998</v>
      </c>
      <c r="X201" s="1">
        <v>0.91039000000000003</v>
      </c>
      <c r="Y201" s="1">
        <v>0.92135</v>
      </c>
      <c r="Z201" s="1">
        <v>0.88402999999999998</v>
      </c>
      <c r="AA201" s="1">
        <v>0.91803000000000001</v>
      </c>
      <c r="AB201" s="1">
        <v>0.91849000000000003</v>
      </c>
      <c r="AC201" s="1">
        <v>0.86758000000000002</v>
      </c>
      <c r="AD201" s="1">
        <v>0.89012999999999998</v>
      </c>
      <c r="AE201" s="1">
        <v>0.91039000000000003</v>
      </c>
      <c r="AF201" s="1">
        <v>0.92135</v>
      </c>
      <c r="AG201" s="1">
        <v>0.88402999999999998</v>
      </c>
      <c r="AH201" s="1">
        <v>0.91803000000000001</v>
      </c>
      <c r="AI201" s="1">
        <v>0.91849000000000003</v>
      </c>
      <c r="AL201" s="4"/>
      <c r="AM201" s="4" t="s">
        <v>13</v>
      </c>
      <c r="AN201" s="4" t="s">
        <v>14</v>
      </c>
      <c r="AO201" s="4" t="s">
        <v>15</v>
      </c>
      <c r="AP201" s="4" t="s">
        <v>16</v>
      </c>
      <c r="AQ201" s="4" t="s">
        <v>17</v>
      </c>
      <c r="AR201" s="4" t="s">
        <v>7</v>
      </c>
    </row>
    <row r="202" spans="1:44" ht="14.25" customHeight="1" x14ac:dyDescent="0.35">
      <c r="A202" s="1" t="s">
        <v>16</v>
      </c>
      <c r="B202" s="1" t="s">
        <v>13</v>
      </c>
      <c r="C202" s="1" t="s">
        <v>13</v>
      </c>
      <c r="D202" s="1" t="s">
        <v>15</v>
      </c>
      <c r="E202" s="1" t="s">
        <v>38</v>
      </c>
      <c r="F202" s="1">
        <v>0.96413000000000004</v>
      </c>
      <c r="G202" s="1">
        <v>0.93376999999999999</v>
      </c>
      <c r="H202" s="1">
        <v>0.89115999999999995</v>
      </c>
      <c r="I202" s="1">
        <v>0.91010000000000002</v>
      </c>
      <c r="J202" s="1">
        <v>0.91742999999999997</v>
      </c>
      <c r="K202" s="1">
        <v>0.94954000000000005</v>
      </c>
      <c r="L202" s="1">
        <v>0.91464999999999996</v>
      </c>
      <c r="M202" s="1">
        <v>0.96413000000000004</v>
      </c>
      <c r="N202" s="1">
        <v>0.93376999999999999</v>
      </c>
      <c r="O202" s="1">
        <v>0.89115999999999995</v>
      </c>
      <c r="P202" s="1">
        <v>0.91010000000000002</v>
      </c>
      <c r="Q202" s="1">
        <v>0.91742999999999997</v>
      </c>
      <c r="R202" s="1">
        <v>0.94954000000000005</v>
      </c>
      <c r="S202" s="1">
        <v>0.91464999999999996</v>
      </c>
      <c r="T202" s="1">
        <v>0.96413000000000004</v>
      </c>
      <c r="U202" s="1">
        <v>0.93376999999999999</v>
      </c>
      <c r="V202" s="1">
        <v>0.89115999999999995</v>
      </c>
      <c r="W202" s="1">
        <v>0.91010000000000002</v>
      </c>
      <c r="X202" s="1">
        <v>0.91742999999999997</v>
      </c>
      <c r="Y202" s="1">
        <v>0.94954000000000005</v>
      </c>
      <c r="Z202" s="1">
        <v>0.91464999999999996</v>
      </c>
      <c r="AA202" s="1">
        <v>0.96413000000000004</v>
      </c>
      <c r="AB202" s="1">
        <v>0.93376999999999999</v>
      </c>
      <c r="AC202" s="1">
        <v>0.89115999999999995</v>
      </c>
      <c r="AD202" s="1">
        <v>0.91010000000000002</v>
      </c>
      <c r="AE202" s="1">
        <v>0.91742999999999997</v>
      </c>
      <c r="AF202" s="1">
        <v>0.94954000000000005</v>
      </c>
      <c r="AG202" s="1">
        <v>0.91464999999999996</v>
      </c>
      <c r="AH202" s="1">
        <v>0.96413000000000004</v>
      </c>
      <c r="AI202" s="1">
        <v>0.93376999999999999</v>
      </c>
      <c r="AL202" s="4" t="s">
        <v>19</v>
      </c>
      <c r="AM202" s="6" cm="1">
        <f t="array" ref="AM202">IFERROR((SUMPRODUCT(($C$183:$C$206=AM$181)*($F$179:$AI$179="")*$F$183:$AI$206)+IF(AM$181="P3",SUMPRODUCT(($F$179:$AI$179="P3")*$F$183:$AI$206),0))/(SUMPRODUCT(($C$183:$C$206=AM$181)*($F$179:$AI$179=""))+IF(AM$181="P3",COUNTIF($F$179:$AI$179,"P3")*ROWS($C$183:$C$206),0)),"")</f>
        <v>0.89181349999999926</v>
      </c>
      <c r="AN202" s="6" cm="1">
        <f t="array" ref="AN202">IFERROR((SUMPRODUCT(($C$183:$C$206=AN$181)*($F$179:$AI$179="")*$F$183:$AI$206)+IF(AN$181="P3",SUMPRODUCT(($F$179:$AI$179="P3")*$F$183:$AI$206),0))/(SUMPRODUCT(($C$183:$C$206=AN$181)*($F$179:$AI$179=""))+IF(AN$181="P3",COUNTIF($F$179:$AI$179,"P3")*ROWS($C$183:$C$206),0)),"")</f>
        <v>0.91147850000000064</v>
      </c>
      <c r="AO202" s="6" cm="1">
        <f t="array" ref="AO202">IFERROR((SUMPRODUCT(($C$183:$C$206=AO$181)*($F$179:$AI$179="")*$F$183:$AI$206)+IF(AO$181="P3",SUMPRODUCT(($F$179:$AI$179="P3")*$F$183:$AI$206),0))/(SUMPRODUCT(($C$183:$C$206=AO$181)*($F$179:$AI$179=""))+IF(AO$181="P3",COUNTIF($F$179:$AI$179,"P3")*ROWS($C$183:$C$206),0)),"")</f>
        <v>0.91773935000000006</v>
      </c>
      <c r="AP202" s="6" t="str" cm="1">
        <f t="array" ref="AP202">IFERROR((SUMPRODUCT(($C$183:$C$206=AP$181)*($F$179:$AI$179="")*$F$183:$AI$206)+IF(AP$181="P3",SUMPRODUCT(($F$179:$AI$179="P3")*$F$183:$AI$206),0))/(SUMPRODUCT(($C$183:$C$206=AP$181)*($F$179:$AI$179=""))+IF(AP$181="P3",COUNTIF($F$179:$AI$179,"P3")*ROWS($C$183:$C$206),0)),"")</f>
        <v/>
      </c>
      <c r="AQ202" s="6" t="str" cm="1">
        <f t="array" ref="AQ202">IFERROR((SUMPRODUCT(($C$183:$C$206=AQ$181)*($F$179:$AI$179="")*$F$183:$AI$206)+IF(AQ$181="P3",SUMPRODUCT(($F$179:$AI$179="P3")*$F$183:$AI$206),0))/(SUMPRODUCT(($C$183:$C$206=AQ$181)*($F$179:$AI$179=""))+IF(AQ$181="P3",COUNTIF($F$179:$AI$179,"P3")*ROWS($C$183:$C$206),0)),"")</f>
        <v/>
      </c>
      <c r="AR202" s="6" t="str" cm="1">
        <f t="array" ref="AR202">IFERROR((SUMPRODUCT(($C$183:$C$206=AR$181)*($F$179:$AI$179="")*$F$183:$AI$206)+IF(AR$181="P3",SUMPRODUCT(($F$179:$AI$179="P3")*$F$183:$AI$206),0))/(SUMPRODUCT(($C$183:$C$206=AR$181)*($F$179:$AI$179=""))+IF(AR$181="P3",COUNTIF($F$179:$AI$179,"P3")*ROWS($C$183:$C$206),0)),"")</f>
        <v/>
      </c>
    </row>
    <row r="203" spans="1:44" ht="14.25" customHeight="1" x14ac:dyDescent="0.35">
      <c r="A203" s="1" t="s">
        <v>16</v>
      </c>
      <c r="B203" s="1" t="s">
        <v>13</v>
      </c>
      <c r="C203" s="1" t="s">
        <v>13</v>
      </c>
      <c r="D203" s="1" t="s">
        <v>15</v>
      </c>
      <c r="E203" s="1" t="s">
        <v>39</v>
      </c>
      <c r="F203" s="1">
        <v>1.00526</v>
      </c>
      <c r="G203" s="1">
        <v>0.94545999999999997</v>
      </c>
      <c r="H203" s="1">
        <v>0.90608</v>
      </c>
      <c r="I203" s="1">
        <v>0.90846000000000005</v>
      </c>
      <c r="J203" s="1">
        <v>0.91361999999999999</v>
      </c>
      <c r="K203" s="1">
        <v>0.95238999999999996</v>
      </c>
      <c r="L203" s="1">
        <v>0.95740999999999998</v>
      </c>
      <c r="M203" s="1">
        <v>1.00526</v>
      </c>
      <c r="N203" s="1">
        <v>0.94545999999999997</v>
      </c>
      <c r="O203" s="1">
        <v>0.90608</v>
      </c>
      <c r="P203" s="1">
        <v>0.90846000000000005</v>
      </c>
      <c r="Q203" s="1">
        <v>0.91361999999999999</v>
      </c>
      <c r="R203" s="1">
        <v>0.95238999999999996</v>
      </c>
      <c r="S203" s="1">
        <v>0.95740999999999998</v>
      </c>
      <c r="T203" s="1">
        <v>1.00526</v>
      </c>
      <c r="U203" s="1">
        <v>0.94545999999999997</v>
      </c>
      <c r="V203" s="1">
        <v>0.90608</v>
      </c>
      <c r="W203" s="1">
        <v>0.90846000000000005</v>
      </c>
      <c r="X203" s="1">
        <v>0.91361999999999999</v>
      </c>
      <c r="Y203" s="1">
        <v>0.95238999999999996</v>
      </c>
      <c r="Z203" s="1">
        <v>0.95740999999999998</v>
      </c>
      <c r="AA203" s="1">
        <v>1.00526</v>
      </c>
      <c r="AB203" s="1">
        <v>0.94545999999999997</v>
      </c>
      <c r="AC203" s="1">
        <v>0.90608</v>
      </c>
      <c r="AD203" s="1">
        <v>0.90846000000000005</v>
      </c>
      <c r="AE203" s="1">
        <v>0.91361999999999999</v>
      </c>
      <c r="AF203" s="1">
        <v>0.95238999999999996</v>
      </c>
      <c r="AG203" s="1">
        <v>0.95740999999999998</v>
      </c>
      <c r="AH203" s="1">
        <v>1.00526</v>
      </c>
      <c r="AI203" s="1">
        <v>0.94545999999999997</v>
      </c>
      <c r="AL203" s="4" t="s">
        <v>21</v>
      </c>
      <c r="AM203" s="6" cm="1">
        <f t="array" ref="AM203">IFERROR((SUMPRODUCT(($B$183:$B$206=AM$181)*($F$180:$AI$180="")*$F$183:$AI$206)+IF(AM$181="P6",SUMPRODUCT(($F$180:$AI$180="P6")*$F$183:$AI$206),0))/(SUMPRODUCT(($B$183:$B$206=AM$181)*($F$180:$AI$180=""))+IF(AM$181="P6",COUNTIF($F$180:$AI$180,"P6")*ROWS($B$183:$B$206),0)),"")</f>
        <v>0.89042622222222201</v>
      </c>
      <c r="AN203" s="6" cm="1">
        <f t="array" ref="AN203">IFERROR((SUMPRODUCT(($B$183:$B$206=AN$181)*($F$180:$AI$180="")*$F$183:$AI$206)+IF(AN$181="P6",SUMPRODUCT(($F$180:$AI$180="P6")*$F$183:$AI$206),0))/(SUMPRODUCT(($B$183:$B$206=AN$181)*($F$180:$AI$180=""))+IF(AN$181="P6",COUNTIF($F$180:$AI$180,"P6")*ROWS($B$183:$B$206),0)),"")</f>
        <v>0.9160714285714282</v>
      </c>
      <c r="AO203" s="6" t="str" cm="1">
        <f t="array" ref="AO203">IFERROR((SUMPRODUCT(($B$183:$B$206=AO$181)*($F$180:$AI$180="")*$F$183:$AI$206)+IF(AO$181="P6",SUMPRODUCT(($F$180:$AI$180="P6")*$F$183:$AI$206),0))/(SUMPRODUCT(($B$183:$B$206=AO$181)*($F$180:$AI$180=""))+IF(AO$181="P6",COUNTIF($F$180:$AI$180,"P6")*ROWS($B$183:$B$206),0)),"")</f>
        <v/>
      </c>
      <c r="AP203" s="6" t="str" cm="1">
        <f t="array" ref="AP203">IFERROR((SUMPRODUCT(($B$183:$B$206=AP$181)*($F$180:$AI$180="")*$F$183:$AI$206)+IF(AP$181="P6",SUMPRODUCT(($F$180:$AI$180="P6")*$F$183:$AI$206),0))/(SUMPRODUCT(($B$183:$B$206=AP$181)*($F$180:$AI$180=""))+IF(AP$181="P6",COUNTIF($F$180:$AI$180,"P6")*ROWS($B$183:$B$206),0)),"")</f>
        <v/>
      </c>
      <c r="AQ203" s="6" t="str" cm="1">
        <f t="array" ref="AQ203">IFERROR((SUMPRODUCT(($B$183:$B$206=AQ$181)*($F$180:$AI$180="")*$F$183:$AI$206)+IF(AQ$181="P6",SUMPRODUCT(($F$180:$AI$180="P6")*$F$183:$AI$206),0))/(SUMPRODUCT(($B$183:$B$206=AQ$181)*($F$180:$AI$180=""))+IF(AQ$181="P6",COUNTIF($F$180:$AI$180,"P6")*ROWS($B$183:$B$206),0)),"")</f>
        <v/>
      </c>
      <c r="AR203" s="6" cm="1">
        <f t="array" ref="AR203">IFERROR((SUMPRODUCT(($B$183:$B$206=AR$181)*($F$180:$AI$180="")*$F$183:$AI$206)+IF(AR$181="P6",SUMPRODUCT(($F$180:$AI$180="P6")*$F$183:$AI$206),0))/(SUMPRODUCT(($B$183:$B$206=AR$181)*($F$180:$AI$180=""))+IF(AR$181="P6",COUNTIF($F$180:$AI$180,"P6")*ROWS($B$183:$B$206),0)),"")</f>
        <v>0.91773935000000006</v>
      </c>
    </row>
    <row r="204" spans="1:44" ht="14.25" customHeight="1" x14ac:dyDescent="0.35">
      <c r="A204" s="1" t="s">
        <v>16</v>
      </c>
      <c r="B204" s="1" t="s">
        <v>13</v>
      </c>
      <c r="C204" s="1" t="s">
        <v>13</v>
      </c>
      <c r="D204" s="1" t="s">
        <v>15</v>
      </c>
      <c r="E204" s="1" t="s">
        <v>40</v>
      </c>
      <c r="F204" s="1">
        <v>1.0238799999999999</v>
      </c>
      <c r="G204" s="1">
        <v>0.94206999999999996</v>
      </c>
      <c r="H204" s="1">
        <v>0.89495000000000002</v>
      </c>
      <c r="I204" s="1">
        <v>0.89237999999999995</v>
      </c>
      <c r="J204" s="1">
        <v>0.91974</v>
      </c>
      <c r="K204" s="1">
        <v>0.93479999999999996</v>
      </c>
      <c r="L204" s="1">
        <v>0.95547000000000004</v>
      </c>
      <c r="M204" s="1">
        <v>1.0238799999999999</v>
      </c>
      <c r="N204" s="1">
        <v>0.94206999999999996</v>
      </c>
      <c r="O204" s="1">
        <v>0.89495000000000002</v>
      </c>
      <c r="P204" s="1">
        <v>0.89237999999999995</v>
      </c>
      <c r="Q204" s="1">
        <v>0.91974</v>
      </c>
      <c r="R204" s="1">
        <v>0.93479999999999996</v>
      </c>
      <c r="S204" s="1">
        <v>0.95547000000000004</v>
      </c>
      <c r="T204" s="1">
        <v>1.0238799999999999</v>
      </c>
      <c r="U204" s="1">
        <v>0.94206999999999996</v>
      </c>
      <c r="V204" s="1">
        <v>0.89495000000000002</v>
      </c>
      <c r="W204" s="1">
        <v>0.89237999999999995</v>
      </c>
      <c r="X204" s="1">
        <v>0.91974</v>
      </c>
      <c r="Y204" s="1">
        <v>0.93479999999999996</v>
      </c>
      <c r="Z204" s="1">
        <v>0.95547000000000004</v>
      </c>
      <c r="AA204" s="1">
        <v>1.0238799999999999</v>
      </c>
      <c r="AB204" s="1">
        <v>0.94206999999999996</v>
      </c>
      <c r="AC204" s="1">
        <v>0.89495000000000002</v>
      </c>
      <c r="AD204" s="1">
        <v>0.89237999999999995</v>
      </c>
      <c r="AE204" s="1">
        <v>0.91974</v>
      </c>
      <c r="AF204" s="1">
        <v>0.93479999999999996</v>
      </c>
      <c r="AG204" s="1">
        <v>0.95547000000000004</v>
      </c>
      <c r="AH204" s="1">
        <v>1.0238799999999999</v>
      </c>
      <c r="AI204" s="1">
        <v>0.94206999999999996</v>
      </c>
      <c r="AL204" s="4" t="s">
        <v>23</v>
      </c>
      <c r="AM204" s="6" cm="1">
        <f t="array" ref="AM204">IFERROR((SUMPRODUCT(($B$183:$B$206=AM$181)*($F$180:$AI$180="")*$F$183:$AI$206)+IF(AM$181="P6",SUMPRODUCT(($F$180:$AI$180="P6")*$F$183:$AI$206),0))/(SUMPRODUCT(($B$183:$B$206=AM$181)*($F$180:$AI$180=""))+IF(AM$181="P6",COUNTIF($F$180:$AI$180,"P6")*ROWS($B$183:$B$206),0)),"")</f>
        <v>0.89042622222222201</v>
      </c>
      <c r="AN204" s="6" cm="1">
        <f t="array" ref="AN204">IFERROR((SUMPRODUCT(($B$183:$B$206=AN$181)*($F$180:$AI$180="")*$F$183:$AI$206)+IF(AN$181="P6",SUMPRODUCT(($F$180:$AI$180="P6")*$F$183:$AI$206),0))/(SUMPRODUCT(($B$183:$B$206=AN$181)*($F$180:$AI$180=""))+IF(AN$181="P6",COUNTIF($F$180:$AI$180,"P6")*ROWS($B$183:$B$206),0)),"")</f>
        <v>0.9160714285714282</v>
      </c>
      <c r="AO204" s="6" t="str" cm="1">
        <f t="array" ref="AO204">IFERROR((SUMPRODUCT(($B$183:$B$206=AO$181)*($F$180:$AI$180="")*$F$183:$AI$206)+IF(AO$181="P6",SUMPRODUCT(($F$180:$AI$180="P6")*$F$183:$AI$206),0))/(SUMPRODUCT(($B$183:$B$206=AO$181)*($F$180:$AI$180=""))+IF(AO$181="P6",COUNTIF($F$180:$AI$180,"P6")*ROWS($B$183:$B$206),0)),"")</f>
        <v/>
      </c>
      <c r="AP204" s="6" t="str" cm="1">
        <f t="array" ref="AP204">IFERROR((SUMPRODUCT(($B$183:$B$206=AP$181)*($F$180:$AI$180="")*$F$183:$AI$206)+IF(AP$181="P6",SUMPRODUCT(($F$180:$AI$180="P6")*$F$183:$AI$206),0))/(SUMPRODUCT(($B$183:$B$206=AP$181)*($F$180:$AI$180=""))+IF(AP$181="P6",COUNTIF($F$180:$AI$180,"P6")*ROWS($B$183:$B$206),0)),"")</f>
        <v/>
      </c>
      <c r="AQ204" s="6" t="str" cm="1">
        <f t="array" ref="AQ204">IFERROR((SUMPRODUCT(($B$183:$B$206=AQ$181)*($F$180:$AI$180="")*$F$183:$AI$206)+IF(AQ$181="P6",SUMPRODUCT(($F$180:$AI$180="P6")*$F$183:$AI$206),0))/(SUMPRODUCT(($B$183:$B$206=AQ$181)*($F$180:$AI$180=""))+IF(AQ$181="P6",COUNTIF($F$180:$AI$180,"P6")*ROWS($B$183:$B$206),0)),"")</f>
        <v/>
      </c>
      <c r="AR204" s="6" cm="1">
        <f t="array" ref="AR204">IFERROR((SUMPRODUCT(($B$183:$B$206=AR$181)*($F$180:$AI$180="")*$F$183:$AI$206)+IF(AR$181="P6",SUMPRODUCT(($F$180:$AI$180="P6")*$F$183:$AI$206),0))/(SUMPRODUCT(($B$183:$B$206=AR$181)*($F$180:$AI$180=""))+IF(AR$181="P6",COUNTIF($F$180:$AI$180,"P6")*ROWS($B$183:$B$206),0)),"")</f>
        <v>0.91773935000000006</v>
      </c>
    </row>
    <row r="205" spans="1:44" ht="14.25" customHeight="1" x14ac:dyDescent="0.35">
      <c r="A205" s="1" t="s">
        <v>17</v>
      </c>
      <c r="B205" s="1" t="s">
        <v>14</v>
      </c>
      <c r="C205" s="1" t="s">
        <v>14</v>
      </c>
      <c r="D205" s="1" t="s">
        <v>16</v>
      </c>
      <c r="E205" s="1" t="s">
        <v>41</v>
      </c>
      <c r="F205" s="1">
        <v>1.0177700000000001</v>
      </c>
      <c r="G205" s="1">
        <v>0.94733000000000001</v>
      </c>
      <c r="H205" s="1">
        <v>0.93945999999999996</v>
      </c>
      <c r="I205" s="1">
        <v>0.93855999999999995</v>
      </c>
      <c r="J205" s="1">
        <v>0.96850000000000003</v>
      </c>
      <c r="K205" s="1">
        <v>1.004</v>
      </c>
      <c r="L205" s="1">
        <v>1.01213</v>
      </c>
      <c r="M205" s="1">
        <v>1.0177700000000001</v>
      </c>
      <c r="N205" s="1">
        <v>0.94733000000000001</v>
      </c>
      <c r="O205" s="1">
        <v>0.93945999999999996</v>
      </c>
      <c r="P205" s="1">
        <v>0.93855999999999995</v>
      </c>
      <c r="Q205" s="1">
        <v>0.96850000000000003</v>
      </c>
      <c r="R205" s="1">
        <v>1.004</v>
      </c>
      <c r="S205" s="1">
        <v>1.01213</v>
      </c>
      <c r="T205" s="1">
        <v>1.0177700000000001</v>
      </c>
      <c r="U205" s="1">
        <v>0.94733000000000001</v>
      </c>
      <c r="V205" s="1">
        <v>0.93945999999999996</v>
      </c>
      <c r="W205" s="1">
        <v>0.93855999999999995</v>
      </c>
      <c r="X205" s="1">
        <v>0.96850000000000003</v>
      </c>
      <c r="Y205" s="1">
        <v>1.004</v>
      </c>
      <c r="Z205" s="1">
        <v>1.01213</v>
      </c>
      <c r="AA205" s="1">
        <v>1.0177700000000001</v>
      </c>
      <c r="AB205" s="1">
        <v>0.94733000000000001</v>
      </c>
      <c r="AC205" s="1">
        <v>0.93945999999999996</v>
      </c>
      <c r="AD205" s="1">
        <v>0.93855999999999995</v>
      </c>
      <c r="AE205" s="1">
        <v>0.96850000000000003</v>
      </c>
      <c r="AF205" s="1">
        <v>1.004</v>
      </c>
      <c r="AG205" s="1">
        <v>1.01213</v>
      </c>
      <c r="AH205" s="1">
        <v>1.0177700000000001</v>
      </c>
      <c r="AI205" s="1">
        <v>0.94733000000000001</v>
      </c>
      <c r="AL205" s="4" t="s">
        <v>25</v>
      </c>
      <c r="AM205" s="6" cm="1">
        <f t="array" ref="AM205">IFERROR((SUMPRODUCT(($B$183:$B$206=AM$181)*($F$180:$AI$180="")*$F$183:$AI$206)+IF(AM$181="P6",SUMPRODUCT(($F$180:$AI$180="P6")*$F$183:$AI$206),0))/(SUMPRODUCT(($B$183:$B$206=AM$181)*($F$180:$AI$180=""))+IF(AM$181="P6",COUNTIF($F$180:$AI$180,"P6")*ROWS($B$183:$B$206),0)),"")</f>
        <v>0.89042622222222201</v>
      </c>
      <c r="AN205" s="6" cm="1">
        <f t="array" ref="AN205">IFERROR((SUMPRODUCT(($B$183:$B$206=AN$181)*($F$180:$AI$180="")*$F$183:$AI$206)+IF(AN$181="P6",SUMPRODUCT(($F$180:$AI$180="P6")*$F$183:$AI$206),0))/(SUMPRODUCT(($B$183:$B$206=AN$181)*($F$180:$AI$180=""))+IF(AN$181="P6",COUNTIF($F$180:$AI$180,"P6")*ROWS($B$183:$B$206),0)),"")</f>
        <v>0.9160714285714282</v>
      </c>
      <c r="AO205" s="6" t="str" cm="1">
        <f t="array" ref="AO205">IFERROR((SUMPRODUCT(($B$183:$B$206=AO$181)*($F$180:$AI$180="")*$F$183:$AI$206)+IF(AO$181="P6",SUMPRODUCT(($F$180:$AI$180="P6")*$F$183:$AI$206),0))/(SUMPRODUCT(($B$183:$B$206=AO$181)*($F$180:$AI$180=""))+IF(AO$181="P6",COUNTIF($F$180:$AI$180,"P6")*ROWS($B$183:$B$206),0)),"")</f>
        <v/>
      </c>
      <c r="AP205" s="6" t="str" cm="1">
        <f t="array" ref="AP205">IFERROR((SUMPRODUCT(($B$183:$B$206=AP$181)*($F$180:$AI$180="")*$F$183:$AI$206)+IF(AP$181="P6",SUMPRODUCT(($F$180:$AI$180="P6")*$F$183:$AI$206),0))/(SUMPRODUCT(($B$183:$B$206=AP$181)*($F$180:$AI$180=""))+IF(AP$181="P6",COUNTIF($F$180:$AI$180,"P6")*ROWS($B$183:$B$206),0)),"")</f>
        <v/>
      </c>
      <c r="AQ205" s="6" t="str" cm="1">
        <f t="array" ref="AQ205">IFERROR((SUMPRODUCT(($B$183:$B$206=AQ$181)*($F$180:$AI$180="")*$F$183:$AI$206)+IF(AQ$181="P6",SUMPRODUCT(($F$180:$AI$180="P6")*$F$183:$AI$206),0))/(SUMPRODUCT(($B$183:$B$206=AQ$181)*($F$180:$AI$180=""))+IF(AQ$181="P6",COUNTIF($F$180:$AI$180,"P6")*ROWS($B$183:$B$206),0)),"")</f>
        <v/>
      </c>
      <c r="AR205" s="6" cm="1">
        <f t="array" ref="AR205">IFERROR((SUMPRODUCT(($B$183:$B$206=AR$181)*($F$180:$AI$180="")*$F$183:$AI$206)+IF(AR$181="P6",SUMPRODUCT(($F$180:$AI$180="P6")*$F$183:$AI$206),0))/(SUMPRODUCT(($B$183:$B$206=AR$181)*($F$180:$AI$180=""))+IF(AR$181="P6",COUNTIF($F$180:$AI$180,"P6")*ROWS($B$183:$B$206),0)),"")</f>
        <v>0.91773935000000006</v>
      </c>
    </row>
    <row r="206" spans="1:44" ht="14.25" customHeight="1" x14ac:dyDescent="0.35">
      <c r="A206" s="1" t="s">
        <v>17</v>
      </c>
      <c r="B206" s="1" t="s">
        <v>14</v>
      </c>
      <c r="C206" s="1" t="s">
        <v>14</v>
      </c>
      <c r="D206" s="1" t="s">
        <v>16</v>
      </c>
      <c r="E206" s="1" t="s">
        <v>42</v>
      </c>
      <c r="F206" s="1">
        <v>1.0132699999999999</v>
      </c>
      <c r="G206" s="1">
        <v>0.97477999999999998</v>
      </c>
      <c r="H206" s="1">
        <v>0.92837999999999998</v>
      </c>
      <c r="I206" s="1">
        <v>0.94871000000000005</v>
      </c>
      <c r="J206" s="1">
        <v>0.96028000000000002</v>
      </c>
      <c r="K206" s="1">
        <v>0.98302</v>
      </c>
      <c r="L206" s="1">
        <v>1.00684</v>
      </c>
      <c r="M206" s="1">
        <v>1.0132699999999999</v>
      </c>
      <c r="N206" s="1">
        <v>0.97477999999999998</v>
      </c>
      <c r="O206" s="1">
        <v>0.92837999999999998</v>
      </c>
      <c r="P206" s="1">
        <v>0.94871000000000005</v>
      </c>
      <c r="Q206" s="1">
        <v>0.96028000000000002</v>
      </c>
      <c r="R206" s="1">
        <v>0.98302</v>
      </c>
      <c r="S206" s="1">
        <v>1.00684</v>
      </c>
      <c r="T206" s="1">
        <v>1.0132699999999999</v>
      </c>
      <c r="U206" s="1">
        <v>0.97477999999999998</v>
      </c>
      <c r="V206" s="1">
        <v>0.92837999999999998</v>
      </c>
      <c r="W206" s="1">
        <v>0.94871000000000005</v>
      </c>
      <c r="X206" s="1">
        <v>0.96028000000000002</v>
      </c>
      <c r="Y206" s="1">
        <v>0.98302</v>
      </c>
      <c r="Z206" s="1">
        <v>1.00684</v>
      </c>
      <c r="AA206" s="1">
        <v>1.0132699999999999</v>
      </c>
      <c r="AB206" s="1">
        <v>0.97477999999999998</v>
      </c>
      <c r="AC206" s="1">
        <v>0.92837999999999998</v>
      </c>
      <c r="AD206" s="1">
        <v>0.94871000000000005</v>
      </c>
      <c r="AE206" s="1">
        <v>0.96028000000000002</v>
      </c>
      <c r="AF206" s="1">
        <v>0.98302</v>
      </c>
      <c r="AG206" s="1">
        <v>1.00684</v>
      </c>
      <c r="AH206" s="1">
        <v>1.0132699999999999</v>
      </c>
      <c r="AI206" s="1">
        <v>0.97477999999999998</v>
      </c>
      <c r="AL206" s="4" t="s">
        <v>27</v>
      </c>
      <c r="AM206" s="6" cm="1">
        <f t="array" ref="AM206">IFERROR((SUMPRODUCT(($B$183:$B$206=AM$181)*($F$180:$AI$180="")*$F$183:$AI$206)+IF(AM$181="P6",SUMPRODUCT(($F$180:$AI$180="P6")*$F$183:$AI$206),0))/(SUMPRODUCT(($B$183:$B$206=AM$181)*($F$180:$AI$180=""))+IF(AM$181="P6",COUNTIF($F$180:$AI$180,"P6")*ROWS($B$183:$B$206),0)),"")</f>
        <v>0.89042622222222201</v>
      </c>
      <c r="AN206" s="6" cm="1">
        <f t="array" ref="AN206">IFERROR((SUMPRODUCT(($B$183:$B$206=AN$181)*($F$180:$AI$180="")*$F$183:$AI$206)+IF(AN$181="P6",SUMPRODUCT(($F$180:$AI$180="P6")*$F$183:$AI$206),0))/(SUMPRODUCT(($B$183:$B$206=AN$181)*($F$180:$AI$180=""))+IF(AN$181="P6",COUNTIF($F$180:$AI$180,"P6")*ROWS($B$183:$B$206),0)),"")</f>
        <v>0.9160714285714282</v>
      </c>
      <c r="AO206" s="6" t="str" cm="1">
        <f t="array" ref="AO206">IFERROR((SUMPRODUCT(($B$183:$B$206=AO$181)*($F$180:$AI$180="")*$F$183:$AI$206)+IF(AO$181="P6",SUMPRODUCT(($F$180:$AI$180="P6")*$F$183:$AI$206),0))/(SUMPRODUCT(($B$183:$B$206=AO$181)*($F$180:$AI$180=""))+IF(AO$181="P6",COUNTIF($F$180:$AI$180,"P6")*ROWS($B$183:$B$206),0)),"")</f>
        <v/>
      </c>
      <c r="AP206" s="6" t="str" cm="1">
        <f t="array" ref="AP206">IFERROR((SUMPRODUCT(($B$183:$B$206=AP$181)*($F$180:$AI$180="")*$F$183:$AI$206)+IF(AP$181="P6",SUMPRODUCT(($F$180:$AI$180="P6")*$F$183:$AI$206),0))/(SUMPRODUCT(($B$183:$B$206=AP$181)*($F$180:$AI$180=""))+IF(AP$181="P6",COUNTIF($F$180:$AI$180,"P6")*ROWS($B$183:$B$206),0)),"")</f>
        <v/>
      </c>
      <c r="AQ206" s="6" t="str" cm="1">
        <f t="array" ref="AQ206">IFERROR((SUMPRODUCT(($B$183:$B$206=AQ$181)*($F$180:$AI$180="")*$F$183:$AI$206)+IF(AQ$181="P6",SUMPRODUCT(($F$180:$AI$180="P6")*$F$183:$AI$206),0))/(SUMPRODUCT(($B$183:$B$206=AQ$181)*($F$180:$AI$180=""))+IF(AQ$181="P6",COUNTIF($F$180:$AI$180,"P6")*ROWS($B$183:$B$206),0)),"")</f>
        <v/>
      </c>
      <c r="AR206" s="6" cm="1">
        <f t="array" ref="AR206">IFERROR((SUMPRODUCT(($B$183:$B$206=AR$181)*($F$180:$AI$180="")*$F$183:$AI$206)+IF(AR$181="P6",SUMPRODUCT(($F$180:$AI$180="P6")*$F$183:$AI$206),0))/(SUMPRODUCT(($B$183:$B$206=AR$181)*($F$180:$AI$180=""))+IF(AR$181="P6",COUNTIF($F$180:$AI$180,"P6")*ROWS($B$183:$B$206),0)),"")</f>
        <v>0.91773935000000006</v>
      </c>
    </row>
    <row r="207" spans="1:44" ht="14.25" customHeight="1" x14ac:dyDescent="0.35">
      <c r="AL207" s="4" t="s">
        <v>29</v>
      </c>
      <c r="AM207" s="6" cm="1">
        <f t="array" ref="AM207">IFERROR((SUMPRODUCT(($B$183:$B$206=AM$181)*($F$180:$AI$180="")*$F$183:$AI$206)+IF(AM$181="P6",SUMPRODUCT(($F$180:$AI$180="P6")*$F$183:$AI$206),0))/(SUMPRODUCT(($B$183:$B$206=AM$181)*($F$180:$AI$180=""))+IF(AM$181="P6",COUNTIF($F$180:$AI$180,"P6")*ROWS($B$183:$B$206),0)),"")</f>
        <v>0.89042622222222201</v>
      </c>
      <c r="AN207" s="6" cm="1">
        <f t="array" ref="AN207">IFERROR((SUMPRODUCT(($B$183:$B$206=AN$181)*($F$180:$AI$180="")*$F$183:$AI$206)+IF(AN$181="P6",SUMPRODUCT(($F$180:$AI$180="P6")*$F$183:$AI$206),0))/(SUMPRODUCT(($B$183:$B$206=AN$181)*($F$180:$AI$180=""))+IF(AN$181="P6",COUNTIF($F$180:$AI$180,"P6")*ROWS($B$183:$B$206),0)),"")</f>
        <v>0.9160714285714282</v>
      </c>
      <c r="AO207" s="6" t="str" cm="1">
        <f t="array" ref="AO207">IFERROR((SUMPRODUCT(($B$183:$B$206=AO$181)*($F$180:$AI$180="")*$F$183:$AI$206)+IF(AO$181="P6",SUMPRODUCT(($F$180:$AI$180="P6")*$F$183:$AI$206),0))/(SUMPRODUCT(($B$183:$B$206=AO$181)*($F$180:$AI$180=""))+IF(AO$181="P6",COUNTIF($F$180:$AI$180,"P6")*ROWS($B$183:$B$206),0)),"")</f>
        <v/>
      </c>
      <c r="AP207" s="6" t="str" cm="1">
        <f t="array" ref="AP207">IFERROR((SUMPRODUCT(($B$183:$B$206=AP$181)*($F$180:$AI$180="")*$F$183:$AI$206)+IF(AP$181="P6",SUMPRODUCT(($F$180:$AI$180="P6")*$F$183:$AI$206),0))/(SUMPRODUCT(($B$183:$B$206=AP$181)*($F$180:$AI$180=""))+IF(AP$181="P6",COUNTIF($F$180:$AI$180,"P6")*ROWS($B$183:$B$206),0)),"")</f>
        <v/>
      </c>
      <c r="AQ207" s="6" t="str" cm="1">
        <f t="array" ref="AQ207">IFERROR((SUMPRODUCT(($B$183:$B$206=AQ$181)*($F$180:$AI$180="")*$F$183:$AI$206)+IF(AQ$181="P6",SUMPRODUCT(($F$180:$AI$180="P6")*$F$183:$AI$206),0))/(SUMPRODUCT(($B$183:$B$206=AQ$181)*($F$180:$AI$180=""))+IF(AQ$181="P6",COUNTIF($F$180:$AI$180,"P6")*ROWS($B$183:$B$206),0)),"")</f>
        <v/>
      </c>
      <c r="AR207" s="6" cm="1">
        <f t="array" ref="AR207">IFERROR((SUMPRODUCT(($B$183:$B$206=AR$181)*($F$180:$AI$180="")*$F$183:$AI$206)+IF(AR$181="P6",SUMPRODUCT(($F$180:$AI$180="P6")*$F$183:$AI$206),0))/(SUMPRODUCT(($B$183:$B$206=AR$181)*($F$180:$AI$180=""))+IF(AR$181="P6",COUNTIF($F$180:$AI$180,"P6")*ROWS($B$183:$B$206),0)),"")</f>
        <v>0.91773935000000006</v>
      </c>
    </row>
    <row r="211" spans="1:44" ht="14.25" customHeight="1" x14ac:dyDescent="0.35">
      <c r="A211" s="15" t="s">
        <v>177</v>
      </c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</row>
    <row r="212" spans="1:44" ht="14.25" customHeight="1" x14ac:dyDescent="0.3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</row>
    <row r="213" spans="1:44" ht="14.25" customHeight="1" x14ac:dyDescent="0.35">
      <c r="AL213" s="10"/>
      <c r="AM213" s="10"/>
      <c r="AN213" s="10"/>
      <c r="AO213" s="10"/>
      <c r="AP213" s="10"/>
      <c r="AQ213" s="10"/>
      <c r="AR213" s="10"/>
    </row>
    <row r="214" spans="1:44" ht="14.25" customHeight="1" x14ac:dyDescent="0.35">
      <c r="F214" s="1" t="str">
        <f>IF(OR(F216="S",F216="D"),"P3","")</f>
        <v/>
      </c>
      <c r="G214" s="1" t="str">
        <f t="shared" ref="G214:AJ214" si="24">IF(OR(G216="S",G216="D"),"P3","")</f>
        <v/>
      </c>
      <c r="H214" s="1" t="str">
        <f t="shared" si="24"/>
        <v/>
      </c>
      <c r="I214" s="1" t="str">
        <f t="shared" si="24"/>
        <v/>
      </c>
      <c r="J214" s="1" t="str">
        <f t="shared" si="24"/>
        <v/>
      </c>
      <c r="K214" s="1" t="str">
        <f t="shared" si="24"/>
        <v>P3</v>
      </c>
      <c r="L214" s="1" t="str">
        <f t="shared" si="24"/>
        <v>P3</v>
      </c>
      <c r="M214" s="1" t="str">
        <f t="shared" si="24"/>
        <v/>
      </c>
      <c r="N214" s="1" t="str">
        <f t="shared" si="24"/>
        <v/>
      </c>
      <c r="O214" s="1" t="str">
        <f t="shared" si="24"/>
        <v/>
      </c>
      <c r="P214" s="1" t="str">
        <f t="shared" si="24"/>
        <v/>
      </c>
      <c r="Q214" s="1" t="str">
        <f t="shared" si="24"/>
        <v/>
      </c>
      <c r="R214" s="1" t="str">
        <f t="shared" si="24"/>
        <v>P3</v>
      </c>
      <c r="S214" s="1" t="str">
        <f t="shared" si="24"/>
        <v>P3</v>
      </c>
      <c r="T214" s="1" t="str">
        <f t="shared" si="24"/>
        <v/>
      </c>
      <c r="U214" s="1" t="str">
        <f t="shared" si="24"/>
        <v/>
      </c>
      <c r="V214" s="1" t="str">
        <f t="shared" si="24"/>
        <v/>
      </c>
      <c r="W214" s="1" t="str">
        <f t="shared" si="24"/>
        <v/>
      </c>
      <c r="X214" s="1" t="str">
        <f t="shared" si="24"/>
        <v/>
      </c>
      <c r="Y214" s="1" t="str">
        <f t="shared" si="24"/>
        <v>P3</v>
      </c>
      <c r="Z214" s="1" t="str">
        <f t="shared" si="24"/>
        <v>P3</v>
      </c>
      <c r="AA214" s="1" t="str">
        <f t="shared" si="24"/>
        <v/>
      </c>
      <c r="AB214" s="1" t="str">
        <f t="shared" si="24"/>
        <v/>
      </c>
      <c r="AC214" s="1" t="str">
        <f t="shared" si="24"/>
        <v/>
      </c>
      <c r="AD214" s="1" t="str">
        <f t="shared" si="24"/>
        <v/>
      </c>
      <c r="AE214" s="1" t="str">
        <f t="shared" si="24"/>
        <v/>
      </c>
      <c r="AF214" s="1" t="str">
        <f t="shared" si="24"/>
        <v>P3</v>
      </c>
      <c r="AG214" s="1" t="str">
        <f t="shared" si="24"/>
        <v>P3</v>
      </c>
      <c r="AH214" s="1" t="str">
        <f t="shared" si="24"/>
        <v/>
      </c>
      <c r="AI214" s="1" t="str">
        <f t="shared" si="24"/>
        <v/>
      </c>
      <c r="AJ214" s="1" t="str">
        <f t="shared" si="24"/>
        <v/>
      </c>
      <c r="AL214" s="10"/>
      <c r="AM214" s="10"/>
      <c r="AN214" s="10"/>
      <c r="AO214" s="10"/>
      <c r="AP214" s="10"/>
      <c r="AQ214" s="10"/>
      <c r="AR214" s="10"/>
    </row>
    <row r="215" spans="1:44" ht="14.25" customHeight="1" x14ac:dyDescent="0.35">
      <c r="F215" s="1" t="str">
        <f>IF(OR(F216="S",F216="D"),"P6","")</f>
        <v/>
      </c>
      <c r="G215" s="1" t="str">
        <f t="shared" ref="G215:AJ215" si="25">IF(OR(G216="S",G216="D"),"P6","")</f>
        <v/>
      </c>
      <c r="H215" s="1" t="str">
        <f t="shared" si="25"/>
        <v/>
      </c>
      <c r="I215" s="1" t="str">
        <f t="shared" si="25"/>
        <v/>
      </c>
      <c r="J215" s="1" t="str">
        <f t="shared" si="25"/>
        <v/>
      </c>
      <c r="K215" s="1" t="str">
        <f t="shared" si="25"/>
        <v>P6</v>
      </c>
      <c r="L215" s="1" t="str">
        <f t="shared" si="25"/>
        <v>P6</v>
      </c>
      <c r="M215" s="1" t="str">
        <f t="shared" si="25"/>
        <v/>
      </c>
      <c r="N215" s="1" t="str">
        <f t="shared" si="25"/>
        <v/>
      </c>
      <c r="O215" s="1" t="str">
        <f t="shared" si="25"/>
        <v/>
      </c>
      <c r="P215" s="1" t="str">
        <f t="shared" si="25"/>
        <v/>
      </c>
      <c r="Q215" s="1" t="str">
        <f t="shared" si="25"/>
        <v/>
      </c>
      <c r="R215" s="1" t="str">
        <f t="shared" si="25"/>
        <v>P6</v>
      </c>
      <c r="S215" s="1" t="str">
        <f t="shared" si="25"/>
        <v>P6</v>
      </c>
      <c r="T215" s="1" t="str">
        <f t="shared" si="25"/>
        <v/>
      </c>
      <c r="U215" s="1" t="str">
        <f t="shared" si="25"/>
        <v/>
      </c>
      <c r="V215" s="1" t="str">
        <f t="shared" si="25"/>
        <v/>
      </c>
      <c r="W215" s="1" t="str">
        <f t="shared" si="25"/>
        <v/>
      </c>
      <c r="X215" s="1" t="str">
        <f t="shared" si="25"/>
        <v/>
      </c>
      <c r="Y215" s="1" t="str">
        <f t="shared" si="25"/>
        <v>P6</v>
      </c>
      <c r="Z215" s="1" t="str">
        <f t="shared" si="25"/>
        <v>P6</v>
      </c>
      <c r="AA215" s="1" t="str">
        <f t="shared" si="25"/>
        <v/>
      </c>
      <c r="AB215" s="1" t="str">
        <f t="shared" si="25"/>
        <v/>
      </c>
      <c r="AC215" s="1" t="str">
        <f t="shared" si="25"/>
        <v/>
      </c>
      <c r="AD215" s="1" t="str">
        <f t="shared" si="25"/>
        <v/>
      </c>
      <c r="AE215" s="1" t="str">
        <f t="shared" si="25"/>
        <v/>
      </c>
      <c r="AF215" s="1" t="str">
        <f t="shared" si="25"/>
        <v>P6</v>
      </c>
      <c r="AG215" s="1" t="str">
        <f t="shared" si="25"/>
        <v>P6</v>
      </c>
      <c r="AH215" s="1" t="str">
        <f t="shared" si="25"/>
        <v/>
      </c>
      <c r="AI215" s="1" t="str">
        <f t="shared" si="25"/>
        <v/>
      </c>
      <c r="AJ215" s="1" t="str">
        <f t="shared" si="25"/>
        <v/>
      </c>
      <c r="AL215" s="14" t="s">
        <v>178</v>
      </c>
      <c r="AM215" s="14"/>
      <c r="AN215" s="14"/>
      <c r="AO215" s="14"/>
      <c r="AP215" s="14"/>
      <c r="AQ215" s="14"/>
      <c r="AR215" s="14"/>
    </row>
    <row r="216" spans="1:44" ht="14.25" customHeight="1" x14ac:dyDescent="0.35">
      <c r="F216" s="1" t="str">
        <f>CHOOSE(WEEKDAY(F217,2),"L","M","X","J","V","S","D")</f>
        <v>L</v>
      </c>
      <c r="G216" s="1" t="str">
        <f t="shared" ref="G216:AJ216" si="26">CHOOSE(WEEKDAY(G217,2),"L","M","X","J","V","S","D")</f>
        <v>M</v>
      </c>
      <c r="H216" s="1" t="str">
        <f t="shared" si="26"/>
        <v>X</v>
      </c>
      <c r="I216" s="1" t="str">
        <f t="shared" si="26"/>
        <v>J</v>
      </c>
      <c r="J216" s="1" t="str">
        <f t="shared" si="26"/>
        <v>V</v>
      </c>
      <c r="K216" s="1" t="str">
        <f t="shared" si="26"/>
        <v>S</v>
      </c>
      <c r="L216" s="1" t="str">
        <f t="shared" si="26"/>
        <v>D</v>
      </c>
      <c r="M216" s="1" t="str">
        <f t="shared" si="26"/>
        <v>L</v>
      </c>
      <c r="N216" s="1" t="str">
        <f t="shared" si="26"/>
        <v>M</v>
      </c>
      <c r="O216" s="1" t="str">
        <f t="shared" si="26"/>
        <v>X</v>
      </c>
      <c r="P216" s="1" t="str">
        <f t="shared" si="26"/>
        <v>J</v>
      </c>
      <c r="Q216" s="1" t="str">
        <f t="shared" si="26"/>
        <v>V</v>
      </c>
      <c r="R216" s="1" t="str">
        <f t="shared" si="26"/>
        <v>S</v>
      </c>
      <c r="S216" s="1" t="str">
        <f t="shared" si="26"/>
        <v>D</v>
      </c>
      <c r="T216" s="1" t="str">
        <f t="shared" si="26"/>
        <v>L</v>
      </c>
      <c r="U216" s="1" t="str">
        <f t="shared" si="26"/>
        <v>M</v>
      </c>
      <c r="V216" s="1" t="str">
        <f t="shared" si="26"/>
        <v>X</v>
      </c>
      <c r="W216" s="1" t="str">
        <f t="shared" si="26"/>
        <v>J</v>
      </c>
      <c r="X216" s="1" t="str">
        <f t="shared" si="26"/>
        <v>V</v>
      </c>
      <c r="Y216" s="1" t="str">
        <f t="shared" si="26"/>
        <v>S</v>
      </c>
      <c r="Z216" s="1" t="str">
        <f t="shared" si="26"/>
        <v>D</v>
      </c>
      <c r="AA216" s="1" t="str">
        <f t="shared" si="26"/>
        <v>L</v>
      </c>
      <c r="AB216" s="1" t="str">
        <f t="shared" si="26"/>
        <v>M</v>
      </c>
      <c r="AC216" s="1" t="str">
        <f t="shared" si="26"/>
        <v>X</v>
      </c>
      <c r="AD216" s="1" t="str">
        <f t="shared" si="26"/>
        <v>J</v>
      </c>
      <c r="AE216" s="1" t="str">
        <f t="shared" si="26"/>
        <v>V</v>
      </c>
      <c r="AF216" s="1" t="str">
        <f t="shared" si="26"/>
        <v>S</v>
      </c>
      <c r="AG216" s="1" t="str">
        <f t="shared" si="26"/>
        <v>D</v>
      </c>
      <c r="AH216" s="1" t="str">
        <f t="shared" si="26"/>
        <v>L</v>
      </c>
      <c r="AI216" s="1" t="str">
        <f t="shared" si="26"/>
        <v>M</v>
      </c>
      <c r="AJ216" s="1" t="str">
        <f t="shared" si="26"/>
        <v>X</v>
      </c>
      <c r="AL216" s="4"/>
      <c r="AM216" s="4" t="s">
        <v>13</v>
      </c>
      <c r="AN216" s="4" t="s">
        <v>14</v>
      </c>
      <c r="AO216" s="4" t="s">
        <v>15</v>
      </c>
      <c r="AP216" s="4" t="s">
        <v>16</v>
      </c>
      <c r="AQ216" s="4" t="s">
        <v>17</v>
      </c>
      <c r="AR216" s="4" t="s">
        <v>7</v>
      </c>
    </row>
    <row r="217" spans="1:44" ht="14.25" customHeight="1" x14ac:dyDescent="0.35">
      <c r="A217" s="3" t="s">
        <v>76</v>
      </c>
      <c r="B217" s="3" t="s">
        <v>77</v>
      </c>
      <c r="C217" s="3" t="s">
        <v>75</v>
      </c>
      <c r="D217" s="3" t="s">
        <v>74</v>
      </c>
      <c r="F217" s="8">
        <v>45474</v>
      </c>
      <c r="G217" s="8">
        <v>45475</v>
      </c>
      <c r="H217" s="8">
        <v>45476</v>
      </c>
      <c r="I217" s="8">
        <v>45477</v>
      </c>
      <c r="J217" s="8">
        <v>45478</v>
      </c>
      <c r="K217" s="8">
        <v>45479</v>
      </c>
      <c r="L217" s="8">
        <v>45480</v>
      </c>
      <c r="M217" s="8">
        <v>45481</v>
      </c>
      <c r="N217" s="8">
        <v>45482</v>
      </c>
      <c r="O217" s="8">
        <v>45483</v>
      </c>
      <c r="P217" s="8">
        <v>45484</v>
      </c>
      <c r="Q217" s="8">
        <v>45485</v>
      </c>
      <c r="R217" s="8">
        <v>45486</v>
      </c>
      <c r="S217" s="8">
        <v>45487</v>
      </c>
      <c r="T217" s="8">
        <v>45488</v>
      </c>
      <c r="U217" s="8">
        <v>45489</v>
      </c>
      <c r="V217" s="8">
        <v>45490</v>
      </c>
      <c r="W217" s="8">
        <v>45491</v>
      </c>
      <c r="X217" s="8">
        <v>45492</v>
      </c>
      <c r="Y217" s="8">
        <v>45493</v>
      </c>
      <c r="Z217" s="8">
        <v>45494</v>
      </c>
      <c r="AA217" s="8">
        <v>45495</v>
      </c>
      <c r="AB217" s="8">
        <v>45496</v>
      </c>
      <c r="AC217" s="8">
        <v>45497</v>
      </c>
      <c r="AD217" s="8">
        <v>45498</v>
      </c>
      <c r="AE217" s="8">
        <v>45499</v>
      </c>
      <c r="AF217" s="8">
        <v>45500</v>
      </c>
      <c r="AG217" s="8">
        <v>45501</v>
      </c>
      <c r="AH217" s="8">
        <v>45502</v>
      </c>
      <c r="AI217" s="8">
        <v>45503</v>
      </c>
      <c r="AJ217" s="8">
        <v>45504</v>
      </c>
      <c r="AL217" s="4" t="s">
        <v>19</v>
      </c>
      <c r="AM217" s="6" cm="1">
        <f t="array" ref="AM217">IFERROR((SUMPRODUCT(($C$218:$C$241=AM$216)*($F$214:$AJ$214="")*$F$218:$AJ$241)+IF(AM$216="P3",SUMPRODUCT(($F$214:$AJ$214="P3")*$F$218:$AJ$241),0))/(SUMPRODUCT(($C$218:$C$241=AM$216)*($F$214:$AJ$214=""))+IF(AM$216="P3",COUNTIF($F$214:$AJ$214,"P3")*ROWS($C$218:$C$241),0)),"")</f>
        <v>0.88114152173913052</v>
      </c>
      <c r="AN217" s="6" cm="1">
        <f t="array" ref="AN217">IFERROR((SUMPRODUCT(($C$218:$C$241=AN$216)*($F$214:$AJ$214="")*$F$218:$AJ$241)+IF(AN$216="P3",SUMPRODUCT(($F$214:$AJ$214="P3")*$F$218:$AJ$241),0))/(SUMPRODUCT(($C$218:$C$241=AN$216)*($F$214:$AJ$214=""))+IF(AN$216="P3",COUNTIF($F$214:$AJ$214,"P3")*ROWS($C$218:$C$241),0)),"")</f>
        <v>0.89616380434782617</v>
      </c>
      <c r="AO217" s="6" cm="1">
        <f t="array" ref="AO217">IFERROR((SUMPRODUCT(($C$218:$C$241=AO$216)*($F$214:$AJ$214="")*$F$218:$AJ$241)+IF(AO$216="P3",SUMPRODUCT(($F$214:$AJ$214="P3")*$F$218:$AJ$241),0))/(SUMPRODUCT(($C$218:$C$241=AO$216)*($F$214:$AJ$214=""))+IF(AO$216="P3",COUNTIF($F$214:$AJ$214,"P3")*ROWS($C$218:$C$241),0)),"")</f>
        <v>0.93128470744680802</v>
      </c>
      <c r="AP217" s="6" t="str" cm="1">
        <f t="array" ref="AP217">IFERROR((SUMPRODUCT(($C$218:$C$241=AP$216)*($F$214:$AJ$214="")*$F$218:$AJ$241)+IF(AP$216="P3",SUMPRODUCT(($F$214:$AJ$214="P3")*$F$218:$AJ$241),0))/(SUMPRODUCT(($C$218:$C$241=AP$216)*($F$214:$AJ$214=""))+IF(AP$216="P3",COUNTIF($F$214:$AJ$214,"P3")*ROWS($C$218:$C$241),0)),"")</f>
        <v/>
      </c>
      <c r="AQ217" s="6" t="str" cm="1">
        <f t="array" ref="AQ217">IFERROR((SUMPRODUCT(($C$218:$C$241=AQ$216)*($F$214:$AJ$214="")*$F$218:$AJ$241)+IF(AQ$216="P3",SUMPRODUCT(($F$214:$AJ$214="P3")*$F$218:$AJ$241),0))/(SUMPRODUCT(($C$218:$C$241=AQ$216)*($F$214:$AJ$214=""))+IF(AQ$216="P3",COUNTIF($F$214:$AJ$214,"P3")*ROWS($C$218:$C$241),0)),"")</f>
        <v/>
      </c>
      <c r="AR217" s="6" t="str" cm="1">
        <f t="array" ref="AR217">IFERROR((SUMPRODUCT(($C$218:$C$241=AR$216)*($F$214:$AJ$214="")*$F$218:$AJ$241)+IF(AR$216="P3",SUMPRODUCT(($F$214:$AJ$214="P3")*$F$218:$AJ$241),0))/(SUMPRODUCT(($C$218:$C$241=AR$216)*($F$214:$AJ$214=""))+IF(AR$216="P3",COUNTIF($F$214:$AJ$214,"P3")*ROWS($C$218:$C$241),0)),"")</f>
        <v/>
      </c>
    </row>
    <row r="218" spans="1:44" ht="14.25" customHeight="1" x14ac:dyDescent="0.35">
      <c r="A218" s="1" t="s">
        <v>7</v>
      </c>
      <c r="B218" s="1" t="s">
        <v>7</v>
      </c>
      <c r="C218" s="1" t="s">
        <v>15</v>
      </c>
      <c r="D218" s="1" t="s">
        <v>7</v>
      </c>
      <c r="E218" s="1" t="s">
        <v>8</v>
      </c>
      <c r="F218" s="1">
        <v>0.98031999999999997</v>
      </c>
      <c r="G218" s="1">
        <v>0.92344000000000004</v>
      </c>
      <c r="H218" s="1">
        <v>0.96899999999999997</v>
      </c>
      <c r="I218" s="1">
        <v>0.95357999999999998</v>
      </c>
      <c r="J218" s="1">
        <v>0.92166000000000003</v>
      </c>
      <c r="K218" s="1">
        <v>0.98834</v>
      </c>
      <c r="L218" s="1">
        <v>1.0254099999999999</v>
      </c>
      <c r="M218" s="1">
        <v>0.98031999999999997</v>
      </c>
      <c r="N218" s="1">
        <v>0.92344000000000004</v>
      </c>
      <c r="O218" s="1">
        <v>0.96899999999999997</v>
      </c>
      <c r="P218" s="1">
        <v>0.95357999999999998</v>
      </c>
      <c r="Q218" s="1">
        <v>0.92166000000000003</v>
      </c>
      <c r="R218" s="1">
        <v>0.98834</v>
      </c>
      <c r="S218" s="1">
        <v>1.0254099999999999</v>
      </c>
      <c r="T218" s="1">
        <v>0.98031999999999997</v>
      </c>
      <c r="U218" s="1">
        <v>0.92344000000000004</v>
      </c>
      <c r="V218" s="1">
        <v>0.96899999999999997</v>
      </c>
      <c r="W218" s="1">
        <v>0.95357999999999998</v>
      </c>
      <c r="X218" s="1">
        <v>0.92166000000000003</v>
      </c>
      <c r="Y218" s="1">
        <v>0.98834</v>
      </c>
      <c r="Z218" s="1">
        <v>1.0254099999999999</v>
      </c>
      <c r="AA218" s="1">
        <v>0.98031999999999997</v>
      </c>
      <c r="AB218" s="1">
        <v>0.92344000000000004</v>
      </c>
      <c r="AC218" s="1">
        <v>0.96899999999999997</v>
      </c>
      <c r="AD218" s="1">
        <v>0.95357999999999998</v>
      </c>
      <c r="AE218" s="1">
        <v>0.92166000000000003</v>
      </c>
      <c r="AF218" s="1">
        <v>0.98834</v>
      </c>
      <c r="AG218" s="1">
        <v>1.0254099999999999</v>
      </c>
      <c r="AH218" s="1">
        <v>0.98031999999999997</v>
      </c>
      <c r="AI218" s="1">
        <v>0.92344000000000004</v>
      </c>
      <c r="AJ218" s="1">
        <v>0.96899999999999997</v>
      </c>
      <c r="AL218" s="4" t="s">
        <v>21</v>
      </c>
      <c r="AM218" s="6" cm="1">
        <f t="array" ref="AM218">IFERROR((SUMPRODUCT(($D$218:$D$241=AM$216)*($F$215:$AJ$215="")*$F$218:$AJ$241)+IF(AM$216="P6",SUMPRODUCT(($F$215:$AJ$215="P6")*$F$218:$AJ$241),0))/(SUMPRODUCT(($D$218:$D$241=AM$216)*($F$215:$AJ$215=""))+IF(AM$216="P6",COUNTIF($F$215:$AJ$215,"P6")*ROWS($D$218:$D$241),0)),"")</f>
        <v>0.87815739130434667</v>
      </c>
      <c r="AN218" s="6" cm="1">
        <f t="array" ref="AN218">IFERROR((SUMPRODUCT(($D$218:$D$241=AN$216)*($F$215:$AJ$215="")*$F$218:$AJ$241)+IF(AN$216="P6",SUMPRODUCT(($F$215:$AJ$215="P6")*$F$218:$AJ$241),0))/(SUMPRODUCT(($D$218:$D$241=AN$216)*($F$215:$AJ$215=""))+IF(AN$216="P6",COUNTIF($F$215:$AJ$215,"P6")*ROWS($D$218:$D$241),0)),"")</f>
        <v>0.90214658385093216</v>
      </c>
      <c r="AO218" s="6" t="str" cm="1">
        <f t="array" ref="AO218">IFERROR((SUMPRODUCT(($D$218:$D$241=AO$216)*($F$215:$AJ$215="")*$F$218:$AJ$241)+IF(AO$216="P6",SUMPRODUCT(($F$215:$AJ$215="P6")*$F$218:$AJ$241),0))/(SUMPRODUCT(($D$218:$D$241=AO$216)*($F$215:$AJ$215=""))+IF(AO$216="P6",COUNTIF($F$215:$AJ$215,"P6")*ROWS($D$218:$D$241),0)),"")</f>
        <v/>
      </c>
      <c r="AP218" s="6" t="str" cm="1">
        <f t="array" ref="AP218">IFERROR((SUMPRODUCT(($D$218:$D$241=AP$216)*($F$215:$AJ$215="")*$F$218:$AJ$241)+IF(AP$216="P6",SUMPRODUCT(($F$215:$AJ$215="P6")*$F$218:$AJ$241),0))/(SUMPRODUCT(($D$218:$D$241=AP$216)*($F$215:$AJ$215=""))+IF(AP$216="P6",COUNTIF($F$215:$AJ$215,"P6")*ROWS($D$218:$D$241),0)),"")</f>
        <v/>
      </c>
      <c r="AQ218" s="6" t="str" cm="1">
        <f t="array" ref="AQ218">IFERROR((SUMPRODUCT(($D$218:$D$241=AQ$216)*($F$215:$AJ$215="")*$F$218:$AJ$241)+IF(AQ$216="P6",SUMPRODUCT(($F$215:$AJ$215="P6")*$F$218:$AJ$241),0))/(SUMPRODUCT(($D$218:$D$241=AQ$216)*($F$215:$AJ$215=""))+IF(AQ$216="P6",COUNTIF($F$215:$AJ$215,"P6")*ROWS($D$218:$D$241),0)),"")</f>
        <v/>
      </c>
      <c r="AR218" s="6" cm="1">
        <f t="array" ref="AR218">IFERROR((SUMPRODUCT(($D$218:$D$241=AR$216)*($F$215:$AJ$215="")*$F$218:$AJ$241)+IF(AR$216="P6",SUMPRODUCT(($F$215:$AJ$215="P6")*$F$218:$AJ$241),0))/(SUMPRODUCT(($D$218:$D$241=AR$216)*($F$215:$AJ$215=""))+IF(AR$216="P6",COUNTIF($F$215:$AJ$215,"P6")*ROWS($D$218:$D$241),0)),"")</f>
        <v>0.93128470744680802</v>
      </c>
    </row>
    <row r="219" spans="1:44" ht="14.25" customHeight="1" x14ac:dyDescent="0.35">
      <c r="A219" s="1" t="s">
        <v>7</v>
      </c>
      <c r="B219" s="1" t="s">
        <v>7</v>
      </c>
      <c r="C219" s="1" t="s">
        <v>15</v>
      </c>
      <c r="D219" s="1" t="s">
        <v>7</v>
      </c>
      <c r="E219" s="1" t="s">
        <v>9</v>
      </c>
      <c r="F219" s="1">
        <v>0.98184000000000005</v>
      </c>
      <c r="G219" s="1">
        <v>0.92381999999999997</v>
      </c>
      <c r="H219" s="1">
        <v>0.97809000000000001</v>
      </c>
      <c r="I219" s="1">
        <v>0.95969000000000004</v>
      </c>
      <c r="J219" s="1">
        <v>0.92186999999999997</v>
      </c>
      <c r="K219" s="1">
        <v>0.97385999999999995</v>
      </c>
      <c r="L219" s="1">
        <v>1.0153000000000001</v>
      </c>
      <c r="M219" s="1">
        <v>0.98184000000000005</v>
      </c>
      <c r="N219" s="1">
        <v>0.92381999999999997</v>
      </c>
      <c r="O219" s="1">
        <v>0.97809000000000001</v>
      </c>
      <c r="P219" s="1">
        <v>0.95969000000000004</v>
      </c>
      <c r="Q219" s="1">
        <v>0.92186999999999997</v>
      </c>
      <c r="R219" s="1">
        <v>0.97385999999999995</v>
      </c>
      <c r="S219" s="1">
        <v>1.0153000000000001</v>
      </c>
      <c r="T219" s="1">
        <v>0.98184000000000005</v>
      </c>
      <c r="U219" s="1">
        <v>0.92381999999999997</v>
      </c>
      <c r="V219" s="1">
        <v>0.97809000000000001</v>
      </c>
      <c r="W219" s="1">
        <v>0.95969000000000004</v>
      </c>
      <c r="X219" s="1">
        <v>0.92186999999999997</v>
      </c>
      <c r="Y219" s="1">
        <v>0.97385999999999995</v>
      </c>
      <c r="Z219" s="1">
        <v>1.0153000000000001</v>
      </c>
      <c r="AA219" s="1">
        <v>0.98184000000000005</v>
      </c>
      <c r="AB219" s="1">
        <v>0.92381999999999997</v>
      </c>
      <c r="AC219" s="1">
        <v>0.97809000000000001</v>
      </c>
      <c r="AD219" s="1">
        <v>0.95969000000000004</v>
      </c>
      <c r="AE219" s="1">
        <v>0.92186999999999997</v>
      </c>
      <c r="AF219" s="1">
        <v>0.97385999999999995</v>
      </c>
      <c r="AG219" s="1">
        <v>1.0153000000000001</v>
      </c>
      <c r="AH219" s="1">
        <v>0.98184000000000005</v>
      </c>
      <c r="AI219" s="1">
        <v>0.92381999999999997</v>
      </c>
      <c r="AJ219" s="1">
        <v>0.97809000000000001</v>
      </c>
      <c r="AL219" s="4" t="s">
        <v>23</v>
      </c>
      <c r="AM219" s="6" cm="1">
        <f t="array" ref="AM219">IFERROR((SUMPRODUCT(($D$218:$D$241=AM$216)*($F$215:$AJ$215="")*$F$218:$AJ$241)+IF(AM$216="P6",SUMPRODUCT(($F$215:$AJ$215="P6")*$F$218:$AJ$241),0))/(SUMPRODUCT(($D$218:$D$241=AM$216)*($F$215:$AJ$215=""))+IF(AM$216="P6",COUNTIF($F$215:$AJ$215,"P6")*ROWS($D$218:$D$241),0)),"")</f>
        <v>0.87815739130434667</v>
      </c>
      <c r="AN219" s="6" cm="1">
        <f t="array" ref="AN219">IFERROR((SUMPRODUCT(($D$218:$D$241=AN$216)*($F$215:$AJ$215="")*$F$218:$AJ$241)+IF(AN$216="P6",SUMPRODUCT(($F$215:$AJ$215="P6")*$F$218:$AJ$241),0))/(SUMPRODUCT(($D$218:$D$241=AN$216)*($F$215:$AJ$215=""))+IF(AN$216="P6",COUNTIF($F$215:$AJ$215,"P6")*ROWS($D$218:$D$241),0)),"")</f>
        <v>0.90214658385093216</v>
      </c>
      <c r="AO219" s="5" t="str" cm="1">
        <f t="array" ref="AO219">IFERROR((SUMPRODUCT(($D$218:$D$241=AO$216)*($F$215:$AJ$215="")*$F$218:$AJ$241)+IF(AO$216="P6",SUMPRODUCT(($F$215:$AJ$215="P6")*$F$218:$AJ$241),0))/(SUMPRODUCT(($D$218:$D$241=AO$216)*($F$215:$AJ$215=""))+IF(AO$216="P6",COUNTIF($F$215:$AJ$215,"P6")*ROWS($D$218:$D$241),0)),"")</f>
        <v/>
      </c>
      <c r="AP219" s="5" t="str" cm="1">
        <f t="array" ref="AP219">IFERROR((SUMPRODUCT(($D$218:$D$241=AP$216)*($F$215:$AJ$215="")*$F$218:$AJ$241)+IF(AP$216="P6",SUMPRODUCT(($F$215:$AJ$215="P6")*$F$218:$AJ$241),0))/(SUMPRODUCT(($D$218:$D$241=AP$216)*($F$215:$AJ$215=""))+IF(AP$216="P6",COUNTIF($F$215:$AJ$215,"P6")*ROWS($D$218:$D$241),0)),"")</f>
        <v/>
      </c>
      <c r="AQ219" s="5" t="str" cm="1">
        <f t="array" ref="AQ219">IFERROR((SUMPRODUCT(($D$218:$D$241=AQ$216)*($F$215:$AJ$215="")*$F$218:$AJ$241)+IF(AQ$216="P6",SUMPRODUCT(($F$215:$AJ$215="P6")*$F$218:$AJ$241),0))/(SUMPRODUCT(($D$218:$D$241=AQ$216)*($F$215:$AJ$215=""))+IF(AQ$216="P6",COUNTIF($F$215:$AJ$215,"P6")*ROWS($D$218:$D$241),0)),"")</f>
        <v/>
      </c>
      <c r="AR219" s="6" cm="1">
        <f t="array" ref="AR219">IFERROR((SUMPRODUCT(($D$218:$D$241=AR$216)*($F$215:$AJ$215="")*$F$218:$AJ$241)+IF(AR$216="P6",SUMPRODUCT(($F$215:$AJ$215="P6")*$F$218:$AJ$241),0))/(SUMPRODUCT(($D$218:$D$241=AR$216)*($F$215:$AJ$215=""))+IF(AR$216="P6",COUNTIF($F$215:$AJ$215,"P6")*ROWS($D$218:$D$241),0)),"")</f>
        <v>0.93128470744680802</v>
      </c>
    </row>
    <row r="220" spans="1:44" ht="14.25" customHeight="1" x14ac:dyDescent="0.35">
      <c r="A220" s="1" t="s">
        <v>7</v>
      </c>
      <c r="B220" s="1" t="s">
        <v>7</v>
      </c>
      <c r="C220" s="1" t="s">
        <v>15</v>
      </c>
      <c r="D220" s="1" t="s">
        <v>7</v>
      </c>
      <c r="E220" s="1" t="s">
        <v>10</v>
      </c>
      <c r="F220" s="1">
        <v>0.97563</v>
      </c>
      <c r="G220" s="1">
        <v>0.92795000000000005</v>
      </c>
      <c r="H220" s="1">
        <v>0.97404000000000002</v>
      </c>
      <c r="I220" s="1">
        <v>0.95548999999999995</v>
      </c>
      <c r="J220" s="1">
        <v>0.92754000000000003</v>
      </c>
      <c r="K220" s="1">
        <v>0.97062999999999999</v>
      </c>
      <c r="L220" s="1">
        <v>0.99973000000000001</v>
      </c>
      <c r="M220" s="1">
        <v>0.97563</v>
      </c>
      <c r="N220" s="1">
        <v>0.92795000000000005</v>
      </c>
      <c r="O220" s="1">
        <v>0.97404000000000002</v>
      </c>
      <c r="P220" s="1">
        <v>0.95548999999999995</v>
      </c>
      <c r="Q220" s="1">
        <v>0.92754000000000003</v>
      </c>
      <c r="R220" s="1">
        <v>0.97062999999999999</v>
      </c>
      <c r="S220" s="1">
        <v>0.99973000000000001</v>
      </c>
      <c r="T220" s="1">
        <v>0.97563</v>
      </c>
      <c r="U220" s="1">
        <v>0.92795000000000005</v>
      </c>
      <c r="V220" s="1">
        <v>0.97404000000000002</v>
      </c>
      <c r="W220" s="1">
        <v>0.95548999999999995</v>
      </c>
      <c r="X220" s="1">
        <v>0.92754000000000003</v>
      </c>
      <c r="Y220" s="1">
        <v>0.97062999999999999</v>
      </c>
      <c r="Z220" s="1">
        <v>0.99973000000000001</v>
      </c>
      <c r="AA220" s="1">
        <v>0.97563</v>
      </c>
      <c r="AB220" s="1">
        <v>0.92795000000000005</v>
      </c>
      <c r="AC220" s="1">
        <v>0.97404000000000002</v>
      </c>
      <c r="AD220" s="1">
        <v>0.95548999999999995</v>
      </c>
      <c r="AE220" s="1">
        <v>0.92754000000000003</v>
      </c>
      <c r="AF220" s="1">
        <v>0.97062999999999999</v>
      </c>
      <c r="AG220" s="1">
        <v>0.99973000000000001</v>
      </c>
      <c r="AH220" s="1">
        <v>0.97563</v>
      </c>
      <c r="AI220" s="1">
        <v>0.92795000000000005</v>
      </c>
      <c r="AJ220" s="1">
        <v>0.97404000000000002</v>
      </c>
      <c r="AL220" s="4" t="s">
        <v>25</v>
      </c>
      <c r="AM220" s="6" cm="1">
        <f t="array" ref="AM220">IFERROR((SUMPRODUCT(($D$218:$D$241=AM$216)*($F$215:$AJ$215="")*$F$218:$AJ$241)+IF(AM$216="P6",SUMPRODUCT(($F$215:$AJ$215="P6")*$F$218:$AJ$241),0))/(SUMPRODUCT(($D$218:$D$241=AM$216)*($F$215:$AJ$215=""))+IF(AM$216="P6",COUNTIF($F$215:$AJ$215,"P6")*ROWS($D$218:$D$241),0)),"")</f>
        <v>0.87815739130434667</v>
      </c>
      <c r="AN220" s="6" cm="1">
        <f t="array" ref="AN220">IFERROR((SUMPRODUCT(($D$218:$D$241=AN$216)*($F$215:$AJ$215="")*$F$218:$AJ$241)+IF(AN$216="P6",SUMPRODUCT(($F$215:$AJ$215="P6")*$F$218:$AJ$241),0))/(SUMPRODUCT(($D$218:$D$241=AN$216)*($F$215:$AJ$215=""))+IF(AN$216="P6",COUNTIF($F$215:$AJ$215,"P6")*ROWS($D$218:$D$241),0)),"")</f>
        <v>0.90214658385093216</v>
      </c>
      <c r="AO220" s="5" t="str" cm="1">
        <f t="array" ref="AO220">IFERROR((SUMPRODUCT(($D$218:$D$241=AO$216)*($F$215:$AJ$215="")*$F$218:$AJ$241)+IF(AO$216="P6",SUMPRODUCT(($F$215:$AJ$215="P6")*$F$218:$AJ$241),0))/(SUMPRODUCT(($D$218:$D$241=AO$216)*($F$215:$AJ$215=""))+IF(AO$216="P6",COUNTIF($F$215:$AJ$215,"P6")*ROWS($D$218:$D$241),0)),"")</f>
        <v/>
      </c>
      <c r="AP220" s="5" t="str" cm="1">
        <f t="array" ref="AP220">IFERROR((SUMPRODUCT(($D$218:$D$241=AP$216)*($F$215:$AJ$215="")*$F$218:$AJ$241)+IF(AP$216="P6",SUMPRODUCT(($F$215:$AJ$215="P6")*$F$218:$AJ$241),0))/(SUMPRODUCT(($D$218:$D$241=AP$216)*($F$215:$AJ$215=""))+IF(AP$216="P6",COUNTIF($F$215:$AJ$215,"P6")*ROWS($D$218:$D$241),0)),"")</f>
        <v/>
      </c>
      <c r="AQ220" s="5" t="str" cm="1">
        <f t="array" ref="AQ220">IFERROR((SUMPRODUCT(($D$218:$D$241=AQ$216)*($F$215:$AJ$215="")*$F$218:$AJ$241)+IF(AQ$216="P6",SUMPRODUCT(($F$215:$AJ$215="P6")*$F$218:$AJ$241),0))/(SUMPRODUCT(($D$218:$D$241=AQ$216)*($F$215:$AJ$215=""))+IF(AQ$216="P6",COUNTIF($F$215:$AJ$215,"P6")*ROWS($D$218:$D$241),0)),"")</f>
        <v/>
      </c>
      <c r="AR220" s="6" cm="1">
        <f t="array" ref="AR220">IFERROR((SUMPRODUCT(($D$218:$D$241=AR$216)*($F$215:$AJ$215="")*$F$218:$AJ$241)+IF(AR$216="P6",SUMPRODUCT(($F$215:$AJ$215="P6")*$F$218:$AJ$241),0))/(SUMPRODUCT(($D$218:$D$241=AR$216)*($F$215:$AJ$215=""))+IF(AR$216="P6",COUNTIF($F$215:$AJ$215,"P6")*ROWS($D$218:$D$241),0)),"")</f>
        <v>0.93128470744680802</v>
      </c>
    </row>
    <row r="221" spans="1:44" ht="14.25" customHeight="1" x14ac:dyDescent="0.35">
      <c r="A221" s="1" t="s">
        <v>7</v>
      </c>
      <c r="B221" s="1" t="s">
        <v>7</v>
      </c>
      <c r="C221" s="1" t="s">
        <v>15</v>
      </c>
      <c r="D221" s="1" t="s">
        <v>7</v>
      </c>
      <c r="E221" s="1" t="s">
        <v>11</v>
      </c>
      <c r="F221" s="1">
        <v>0.96094000000000002</v>
      </c>
      <c r="G221" s="1">
        <v>0.92649999999999999</v>
      </c>
      <c r="H221" s="1">
        <v>0.96879000000000004</v>
      </c>
      <c r="I221" s="1">
        <v>0.93437000000000003</v>
      </c>
      <c r="J221" s="1">
        <v>0.92806</v>
      </c>
      <c r="K221" s="1">
        <v>0.95826999999999996</v>
      </c>
      <c r="L221" s="1">
        <v>1.00345</v>
      </c>
      <c r="M221" s="1">
        <v>0.96094000000000002</v>
      </c>
      <c r="N221" s="1">
        <v>0.92649999999999999</v>
      </c>
      <c r="O221" s="1">
        <v>0.96879000000000004</v>
      </c>
      <c r="P221" s="1">
        <v>0.93437000000000003</v>
      </c>
      <c r="Q221" s="1">
        <v>0.92806</v>
      </c>
      <c r="R221" s="1">
        <v>0.95826999999999996</v>
      </c>
      <c r="S221" s="1">
        <v>1.00345</v>
      </c>
      <c r="T221" s="1">
        <v>0.96094000000000002</v>
      </c>
      <c r="U221" s="1">
        <v>0.92649999999999999</v>
      </c>
      <c r="V221" s="1">
        <v>0.96879000000000004</v>
      </c>
      <c r="W221" s="1">
        <v>0.93437000000000003</v>
      </c>
      <c r="X221" s="1">
        <v>0.92806</v>
      </c>
      <c r="Y221" s="1">
        <v>0.95826999999999996</v>
      </c>
      <c r="Z221" s="1">
        <v>1.00345</v>
      </c>
      <c r="AA221" s="1">
        <v>0.96094000000000002</v>
      </c>
      <c r="AB221" s="1">
        <v>0.92649999999999999</v>
      </c>
      <c r="AC221" s="1">
        <v>0.96879000000000004</v>
      </c>
      <c r="AD221" s="1">
        <v>0.93437000000000003</v>
      </c>
      <c r="AE221" s="1">
        <v>0.92806</v>
      </c>
      <c r="AF221" s="1">
        <v>0.95826999999999996</v>
      </c>
      <c r="AG221" s="1">
        <v>1.00345</v>
      </c>
      <c r="AH221" s="1">
        <v>0.96094000000000002</v>
      </c>
      <c r="AI221" s="1">
        <v>0.92649999999999999</v>
      </c>
      <c r="AJ221" s="1">
        <v>0.96879000000000004</v>
      </c>
      <c r="AL221" s="4" t="s">
        <v>27</v>
      </c>
      <c r="AM221" s="6" cm="1">
        <f t="array" ref="AM221">IFERROR((SUMPRODUCT(($D$218:$D$241=AM$216)*($F$215:$AJ$215="")*$F$218:$AJ$241)+IF(AM$216="P6",SUMPRODUCT(($F$215:$AJ$215="P6")*$F$218:$AJ$241),0))/(SUMPRODUCT(($D$218:$D$241=AM$216)*($F$215:$AJ$215=""))+IF(AM$216="P6",COUNTIF($F$215:$AJ$215,"P6")*ROWS($D$218:$D$241),0)),"")</f>
        <v>0.87815739130434667</v>
      </c>
      <c r="AN221" s="6" cm="1">
        <f t="array" ref="AN221">IFERROR((SUMPRODUCT(($D$218:$D$241=AN$216)*($F$215:$AJ$215="")*$F$218:$AJ$241)+IF(AN$216="P6",SUMPRODUCT(($F$215:$AJ$215="P6")*$F$218:$AJ$241),0))/(SUMPRODUCT(($D$218:$D$241=AN$216)*($F$215:$AJ$215=""))+IF(AN$216="P6",COUNTIF($F$215:$AJ$215,"P6")*ROWS($D$218:$D$241),0)),"")</f>
        <v>0.90214658385093216</v>
      </c>
      <c r="AO221" s="5" t="str" cm="1">
        <f t="array" ref="AO221">IFERROR((SUMPRODUCT(($D$218:$D$241=AO$216)*($F$215:$AJ$215="")*$F$218:$AJ$241)+IF(AO$216="P6",SUMPRODUCT(($F$215:$AJ$215="P6")*$F$218:$AJ$241),0))/(SUMPRODUCT(($D$218:$D$241=AO$216)*($F$215:$AJ$215=""))+IF(AO$216="P6",COUNTIF($F$215:$AJ$215,"P6")*ROWS($D$218:$D$241),0)),"")</f>
        <v/>
      </c>
      <c r="AP221" s="5" t="str" cm="1">
        <f t="array" ref="AP221">IFERROR((SUMPRODUCT(($D$218:$D$241=AP$216)*($F$215:$AJ$215="")*$F$218:$AJ$241)+IF(AP$216="P6",SUMPRODUCT(($F$215:$AJ$215="P6")*$F$218:$AJ$241),0))/(SUMPRODUCT(($D$218:$D$241=AP$216)*($F$215:$AJ$215=""))+IF(AP$216="P6",COUNTIF($F$215:$AJ$215,"P6")*ROWS($D$218:$D$241),0)),"")</f>
        <v/>
      </c>
      <c r="AQ221" s="5" t="str" cm="1">
        <f t="array" ref="AQ221">IFERROR((SUMPRODUCT(($D$218:$D$241=AQ$216)*($F$215:$AJ$215="")*$F$218:$AJ$241)+IF(AQ$216="P6",SUMPRODUCT(($F$215:$AJ$215="P6")*$F$218:$AJ$241),0))/(SUMPRODUCT(($D$218:$D$241=AQ$216)*($F$215:$AJ$215=""))+IF(AQ$216="P6",COUNTIF($F$215:$AJ$215,"P6")*ROWS($D$218:$D$241),0)),"")</f>
        <v/>
      </c>
      <c r="AR221" s="6" cm="1">
        <f t="array" ref="AR221">IFERROR((SUMPRODUCT(($D$218:$D$241=AR$216)*($F$215:$AJ$215="")*$F$218:$AJ$241)+IF(AR$216="P6",SUMPRODUCT(($F$215:$AJ$215="P6")*$F$218:$AJ$241),0))/(SUMPRODUCT(($D$218:$D$241=AR$216)*($F$215:$AJ$215=""))+IF(AR$216="P6",COUNTIF($F$215:$AJ$215,"P6")*ROWS($D$218:$D$241),0)),"")</f>
        <v>0.93128470744680802</v>
      </c>
    </row>
    <row r="222" spans="1:44" ht="14.25" customHeight="1" x14ac:dyDescent="0.35">
      <c r="A222" s="1" t="s">
        <v>7</v>
      </c>
      <c r="B222" s="1" t="s">
        <v>7</v>
      </c>
      <c r="C222" s="1" t="s">
        <v>15</v>
      </c>
      <c r="D222" s="1" t="s">
        <v>7</v>
      </c>
      <c r="E222" s="1" t="s">
        <v>12</v>
      </c>
      <c r="F222" s="1">
        <v>0.94562999999999997</v>
      </c>
      <c r="G222" s="1">
        <v>0.93052000000000001</v>
      </c>
      <c r="H222" s="1">
        <v>0.96025000000000005</v>
      </c>
      <c r="I222" s="1">
        <v>0.93123999999999996</v>
      </c>
      <c r="J222" s="1">
        <v>0.93271000000000004</v>
      </c>
      <c r="K222" s="1">
        <v>0.95030999999999999</v>
      </c>
      <c r="L222" s="1">
        <v>0.99438000000000004</v>
      </c>
      <c r="M222" s="1">
        <v>0.94562999999999997</v>
      </c>
      <c r="N222" s="1">
        <v>0.93052000000000001</v>
      </c>
      <c r="O222" s="1">
        <v>0.96025000000000005</v>
      </c>
      <c r="P222" s="1">
        <v>0.93123999999999996</v>
      </c>
      <c r="Q222" s="1">
        <v>0.93271000000000004</v>
      </c>
      <c r="R222" s="1">
        <v>0.95030999999999999</v>
      </c>
      <c r="S222" s="1">
        <v>0.99438000000000004</v>
      </c>
      <c r="T222" s="1">
        <v>0.94562999999999997</v>
      </c>
      <c r="U222" s="1">
        <v>0.93052000000000001</v>
      </c>
      <c r="V222" s="1">
        <v>0.96025000000000005</v>
      </c>
      <c r="W222" s="1">
        <v>0.93123999999999996</v>
      </c>
      <c r="X222" s="1">
        <v>0.93271000000000004</v>
      </c>
      <c r="Y222" s="1">
        <v>0.95030999999999999</v>
      </c>
      <c r="Z222" s="1">
        <v>0.99438000000000004</v>
      </c>
      <c r="AA222" s="1">
        <v>0.94562999999999997</v>
      </c>
      <c r="AB222" s="1">
        <v>0.93052000000000001</v>
      </c>
      <c r="AC222" s="1">
        <v>0.96025000000000005</v>
      </c>
      <c r="AD222" s="1">
        <v>0.93123999999999996</v>
      </c>
      <c r="AE222" s="1">
        <v>0.93271000000000004</v>
      </c>
      <c r="AF222" s="1">
        <v>0.95030999999999999</v>
      </c>
      <c r="AG222" s="1">
        <v>0.99438000000000004</v>
      </c>
      <c r="AH222" s="1">
        <v>0.94562999999999997</v>
      </c>
      <c r="AI222" s="1">
        <v>0.93052000000000001</v>
      </c>
      <c r="AJ222" s="1">
        <v>0.96025000000000005</v>
      </c>
      <c r="AL222" s="4" t="s">
        <v>29</v>
      </c>
      <c r="AM222" s="6" cm="1">
        <f t="array" ref="AM222">IFERROR((SUMPRODUCT(($D$218:$D$241=AM$216)*($F$215:$AJ$215="")*$F$218:$AJ$241)+IF(AM$216="P6",SUMPRODUCT(($F$215:$AJ$215="P6")*$F$218:$AJ$241),0))/(SUMPRODUCT(($D$218:$D$241=AM$216)*($F$215:$AJ$215=""))+IF(AM$216="P6",COUNTIF($F$215:$AJ$215,"P6")*ROWS($D$218:$D$241),0)),"")</f>
        <v>0.87815739130434667</v>
      </c>
      <c r="AN222" s="6" cm="1">
        <f t="array" ref="AN222">IFERROR((SUMPRODUCT(($D$218:$D$241=AN$216)*($F$215:$AJ$215="")*$F$218:$AJ$241)+IF(AN$216="P6",SUMPRODUCT(($F$215:$AJ$215="P6")*$F$218:$AJ$241),0))/(SUMPRODUCT(($D$218:$D$241=AN$216)*($F$215:$AJ$215=""))+IF(AN$216="P6",COUNTIF($F$215:$AJ$215,"P6")*ROWS($D$218:$D$241),0)),"")</f>
        <v>0.90214658385093216</v>
      </c>
      <c r="AO222" s="5" t="str" cm="1">
        <f t="array" ref="AO222">IFERROR((SUMPRODUCT(($D$218:$D$241=AO$216)*($F$215:$AJ$215="")*$F$218:$AJ$241)+IF(AO$216="P6",SUMPRODUCT(($F$215:$AJ$215="P6")*$F$218:$AJ$241),0))/(SUMPRODUCT(($D$218:$D$241=AO$216)*($F$215:$AJ$215=""))+IF(AO$216="P6",COUNTIF($F$215:$AJ$215,"P6")*ROWS($D$218:$D$241),0)),"")</f>
        <v/>
      </c>
      <c r="AP222" s="5" t="str" cm="1">
        <f t="array" ref="AP222">IFERROR((SUMPRODUCT(($D$218:$D$241=AP$216)*($F$215:$AJ$215="")*$F$218:$AJ$241)+IF(AP$216="P6",SUMPRODUCT(($F$215:$AJ$215="P6")*$F$218:$AJ$241),0))/(SUMPRODUCT(($D$218:$D$241=AP$216)*($F$215:$AJ$215=""))+IF(AP$216="P6",COUNTIF($F$215:$AJ$215,"P6")*ROWS($D$218:$D$241),0)),"")</f>
        <v/>
      </c>
      <c r="AQ222" s="5" t="str" cm="1">
        <f t="array" ref="AQ222">IFERROR((SUMPRODUCT(($D$218:$D$241=AQ$216)*($F$215:$AJ$215="")*$F$218:$AJ$241)+IF(AQ$216="P6",SUMPRODUCT(($F$215:$AJ$215="P6")*$F$218:$AJ$241),0))/(SUMPRODUCT(($D$218:$D$241=AQ$216)*($F$215:$AJ$215=""))+IF(AQ$216="P6",COUNTIF($F$215:$AJ$215,"P6")*ROWS($D$218:$D$241),0)),"")</f>
        <v/>
      </c>
      <c r="AR222" s="6" cm="1">
        <f t="array" ref="AR222">IFERROR((SUMPRODUCT(($D$218:$D$241=AR$216)*($F$215:$AJ$215="")*$F$218:$AJ$241)+IF(AR$216="P6",SUMPRODUCT(($F$215:$AJ$215="P6")*$F$218:$AJ$241),0))/(SUMPRODUCT(($D$218:$D$241=AR$216)*($F$215:$AJ$215=""))+IF(AR$216="P6",COUNTIF($F$215:$AJ$215,"P6")*ROWS($D$218:$D$241),0)),"")</f>
        <v>0.93128470744680802</v>
      </c>
    </row>
    <row r="223" spans="1:44" ht="14.25" customHeight="1" x14ac:dyDescent="0.35">
      <c r="A223" s="1" t="s">
        <v>7</v>
      </c>
      <c r="B223" s="1" t="s">
        <v>7</v>
      </c>
      <c r="C223" s="1" t="s">
        <v>15</v>
      </c>
      <c r="D223" s="1" t="s">
        <v>7</v>
      </c>
      <c r="E223" s="1" t="s">
        <v>18</v>
      </c>
      <c r="F223" s="1">
        <v>0.92479</v>
      </c>
      <c r="G223" s="1">
        <v>0.92144000000000004</v>
      </c>
      <c r="H223" s="1">
        <v>0.93506999999999996</v>
      </c>
      <c r="I223" s="1">
        <v>0.91852</v>
      </c>
      <c r="J223" s="1">
        <v>0.92893999999999999</v>
      </c>
      <c r="K223" s="1">
        <v>0.95376000000000005</v>
      </c>
      <c r="L223" s="1">
        <v>0.98745000000000005</v>
      </c>
      <c r="M223" s="1">
        <v>0.92479</v>
      </c>
      <c r="N223" s="1">
        <v>0.92144000000000004</v>
      </c>
      <c r="O223" s="1">
        <v>0.93506999999999996</v>
      </c>
      <c r="P223" s="1">
        <v>0.91852</v>
      </c>
      <c r="Q223" s="1">
        <v>0.92893999999999999</v>
      </c>
      <c r="R223" s="1">
        <v>0.95376000000000005</v>
      </c>
      <c r="S223" s="1">
        <v>0.98745000000000005</v>
      </c>
      <c r="T223" s="1">
        <v>0.92479</v>
      </c>
      <c r="U223" s="1">
        <v>0.92144000000000004</v>
      </c>
      <c r="V223" s="1">
        <v>0.93506999999999996</v>
      </c>
      <c r="W223" s="1">
        <v>0.91852</v>
      </c>
      <c r="X223" s="1">
        <v>0.92893999999999999</v>
      </c>
      <c r="Y223" s="1">
        <v>0.95376000000000005</v>
      </c>
      <c r="Z223" s="1">
        <v>0.98745000000000005</v>
      </c>
      <c r="AA223" s="1">
        <v>0.92479</v>
      </c>
      <c r="AB223" s="1">
        <v>0.92144000000000004</v>
      </c>
      <c r="AC223" s="1">
        <v>0.93506999999999996</v>
      </c>
      <c r="AD223" s="1">
        <v>0.91852</v>
      </c>
      <c r="AE223" s="1">
        <v>0.92893999999999999</v>
      </c>
      <c r="AF223" s="1">
        <v>0.95376000000000005</v>
      </c>
      <c r="AG223" s="1">
        <v>0.98745000000000005</v>
      </c>
      <c r="AH223" s="1">
        <v>0.92479</v>
      </c>
      <c r="AI223" s="1">
        <v>0.92144000000000004</v>
      </c>
      <c r="AJ223" s="1">
        <v>0.93506999999999996</v>
      </c>
      <c r="AL223" s="10"/>
      <c r="AM223" s="10"/>
      <c r="AN223" s="10"/>
      <c r="AO223" s="10"/>
      <c r="AP223" s="10"/>
      <c r="AQ223" s="10"/>
      <c r="AR223" s="10"/>
    </row>
    <row r="224" spans="1:44" ht="14.25" customHeight="1" x14ac:dyDescent="0.35">
      <c r="A224" s="1" t="s">
        <v>7</v>
      </c>
      <c r="B224" s="1" t="s">
        <v>7</v>
      </c>
      <c r="C224" s="1" t="s">
        <v>15</v>
      </c>
      <c r="D224" s="1" t="s">
        <v>7</v>
      </c>
      <c r="E224" s="1" t="s">
        <v>20</v>
      </c>
      <c r="F224" s="1">
        <v>0.88866999999999996</v>
      </c>
      <c r="G224" s="1">
        <v>0.89666999999999997</v>
      </c>
      <c r="H224" s="1">
        <v>0.88292000000000004</v>
      </c>
      <c r="I224" s="1">
        <v>0.89853000000000005</v>
      </c>
      <c r="J224" s="1">
        <v>0.90447</v>
      </c>
      <c r="K224" s="1">
        <v>0.94530000000000003</v>
      </c>
      <c r="L224" s="1">
        <v>0.97169000000000005</v>
      </c>
      <c r="M224" s="1">
        <v>0.88866999999999996</v>
      </c>
      <c r="N224" s="1">
        <v>0.89666999999999997</v>
      </c>
      <c r="O224" s="1">
        <v>0.88292000000000004</v>
      </c>
      <c r="P224" s="1">
        <v>0.89853000000000005</v>
      </c>
      <c r="Q224" s="1">
        <v>0.90447</v>
      </c>
      <c r="R224" s="1">
        <v>0.94530000000000003</v>
      </c>
      <c r="S224" s="1">
        <v>0.97169000000000005</v>
      </c>
      <c r="T224" s="1">
        <v>0.88866999999999996</v>
      </c>
      <c r="U224" s="1">
        <v>0.89666999999999997</v>
      </c>
      <c r="V224" s="1">
        <v>0.88292000000000004</v>
      </c>
      <c r="W224" s="1">
        <v>0.89853000000000005</v>
      </c>
      <c r="X224" s="1">
        <v>0.90447</v>
      </c>
      <c r="Y224" s="1">
        <v>0.94530000000000003</v>
      </c>
      <c r="Z224" s="1">
        <v>0.97169000000000005</v>
      </c>
      <c r="AA224" s="1">
        <v>0.88866999999999996</v>
      </c>
      <c r="AB224" s="1">
        <v>0.89666999999999997</v>
      </c>
      <c r="AC224" s="1">
        <v>0.88292000000000004</v>
      </c>
      <c r="AD224" s="1">
        <v>0.89853000000000005</v>
      </c>
      <c r="AE224" s="1">
        <v>0.90447</v>
      </c>
      <c r="AF224" s="1">
        <v>0.94530000000000003</v>
      </c>
      <c r="AG224" s="1">
        <v>0.97169000000000005</v>
      </c>
      <c r="AH224" s="1">
        <v>0.88866999999999996</v>
      </c>
      <c r="AI224" s="1">
        <v>0.89666999999999997</v>
      </c>
      <c r="AJ224" s="1">
        <v>0.88292000000000004</v>
      </c>
      <c r="AL224" s="10"/>
      <c r="AM224" s="10"/>
      <c r="AN224" s="10"/>
      <c r="AO224" s="10"/>
      <c r="AP224" s="10"/>
      <c r="AQ224" s="10"/>
      <c r="AR224" s="10"/>
    </row>
    <row r="225" spans="1:44" ht="14.25" customHeight="1" x14ac:dyDescent="0.35">
      <c r="A225" s="1" t="s">
        <v>7</v>
      </c>
      <c r="B225" s="1" t="s">
        <v>7</v>
      </c>
      <c r="C225" s="1" t="s">
        <v>15</v>
      </c>
      <c r="D225" s="1" t="s">
        <v>7</v>
      </c>
      <c r="E225" s="1" t="s">
        <v>22</v>
      </c>
      <c r="F225" s="1">
        <v>0.88251999999999997</v>
      </c>
      <c r="G225" s="1">
        <v>0.88351999999999997</v>
      </c>
      <c r="H225" s="1">
        <v>0.87609000000000004</v>
      </c>
      <c r="I225" s="1">
        <v>0.88170000000000004</v>
      </c>
      <c r="J225" s="1">
        <v>0.89002999999999999</v>
      </c>
      <c r="K225" s="1">
        <v>0.92313999999999996</v>
      </c>
      <c r="L225" s="1">
        <v>0.95904</v>
      </c>
      <c r="M225" s="1">
        <v>0.88251999999999997</v>
      </c>
      <c r="N225" s="1">
        <v>0.88351999999999997</v>
      </c>
      <c r="O225" s="1">
        <v>0.87609000000000004</v>
      </c>
      <c r="P225" s="1">
        <v>0.88170000000000004</v>
      </c>
      <c r="Q225" s="1">
        <v>0.89002999999999999</v>
      </c>
      <c r="R225" s="1">
        <v>0.92313999999999996</v>
      </c>
      <c r="S225" s="1">
        <v>0.95904</v>
      </c>
      <c r="T225" s="1">
        <v>0.88251999999999997</v>
      </c>
      <c r="U225" s="1">
        <v>0.88351999999999997</v>
      </c>
      <c r="V225" s="1">
        <v>0.87609000000000004</v>
      </c>
      <c r="W225" s="1">
        <v>0.88170000000000004</v>
      </c>
      <c r="X225" s="1">
        <v>0.89002999999999999</v>
      </c>
      <c r="Y225" s="1">
        <v>0.92313999999999996</v>
      </c>
      <c r="Z225" s="1">
        <v>0.95904</v>
      </c>
      <c r="AA225" s="1">
        <v>0.88251999999999997</v>
      </c>
      <c r="AB225" s="1">
        <v>0.88351999999999997</v>
      </c>
      <c r="AC225" s="1">
        <v>0.87609000000000004</v>
      </c>
      <c r="AD225" s="1">
        <v>0.88170000000000004</v>
      </c>
      <c r="AE225" s="1">
        <v>0.89002999999999999</v>
      </c>
      <c r="AF225" s="1">
        <v>0.92313999999999996</v>
      </c>
      <c r="AG225" s="1">
        <v>0.95904</v>
      </c>
      <c r="AH225" s="1">
        <v>0.88251999999999997</v>
      </c>
      <c r="AI225" s="1">
        <v>0.88351999999999997</v>
      </c>
      <c r="AJ225" s="1">
        <v>0.87609000000000004</v>
      </c>
      <c r="AL225" s="14" t="s">
        <v>179</v>
      </c>
      <c r="AM225" s="14"/>
      <c r="AN225" s="14"/>
      <c r="AO225" s="14"/>
      <c r="AP225" s="14"/>
      <c r="AQ225" s="14"/>
      <c r="AR225" s="14"/>
    </row>
    <row r="226" spans="1:44" ht="14.25" customHeight="1" x14ac:dyDescent="0.35">
      <c r="A226" s="1" t="s">
        <v>15</v>
      </c>
      <c r="B226" s="1" t="s">
        <v>14</v>
      </c>
      <c r="C226" s="1" t="s">
        <v>14</v>
      </c>
      <c r="D226" s="1" t="s">
        <v>14</v>
      </c>
      <c r="E226" s="1" t="s">
        <v>24</v>
      </c>
      <c r="F226" s="1">
        <v>0.86458999999999997</v>
      </c>
      <c r="G226" s="1">
        <v>0.86070999999999998</v>
      </c>
      <c r="H226" s="1">
        <v>0.87353999999999998</v>
      </c>
      <c r="I226" s="1">
        <v>0.85519000000000001</v>
      </c>
      <c r="J226" s="1">
        <v>0.86409000000000002</v>
      </c>
      <c r="K226" s="1">
        <v>0.88429999999999997</v>
      </c>
      <c r="L226" s="1">
        <v>0.91108</v>
      </c>
      <c r="M226" s="1">
        <v>0.86458999999999997</v>
      </c>
      <c r="N226" s="1">
        <v>0.86070999999999998</v>
      </c>
      <c r="O226" s="1">
        <v>0.87353999999999998</v>
      </c>
      <c r="P226" s="1">
        <v>0.85519000000000001</v>
      </c>
      <c r="Q226" s="1">
        <v>0.86409000000000002</v>
      </c>
      <c r="R226" s="1">
        <v>0.88429999999999997</v>
      </c>
      <c r="S226" s="1">
        <v>0.91108</v>
      </c>
      <c r="T226" s="1">
        <v>0.86458999999999997</v>
      </c>
      <c r="U226" s="1">
        <v>0.86070999999999998</v>
      </c>
      <c r="V226" s="1">
        <v>0.87353999999999998</v>
      </c>
      <c r="W226" s="1">
        <v>0.85519000000000001</v>
      </c>
      <c r="X226" s="1">
        <v>0.86409000000000002</v>
      </c>
      <c r="Y226" s="1">
        <v>0.88429999999999997</v>
      </c>
      <c r="Z226" s="1">
        <v>0.91108</v>
      </c>
      <c r="AA226" s="1">
        <v>0.86458999999999997</v>
      </c>
      <c r="AB226" s="1">
        <v>0.86070999999999998</v>
      </c>
      <c r="AC226" s="1">
        <v>0.87353999999999998</v>
      </c>
      <c r="AD226" s="1">
        <v>0.85519000000000001</v>
      </c>
      <c r="AE226" s="1">
        <v>0.86409000000000002</v>
      </c>
      <c r="AF226" s="1">
        <v>0.88429999999999997</v>
      </c>
      <c r="AG226" s="1">
        <v>0.91108</v>
      </c>
      <c r="AH226" s="1">
        <v>0.86458999999999997</v>
      </c>
      <c r="AI226" s="1">
        <v>0.86070999999999998</v>
      </c>
      <c r="AJ226" s="1">
        <v>0.87353999999999998</v>
      </c>
      <c r="AL226" s="4"/>
      <c r="AM226" s="4" t="s">
        <v>13</v>
      </c>
      <c r="AN226" s="4" t="s">
        <v>14</v>
      </c>
      <c r="AO226" s="4" t="s">
        <v>15</v>
      </c>
      <c r="AP226" s="4" t="s">
        <v>16</v>
      </c>
      <c r="AQ226" s="4" t="s">
        <v>17</v>
      </c>
      <c r="AR226" s="4" t="s">
        <v>7</v>
      </c>
    </row>
    <row r="227" spans="1:44" ht="14.25" customHeight="1" x14ac:dyDescent="0.35">
      <c r="A227" s="1" t="s">
        <v>15</v>
      </c>
      <c r="B227" s="1" t="s">
        <v>14</v>
      </c>
      <c r="C227" s="1" t="s">
        <v>14</v>
      </c>
      <c r="D227" s="1" t="s">
        <v>13</v>
      </c>
      <c r="E227" s="1" t="s">
        <v>26</v>
      </c>
      <c r="F227" s="1">
        <v>0.85279000000000005</v>
      </c>
      <c r="G227" s="1">
        <v>0.85431999999999997</v>
      </c>
      <c r="H227" s="1">
        <v>0.86463000000000001</v>
      </c>
      <c r="I227" s="1">
        <v>0.84741</v>
      </c>
      <c r="J227" s="1">
        <v>0.85004999999999997</v>
      </c>
      <c r="K227" s="1">
        <v>0.86253999999999997</v>
      </c>
      <c r="L227" s="1">
        <v>0.86604999999999999</v>
      </c>
      <c r="M227" s="1">
        <v>0.85279000000000005</v>
      </c>
      <c r="N227" s="1">
        <v>0.85431999999999997</v>
      </c>
      <c r="O227" s="1">
        <v>0.86463000000000001</v>
      </c>
      <c r="P227" s="1">
        <v>0.84741</v>
      </c>
      <c r="Q227" s="1">
        <v>0.85004999999999997</v>
      </c>
      <c r="R227" s="1">
        <v>0.86253999999999997</v>
      </c>
      <c r="S227" s="1">
        <v>0.86604999999999999</v>
      </c>
      <c r="T227" s="1">
        <v>0.85279000000000005</v>
      </c>
      <c r="U227" s="1">
        <v>0.85431999999999997</v>
      </c>
      <c r="V227" s="1">
        <v>0.86463000000000001</v>
      </c>
      <c r="W227" s="1">
        <v>0.84741</v>
      </c>
      <c r="X227" s="1">
        <v>0.85004999999999997</v>
      </c>
      <c r="Y227" s="1">
        <v>0.86253999999999997</v>
      </c>
      <c r="Z227" s="1">
        <v>0.86604999999999999</v>
      </c>
      <c r="AA227" s="1">
        <v>0.85279000000000005</v>
      </c>
      <c r="AB227" s="1">
        <v>0.85431999999999997</v>
      </c>
      <c r="AC227" s="1">
        <v>0.86463000000000001</v>
      </c>
      <c r="AD227" s="1">
        <v>0.84741</v>
      </c>
      <c r="AE227" s="1">
        <v>0.85004999999999997</v>
      </c>
      <c r="AF227" s="1">
        <v>0.86253999999999997</v>
      </c>
      <c r="AG227" s="1">
        <v>0.86604999999999999</v>
      </c>
      <c r="AH227" s="1">
        <v>0.85279000000000005</v>
      </c>
      <c r="AI227" s="1">
        <v>0.85431999999999997</v>
      </c>
      <c r="AJ227" s="1">
        <v>0.86463000000000001</v>
      </c>
      <c r="AL227" s="4" t="s">
        <v>19</v>
      </c>
      <c r="AM227" s="6" cm="1">
        <f t="array" ref="AM227">IFERROR((SUMPRODUCT(($C$218:$C$241=AM$216)*($F$214:$AJ$214="")*$F$218:$AJ$241)+IF(AM$216="P3",SUMPRODUCT(($F$214:$AJ$214="P3")*$F$218:$AJ$241),0))/(SUMPRODUCT(($C$218:$C$241=AM$216)*($F$214:$AJ$214=""))+IF(AM$216="P3",COUNTIF($F$214:$AJ$214,"P3")*ROWS($C$218:$C$241),0)),"")</f>
        <v>0.88114152173913052</v>
      </c>
      <c r="AN227" s="6" cm="1">
        <f t="array" ref="AN227">IFERROR((SUMPRODUCT(($C$218:$C$241=AN$216)*($F$214:$AJ$214="")*$F$218:$AJ$241)+IF(AN$216="P3",SUMPRODUCT(($F$214:$AJ$214="P3")*$F$218:$AJ$241),0))/(SUMPRODUCT(($C$218:$C$241=AN$216)*($F$214:$AJ$214=""))+IF(AN$216="P3",COUNTIF($F$214:$AJ$214,"P3")*ROWS($C$218:$C$241),0)),"")</f>
        <v>0.89616380434782617</v>
      </c>
      <c r="AO227" s="6" cm="1">
        <f t="array" ref="AO227">IFERROR((SUMPRODUCT(($C$218:$C$241=AO$216)*($F$214:$AJ$214="")*$F$218:$AJ$241)+IF(AO$216="P3",SUMPRODUCT(($F$214:$AJ$214="P3")*$F$218:$AJ$241),0))/(SUMPRODUCT(($C$218:$C$241=AO$216)*($F$214:$AJ$214=""))+IF(AO$216="P3",COUNTIF($F$214:$AJ$214,"P3")*ROWS($C$218:$C$241),0)),"")</f>
        <v>0.93128470744680802</v>
      </c>
      <c r="AP227" s="6" t="str" cm="1">
        <f t="array" ref="AP227">IFERROR((SUMPRODUCT(($C$218:$C$241=AP$216)*($F$214:$AJ$214="")*$F$218:$AJ$241)+IF(AP$216="P3",SUMPRODUCT(($F$214:$AJ$214="P3")*$F$218:$AJ$241),0))/(SUMPRODUCT(($C$218:$C$241=AP$216)*($F$214:$AJ$214=""))+IF(AP$216="P3",COUNTIF($F$214:$AJ$214,"P3")*ROWS($C$218:$C$241),0)),"")</f>
        <v/>
      </c>
      <c r="AQ227" s="6" t="str" cm="1">
        <f t="array" ref="AQ227">IFERROR((SUMPRODUCT(($C$218:$C$241=AQ$216)*($F$214:$AJ$214="")*$F$218:$AJ$241)+IF(AQ$216="P3",SUMPRODUCT(($F$214:$AJ$214="P3")*$F$218:$AJ$241),0))/(SUMPRODUCT(($C$218:$C$241=AQ$216)*($F$214:$AJ$214=""))+IF(AQ$216="P3",COUNTIF($F$214:$AJ$214,"P3")*ROWS($C$218:$C$241),0)),"")</f>
        <v/>
      </c>
      <c r="AR227" s="6" t="str" cm="1">
        <f t="array" ref="AR227">IFERROR((SUMPRODUCT(($C$218:$C$241=AR$216)*($F$214:$AJ$214="")*$F$218:$AJ$241)+IF(AR$216="P3",SUMPRODUCT(($F$214:$AJ$214="P3")*$F$218:$AJ$241),0))/(SUMPRODUCT(($C$218:$C$241=AR$216)*($F$214:$AJ$214=""))+IF(AR$216="P3",COUNTIF($F$214:$AJ$214,"P3")*ROWS($C$218:$C$241),0)),"")</f>
        <v/>
      </c>
    </row>
    <row r="228" spans="1:44" ht="14.25" customHeight="1" x14ac:dyDescent="0.35">
      <c r="A228" s="1" t="s">
        <v>13</v>
      </c>
      <c r="B228" s="1" t="s">
        <v>13</v>
      </c>
      <c r="C228" s="1" t="s">
        <v>13</v>
      </c>
      <c r="D228" s="1" t="s">
        <v>13</v>
      </c>
      <c r="E228" s="1" t="s">
        <v>28</v>
      </c>
      <c r="F228" s="1">
        <v>0.86089000000000004</v>
      </c>
      <c r="G228" s="1">
        <v>0.87919999999999998</v>
      </c>
      <c r="H228" s="1">
        <v>0.87324000000000002</v>
      </c>
      <c r="I228" s="1">
        <v>0.86377000000000004</v>
      </c>
      <c r="J228" s="1">
        <v>0.86399999999999999</v>
      </c>
      <c r="K228" s="1">
        <v>0.86502000000000001</v>
      </c>
      <c r="L228" s="1">
        <v>0.84689999999999999</v>
      </c>
      <c r="M228" s="1">
        <v>0.86089000000000004</v>
      </c>
      <c r="N228" s="1">
        <v>0.87919999999999998</v>
      </c>
      <c r="O228" s="1">
        <v>0.87324000000000002</v>
      </c>
      <c r="P228" s="1">
        <v>0.86377000000000004</v>
      </c>
      <c r="Q228" s="1">
        <v>0.86399999999999999</v>
      </c>
      <c r="R228" s="1">
        <v>0.86502000000000001</v>
      </c>
      <c r="S228" s="1">
        <v>0.84689999999999999</v>
      </c>
      <c r="T228" s="1">
        <v>0.86089000000000004</v>
      </c>
      <c r="U228" s="1">
        <v>0.87919999999999998</v>
      </c>
      <c r="V228" s="1">
        <v>0.87324000000000002</v>
      </c>
      <c r="W228" s="1">
        <v>0.86377000000000004</v>
      </c>
      <c r="X228" s="1">
        <v>0.86399999999999999</v>
      </c>
      <c r="Y228" s="1">
        <v>0.86502000000000001</v>
      </c>
      <c r="Z228" s="1">
        <v>0.84689999999999999</v>
      </c>
      <c r="AA228" s="1">
        <v>0.86089000000000004</v>
      </c>
      <c r="AB228" s="1">
        <v>0.87919999999999998</v>
      </c>
      <c r="AC228" s="1">
        <v>0.87324000000000002</v>
      </c>
      <c r="AD228" s="1">
        <v>0.86377000000000004</v>
      </c>
      <c r="AE228" s="1">
        <v>0.86399999999999999</v>
      </c>
      <c r="AF228" s="1">
        <v>0.86502000000000001</v>
      </c>
      <c r="AG228" s="1">
        <v>0.84689999999999999</v>
      </c>
      <c r="AH228" s="1">
        <v>0.86089000000000004</v>
      </c>
      <c r="AI228" s="1">
        <v>0.87919999999999998</v>
      </c>
      <c r="AJ228" s="1">
        <v>0.87324000000000002</v>
      </c>
      <c r="AL228" s="4" t="s">
        <v>21</v>
      </c>
      <c r="AM228" s="6" cm="1">
        <f t="array" ref="AM228">IFERROR((SUMPRODUCT(($A$218:$A$241=AM$216)*($F$215:$AJ$215="")*$F$218:$AJ$241)+IF(AM$216="P6",SUMPRODUCT(($F$215:$AJ$215="P6")*$F$218:$AJ$241),0))/(SUMPRODUCT(($A$218:$A$241=AM$216)*($F$215:$AJ$215=""))+IF(AM$216="P6",COUNTIF($F$215:$AJ$215,"P6")*ROWS($A$218:$A$241),0)),"")</f>
        <v>0.88189985507246293</v>
      </c>
      <c r="AN228" s="6" t="str" cm="1">
        <f t="array" ref="AN228">IFERROR((SUMPRODUCT(($A$218:$A$241=AN$216)*($F$215:$AJ$215="")*$F$218:$AJ$241)+IF(AN$216="P6",SUMPRODUCT(($F$215:$AJ$215="P6")*$F$218:$AJ$241),0))/(SUMPRODUCT(($A$218:$A$241=AN$216)*($F$215:$AJ$215=""))+IF(AN$216="P6",COUNTIF($F$215:$AJ$215,"P6")*ROWS($A$218:$A$241),0)),"")</f>
        <v/>
      </c>
      <c r="AO228" s="6" cm="1">
        <f t="array" ref="AO228">IFERROR((SUMPRODUCT(($A$218:$A$241=AO$216)*($F$215:$AJ$215="")*$F$218:$AJ$241)+IF(AO$216="P6",SUMPRODUCT(($F$215:$AJ$215="P6")*$F$218:$AJ$241),0))/(SUMPRODUCT(($A$218:$A$241=AO$216)*($F$215:$AJ$215=""))+IF(AO$216="P6",COUNTIF($F$215:$AJ$215,"P6")*ROWS($A$218:$A$241),0)),"")</f>
        <v>0.89733484472049729</v>
      </c>
      <c r="AP228" s="6" t="str" cm="1">
        <f t="array" ref="AP228">IFERROR((SUMPRODUCT(($A$218:$A$241=AP$216)*($F$215:$AJ$215="")*$F$218:$AJ$241)+IF(AP$216="P6",SUMPRODUCT(($F$215:$AJ$215="P6")*$F$218:$AJ$241),0))/(SUMPRODUCT(($A$218:$A$241=AP$216)*($F$215:$AJ$215=""))+IF(AP$216="P6",COUNTIF($F$215:$AJ$215,"P6")*ROWS($A$218:$A$241),0)),"")</f>
        <v/>
      </c>
      <c r="AQ228" s="6" t="str" cm="1">
        <f t="array" ref="AQ228">IFERROR((SUMPRODUCT(($A$218:$A$241=AQ$216)*($F$215:$AJ$215="")*$F$218:$AJ$241)+IF(AQ$216="P6",SUMPRODUCT(($F$215:$AJ$215="P6")*$F$218:$AJ$241),0))/(SUMPRODUCT(($A$218:$A$241=AQ$216)*($F$215:$AJ$215=""))+IF(AQ$216="P6",COUNTIF($F$215:$AJ$215,"P6")*ROWS($A$218:$A$241),0)),"")</f>
        <v/>
      </c>
      <c r="AR228" s="6" cm="1">
        <f t="array" ref="AR228">IFERROR((SUMPRODUCT(($A$218:$A$241=AR$216)*($F$215:$AJ$215="")*$F$218:$AJ$241)+IF(AR$216="P6",SUMPRODUCT(($F$215:$AJ$215="P6")*$F$218:$AJ$241),0))/(SUMPRODUCT(($A$218:$A$241=AR$216)*($F$215:$AJ$215=""))+IF(AR$216="P6",COUNTIF($F$215:$AJ$215,"P6")*ROWS($A$218:$A$241),0)),"")</f>
        <v>0.93128470744680802</v>
      </c>
    </row>
    <row r="229" spans="1:44" ht="14.25" customHeight="1" x14ac:dyDescent="0.35">
      <c r="A229" s="1" t="s">
        <v>13</v>
      </c>
      <c r="B229" s="1" t="s">
        <v>13</v>
      </c>
      <c r="C229" s="1" t="s">
        <v>13</v>
      </c>
      <c r="D229" s="1" t="s">
        <v>13</v>
      </c>
      <c r="E229" s="1" t="s">
        <v>30</v>
      </c>
      <c r="F229" s="1">
        <v>0.87300999999999995</v>
      </c>
      <c r="G229" s="1">
        <v>0.88958999999999999</v>
      </c>
      <c r="H229" s="1">
        <v>0.87572000000000005</v>
      </c>
      <c r="I229" s="1">
        <v>0.87624999999999997</v>
      </c>
      <c r="J229" s="1">
        <v>0.86306000000000005</v>
      </c>
      <c r="K229" s="1">
        <v>0.86928000000000005</v>
      </c>
      <c r="L229" s="1">
        <v>0.84562000000000004</v>
      </c>
      <c r="M229" s="1">
        <v>0.87300999999999995</v>
      </c>
      <c r="N229" s="1">
        <v>0.88958999999999999</v>
      </c>
      <c r="O229" s="1">
        <v>0.87572000000000005</v>
      </c>
      <c r="P229" s="1">
        <v>0.87624999999999997</v>
      </c>
      <c r="Q229" s="1">
        <v>0.86306000000000005</v>
      </c>
      <c r="R229" s="1">
        <v>0.86928000000000005</v>
      </c>
      <c r="S229" s="1">
        <v>0.84562000000000004</v>
      </c>
      <c r="T229" s="1">
        <v>0.87300999999999995</v>
      </c>
      <c r="U229" s="1">
        <v>0.88958999999999999</v>
      </c>
      <c r="V229" s="1">
        <v>0.87572000000000005</v>
      </c>
      <c r="W229" s="1">
        <v>0.87624999999999997</v>
      </c>
      <c r="X229" s="1">
        <v>0.86306000000000005</v>
      </c>
      <c r="Y229" s="1">
        <v>0.86928000000000005</v>
      </c>
      <c r="Z229" s="1">
        <v>0.84562000000000004</v>
      </c>
      <c r="AA229" s="1">
        <v>0.87300999999999995</v>
      </c>
      <c r="AB229" s="1">
        <v>0.88958999999999999</v>
      </c>
      <c r="AC229" s="1">
        <v>0.87572000000000005</v>
      </c>
      <c r="AD229" s="1">
        <v>0.87624999999999997</v>
      </c>
      <c r="AE229" s="1">
        <v>0.86306000000000005</v>
      </c>
      <c r="AF229" s="1">
        <v>0.86928000000000005</v>
      </c>
      <c r="AG229" s="1">
        <v>0.84562000000000004</v>
      </c>
      <c r="AH229" s="1">
        <v>0.87300999999999995</v>
      </c>
      <c r="AI229" s="1">
        <v>0.88958999999999999</v>
      </c>
      <c r="AJ229" s="1">
        <v>0.87572000000000005</v>
      </c>
      <c r="AL229" s="4" t="s">
        <v>23</v>
      </c>
      <c r="AM229" s="6" cm="1">
        <f t="array" ref="AM229">IFERROR((SUMPRODUCT(($A$218:$A$241=AM$216)*($F$215:$AJ$215="")*$F$218:$AJ$241)+IF(AM$216="P6",SUMPRODUCT(($F$215:$AJ$215="P6")*$F$218:$AJ$241),0))/(SUMPRODUCT(($A$218:$A$241=AM$216)*($F$215:$AJ$215=""))+IF(AM$216="P6",COUNTIF($F$215:$AJ$215,"P6")*ROWS($A$218:$A$241),0)),"")</f>
        <v>0.88189985507246293</v>
      </c>
      <c r="AN229" s="6" t="str" cm="1">
        <f t="array" ref="AN229">IFERROR((SUMPRODUCT(($A$218:$A$241=AN$216)*($F$215:$AJ$215="")*$F$218:$AJ$241)+IF(AN$216="P6",SUMPRODUCT(($F$215:$AJ$215="P6")*$F$218:$AJ$241),0))/(SUMPRODUCT(($A$218:$A$241=AN$216)*($F$215:$AJ$215=""))+IF(AN$216="P6",COUNTIF($F$215:$AJ$215,"P6")*ROWS($A$218:$A$241),0)),"")</f>
        <v/>
      </c>
      <c r="AO229" s="6" cm="1">
        <f t="array" ref="AO229">IFERROR((SUMPRODUCT(($A$218:$A$241=AO$216)*($F$215:$AJ$215="")*$F$218:$AJ$241)+IF(AO$216="P6",SUMPRODUCT(($F$215:$AJ$215="P6")*$F$218:$AJ$241),0))/(SUMPRODUCT(($A$218:$A$241=AO$216)*($F$215:$AJ$215=""))+IF(AO$216="P6",COUNTIF($F$215:$AJ$215,"P6")*ROWS($A$218:$A$241),0)),"")</f>
        <v>0.89733484472049729</v>
      </c>
      <c r="AP229" s="6" t="str" cm="1">
        <f t="array" ref="AP229">IFERROR((SUMPRODUCT(($A$218:$A$241=AP$216)*($F$215:$AJ$215="")*$F$218:$AJ$241)+IF(AP$216="P6",SUMPRODUCT(($F$215:$AJ$215="P6")*$F$218:$AJ$241),0))/(SUMPRODUCT(($A$218:$A$241=AP$216)*($F$215:$AJ$215=""))+IF(AP$216="P6",COUNTIF($F$215:$AJ$215,"P6")*ROWS($A$218:$A$241),0)),"")</f>
        <v/>
      </c>
      <c r="AQ229" s="6" t="str" cm="1">
        <f t="array" ref="AQ229">IFERROR((SUMPRODUCT(($A$218:$A$241=AQ$216)*($F$215:$AJ$215="")*$F$218:$AJ$241)+IF(AQ$216="P6",SUMPRODUCT(($F$215:$AJ$215="P6")*$F$218:$AJ$241),0))/(SUMPRODUCT(($A$218:$A$241=AQ$216)*($F$215:$AJ$215=""))+IF(AQ$216="P6",COUNTIF($F$215:$AJ$215,"P6")*ROWS($A$218:$A$241),0)),"")</f>
        <v/>
      </c>
      <c r="AR229" s="6" cm="1">
        <f t="array" ref="AR229">IFERROR((SUMPRODUCT(($A$218:$A$241=AR$216)*($F$215:$AJ$215="")*$F$218:$AJ$241)+IF(AR$216="P6",SUMPRODUCT(($F$215:$AJ$215="P6")*$F$218:$AJ$241),0))/(SUMPRODUCT(($A$218:$A$241=AR$216)*($F$215:$AJ$215=""))+IF(AR$216="P6",COUNTIF($F$215:$AJ$215,"P6")*ROWS($A$218:$A$241),0)),"")</f>
        <v>0.93128470744680802</v>
      </c>
    </row>
    <row r="230" spans="1:44" ht="14.25" customHeight="1" x14ac:dyDescent="0.35">
      <c r="A230" s="1" t="s">
        <v>13</v>
      </c>
      <c r="B230" s="1" t="s">
        <v>13</v>
      </c>
      <c r="C230" s="1" t="s">
        <v>13</v>
      </c>
      <c r="D230" s="1" t="s">
        <v>13</v>
      </c>
      <c r="E230" s="1" t="s">
        <v>31</v>
      </c>
      <c r="F230" s="1">
        <v>0.87502999999999997</v>
      </c>
      <c r="G230" s="1">
        <v>0.90112999999999999</v>
      </c>
      <c r="H230" s="1">
        <v>0.87724999999999997</v>
      </c>
      <c r="I230" s="1">
        <v>0.88693999999999995</v>
      </c>
      <c r="J230" s="1">
        <v>0.86568999999999996</v>
      </c>
      <c r="K230" s="1">
        <v>0.87397999999999998</v>
      </c>
      <c r="L230" s="1">
        <v>0.85390999999999995</v>
      </c>
      <c r="M230" s="1">
        <v>0.87502999999999997</v>
      </c>
      <c r="N230" s="1">
        <v>0.90112999999999999</v>
      </c>
      <c r="O230" s="1">
        <v>0.87724999999999997</v>
      </c>
      <c r="P230" s="1">
        <v>0.88693999999999995</v>
      </c>
      <c r="Q230" s="1">
        <v>0.86568999999999996</v>
      </c>
      <c r="R230" s="1">
        <v>0.87397999999999998</v>
      </c>
      <c r="S230" s="1">
        <v>0.85390999999999995</v>
      </c>
      <c r="T230" s="1">
        <v>0.87502999999999997</v>
      </c>
      <c r="U230" s="1">
        <v>0.90112999999999999</v>
      </c>
      <c r="V230" s="1">
        <v>0.87724999999999997</v>
      </c>
      <c r="W230" s="1">
        <v>0.88693999999999995</v>
      </c>
      <c r="X230" s="1">
        <v>0.86568999999999996</v>
      </c>
      <c r="Y230" s="1">
        <v>0.87397999999999998</v>
      </c>
      <c r="Z230" s="1">
        <v>0.85390999999999995</v>
      </c>
      <c r="AA230" s="1">
        <v>0.87502999999999997</v>
      </c>
      <c r="AB230" s="1">
        <v>0.90112999999999999</v>
      </c>
      <c r="AC230" s="1">
        <v>0.87724999999999997</v>
      </c>
      <c r="AD230" s="1">
        <v>0.88693999999999995</v>
      </c>
      <c r="AE230" s="1">
        <v>0.86568999999999996</v>
      </c>
      <c r="AF230" s="1">
        <v>0.87397999999999998</v>
      </c>
      <c r="AG230" s="1">
        <v>0.85390999999999995</v>
      </c>
      <c r="AH230" s="1">
        <v>0.87502999999999997</v>
      </c>
      <c r="AI230" s="1">
        <v>0.90112999999999999</v>
      </c>
      <c r="AJ230" s="1">
        <v>0.87724999999999997</v>
      </c>
      <c r="AL230" s="4" t="s">
        <v>25</v>
      </c>
      <c r="AM230" s="6" cm="1">
        <f t="array" ref="AM230">IFERROR((SUMPRODUCT(($A$218:$A$241=AM$216)*($F$215:$AJ$215="")*$F$218:$AJ$241)+IF(AM$216="P6",SUMPRODUCT(($F$215:$AJ$215="P6")*$F$218:$AJ$241),0))/(SUMPRODUCT(($A$218:$A$241=AM$216)*($F$215:$AJ$215=""))+IF(AM$216="P6",COUNTIF($F$215:$AJ$215,"P6")*ROWS($A$218:$A$241),0)),"")</f>
        <v>0.88189985507246293</v>
      </c>
      <c r="AN230" s="6" t="str" cm="1">
        <f t="array" ref="AN230">IFERROR((SUMPRODUCT(($A$218:$A$241=AN$216)*($F$215:$AJ$215="")*$F$218:$AJ$241)+IF(AN$216="P6",SUMPRODUCT(($F$215:$AJ$215="P6")*$F$218:$AJ$241),0))/(SUMPRODUCT(($A$218:$A$241=AN$216)*($F$215:$AJ$215=""))+IF(AN$216="P6",COUNTIF($F$215:$AJ$215,"P6")*ROWS($A$218:$A$241),0)),"")</f>
        <v/>
      </c>
      <c r="AO230" s="6" cm="1">
        <f t="array" ref="AO230">IFERROR((SUMPRODUCT(($A$218:$A$241=AO$216)*($F$215:$AJ$215="")*$F$218:$AJ$241)+IF(AO$216="P6",SUMPRODUCT(($F$215:$AJ$215="P6")*$F$218:$AJ$241),0))/(SUMPRODUCT(($A$218:$A$241=AO$216)*($F$215:$AJ$215=""))+IF(AO$216="P6",COUNTIF($F$215:$AJ$215,"P6")*ROWS($A$218:$A$241),0)),"")</f>
        <v>0.89733484472049729</v>
      </c>
      <c r="AP230" s="6" t="str" cm="1">
        <f t="array" ref="AP230">IFERROR((SUMPRODUCT(($A$218:$A$241=AP$216)*($F$215:$AJ$215="")*$F$218:$AJ$241)+IF(AP$216="P6",SUMPRODUCT(($F$215:$AJ$215="P6")*$F$218:$AJ$241),0))/(SUMPRODUCT(($A$218:$A$241=AP$216)*($F$215:$AJ$215=""))+IF(AP$216="P6",COUNTIF($F$215:$AJ$215,"P6")*ROWS($A$218:$A$241),0)),"")</f>
        <v/>
      </c>
      <c r="AQ230" s="6" t="str" cm="1">
        <f t="array" ref="AQ230">IFERROR((SUMPRODUCT(($A$218:$A$241=AQ$216)*($F$215:$AJ$215="")*$F$218:$AJ$241)+IF(AQ$216="P6",SUMPRODUCT(($F$215:$AJ$215="P6")*$F$218:$AJ$241),0))/(SUMPRODUCT(($A$218:$A$241=AQ$216)*($F$215:$AJ$215=""))+IF(AQ$216="P6",COUNTIF($F$215:$AJ$215,"P6")*ROWS($A$218:$A$241),0)),"")</f>
        <v/>
      </c>
      <c r="AR230" s="6" cm="1">
        <f t="array" ref="AR230">IFERROR((SUMPRODUCT(($A$218:$A$241=AR$216)*($F$215:$AJ$215="")*$F$218:$AJ$241)+IF(AR$216="P6",SUMPRODUCT(($F$215:$AJ$215="P6")*$F$218:$AJ$241),0))/(SUMPRODUCT(($A$218:$A$241=AR$216)*($F$215:$AJ$215=""))+IF(AR$216="P6",COUNTIF($F$215:$AJ$215,"P6")*ROWS($A$218:$A$241),0)),"")</f>
        <v>0.93128470744680802</v>
      </c>
    </row>
    <row r="231" spans="1:44" ht="14.25" customHeight="1" x14ac:dyDescent="0.35">
      <c r="A231" s="1" t="s">
        <v>13</v>
      </c>
      <c r="B231" s="1" t="s">
        <v>13</v>
      </c>
      <c r="C231" s="1" t="s">
        <v>13</v>
      </c>
      <c r="D231" s="1" t="s">
        <v>13</v>
      </c>
      <c r="E231" s="1" t="s">
        <v>32</v>
      </c>
      <c r="F231" s="1">
        <v>0.85028999999999999</v>
      </c>
      <c r="G231" s="1">
        <v>0.88278000000000001</v>
      </c>
      <c r="H231" s="1">
        <v>0.86629999999999996</v>
      </c>
      <c r="I231" s="1">
        <v>0.86890000000000001</v>
      </c>
      <c r="J231" s="1">
        <v>0.85474000000000006</v>
      </c>
      <c r="K231" s="1">
        <v>0.85599000000000003</v>
      </c>
      <c r="L231" s="1">
        <v>0.83753</v>
      </c>
      <c r="M231" s="1">
        <v>0.85028999999999999</v>
      </c>
      <c r="N231" s="1">
        <v>0.88278000000000001</v>
      </c>
      <c r="O231" s="1">
        <v>0.86629999999999996</v>
      </c>
      <c r="P231" s="1">
        <v>0.86890000000000001</v>
      </c>
      <c r="Q231" s="1">
        <v>0.85474000000000006</v>
      </c>
      <c r="R231" s="1">
        <v>0.85599000000000003</v>
      </c>
      <c r="S231" s="1">
        <v>0.83753</v>
      </c>
      <c r="T231" s="1">
        <v>0.85028999999999999</v>
      </c>
      <c r="U231" s="1">
        <v>0.88278000000000001</v>
      </c>
      <c r="V231" s="1">
        <v>0.86629999999999996</v>
      </c>
      <c r="W231" s="1">
        <v>0.86890000000000001</v>
      </c>
      <c r="X231" s="1">
        <v>0.85474000000000006</v>
      </c>
      <c r="Y231" s="1">
        <v>0.85599000000000003</v>
      </c>
      <c r="Z231" s="1">
        <v>0.83753</v>
      </c>
      <c r="AA231" s="1">
        <v>0.85028999999999999</v>
      </c>
      <c r="AB231" s="1">
        <v>0.88278000000000001</v>
      </c>
      <c r="AC231" s="1">
        <v>0.86629999999999996</v>
      </c>
      <c r="AD231" s="1">
        <v>0.86890000000000001</v>
      </c>
      <c r="AE231" s="1">
        <v>0.85474000000000006</v>
      </c>
      <c r="AF231" s="1">
        <v>0.85599000000000003</v>
      </c>
      <c r="AG231" s="1">
        <v>0.83753</v>
      </c>
      <c r="AH231" s="1">
        <v>0.85028999999999999</v>
      </c>
      <c r="AI231" s="1">
        <v>0.88278000000000001</v>
      </c>
      <c r="AJ231" s="1">
        <v>0.86629999999999996</v>
      </c>
      <c r="AL231" s="4" t="s">
        <v>27</v>
      </c>
      <c r="AM231" s="6" cm="1">
        <f t="array" ref="AM231">IFERROR((SUMPRODUCT(($A$218:$A$241=AM$216)*($F$215:$AJ$215="")*$F$218:$AJ$241)+IF(AM$216="P6",SUMPRODUCT(($F$215:$AJ$215="P6")*$F$218:$AJ$241),0))/(SUMPRODUCT(($A$218:$A$241=AM$216)*($F$215:$AJ$215=""))+IF(AM$216="P6",COUNTIF($F$215:$AJ$215,"P6")*ROWS($A$218:$A$241),0)),"")</f>
        <v>0.88189985507246293</v>
      </c>
      <c r="AN231" s="6" t="str" cm="1">
        <f t="array" ref="AN231">IFERROR((SUMPRODUCT(($A$218:$A$241=AN$216)*($F$215:$AJ$215="")*$F$218:$AJ$241)+IF(AN$216="P6",SUMPRODUCT(($F$215:$AJ$215="P6")*$F$218:$AJ$241),0))/(SUMPRODUCT(($A$218:$A$241=AN$216)*($F$215:$AJ$215=""))+IF(AN$216="P6",COUNTIF($F$215:$AJ$215,"P6")*ROWS($A$218:$A$241),0)),"")</f>
        <v/>
      </c>
      <c r="AO231" s="6" cm="1">
        <f t="array" ref="AO231">IFERROR((SUMPRODUCT(($A$218:$A$241=AO$216)*($F$215:$AJ$215="")*$F$218:$AJ$241)+IF(AO$216="P6",SUMPRODUCT(($F$215:$AJ$215="P6")*$F$218:$AJ$241),0))/(SUMPRODUCT(($A$218:$A$241=AO$216)*($F$215:$AJ$215=""))+IF(AO$216="P6",COUNTIF($F$215:$AJ$215,"P6")*ROWS($A$218:$A$241),0)),"")</f>
        <v>0.89733484472049729</v>
      </c>
      <c r="AP231" s="6" t="str" cm="1">
        <f t="array" ref="AP231">IFERROR((SUMPRODUCT(($A$218:$A$241=AP$216)*($F$215:$AJ$215="")*$F$218:$AJ$241)+IF(AP$216="P6",SUMPRODUCT(($F$215:$AJ$215="P6")*$F$218:$AJ$241),0))/(SUMPRODUCT(($A$218:$A$241=AP$216)*($F$215:$AJ$215=""))+IF(AP$216="P6",COUNTIF($F$215:$AJ$215,"P6")*ROWS($A$218:$A$241),0)),"")</f>
        <v/>
      </c>
      <c r="AQ231" s="6" t="str" cm="1">
        <f t="array" ref="AQ231">IFERROR((SUMPRODUCT(($A$218:$A$241=AQ$216)*($F$215:$AJ$215="")*$F$218:$AJ$241)+IF(AQ$216="P6",SUMPRODUCT(($F$215:$AJ$215="P6")*$F$218:$AJ$241),0))/(SUMPRODUCT(($A$218:$A$241=AQ$216)*($F$215:$AJ$215=""))+IF(AQ$216="P6",COUNTIF($F$215:$AJ$215,"P6")*ROWS($A$218:$A$241),0)),"")</f>
        <v/>
      </c>
      <c r="AR231" s="6" cm="1">
        <f t="array" ref="AR231">IFERROR((SUMPRODUCT(($A$218:$A$241=AR$216)*($F$215:$AJ$215="")*$F$218:$AJ$241)+IF(AR$216="P6",SUMPRODUCT(($F$215:$AJ$215="P6")*$F$218:$AJ$241),0))/(SUMPRODUCT(($A$218:$A$241=AR$216)*($F$215:$AJ$215=""))+IF(AR$216="P6",COUNTIF($F$215:$AJ$215,"P6")*ROWS($A$218:$A$241),0)),"")</f>
        <v>0.93128470744680802</v>
      </c>
    </row>
    <row r="232" spans="1:44" ht="14.25" customHeight="1" x14ac:dyDescent="0.35">
      <c r="A232" s="1" t="s">
        <v>13</v>
      </c>
      <c r="B232" s="1" t="s">
        <v>13</v>
      </c>
      <c r="C232" s="1" t="s">
        <v>14</v>
      </c>
      <c r="D232" s="1" t="s">
        <v>14</v>
      </c>
      <c r="E232" s="1" t="s">
        <v>33</v>
      </c>
      <c r="F232" s="1">
        <v>0.87616000000000005</v>
      </c>
      <c r="G232" s="1">
        <v>0.90361000000000002</v>
      </c>
      <c r="H232" s="1">
        <v>0.88561999999999996</v>
      </c>
      <c r="I232" s="1">
        <v>0.89232999999999996</v>
      </c>
      <c r="J232" s="1">
        <v>0.88173999999999997</v>
      </c>
      <c r="K232" s="1">
        <v>0.84055999999999997</v>
      </c>
      <c r="L232" s="1">
        <v>0.83289999999999997</v>
      </c>
      <c r="M232" s="1">
        <v>0.87616000000000005</v>
      </c>
      <c r="N232" s="1">
        <v>0.90361000000000002</v>
      </c>
      <c r="O232" s="1">
        <v>0.88561999999999996</v>
      </c>
      <c r="P232" s="1">
        <v>0.89232999999999996</v>
      </c>
      <c r="Q232" s="1">
        <v>0.88173999999999997</v>
      </c>
      <c r="R232" s="1">
        <v>0.84055999999999997</v>
      </c>
      <c r="S232" s="1">
        <v>0.83289999999999997</v>
      </c>
      <c r="T232" s="1">
        <v>0.87616000000000005</v>
      </c>
      <c r="U232" s="1">
        <v>0.90361000000000002</v>
      </c>
      <c r="V232" s="1">
        <v>0.88561999999999996</v>
      </c>
      <c r="W232" s="1">
        <v>0.89232999999999996</v>
      </c>
      <c r="X232" s="1">
        <v>0.88173999999999997</v>
      </c>
      <c r="Y232" s="1">
        <v>0.84055999999999997</v>
      </c>
      <c r="Z232" s="1">
        <v>0.83289999999999997</v>
      </c>
      <c r="AA232" s="1">
        <v>0.87616000000000005</v>
      </c>
      <c r="AB232" s="1">
        <v>0.90361000000000002</v>
      </c>
      <c r="AC232" s="1">
        <v>0.88561999999999996</v>
      </c>
      <c r="AD232" s="1">
        <v>0.89232999999999996</v>
      </c>
      <c r="AE232" s="1">
        <v>0.88173999999999997</v>
      </c>
      <c r="AF232" s="1">
        <v>0.84055999999999997</v>
      </c>
      <c r="AG232" s="1">
        <v>0.83289999999999997</v>
      </c>
      <c r="AH232" s="1">
        <v>0.87616000000000005</v>
      </c>
      <c r="AI232" s="1">
        <v>0.90361000000000002</v>
      </c>
      <c r="AJ232" s="1">
        <v>0.88561999999999996</v>
      </c>
      <c r="AL232" s="4" t="s">
        <v>29</v>
      </c>
      <c r="AM232" s="6" cm="1">
        <f t="array" ref="AM232">IFERROR((SUMPRODUCT(($A$218:$A$241=AM$216)*($F$215:$AJ$215="")*$F$218:$AJ$241)+IF(AM$216="P6",SUMPRODUCT(($F$215:$AJ$215="P6")*$F$218:$AJ$241),0))/(SUMPRODUCT(($A$218:$A$241=AM$216)*($F$215:$AJ$215=""))+IF(AM$216="P6",COUNTIF($F$215:$AJ$215,"P6")*ROWS($A$218:$A$241),0)),"")</f>
        <v>0.88189985507246293</v>
      </c>
      <c r="AN232" s="6" t="str" cm="1">
        <f t="array" ref="AN232">IFERROR((SUMPRODUCT(($A$218:$A$241=AN$216)*($F$215:$AJ$215="")*$F$218:$AJ$241)+IF(AN$216="P6",SUMPRODUCT(($F$215:$AJ$215="P6")*$F$218:$AJ$241),0))/(SUMPRODUCT(($A$218:$A$241=AN$216)*($F$215:$AJ$215=""))+IF(AN$216="P6",COUNTIF($F$215:$AJ$215,"P6")*ROWS($A$218:$A$241),0)),"")</f>
        <v/>
      </c>
      <c r="AO232" s="6" cm="1">
        <f t="array" ref="AO232">IFERROR((SUMPRODUCT(($A$218:$A$241=AO$216)*($F$215:$AJ$215="")*$F$218:$AJ$241)+IF(AO$216="P6",SUMPRODUCT(($F$215:$AJ$215="P6")*$F$218:$AJ$241),0))/(SUMPRODUCT(($A$218:$A$241=AO$216)*($F$215:$AJ$215=""))+IF(AO$216="P6",COUNTIF($F$215:$AJ$215,"P6")*ROWS($A$218:$A$241),0)),"")</f>
        <v>0.89733484472049729</v>
      </c>
      <c r="AP232" s="6" t="str" cm="1">
        <f t="array" ref="AP232">IFERROR((SUMPRODUCT(($A$218:$A$241=AP$216)*($F$215:$AJ$215="")*$F$218:$AJ$241)+IF(AP$216="P6",SUMPRODUCT(($F$215:$AJ$215="P6")*$F$218:$AJ$241),0))/(SUMPRODUCT(($A$218:$A$241=AP$216)*($F$215:$AJ$215=""))+IF(AP$216="P6",COUNTIF($F$215:$AJ$215,"P6")*ROWS($A$218:$A$241),0)),"")</f>
        <v/>
      </c>
      <c r="AQ232" s="6" t="str" cm="1">
        <f t="array" ref="AQ232">IFERROR((SUMPRODUCT(($A$218:$A$241=AQ$216)*($F$215:$AJ$215="")*$F$218:$AJ$241)+IF(AQ$216="P6",SUMPRODUCT(($F$215:$AJ$215="P6")*$F$218:$AJ$241),0))/(SUMPRODUCT(($A$218:$A$241=AQ$216)*($F$215:$AJ$215=""))+IF(AQ$216="P6",COUNTIF($F$215:$AJ$215,"P6")*ROWS($A$218:$A$241),0)),"")</f>
        <v/>
      </c>
      <c r="AR232" s="6" cm="1">
        <f t="array" ref="AR232">IFERROR((SUMPRODUCT(($A$218:$A$241=AR$216)*($F$215:$AJ$215="")*$F$218:$AJ$241)+IF(AR$216="P6",SUMPRODUCT(($F$215:$AJ$215="P6")*$F$218:$AJ$241),0))/(SUMPRODUCT(($A$218:$A$241=AR$216)*($F$215:$AJ$215=""))+IF(AR$216="P6",COUNTIF($F$215:$AJ$215,"P6")*ROWS($A$218:$A$241),0)),"")</f>
        <v>0.93128470744680802</v>
      </c>
    </row>
    <row r="233" spans="1:44" ht="14.25" customHeight="1" x14ac:dyDescent="0.35">
      <c r="A233" s="1" t="s">
        <v>15</v>
      </c>
      <c r="B233" s="1" t="s">
        <v>14</v>
      </c>
      <c r="C233" s="1" t="s">
        <v>14</v>
      </c>
      <c r="D233" s="1" t="s">
        <v>14</v>
      </c>
      <c r="E233" s="1" t="s">
        <v>34</v>
      </c>
      <c r="F233" s="1">
        <v>0.86495</v>
      </c>
      <c r="G233" s="1">
        <v>0.89044999999999996</v>
      </c>
      <c r="H233" s="1">
        <v>0.87400999999999995</v>
      </c>
      <c r="I233" s="1">
        <v>0.87807000000000002</v>
      </c>
      <c r="J233" s="1">
        <v>0.87860000000000005</v>
      </c>
      <c r="K233" s="1">
        <v>0.85209000000000001</v>
      </c>
      <c r="L233" s="1">
        <v>0.83901000000000003</v>
      </c>
      <c r="M233" s="1">
        <v>0.86495</v>
      </c>
      <c r="N233" s="1">
        <v>0.89044999999999996</v>
      </c>
      <c r="O233" s="1">
        <v>0.87400999999999995</v>
      </c>
      <c r="P233" s="1">
        <v>0.87807000000000002</v>
      </c>
      <c r="Q233" s="1">
        <v>0.87860000000000005</v>
      </c>
      <c r="R233" s="1">
        <v>0.85209000000000001</v>
      </c>
      <c r="S233" s="1">
        <v>0.83901000000000003</v>
      </c>
      <c r="T233" s="1">
        <v>0.86495</v>
      </c>
      <c r="U233" s="1">
        <v>0.89044999999999996</v>
      </c>
      <c r="V233" s="1">
        <v>0.87400999999999995</v>
      </c>
      <c r="W233" s="1">
        <v>0.87807000000000002</v>
      </c>
      <c r="X233" s="1">
        <v>0.87860000000000005</v>
      </c>
      <c r="Y233" s="1">
        <v>0.85209000000000001</v>
      </c>
      <c r="Z233" s="1">
        <v>0.83901000000000003</v>
      </c>
      <c r="AA233" s="1">
        <v>0.86495</v>
      </c>
      <c r="AB233" s="1">
        <v>0.89044999999999996</v>
      </c>
      <c r="AC233" s="1">
        <v>0.87400999999999995</v>
      </c>
      <c r="AD233" s="1">
        <v>0.87807000000000002</v>
      </c>
      <c r="AE233" s="1">
        <v>0.87860000000000005</v>
      </c>
      <c r="AF233" s="1">
        <v>0.85209000000000001</v>
      </c>
      <c r="AG233" s="1">
        <v>0.83901000000000003</v>
      </c>
      <c r="AH233" s="1">
        <v>0.86495</v>
      </c>
      <c r="AI233" s="1">
        <v>0.89044999999999996</v>
      </c>
      <c r="AJ233" s="1">
        <v>0.87400999999999995</v>
      </c>
      <c r="AL233" s="10"/>
      <c r="AM233" s="10"/>
      <c r="AN233" s="10"/>
      <c r="AO233" s="10"/>
      <c r="AP233" s="10"/>
      <c r="AQ233" s="10"/>
      <c r="AR233" s="10"/>
    </row>
    <row r="234" spans="1:44" ht="14.25" customHeight="1" x14ac:dyDescent="0.35">
      <c r="A234" s="1" t="s">
        <v>15</v>
      </c>
      <c r="B234" s="1" t="s">
        <v>14</v>
      </c>
      <c r="C234" s="1" t="s">
        <v>14</v>
      </c>
      <c r="D234" s="1" t="s">
        <v>14</v>
      </c>
      <c r="E234" s="1" t="s">
        <v>35</v>
      </c>
      <c r="F234" s="1">
        <v>0.86699999999999999</v>
      </c>
      <c r="G234" s="1">
        <v>0.90037999999999996</v>
      </c>
      <c r="H234" s="1">
        <v>0.87268999999999997</v>
      </c>
      <c r="I234" s="1">
        <v>0.88844999999999996</v>
      </c>
      <c r="J234" s="1">
        <v>0.88627</v>
      </c>
      <c r="K234" s="1">
        <v>0.85880999999999996</v>
      </c>
      <c r="L234" s="1">
        <v>0.84382000000000001</v>
      </c>
      <c r="M234" s="1">
        <v>0.86699999999999999</v>
      </c>
      <c r="N234" s="1">
        <v>0.90037999999999996</v>
      </c>
      <c r="O234" s="1">
        <v>0.87268999999999997</v>
      </c>
      <c r="P234" s="1">
        <v>0.88844999999999996</v>
      </c>
      <c r="Q234" s="1">
        <v>0.88627</v>
      </c>
      <c r="R234" s="1">
        <v>0.85880999999999996</v>
      </c>
      <c r="S234" s="1">
        <v>0.84382000000000001</v>
      </c>
      <c r="T234" s="1">
        <v>0.86699999999999999</v>
      </c>
      <c r="U234" s="1">
        <v>0.90037999999999996</v>
      </c>
      <c r="V234" s="1">
        <v>0.87268999999999997</v>
      </c>
      <c r="W234" s="1">
        <v>0.88844999999999996</v>
      </c>
      <c r="X234" s="1">
        <v>0.88627</v>
      </c>
      <c r="Y234" s="1">
        <v>0.85880999999999996</v>
      </c>
      <c r="Z234" s="1">
        <v>0.84382000000000001</v>
      </c>
      <c r="AA234" s="1">
        <v>0.86699999999999999</v>
      </c>
      <c r="AB234" s="1">
        <v>0.90037999999999996</v>
      </c>
      <c r="AC234" s="1">
        <v>0.87268999999999997</v>
      </c>
      <c r="AD234" s="1">
        <v>0.88844999999999996</v>
      </c>
      <c r="AE234" s="1">
        <v>0.88627</v>
      </c>
      <c r="AF234" s="1">
        <v>0.85880999999999996</v>
      </c>
      <c r="AG234" s="1">
        <v>0.84382000000000001</v>
      </c>
      <c r="AH234" s="1">
        <v>0.86699999999999999</v>
      </c>
      <c r="AI234" s="1">
        <v>0.90037999999999996</v>
      </c>
      <c r="AJ234" s="1">
        <v>0.87268999999999997</v>
      </c>
      <c r="AL234" s="10"/>
      <c r="AM234" s="10"/>
      <c r="AN234" s="10"/>
      <c r="AO234" s="10"/>
      <c r="AP234" s="10"/>
      <c r="AQ234" s="10"/>
      <c r="AR234" s="10"/>
    </row>
    <row r="235" spans="1:44" ht="14.25" customHeight="1" x14ac:dyDescent="0.35">
      <c r="A235" s="1" t="s">
        <v>15</v>
      </c>
      <c r="B235" s="1" t="s">
        <v>14</v>
      </c>
      <c r="C235" s="1" t="s">
        <v>14</v>
      </c>
      <c r="D235" s="1" t="s">
        <v>14</v>
      </c>
      <c r="E235" s="1" t="s">
        <v>36</v>
      </c>
      <c r="F235" s="1">
        <v>0.88041999999999998</v>
      </c>
      <c r="G235" s="1">
        <v>0.91154000000000002</v>
      </c>
      <c r="H235" s="1">
        <v>0.8851</v>
      </c>
      <c r="I235" s="1">
        <v>0.90164</v>
      </c>
      <c r="J235" s="1">
        <v>0.89734999999999998</v>
      </c>
      <c r="K235" s="1">
        <v>0.89651000000000003</v>
      </c>
      <c r="L235" s="1">
        <v>0.87561</v>
      </c>
      <c r="M235" s="1">
        <v>0.88041999999999998</v>
      </c>
      <c r="N235" s="1">
        <v>0.91154000000000002</v>
      </c>
      <c r="O235" s="1">
        <v>0.8851</v>
      </c>
      <c r="P235" s="1">
        <v>0.90164</v>
      </c>
      <c r="Q235" s="1">
        <v>0.89734999999999998</v>
      </c>
      <c r="R235" s="1">
        <v>0.89651000000000003</v>
      </c>
      <c r="S235" s="1">
        <v>0.87561</v>
      </c>
      <c r="T235" s="1">
        <v>0.88041999999999998</v>
      </c>
      <c r="U235" s="1">
        <v>0.91154000000000002</v>
      </c>
      <c r="V235" s="1">
        <v>0.8851</v>
      </c>
      <c r="W235" s="1">
        <v>0.90164</v>
      </c>
      <c r="X235" s="1">
        <v>0.89734999999999998</v>
      </c>
      <c r="Y235" s="1">
        <v>0.89651000000000003</v>
      </c>
      <c r="Z235" s="1">
        <v>0.87561</v>
      </c>
      <c r="AA235" s="1">
        <v>0.88041999999999998</v>
      </c>
      <c r="AB235" s="1">
        <v>0.91154000000000002</v>
      </c>
      <c r="AC235" s="1">
        <v>0.8851</v>
      </c>
      <c r="AD235" s="1">
        <v>0.90164</v>
      </c>
      <c r="AE235" s="1">
        <v>0.89734999999999998</v>
      </c>
      <c r="AF235" s="1">
        <v>0.89651000000000003</v>
      </c>
      <c r="AG235" s="1">
        <v>0.87561</v>
      </c>
      <c r="AH235" s="1">
        <v>0.88041999999999998</v>
      </c>
      <c r="AI235" s="1">
        <v>0.91154000000000002</v>
      </c>
      <c r="AJ235" s="1">
        <v>0.8851</v>
      </c>
      <c r="AL235" s="14" t="s">
        <v>180</v>
      </c>
      <c r="AM235" s="14"/>
      <c r="AN235" s="14"/>
      <c r="AO235" s="14"/>
      <c r="AP235" s="14"/>
      <c r="AQ235" s="14"/>
      <c r="AR235" s="14"/>
    </row>
    <row r="236" spans="1:44" ht="14.25" customHeight="1" x14ac:dyDescent="0.35">
      <c r="A236" s="1" t="s">
        <v>13</v>
      </c>
      <c r="B236" s="1" t="s">
        <v>13</v>
      </c>
      <c r="C236" s="1" t="s">
        <v>13</v>
      </c>
      <c r="D236" s="1" t="s">
        <v>13</v>
      </c>
      <c r="E236" s="1" t="s">
        <v>37</v>
      </c>
      <c r="F236" s="1">
        <v>0.85243000000000002</v>
      </c>
      <c r="G236" s="1">
        <v>0.89446000000000003</v>
      </c>
      <c r="H236" s="1">
        <v>0.86531000000000002</v>
      </c>
      <c r="I236" s="1">
        <v>0.87392999999999998</v>
      </c>
      <c r="J236" s="1">
        <v>0.87368000000000001</v>
      </c>
      <c r="K236" s="1">
        <v>0.94060999999999995</v>
      </c>
      <c r="L236" s="1">
        <v>0.91010000000000002</v>
      </c>
      <c r="M236" s="1">
        <v>0.85243000000000002</v>
      </c>
      <c r="N236" s="1">
        <v>0.89446000000000003</v>
      </c>
      <c r="O236" s="1">
        <v>0.86531000000000002</v>
      </c>
      <c r="P236" s="1">
        <v>0.87392999999999998</v>
      </c>
      <c r="Q236" s="1">
        <v>0.87368000000000001</v>
      </c>
      <c r="R236" s="1">
        <v>0.94060999999999995</v>
      </c>
      <c r="S236" s="1">
        <v>0.91010000000000002</v>
      </c>
      <c r="T236" s="1">
        <v>0.85243000000000002</v>
      </c>
      <c r="U236" s="1">
        <v>0.89446000000000003</v>
      </c>
      <c r="V236" s="1">
        <v>0.86531000000000002</v>
      </c>
      <c r="W236" s="1">
        <v>0.87392999999999998</v>
      </c>
      <c r="X236" s="1">
        <v>0.87368000000000001</v>
      </c>
      <c r="Y236" s="1">
        <v>0.94060999999999995</v>
      </c>
      <c r="Z236" s="1">
        <v>0.91010000000000002</v>
      </c>
      <c r="AA236" s="1">
        <v>0.85243000000000002</v>
      </c>
      <c r="AB236" s="1">
        <v>0.89446000000000003</v>
      </c>
      <c r="AC236" s="1">
        <v>0.86531000000000002</v>
      </c>
      <c r="AD236" s="1">
        <v>0.87392999999999998</v>
      </c>
      <c r="AE236" s="1">
        <v>0.87368000000000001</v>
      </c>
      <c r="AF236" s="1">
        <v>0.94060999999999995</v>
      </c>
      <c r="AG236" s="1">
        <v>0.91010000000000002</v>
      </c>
      <c r="AH236" s="1">
        <v>0.85243000000000002</v>
      </c>
      <c r="AI236" s="1">
        <v>0.89446000000000003</v>
      </c>
      <c r="AJ236" s="1">
        <v>0.86531000000000002</v>
      </c>
      <c r="AL236" s="4"/>
      <c r="AM236" s="4" t="s">
        <v>13</v>
      </c>
      <c r="AN236" s="4" t="s">
        <v>14</v>
      </c>
      <c r="AO236" s="4" t="s">
        <v>15</v>
      </c>
      <c r="AP236" s="4" t="s">
        <v>16</v>
      </c>
      <c r="AQ236" s="4" t="s">
        <v>17</v>
      </c>
      <c r="AR236" s="4" t="s">
        <v>7</v>
      </c>
    </row>
    <row r="237" spans="1:44" ht="14.25" customHeight="1" x14ac:dyDescent="0.35">
      <c r="A237" s="1" t="s">
        <v>13</v>
      </c>
      <c r="B237" s="1" t="s">
        <v>13</v>
      </c>
      <c r="C237" s="1" t="s">
        <v>13</v>
      </c>
      <c r="D237" s="1" t="s">
        <v>13</v>
      </c>
      <c r="E237" s="1" t="s">
        <v>38</v>
      </c>
      <c r="F237" s="1">
        <v>0.87317999999999996</v>
      </c>
      <c r="G237" s="1">
        <v>0.91096999999999995</v>
      </c>
      <c r="H237" s="1">
        <v>0.88893999999999995</v>
      </c>
      <c r="I237" s="1">
        <v>0.89554999999999996</v>
      </c>
      <c r="J237" s="1">
        <v>0.88914000000000004</v>
      </c>
      <c r="K237" s="1">
        <v>0.98777999999999999</v>
      </c>
      <c r="L237" s="1">
        <v>0.95474999999999999</v>
      </c>
      <c r="M237" s="1">
        <v>0.87317999999999996</v>
      </c>
      <c r="N237" s="1">
        <v>0.91096999999999995</v>
      </c>
      <c r="O237" s="1">
        <v>0.88893999999999995</v>
      </c>
      <c r="P237" s="1">
        <v>0.89554999999999996</v>
      </c>
      <c r="Q237" s="1">
        <v>0.88914000000000004</v>
      </c>
      <c r="R237" s="1">
        <v>0.98777999999999999</v>
      </c>
      <c r="S237" s="1">
        <v>0.95474999999999999</v>
      </c>
      <c r="T237" s="1">
        <v>0.87317999999999996</v>
      </c>
      <c r="U237" s="1">
        <v>0.91096999999999995</v>
      </c>
      <c r="V237" s="1">
        <v>0.88893999999999995</v>
      </c>
      <c r="W237" s="1">
        <v>0.89554999999999996</v>
      </c>
      <c r="X237" s="1">
        <v>0.88914000000000004</v>
      </c>
      <c r="Y237" s="1">
        <v>0.98777999999999999</v>
      </c>
      <c r="Z237" s="1">
        <v>0.95474999999999999</v>
      </c>
      <c r="AA237" s="1">
        <v>0.87317999999999996</v>
      </c>
      <c r="AB237" s="1">
        <v>0.91096999999999995</v>
      </c>
      <c r="AC237" s="1">
        <v>0.88893999999999995</v>
      </c>
      <c r="AD237" s="1">
        <v>0.89554999999999996</v>
      </c>
      <c r="AE237" s="1">
        <v>0.88914000000000004</v>
      </c>
      <c r="AF237" s="1">
        <v>0.98777999999999999</v>
      </c>
      <c r="AG237" s="1">
        <v>0.95474999999999999</v>
      </c>
      <c r="AH237" s="1">
        <v>0.87317999999999996</v>
      </c>
      <c r="AI237" s="1">
        <v>0.91096999999999995</v>
      </c>
      <c r="AJ237" s="1">
        <v>0.88893999999999995</v>
      </c>
      <c r="AL237" s="4" t="s">
        <v>19</v>
      </c>
      <c r="AM237" s="6" cm="1">
        <f t="array" ref="AM237">IFERROR((SUMPRODUCT(($C$218:$C$241=AM$216)*($F$214:$AJ$214="")*$F$218:$AJ$241)+IF(AM$216="P3",SUMPRODUCT(($F$214:$AJ$214="P3")*$F$218:$AJ$241),0))/(SUMPRODUCT(($C$218:$C$241=AM$216)*($F$214:$AJ$214=""))+IF(AM$216="P3",COUNTIF($F$214:$AJ$214,"P3")*ROWS($C$218:$C$241),0)),"")</f>
        <v>0.88114152173913052</v>
      </c>
      <c r="AN237" s="6" cm="1">
        <f t="array" ref="AN237">IFERROR((SUMPRODUCT(($C$218:$C$241=AN$216)*($F$214:$AJ$214="")*$F$218:$AJ$241)+IF(AN$216="P3",SUMPRODUCT(($F$214:$AJ$214="P3")*$F$218:$AJ$241),0))/(SUMPRODUCT(($C$218:$C$241=AN$216)*($F$214:$AJ$214=""))+IF(AN$216="P3",COUNTIF($F$214:$AJ$214,"P3")*ROWS($C$218:$C$241),0)),"")</f>
        <v>0.89616380434782617</v>
      </c>
      <c r="AO237" s="6" cm="1">
        <f t="array" ref="AO237">IFERROR((SUMPRODUCT(($C$218:$C$241=AO$216)*($F$214:$AJ$214="")*$F$218:$AJ$241)+IF(AO$216="P3",SUMPRODUCT(($F$214:$AJ$214="P3")*$F$218:$AJ$241),0))/(SUMPRODUCT(($C$218:$C$241=AO$216)*($F$214:$AJ$214=""))+IF(AO$216="P3",COUNTIF($F$214:$AJ$214,"P3")*ROWS($C$218:$C$241),0)),"")</f>
        <v>0.93128470744680802</v>
      </c>
      <c r="AP237" s="6" t="str" cm="1">
        <f t="array" ref="AP237">IFERROR((SUMPRODUCT(($C$218:$C$241=AP$216)*($F$214:$AJ$214="")*$F$218:$AJ$241)+IF(AP$216="P3",SUMPRODUCT(($F$214:$AJ$214="P3")*$F$218:$AJ$241),0))/(SUMPRODUCT(($C$218:$C$241=AP$216)*($F$214:$AJ$214=""))+IF(AP$216="P3",COUNTIF($F$214:$AJ$214,"P3")*ROWS($C$218:$C$241),0)),"")</f>
        <v/>
      </c>
      <c r="AQ237" s="6" t="str" cm="1">
        <f t="array" ref="AQ237">IFERROR((SUMPRODUCT(($C$218:$C$241=AQ$216)*($F$214:$AJ$214="")*$F$218:$AJ$241)+IF(AQ$216="P3",SUMPRODUCT(($F$214:$AJ$214="P3")*$F$218:$AJ$241),0))/(SUMPRODUCT(($C$218:$C$241=AQ$216)*($F$214:$AJ$214=""))+IF(AQ$216="P3",COUNTIF($F$214:$AJ$214,"P3")*ROWS($C$218:$C$241),0)),"")</f>
        <v/>
      </c>
      <c r="AR237" s="6" t="str" cm="1">
        <f t="array" ref="AR237">IFERROR((SUMPRODUCT(($C$218:$C$241=AR$216)*($F$214:$AJ$214="")*$F$218:$AJ$241)+IF(AR$216="P3",SUMPRODUCT(($F$214:$AJ$214="P3")*$F$218:$AJ$241),0))/(SUMPRODUCT(($C$218:$C$241=AR$216)*($F$214:$AJ$214=""))+IF(AR$216="P3",COUNTIF($F$214:$AJ$214,"P3")*ROWS($C$218:$C$241),0)),"")</f>
        <v/>
      </c>
    </row>
    <row r="238" spans="1:44" ht="14.25" customHeight="1" x14ac:dyDescent="0.35">
      <c r="A238" s="1" t="s">
        <v>13</v>
      </c>
      <c r="B238" s="1" t="s">
        <v>13</v>
      </c>
      <c r="C238" s="1" t="s">
        <v>13</v>
      </c>
      <c r="D238" s="1" t="s">
        <v>13</v>
      </c>
      <c r="E238" s="1" t="s">
        <v>39</v>
      </c>
      <c r="F238" s="1">
        <v>0.87819999999999998</v>
      </c>
      <c r="G238" s="1">
        <v>0.90969</v>
      </c>
      <c r="H238" s="1">
        <v>0.89505999999999997</v>
      </c>
      <c r="I238" s="1">
        <v>0.88970000000000005</v>
      </c>
      <c r="J238" s="1">
        <v>0.91320999999999997</v>
      </c>
      <c r="K238" s="1">
        <v>1.03095</v>
      </c>
      <c r="L238" s="1">
        <v>0.9768</v>
      </c>
      <c r="M238" s="1">
        <v>0.87819999999999998</v>
      </c>
      <c r="N238" s="1">
        <v>0.90969</v>
      </c>
      <c r="O238" s="1">
        <v>0.89505999999999997</v>
      </c>
      <c r="P238" s="1">
        <v>0.88970000000000005</v>
      </c>
      <c r="Q238" s="1">
        <v>0.91320999999999997</v>
      </c>
      <c r="R238" s="1">
        <v>1.03095</v>
      </c>
      <c r="S238" s="1">
        <v>0.9768</v>
      </c>
      <c r="T238" s="1">
        <v>0.87819999999999998</v>
      </c>
      <c r="U238" s="1">
        <v>0.90969</v>
      </c>
      <c r="V238" s="1">
        <v>0.89505999999999997</v>
      </c>
      <c r="W238" s="1">
        <v>0.88970000000000005</v>
      </c>
      <c r="X238" s="1">
        <v>0.91320999999999997</v>
      </c>
      <c r="Y238" s="1">
        <v>1.03095</v>
      </c>
      <c r="Z238" s="1">
        <v>0.9768</v>
      </c>
      <c r="AA238" s="1">
        <v>0.87819999999999998</v>
      </c>
      <c r="AB238" s="1">
        <v>0.90969</v>
      </c>
      <c r="AC238" s="1">
        <v>0.89505999999999997</v>
      </c>
      <c r="AD238" s="1">
        <v>0.88970000000000005</v>
      </c>
      <c r="AE238" s="1">
        <v>0.91320999999999997</v>
      </c>
      <c r="AF238" s="1">
        <v>1.03095</v>
      </c>
      <c r="AG238" s="1">
        <v>0.9768</v>
      </c>
      <c r="AH238" s="1">
        <v>0.87819999999999998</v>
      </c>
      <c r="AI238" s="1">
        <v>0.90969</v>
      </c>
      <c r="AJ238" s="1">
        <v>0.89505999999999997</v>
      </c>
      <c r="AL238" s="4" t="s">
        <v>21</v>
      </c>
      <c r="AM238" s="6" cm="1">
        <f t="array" ref="AM238">IFERROR((SUMPRODUCT(($B$218:$B$241=AM$216)*($F$215:$AJ$215="")*$F$218:$AJ$241)+IF(AM$216="P6",SUMPRODUCT(($F$215:$AJ$215="P6")*$F$218:$AJ$241),0))/(SUMPRODUCT(($B$218:$B$241=AM$216)*($F$215:$AJ$215=""))+IF(AM$216="P6",COUNTIF($F$215:$AJ$215,"P6")*ROWS($B$218:$B$241),0)),"")</f>
        <v>0.88189985507246293</v>
      </c>
      <c r="AN238" s="6" cm="1">
        <f t="array" ref="AN238">IFERROR((SUMPRODUCT(($B$218:$B$241=AN$216)*($F$215:$AJ$215="")*$F$218:$AJ$241)+IF(AN$216="P6",SUMPRODUCT(($F$215:$AJ$215="P6")*$F$218:$AJ$241),0))/(SUMPRODUCT(($B$218:$B$241=AN$216)*($F$215:$AJ$215=""))+IF(AN$216="P6",COUNTIF($F$215:$AJ$215,"P6")*ROWS($B$218:$B$241),0)),"")</f>
        <v>0.89733484472049729</v>
      </c>
      <c r="AO238" s="6" t="str" cm="1">
        <f t="array" ref="AO238">IFERROR((SUMPRODUCT(($B$218:$B$241=AO$216)*($F$215:$AJ$215="")*$F$218:$AJ$241)+IF(AO$216="P6",SUMPRODUCT(($F$215:$AJ$215="P6")*$F$218:$AJ$241),0))/(SUMPRODUCT(($B$218:$B$241=AO$216)*($F$215:$AJ$215=""))+IF(AO$216="P6",COUNTIF($F$215:$AJ$215,"P6")*ROWS($B$218:$B$241),0)),"")</f>
        <v/>
      </c>
      <c r="AP238" s="6" t="str" cm="1">
        <f t="array" ref="AP238">IFERROR((SUMPRODUCT(($B$218:$B$241=AP$216)*($F$215:$AJ$215="")*$F$218:$AJ$241)+IF(AP$216="P6",SUMPRODUCT(($F$215:$AJ$215="P6")*$F$218:$AJ$241),0))/(SUMPRODUCT(($B$218:$B$241=AP$216)*($F$215:$AJ$215=""))+IF(AP$216="P6",COUNTIF($F$215:$AJ$215,"P6")*ROWS($B$218:$B$241),0)),"")</f>
        <v/>
      </c>
      <c r="AQ238" s="6" t="str" cm="1">
        <f t="array" ref="AQ238">IFERROR((SUMPRODUCT(($B$218:$B$241=AQ$216)*($F$215:$AJ$215="")*$F$218:$AJ$241)+IF(AQ$216="P6",SUMPRODUCT(($F$215:$AJ$215="P6")*$F$218:$AJ$241),0))/(SUMPRODUCT(($B$218:$B$241=AQ$216)*($F$215:$AJ$215=""))+IF(AQ$216="P6",COUNTIF($F$215:$AJ$215,"P6")*ROWS($B$218:$B$241),0)),"")</f>
        <v/>
      </c>
      <c r="AR238" s="6" cm="1">
        <f t="array" ref="AR238">IFERROR((SUMPRODUCT(($B$218:$B$241=AR$216)*($F$215:$AJ$215="")*$F$218:$AJ$241)+IF(AR$216="P6",SUMPRODUCT(($F$215:$AJ$215="P6")*$F$218:$AJ$241),0))/(SUMPRODUCT(($B$218:$B$241=AR$216)*($F$215:$AJ$215=""))+IF(AR$216="P6",COUNTIF($F$215:$AJ$215,"P6")*ROWS($B$218:$B$241),0)),"")</f>
        <v>0.93128470744680802</v>
      </c>
    </row>
    <row r="239" spans="1:44" ht="14.25" customHeight="1" x14ac:dyDescent="0.35">
      <c r="A239" s="1" t="s">
        <v>13</v>
      </c>
      <c r="B239" s="1" t="s">
        <v>13</v>
      </c>
      <c r="C239" s="1" t="s">
        <v>13</v>
      </c>
      <c r="D239" s="1" t="s">
        <v>13</v>
      </c>
      <c r="E239" s="1" t="s">
        <v>40</v>
      </c>
      <c r="F239" s="1">
        <v>0.86968999999999996</v>
      </c>
      <c r="G239" s="1">
        <v>0.90164999999999995</v>
      </c>
      <c r="H239" s="1">
        <v>0.90295000000000003</v>
      </c>
      <c r="I239" s="1">
        <v>0.88917999999999997</v>
      </c>
      <c r="J239" s="1">
        <v>0.93106999999999995</v>
      </c>
      <c r="K239" s="1">
        <v>1.04451</v>
      </c>
      <c r="L239" s="1">
        <v>0.98121000000000003</v>
      </c>
      <c r="M239" s="1">
        <v>0.86968999999999996</v>
      </c>
      <c r="N239" s="1">
        <v>0.90164999999999995</v>
      </c>
      <c r="O239" s="1">
        <v>0.90295000000000003</v>
      </c>
      <c r="P239" s="1">
        <v>0.88917999999999997</v>
      </c>
      <c r="Q239" s="1">
        <v>0.93106999999999995</v>
      </c>
      <c r="R239" s="1">
        <v>1.04451</v>
      </c>
      <c r="S239" s="1">
        <v>0.98121000000000003</v>
      </c>
      <c r="T239" s="1">
        <v>0.86968999999999996</v>
      </c>
      <c r="U239" s="1">
        <v>0.90164999999999995</v>
      </c>
      <c r="V239" s="1">
        <v>0.90295000000000003</v>
      </c>
      <c r="W239" s="1">
        <v>0.88917999999999997</v>
      </c>
      <c r="X239" s="1">
        <v>0.93106999999999995</v>
      </c>
      <c r="Y239" s="1">
        <v>1.04451</v>
      </c>
      <c r="Z239" s="1">
        <v>0.98121000000000003</v>
      </c>
      <c r="AA239" s="1">
        <v>0.86968999999999996</v>
      </c>
      <c r="AB239" s="1">
        <v>0.90164999999999995</v>
      </c>
      <c r="AC239" s="1">
        <v>0.90295000000000003</v>
      </c>
      <c r="AD239" s="1">
        <v>0.88917999999999997</v>
      </c>
      <c r="AE239" s="1">
        <v>0.93106999999999995</v>
      </c>
      <c r="AF239" s="1">
        <v>1.04451</v>
      </c>
      <c r="AG239" s="1">
        <v>0.98121000000000003</v>
      </c>
      <c r="AH239" s="1">
        <v>0.86968999999999996</v>
      </c>
      <c r="AI239" s="1">
        <v>0.90164999999999995</v>
      </c>
      <c r="AJ239" s="1">
        <v>0.90295000000000003</v>
      </c>
      <c r="AL239" s="4" t="s">
        <v>23</v>
      </c>
      <c r="AM239" s="6" cm="1">
        <f t="array" ref="AM239">IFERROR((SUMPRODUCT(($B$218:$B$241=AM$216)*($F$215:$AJ$215="")*$F$218:$AJ$241)+IF(AM$216="P6",SUMPRODUCT(($F$215:$AJ$215="P6")*$F$218:$AJ$241),0))/(SUMPRODUCT(($B$218:$B$241=AM$216)*($F$215:$AJ$215=""))+IF(AM$216="P6",COUNTIF($F$215:$AJ$215,"P6")*ROWS($B$218:$B$241),0)),"")</f>
        <v>0.88189985507246293</v>
      </c>
      <c r="AN239" s="6" cm="1">
        <f t="array" ref="AN239">IFERROR((SUMPRODUCT(($B$218:$B$241=AN$216)*($F$215:$AJ$215="")*$F$218:$AJ$241)+IF(AN$216="P6",SUMPRODUCT(($F$215:$AJ$215="P6")*$F$218:$AJ$241),0))/(SUMPRODUCT(($B$218:$B$241=AN$216)*($F$215:$AJ$215=""))+IF(AN$216="P6",COUNTIF($F$215:$AJ$215,"P6")*ROWS($B$218:$B$241),0)),"")</f>
        <v>0.89733484472049729</v>
      </c>
      <c r="AO239" s="6" t="str" cm="1">
        <f t="array" ref="AO239">IFERROR((SUMPRODUCT(($B$218:$B$241=AO$216)*($F$215:$AJ$215="")*$F$218:$AJ$241)+IF(AO$216="P6",SUMPRODUCT(($F$215:$AJ$215="P6")*$F$218:$AJ$241),0))/(SUMPRODUCT(($B$218:$B$241=AO$216)*($F$215:$AJ$215=""))+IF(AO$216="P6",COUNTIF($F$215:$AJ$215,"P6")*ROWS($B$218:$B$241),0)),"")</f>
        <v/>
      </c>
      <c r="AP239" s="6" t="str" cm="1">
        <f t="array" ref="AP239">IFERROR((SUMPRODUCT(($B$218:$B$241=AP$216)*($F$215:$AJ$215="")*$F$218:$AJ$241)+IF(AP$216="P6",SUMPRODUCT(($F$215:$AJ$215="P6")*$F$218:$AJ$241),0))/(SUMPRODUCT(($B$218:$B$241=AP$216)*($F$215:$AJ$215=""))+IF(AP$216="P6",COUNTIF($F$215:$AJ$215,"P6")*ROWS($B$218:$B$241),0)),"")</f>
        <v/>
      </c>
      <c r="AQ239" s="6" t="str" cm="1">
        <f t="array" ref="AQ239">IFERROR((SUMPRODUCT(($B$218:$B$241=AQ$216)*($F$215:$AJ$215="")*$F$218:$AJ$241)+IF(AQ$216="P6",SUMPRODUCT(($F$215:$AJ$215="P6")*$F$218:$AJ$241),0))/(SUMPRODUCT(($B$218:$B$241=AQ$216)*($F$215:$AJ$215=""))+IF(AQ$216="P6",COUNTIF($F$215:$AJ$215,"P6")*ROWS($B$218:$B$241),0)),"")</f>
        <v/>
      </c>
      <c r="AR239" s="6" cm="1">
        <f t="array" ref="AR239">IFERROR((SUMPRODUCT(($B$218:$B$241=AR$216)*($F$215:$AJ$215="")*$F$218:$AJ$241)+IF(AR$216="P6",SUMPRODUCT(($F$215:$AJ$215="P6")*$F$218:$AJ$241),0))/(SUMPRODUCT(($B$218:$B$241=AR$216)*($F$215:$AJ$215=""))+IF(AR$216="P6",COUNTIF($F$215:$AJ$215,"P6")*ROWS($B$218:$B$241),0)),"")</f>
        <v>0.93128470744680802</v>
      </c>
    </row>
    <row r="240" spans="1:44" ht="14.25" customHeight="1" x14ac:dyDescent="0.35">
      <c r="A240" s="1" t="s">
        <v>15</v>
      </c>
      <c r="B240" s="1" t="s">
        <v>14</v>
      </c>
      <c r="C240" s="1" t="s">
        <v>14</v>
      </c>
      <c r="D240" s="1" t="s">
        <v>14</v>
      </c>
      <c r="E240" s="1" t="s">
        <v>41</v>
      </c>
      <c r="F240" s="1">
        <v>0.92515999999999998</v>
      </c>
      <c r="G240" s="1">
        <v>0.96319999999999995</v>
      </c>
      <c r="H240" s="1">
        <v>0.96543000000000001</v>
      </c>
      <c r="I240" s="1">
        <v>0.94896000000000003</v>
      </c>
      <c r="J240" s="1">
        <v>1.0064200000000001</v>
      </c>
      <c r="K240" s="1">
        <v>1.0436799999999999</v>
      </c>
      <c r="L240" s="1">
        <v>0.99129</v>
      </c>
      <c r="M240" s="1">
        <v>0.92515999999999998</v>
      </c>
      <c r="N240" s="1">
        <v>0.96319999999999995</v>
      </c>
      <c r="O240" s="1">
        <v>0.96543000000000001</v>
      </c>
      <c r="P240" s="1">
        <v>0.94896000000000003</v>
      </c>
      <c r="Q240" s="1">
        <v>1.0064200000000001</v>
      </c>
      <c r="R240" s="1">
        <v>1.0436799999999999</v>
      </c>
      <c r="S240" s="1">
        <v>0.99129</v>
      </c>
      <c r="T240" s="1">
        <v>0.92515999999999998</v>
      </c>
      <c r="U240" s="1">
        <v>0.96319999999999995</v>
      </c>
      <c r="V240" s="1">
        <v>0.96543000000000001</v>
      </c>
      <c r="W240" s="1">
        <v>0.94896000000000003</v>
      </c>
      <c r="X240" s="1">
        <v>1.0064200000000001</v>
      </c>
      <c r="Y240" s="1">
        <v>1.0436799999999999</v>
      </c>
      <c r="Z240" s="1">
        <v>0.99129</v>
      </c>
      <c r="AA240" s="1">
        <v>0.92515999999999998</v>
      </c>
      <c r="AB240" s="1">
        <v>0.96319999999999995</v>
      </c>
      <c r="AC240" s="1">
        <v>0.96543000000000001</v>
      </c>
      <c r="AD240" s="1">
        <v>0.94896000000000003</v>
      </c>
      <c r="AE240" s="1">
        <v>1.0064200000000001</v>
      </c>
      <c r="AF240" s="1">
        <v>1.0436799999999999</v>
      </c>
      <c r="AG240" s="1">
        <v>0.99129</v>
      </c>
      <c r="AH240" s="1">
        <v>0.92515999999999998</v>
      </c>
      <c r="AI240" s="1">
        <v>0.96319999999999995</v>
      </c>
      <c r="AJ240" s="1">
        <v>0.96543000000000001</v>
      </c>
      <c r="AL240" s="4" t="s">
        <v>25</v>
      </c>
      <c r="AM240" s="6" cm="1">
        <f t="array" ref="AM240">IFERROR((SUMPRODUCT(($B$218:$B$241=AM$216)*($F$215:$AJ$215="")*$F$218:$AJ$241)+IF(AM$216="P6",SUMPRODUCT(($F$215:$AJ$215="P6")*$F$218:$AJ$241),0))/(SUMPRODUCT(($B$218:$B$241=AM$216)*($F$215:$AJ$215=""))+IF(AM$216="P6",COUNTIF($F$215:$AJ$215,"P6")*ROWS($B$218:$B$241),0)),"")</f>
        <v>0.88189985507246293</v>
      </c>
      <c r="AN240" s="6" cm="1">
        <f t="array" ref="AN240">IFERROR((SUMPRODUCT(($B$218:$B$241=AN$216)*($F$215:$AJ$215="")*$F$218:$AJ$241)+IF(AN$216="P6",SUMPRODUCT(($F$215:$AJ$215="P6")*$F$218:$AJ$241),0))/(SUMPRODUCT(($B$218:$B$241=AN$216)*($F$215:$AJ$215=""))+IF(AN$216="P6",COUNTIF($F$215:$AJ$215,"P6")*ROWS($B$218:$B$241),0)),"")</f>
        <v>0.89733484472049729</v>
      </c>
      <c r="AO240" s="6" t="str" cm="1">
        <f t="array" ref="AO240">IFERROR((SUMPRODUCT(($B$218:$B$241=AO$216)*($F$215:$AJ$215="")*$F$218:$AJ$241)+IF(AO$216="P6",SUMPRODUCT(($F$215:$AJ$215="P6")*$F$218:$AJ$241),0))/(SUMPRODUCT(($B$218:$B$241=AO$216)*($F$215:$AJ$215=""))+IF(AO$216="P6",COUNTIF($F$215:$AJ$215,"P6")*ROWS($B$218:$B$241),0)),"")</f>
        <v/>
      </c>
      <c r="AP240" s="6" t="str" cm="1">
        <f t="array" ref="AP240">IFERROR((SUMPRODUCT(($B$218:$B$241=AP$216)*($F$215:$AJ$215="")*$F$218:$AJ$241)+IF(AP$216="P6",SUMPRODUCT(($F$215:$AJ$215="P6")*$F$218:$AJ$241),0))/(SUMPRODUCT(($B$218:$B$241=AP$216)*($F$215:$AJ$215=""))+IF(AP$216="P6",COUNTIF($F$215:$AJ$215,"P6")*ROWS($B$218:$B$241),0)),"")</f>
        <v/>
      </c>
      <c r="AQ240" s="6" t="str" cm="1">
        <f t="array" ref="AQ240">IFERROR((SUMPRODUCT(($B$218:$B$241=AQ$216)*($F$215:$AJ$215="")*$F$218:$AJ$241)+IF(AQ$216="P6",SUMPRODUCT(($F$215:$AJ$215="P6")*$F$218:$AJ$241),0))/(SUMPRODUCT(($B$218:$B$241=AQ$216)*($F$215:$AJ$215=""))+IF(AQ$216="P6",COUNTIF($F$215:$AJ$215,"P6")*ROWS($B$218:$B$241),0)),"")</f>
        <v/>
      </c>
      <c r="AR240" s="6" cm="1">
        <f t="array" ref="AR240">IFERROR((SUMPRODUCT(($B$218:$B$241=AR$216)*($F$215:$AJ$215="")*$F$218:$AJ$241)+IF(AR$216="P6",SUMPRODUCT(($F$215:$AJ$215="P6")*$F$218:$AJ$241),0))/(SUMPRODUCT(($B$218:$B$241=AR$216)*($F$215:$AJ$215=""))+IF(AR$216="P6",COUNTIF($F$215:$AJ$215,"P6")*ROWS($B$218:$B$241),0)),"")</f>
        <v>0.93128470744680802</v>
      </c>
    </row>
    <row r="241" spans="1:44" ht="14.25" customHeight="1" x14ac:dyDescent="0.35">
      <c r="A241" s="1" t="s">
        <v>15</v>
      </c>
      <c r="B241" s="1" t="s">
        <v>14</v>
      </c>
      <c r="C241" s="1" t="s">
        <v>14</v>
      </c>
      <c r="D241" s="1" t="s">
        <v>14</v>
      </c>
      <c r="E241" s="1" t="s">
        <v>42</v>
      </c>
      <c r="F241" s="1">
        <v>0.91080000000000005</v>
      </c>
      <c r="G241" s="1">
        <v>0.95526</v>
      </c>
      <c r="H241" s="1">
        <v>0.95465999999999995</v>
      </c>
      <c r="I241" s="1">
        <v>0.93684999999999996</v>
      </c>
      <c r="J241" s="1">
        <v>0.98884000000000005</v>
      </c>
      <c r="K241" s="1">
        <v>1.0444899999999999</v>
      </c>
      <c r="L241" s="1">
        <v>0.99156</v>
      </c>
      <c r="M241" s="1">
        <v>0.91080000000000005</v>
      </c>
      <c r="N241" s="1">
        <v>0.95526</v>
      </c>
      <c r="O241" s="1">
        <v>0.95465999999999995</v>
      </c>
      <c r="P241" s="1">
        <v>0.93684999999999996</v>
      </c>
      <c r="Q241" s="1">
        <v>0.98884000000000005</v>
      </c>
      <c r="R241" s="1">
        <v>1.0444899999999999</v>
      </c>
      <c r="S241" s="1">
        <v>0.99156</v>
      </c>
      <c r="T241" s="1">
        <v>0.91080000000000005</v>
      </c>
      <c r="U241" s="1">
        <v>0.95526</v>
      </c>
      <c r="V241" s="1">
        <v>0.95465999999999995</v>
      </c>
      <c r="W241" s="1">
        <v>0.93684999999999996</v>
      </c>
      <c r="X241" s="1">
        <v>0.98884000000000005</v>
      </c>
      <c r="Y241" s="1">
        <v>1.0444899999999999</v>
      </c>
      <c r="Z241" s="1">
        <v>0.99156</v>
      </c>
      <c r="AA241" s="1">
        <v>0.91080000000000005</v>
      </c>
      <c r="AB241" s="1">
        <v>0.95526</v>
      </c>
      <c r="AC241" s="1">
        <v>0.95465999999999995</v>
      </c>
      <c r="AD241" s="1">
        <v>0.93684999999999996</v>
      </c>
      <c r="AE241" s="1">
        <v>0.98884000000000005</v>
      </c>
      <c r="AF241" s="1">
        <v>1.0444899999999999</v>
      </c>
      <c r="AG241" s="1">
        <v>0.99156</v>
      </c>
      <c r="AH241" s="1">
        <v>0.91080000000000005</v>
      </c>
      <c r="AI241" s="1">
        <v>0.95526</v>
      </c>
      <c r="AJ241" s="1">
        <v>0.95465999999999995</v>
      </c>
      <c r="AL241" s="4" t="s">
        <v>27</v>
      </c>
      <c r="AM241" s="6" cm="1">
        <f t="array" ref="AM241">IFERROR((SUMPRODUCT(($B$218:$B$241=AM$216)*($F$215:$AJ$215="")*$F$218:$AJ$241)+IF(AM$216="P6",SUMPRODUCT(($F$215:$AJ$215="P6")*$F$218:$AJ$241),0))/(SUMPRODUCT(($B$218:$B$241=AM$216)*($F$215:$AJ$215=""))+IF(AM$216="P6",COUNTIF($F$215:$AJ$215,"P6")*ROWS($B$218:$B$241),0)),"")</f>
        <v>0.88189985507246293</v>
      </c>
      <c r="AN241" s="6" cm="1">
        <f t="array" ref="AN241">IFERROR((SUMPRODUCT(($B$218:$B$241=AN$216)*($F$215:$AJ$215="")*$F$218:$AJ$241)+IF(AN$216="P6",SUMPRODUCT(($F$215:$AJ$215="P6")*$F$218:$AJ$241),0))/(SUMPRODUCT(($B$218:$B$241=AN$216)*($F$215:$AJ$215=""))+IF(AN$216="P6",COUNTIF($F$215:$AJ$215,"P6")*ROWS($B$218:$B$241),0)),"")</f>
        <v>0.89733484472049729</v>
      </c>
      <c r="AO241" s="6" t="str" cm="1">
        <f t="array" ref="AO241">IFERROR((SUMPRODUCT(($B$218:$B$241=AO$216)*($F$215:$AJ$215="")*$F$218:$AJ$241)+IF(AO$216="P6",SUMPRODUCT(($F$215:$AJ$215="P6")*$F$218:$AJ$241),0))/(SUMPRODUCT(($B$218:$B$241=AO$216)*($F$215:$AJ$215=""))+IF(AO$216="P6",COUNTIF($F$215:$AJ$215,"P6")*ROWS($B$218:$B$241),0)),"")</f>
        <v/>
      </c>
      <c r="AP241" s="6" t="str" cm="1">
        <f t="array" ref="AP241">IFERROR((SUMPRODUCT(($B$218:$B$241=AP$216)*($F$215:$AJ$215="")*$F$218:$AJ$241)+IF(AP$216="P6",SUMPRODUCT(($F$215:$AJ$215="P6")*$F$218:$AJ$241),0))/(SUMPRODUCT(($B$218:$B$241=AP$216)*($F$215:$AJ$215=""))+IF(AP$216="P6",COUNTIF($F$215:$AJ$215,"P6")*ROWS($B$218:$B$241),0)),"")</f>
        <v/>
      </c>
      <c r="AQ241" s="6" t="str" cm="1">
        <f t="array" ref="AQ241">IFERROR((SUMPRODUCT(($B$218:$B$241=AQ$216)*($F$215:$AJ$215="")*$F$218:$AJ$241)+IF(AQ$216="P6",SUMPRODUCT(($F$215:$AJ$215="P6")*$F$218:$AJ$241),0))/(SUMPRODUCT(($B$218:$B$241=AQ$216)*($F$215:$AJ$215=""))+IF(AQ$216="P6",COUNTIF($F$215:$AJ$215,"P6")*ROWS($B$218:$B$241),0)),"")</f>
        <v/>
      </c>
      <c r="AR241" s="6" cm="1">
        <f t="array" ref="AR241">IFERROR((SUMPRODUCT(($B$218:$B$241=AR$216)*($F$215:$AJ$215="")*$F$218:$AJ$241)+IF(AR$216="P6",SUMPRODUCT(($F$215:$AJ$215="P6")*$F$218:$AJ$241),0))/(SUMPRODUCT(($B$218:$B$241=AR$216)*($F$215:$AJ$215=""))+IF(AR$216="P6",COUNTIF($F$215:$AJ$215,"P6")*ROWS($B$218:$B$241),0)),"")</f>
        <v>0.93128470744680802</v>
      </c>
    </row>
    <row r="242" spans="1:44" ht="14.25" customHeight="1" x14ac:dyDescent="0.35">
      <c r="AL242" s="4" t="s">
        <v>29</v>
      </c>
      <c r="AM242" s="6" cm="1">
        <f t="array" ref="AM242">IFERROR((SUMPRODUCT(($B$218:$B$241=AM$216)*($F$215:$AJ$215="")*$F$218:$AJ$241)+IF(AM$216="P6",SUMPRODUCT(($F$215:$AJ$215="P6")*$F$218:$AJ$241),0))/(SUMPRODUCT(($B$218:$B$241=AM$216)*($F$215:$AJ$215=""))+IF(AM$216="P6",COUNTIF($F$215:$AJ$215,"P6")*ROWS($B$218:$B$241),0)),"")</f>
        <v>0.88189985507246293</v>
      </c>
      <c r="AN242" s="6" cm="1">
        <f t="array" ref="AN242">IFERROR((SUMPRODUCT(($B$218:$B$241=AN$216)*($F$215:$AJ$215="")*$F$218:$AJ$241)+IF(AN$216="P6",SUMPRODUCT(($F$215:$AJ$215="P6")*$F$218:$AJ$241),0))/(SUMPRODUCT(($B$218:$B$241=AN$216)*($F$215:$AJ$215=""))+IF(AN$216="P6",COUNTIF($F$215:$AJ$215,"P6")*ROWS($B$218:$B$241),0)),"")</f>
        <v>0.89733484472049729</v>
      </c>
      <c r="AO242" s="6" t="str" cm="1">
        <f t="array" ref="AO242">IFERROR((SUMPRODUCT(($B$218:$B$241=AO$216)*($F$215:$AJ$215="")*$F$218:$AJ$241)+IF(AO$216="P6",SUMPRODUCT(($F$215:$AJ$215="P6")*$F$218:$AJ$241),0))/(SUMPRODUCT(($B$218:$B$241=AO$216)*($F$215:$AJ$215=""))+IF(AO$216="P6",COUNTIF($F$215:$AJ$215,"P6")*ROWS($B$218:$B$241),0)),"")</f>
        <v/>
      </c>
      <c r="AP242" s="6" t="str" cm="1">
        <f t="array" ref="AP242">IFERROR((SUMPRODUCT(($B$218:$B$241=AP$216)*($F$215:$AJ$215="")*$F$218:$AJ$241)+IF(AP$216="P6",SUMPRODUCT(($F$215:$AJ$215="P6")*$F$218:$AJ$241),0))/(SUMPRODUCT(($B$218:$B$241=AP$216)*($F$215:$AJ$215=""))+IF(AP$216="P6",COUNTIF($F$215:$AJ$215,"P6")*ROWS($B$218:$B$241),0)),"")</f>
        <v/>
      </c>
      <c r="AQ242" s="6" t="str" cm="1">
        <f t="array" ref="AQ242">IFERROR((SUMPRODUCT(($B$218:$B$241=AQ$216)*($F$215:$AJ$215="")*$F$218:$AJ$241)+IF(AQ$216="P6",SUMPRODUCT(($F$215:$AJ$215="P6")*$F$218:$AJ$241),0))/(SUMPRODUCT(($B$218:$B$241=AQ$216)*($F$215:$AJ$215=""))+IF(AQ$216="P6",COUNTIF($F$215:$AJ$215,"P6")*ROWS($B$218:$B$241),0)),"")</f>
        <v/>
      </c>
      <c r="AR242" s="6" cm="1">
        <f t="array" ref="AR242">IFERROR((SUMPRODUCT(($B$218:$B$241=AR$216)*($F$215:$AJ$215="")*$F$218:$AJ$241)+IF(AR$216="P6",SUMPRODUCT(($F$215:$AJ$215="P6")*$F$218:$AJ$241),0))/(SUMPRODUCT(($B$218:$B$241=AR$216)*($F$215:$AJ$215=""))+IF(AR$216="P6",COUNTIF($F$215:$AJ$215,"P6")*ROWS($B$218:$B$241),0)),"")</f>
        <v>0.93128470744680802</v>
      </c>
    </row>
    <row r="246" spans="1:44" ht="14.25" customHeight="1" x14ac:dyDescent="0.35">
      <c r="A246" s="15" t="s">
        <v>181</v>
      </c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</row>
    <row r="247" spans="1:44" ht="14.25" customHeight="1" x14ac:dyDescent="0.3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</row>
    <row r="248" spans="1:44" ht="14.25" customHeight="1" x14ac:dyDescent="0.35">
      <c r="AL248" s="10"/>
      <c r="AM248" s="10"/>
      <c r="AN248" s="10"/>
      <c r="AO248" s="10"/>
      <c r="AP248" s="10"/>
      <c r="AQ248" s="10"/>
      <c r="AR248" s="10"/>
    </row>
    <row r="249" spans="1:44" ht="14.25" customHeight="1" x14ac:dyDescent="0.35">
      <c r="F249" s="1" t="str">
        <f>IF(OR(F251="S",F251="D",F252=DATE(2024,8,15)),"P3","")</f>
        <v/>
      </c>
      <c r="G249" s="1" t="str">
        <f t="shared" ref="G249:AJ249" si="27">IF(OR(G251="S",G251="D",G252=DATE(2024,8,15)),"P3","")</f>
        <v/>
      </c>
      <c r="H249" s="1" t="str">
        <f t="shared" si="27"/>
        <v>P3</v>
      </c>
      <c r="I249" s="1" t="str">
        <f t="shared" si="27"/>
        <v>P3</v>
      </c>
      <c r="J249" s="1" t="str">
        <f t="shared" si="27"/>
        <v/>
      </c>
      <c r="K249" s="1" t="str">
        <f t="shared" si="27"/>
        <v/>
      </c>
      <c r="L249" s="1" t="str">
        <f t="shared" si="27"/>
        <v/>
      </c>
      <c r="M249" s="1" t="str">
        <f t="shared" si="27"/>
        <v/>
      </c>
      <c r="N249" s="1" t="str">
        <f t="shared" si="27"/>
        <v/>
      </c>
      <c r="O249" s="1" t="str">
        <f t="shared" si="27"/>
        <v>P3</v>
      </c>
      <c r="P249" s="1" t="str">
        <f t="shared" si="27"/>
        <v>P3</v>
      </c>
      <c r="Q249" s="1" t="str">
        <f t="shared" si="27"/>
        <v/>
      </c>
      <c r="R249" s="1" t="str">
        <f t="shared" si="27"/>
        <v/>
      </c>
      <c r="S249" s="1" t="str">
        <f t="shared" si="27"/>
        <v/>
      </c>
      <c r="T249" s="1" t="str">
        <f t="shared" si="27"/>
        <v>P3</v>
      </c>
      <c r="U249" s="1" t="str">
        <f t="shared" si="27"/>
        <v/>
      </c>
      <c r="V249" s="1" t="str">
        <f t="shared" si="27"/>
        <v>P3</v>
      </c>
      <c r="W249" s="1" t="str">
        <f t="shared" si="27"/>
        <v>P3</v>
      </c>
      <c r="X249" s="1" t="str">
        <f t="shared" si="27"/>
        <v/>
      </c>
      <c r="Y249" s="1" t="str">
        <f t="shared" si="27"/>
        <v/>
      </c>
      <c r="Z249" s="1" t="str">
        <f t="shared" si="27"/>
        <v/>
      </c>
      <c r="AA249" s="1" t="str">
        <f t="shared" si="27"/>
        <v/>
      </c>
      <c r="AB249" s="1" t="str">
        <f t="shared" si="27"/>
        <v/>
      </c>
      <c r="AC249" s="1" t="str">
        <f t="shared" si="27"/>
        <v>P3</v>
      </c>
      <c r="AD249" s="1" t="str">
        <f t="shared" si="27"/>
        <v>P3</v>
      </c>
      <c r="AE249" s="1" t="str">
        <f t="shared" si="27"/>
        <v/>
      </c>
      <c r="AF249" s="1" t="str">
        <f t="shared" si="27"/>
        <v/>
      </c>
      <c r="AG249" s="1" t="str">
        <f t="shared" si="27"/>
        <v/>
      </c>
      <c r="AH249" s="1" t="str">
        <f t="shared" si="27"/>
        <v/>
      </c>
      <c r="AI249" s="1" t="str">
        <f t="shared" si="27"/>
        <v/>
      </c>
      <c r="AJ249" s="1" t="str">
        <f t="shared" si="27"/>
        <v>P3</v>
      </c>
      <c r="AL249" s="10"/>
      <c r="AM249" s="10"/>
      <c r="AN249" s="10"/>
      <c r="AO249" s="10"/>
      <c r="AP249" s="10"/>
      <c r="AQ249" s="10"/>
      <c r="AR249" s="10"/>
    </row>
    <row r="250" spans="1:44" ht="14.25" customHeight="1" x14ac:dyDescent="0.35">
      <c r="F250" s="1" t="str">
        <f>IF(OR(F251="S",F251="D",F252=DATE(2024,8,15)),"P6","")</f>
        <v/>
      </c>
      <c r="G250" s="1" t="str">
        <f t="shared" ref="G250:AJ250" si="28">IF(OR(G251="S",G251="D",G252=DATE(2024,8,15)),"P6","")</f>
        <v/>
      </c>
      <c r="H250" s="1" t="str">
        <f t="shared" si="28"/>
        <v>P6</v>
      </c>
      <c r="I250" s="1" t="str">
        <f t="shared" si="28"/>
        <v>P6</v>
      </c>
      <c r="J250" s="1" t="str">
        <f t="shared" si="28"/>
        <v/>
      </c>
      <c r="K250" s="1" t="str">
        <f t="shared" si="28"/>
        <v/>
      </c>
      <c r="L250" s="1" t="str">
        <f t="shared" si="28"/>
        <v/>
      </c>
      <c r="M250" s="1" t="str">
        <f t="shared" si="28"/>
        <v/>
      </c>
      <c r="N250" s="1" t="str">
        <f t="shared" si="28"/>
        <v/>
      </c>
      <c r="O250" s="1" t="str">
        <f t="shared" si="28"/>
        <v>P6</v>
      </c>
      <c r="P250" s="1" t="str">
        <f t="shared" si="28"/>
        <v>P6</v>
      </c>
      <c r="Q250" s="1" t="str">
        <f t="shared" si="28"/>
        <v/>
      </c>
      <c r="R250" s="1" t="str">
        <f t="shared" si="28"/>
        <v/>
      </c>
      <c r="S250" s="1" t="str">
        <f t="shared" si="28"/>
        <v/>
      </c>
      <c r="T250" s="1" t="str">
        <f t="shared" si="28"/>
        <v>P6</v>
      </c>
      <c r="U250" s="1" t="str">
        <f t="shared" si="28"/>
        <v/>
      </c>
      <c r="V250" s="1" t="str">
        <f t="shared" si="28"/>
        <v>P6</v>
      </c>
      <c r="W250" s="1" t="str">
        <f t="shared" si="28"/>
        <v>P6</v>
      </c>
      <c r="X250" s="1" t="str">
        <f t="shared" si="28"/>
        <v/>
      </c>
      <c r="Y250" s="1" t="str">
        <f t="shared" si="28"/>
        <v/>
      </c>
      <c r="Z250" s="1" t="str">
        <f t="shared" si="28"/>
        <v/>
      </c>
      <c r="AA250" s="1" t="str">
        <f t="shared" si="28"/>
        <v/>
      </c>
      <c r="AB250" s="1" t="str">
        <f t="shared" si="28"/>
        <v/>
      </c>
      <c r="AC250" s="1" t="str">
        <f t="shared" si="28"/>
        <v>P6</v>
      </c>
      <c r="AD250" s="1" t="str">
        <f t="shared" si="28"/>
        <v>P6</v>
      </c>
      <c r="AE250" s="1" t="str">
        <f t="shared" si="28"/>
        <v/>
      </c>
      <c r="AF250" s="1" t="str">
        <f t="shared" si="28"/>
        <v/>
      </c>
      <c r="AG250" s="1" t="str">
        <f t="shared" si="28"/>
        <v/>
      </c>
      <c r="AH250" s="1" t="str">
        <f t="shared" si="28"/>
        <v/>
      </c>
      <c r="AI250" s="1" t="str">
        <f t="shared" si="28"/>
        <v/>
      </c>
      <c r="AJ250" s="1" t="str">
        <f t="shared" si="28"/>
        <v>P6</v>
      </c>
      <c r="AL250" s="14" t="s">
        <v>182</v>
      </c>
      <c r="AM250" s="14"/>
      <c r="AN250" s="14"/>
      <c r="AO250" s="14"/>
      <c r="AP250" s="14"/>
      <c r="AQ250" s="14"/>
      <c r="AR250" s="14"/>
    </row>
    <row r="251" spans="1:44" ht="14.25" customHeight="1" x14ac:dyDescent="0.35">
      <c r="F251" s="1" t="str">
        <f>CHOOSE(WEEKDAY(F252,2),"L","M","X","J","V","S","D")</f>
        <v>J</v>
      </c>
      <c r="G251" s="1" t="str">
        <f t="shared" ref="G251:AJ251" si="29">CHOOSE(WEEKDAY(G252,2),"L","M","X","J","V","S","D")</f>
        <v>V</v>
      </c>
      <c r="H251" s="1" t="str">
        <f t="shared" si="29"/>
        <v>S</v>
      </c>
      <c r="I251" s="1" t="str">
        <f t="shared" si="29"/>
        <v>D</v>
      </c>
      <c r="J251" s="1" t="str">
        <f t="shared" si="29"/>
        <v>L</v>
      </c>
      <c r="K251" s="1" t="str">
        <f t="shared" si="29"/>
        <v>M</v>
      </c>
      <c r="L251" s="1" t="str">
        <f t="shared" si="29"/>
        <v>X</v>
      </c>
      <c r="M251" s="1" t="str">
        <f t="shared" si="29"/>
        <v>J</v>
      </c>
      <c r="N251" s="1" t="str">
        <f t="shared" si="29"/>
        <v>V</v>
      </c>
      <c r="O251" s="1" t="str">
        <f t="shared" si="29"/>
        <v>S</v>
      </c>
      <c r="P251" s="1" t="str">
        <f t="shared" si="29"/>
        <v>D</v>
      </c>
      <c r="Q251" s="1" t="str">
        <f t="shared" si="29"/>
        <v>L</v>
      </c>
      <c r="R251" s="1" t="str">
        <f t="shared" si="29"/>
        <v>M</v>
      </c>
      <c r="S251" s="1" t="str">
        <f t="shared" si="29"/>
        <v>X</v>
      </c>
      <c r="T251" s="1" t="str">
        <f t="shared" si="29"/>
        <v>J</v>
      </c>
      <c r="U251" s="1" t="str">
        <f t="shared" si="29"/>
        <v>V</v>
      </c>
      <c r="V251" s="1" t="str">
        <f t="shared" si="29"/>
        <v>S</v>
      </c>
      <c r="W251" s="1" t="str">
        <f t="shared" si="29"/>
        <v>D</v>
      </c>
      <c r="X251" s="1" t="str">
        <f t="shared" si="29"/>
        <v>L</v>
      </c>
      <c r="Y251" s="1" t="str">
        <f t="shared" si="29"/>
        <v>M</v>
      </c>
      <c r="Z251" s="1" t="str">
        <f t="shared" si="29"/>
        <v>X</v>
      </c>
      <c r="AA251" s="1" t="str">
        <f t="shared" si="29"/>
        <v>J</v>
      </c>
      <c r="AB251" s="1" t="str">
        <f t="shared" si="29"/>
        <v>V</v>
      </c>
      <c r="AC251" s="1" t="str">
        <f t="shared" si="29"/>
        <v>S</v>
      </c>
      <c r="AD251" s="1" t="str">
        <f t="shared" si="29"/>
        <v>D</v>
      </c>
      <c r="AE251" s="1" t="str">
        <f t="shared" si="29"/>
        <v>L</v>
      </c>
      <c r="AF251" s="1" t="str">
        <f t="shared" si="29"/>
        <v>M</v>
      </c>
      <c r="AG251" s="1" t="str">
        <f t="shared" si="29"/>
        <v>X</v>
      </c>
      <c r="AH251" s="1" t="str">
        <f t="shared" si="29"/>
        <v>J</v>
      </c>
      <c r="AI251" s="1" t="str">
        <f t="shared" si="29"/>
        <v>V</v>
      </c>
      <c r="AJ251" s="1" t="str">
        <f t="shared" si="29"/>
        <v>S</v>
      </c>
      <c r="AL251" s="4"/>
      <c r="AM251" s="4" t="s">
        <v>13</v>
      </c>
      <c r="AN251" s="4" t="s">
        <v>14</v>
      </c>
      <c r="AO251" s="4" t="s">
        <v>15</v>
      </c>
      <c r="AP251" s="4" t="s">
        <v>16</v>
      </c>
      <c r="AQ251" s="4" t="s">
        <v>17</v>
      </c>
      <c r="AR251" s="4" t="s">
        <v>7</v>
      </c>
    </row>
    <row r="252" spans="1:44" ht="14.25" customHeight="1" x14ac:dyDescent="0.35">
      <c r="A252" s="3" t="s">
        <v>76</v>
      </c>
      <c r="B252" s="3" t="s">
        <v>77</v>
      </c>
      <c r="C252" s="3" t="s">
        <v>75</v>
      </c>
      <c r="D252" s="3" t="s">
        <v>74</v>
      </c>
      <c r="F252" s="8">
        <v>45505</v>
      </c>
      <c r="G252" s="8">
        <v>45506</v>
      </c>
      <c r="H252" s="8">
        <v>45507</v>
      </c>
      <c r="I252" s="8">
        <v>45508</v>
      </c>
      <c r="J252" s="8">
        <v>45509</v>
      </c>
      <c r="K252" s="8">
        <v>45510</v>
      </c>
      <c r="L252" s="8">
        <v>45511</v>
      </c>
      <c r="M252" s="8">
        <v>45512</v>
      </c>
      <c r="N252" s="8">
        <v>45513</v>
      </c>
      <c r="O252" s="8">
        <v>45514</v>
      </c>
      <c r="P252" s="8">
        <v>45515</v>
      </c>
      <c r="Q252" s="8">
        <v>45516</v>
      </c>
      <c r="R252" s="8">
        <v>45517</v>
      </c>
      <c r="S252" s="8">
        <v>45518</v>
      </c>
      <c r="T252" s="8">
        <v>45519</v>
      </c>
      <c r="U252" s="8">
        <v>45520</v>
      </c>
      <c r="V252" s="8">
        <v>45521</v>
      </c>
      <c r="W252" s="8">
        <v>45522</v>
      </c>
      <c r="X252" s="8">
        <v>45523</v>
      </c>
      <c r="Y252" s="8">
        <v>45524</v>
      </c>
      <c r="Z252" s="8">
        <v>45525</v>
      </c>
      <c r="AA252" s="8">
        <v>45526</v>
      </c>
      <c r="AB252" s="8">
        <v>45527</v>
      </c>
      <c r="AC252" s="8">
        <v>45528</v>
      </c>
      <c r="AD252" s="8">
        <v>45529</v>
      </c>
      <c r="AE252" s="8">
        <v>45530</v>
      </c>
      <c r="AF252" s="8">
        <v>45531</v>
      </c>
      <c r="AG252" s="8">
        <v>45532</v>
      </c>
      <c r="AH252" s="8">
        <v>45533</v>
      </c>
      <c r="AI252" s="8">
        <v>45534</v>
      </c>
      <c r="AJ252" s="8">
        <v>45535</v>
      </c>
      <c r="AL252" s="4" t="s">
        <v>19</v>
      </c>
      <c r="AM252" s="6" cm="1">
        <f t="array" ref="AM252">IFERROR((SUMPRODUCT(($C$253:$C$276=AM$251)*($F$249:$AJ$249="")*$F$253:$AJ$276)+IF(AM$251="P3",SUMPRODUCT(($F$249:$AJ$249="P3")*$F$253:$AJ$276),0))/(SUMPRODUCT(($C$253:$C$276=AM$251)*($F$249:$AJ$249=""))+IF(AM$251="P3",COUNTIF($F$249:$AJ$249,"P3")*ROWS($C$253:$C$276),0)),"")</f>
        <v>0.92599708333333286</v>
      </c>
      <c r="AN252" s="6" cm="1">
        <f t="array" ref="AN252">IFERROR((SUMPRODUCT(($C$253:$C$276=AN$251)*($F$249:$AJ$249="")*$F$253:$AJ$276)+IF(AN$251="P3",SUMPRODUCT(($F$249:$AJ$249="P3")*$F$253:$AJ$276),0))/(SUMPRODUCT(($C$253:$C$276=AN$251)*($F$249:$AJ$249=""))+IF(AN$251="P3",COUNTIF($F$249:$AJ$249,"P3")*ROWS($C$253:$C$276),0)),"")</f>
        <v>0.9415027976190482</v>
      </c>
      <c r="AO252" s="6" cm="1">
        <f t="array" ref="AO252">IFERROR((SUMPRODUCT(($C$253:$C$276=AO$251)*($F$249:$AJ$249="")*$F$253:$AJ$276)+IF(AO$251="P3",SUMPRODUCT(($F$249:$AJ$249="P3")*$F$253:$AJ$276),0))/(SUMPRODUCT(($C$253:$C$276=AO$251)*($F$249:$AJ$249=""))+IF(AO$251="P3",COUNTIF($F$249:$AJ$249,"P3")*ROWS($C$253:$C$276),0)),"")</f>
        <v>0.94567757352941151</v>
      </c>
      <c r="AP252" s="6" t="str" cm="1">
        <f t="array" ref="AP252">IFERROR((SUMPRODUCT(($C$253:$C$276=AP$251)*($F$249:$AJ$249="")*$F$253:$AJ$276)+IF(AP$251="P3",SUMPRODUCT(($F$249:$AJ$249="P3")*$F$253:$AJ$276),0))/(SUMPRODUCT(($C$253:$C$276=AP$251)*($F$249:$AJ$249=""))+IF(AP$251="P3",COUNTIF($F$249:$AJ$249,"P3")*ROWS($C$253:$C$276),0)),"")</f>
        <v/>
      </c>
      <c r="AQ252" s="6" t="str" cm="1">
        <f t="array" ref="AQ252">IFERROR((SUMPRODUCT(($C$253:$C$276=AQ$251)*($F$249:$AJ$249="")*$F$253:$AJ$276)+IF(AQ$251="P3",SUMPRODUCT(($F$249:$AJ$249="P3")*$F$253:$AJ$276),0))/(SUMPRODUCT(($C$253:$C$276=AQ$251)*($F$249:$AJ$249=""))+IF(AQ$251="P3",COUNTIF($F$249:$AJ$249,"P3")*ROWS($C$253:$C$276),0)),"")</f>
        <v/>
      </c>
      <c r="AR252" s="6" t="str" cm="1">
        <f t="array" ref="AR252">IFERROR((SUMPRODUCT(($C$253:$C$276=AR$251)*($F$249:$AJ$249="")*$F$253:$AJ$276)+IF(AR$251="P3",SUMPRODUCT(($F$249:$AJ$249="P3")*$F$253:$AJ$276),0))/(SUMPRODUCT(($C$253:$C$276=AR$251)*($F$249:$AJ$249=""))+IF(AR$251="P3",COUNTIF($F$249:$AJ$249,"P3")*ROWS($C$253:$C$276),0)),"")</f>
        <v/>
      </c>
    </row>
    <row r="253" spans="1:44" ht="14.25" customHeight="1" x14ac:dyDescent="0.35">
      <c r="A253" s="1" t="s">
        <v>7</v>
      </c>
      <c r="B253" s="1" t="s">
        <v>7</v>
      </c>
      <c r="C253" s="1" t="s">
        <v>15</v>
      </c>
      <c r="D253" s="1" t="s">
        <v>7</v>
      </c>
      <c r="E253" s="1" t="s">
        <v>8</v>
      </c>
      <c r="F253" s="1">
        <v>0.95377999999999996</v>
      </c>
      <c r="G253" s="1">
        <v>0.96258999999999995</v>
      </c>
      <c r="H253" s="1">
        <v>1.00796</v>
      </c>
      <c r="I253" s="1">
        <v>1.0447299999999999</v>
      </c>
      <c r="J253" s="1">
        <v>1.0122199999999999</v>
      </c>
      <c r="K253" s="1">
        <v>0.92715999999999998</v>
      </c>
      <c r="L253" s="1">
        <v>0.95460999999999996</v>
      </c>
      <c r="M253" s="1">
        <v>0.95377999999999996</v>
      </c>
      <c r="N253" s="1">
        <v>0.96258999999999995</v>
      </c>
      <c r="O253" s="1">
        <v>1.00796</v>
      </c>
      <c r="P253" s="1">
        <v>1.0447299999999999</v>
      </c>
      <c r="Q253" s="1">
        <v>1.0122199999999999</v>
      </c>
      <c r="R253" s="1">
        <v>0.92715999999999998</v>
      </c>
      <c r="S253" s="1">
        <v>0.95460999999999996</v>
      </c>
      <c r="T253" s="1">
        <v>0.99926999999999999</v>
      </c>
      <c r="U253" s="1">
        <v>0.96258999999999995</v>
      </c>
      <c r="V253" s="1">
        <v>1.00796</v>
      </c>
      <c r="W253" s="1">
        <v>1.0447299999999999</v>
      </c>
      <c r="X253" s="1">
        <v>1.0122199999999999</v>
      </c>
      <c r="Y253" s="1">
        <v>0.92715999999999998</v>
      </c>
      <c r="Z253" s="1">
        <v>0.95460999999999996</v>
      </c>
      <c r="AA253" s="1">
        <v>0.95377999999999996</v>
      </c>
      <c r="AB253" s="1">
        <v>0.96258999999999995</v>
      </c>
      <c r="AC253" s="1">
        <v>1.00796</v>
      </c>
      <c r="AD253" s="1">
        <v>1.0447299999999999</v>
      </c>
      <c r="AE253" s="1">
        <v>1.0122199999999999</v>
      </c>
      <c r="AF253" s="1">
        <v>0.92715999999999998</v>
      </c>
      <c r="AG253" s="1">
        <v>0.95460999999999996</v>
      </c>
      <c r="AH253" s="1">
        <v>0.95377999999999996</v>
      </c>
      <c r="AI253" s="1">
        <v>0.96258999999999995</v>
      </c>
      <c r="AJ253" s="1">
        <v>1.00796</v>
      </c>
      <c r="AL253" s="4" t="s">
        <v>21</v>
      </c>
      <c r="AM253" s="6" t="str" cm="1">
        <f t="array" ref="AM253">IFERROR((SUMPRODUCT(($D$253:$D$276=AM$251)*($F$250:$AJ$250="")*$F$253:$AJ$276)+IF(AM$251="P6",SUMPRODUCT(($F$250:$AJ$250="P6")*$F$253:$AJ$276),0))/(SUMPRODUCT(($D$253:$D$276=AM$251)*($F$250:$AJ$250=""))+IF(AM$251="P6",COUNTIF($F$250:$AJ$250,"P6")*ROWS($D$253:$D$276),0)),"")</f>
        <v/>
      </c>
      <c r="AN253" s="6" t="str" cm="1">
        <f t="array" ref="AN253">IFERROR((SUMPRODUCT(($D$253:$D$276=AN$251)*($F$250:$AJ$250="")*$F$253:$AJ$276)+IF(AN$251="P6",SUMPRODUCT(($F$250:$AJ$250="P6")*$F$253:$AJ$276),0))/(SUMPRODUCT(($D$253:$D$276=AN$251)*($F$250:$AJ$250=""))+IF(AN$251="P6",COUNTIF($F$250:$AJ$250,"P6")*ROWS($D$253:$D$276),0)),"")</f>
        <v/>
      </c>
      <c r="AO253" s="6" cm="1">
        <f t="array" ref="AO253">IFERROR((SUMPRODUCT(($D$253:$D$276=AO$251)*($F$250:$AJ$250="")*$F$253:$AJ$276)+IF(AO$251="P6",SUMPRODUCT(($F$250:$AJ$250="P6")*$F$253:$AJ$276),0))/(SUMPRODUCT(($D$253:$D$276=AO$251)*($F$250:$AJ$250=""))+IF(AO$251="P6",COUNTIF($F$250:$AJ$250,"P6")*ROWS($D$253:$D$276),0)),"")</f>
        <v>0.91979666666666648</v>
      </c>
      <c r="AP253" s="6" cm="1">
        <f t="array" ref="AP253">IFERROR((SUMPRODUCT(($D$253:$D$276=AP$251)*($F$250:$AJ$250="")*$F$253:$AJ$276)+IF(AP$251="P6",SUMPRODUCT(($F$250:$AJ$250="P6")*$F$253:$AJ$276),0))/(SUMPRODUCT(($D$253:$D$276=AP$251)*($F$250:$AJ$250=""))+IF(AP$251="P6",COUNTIF($F$250:$AJ$250,"P6")*ROWS($D$253:$D$276),0)),"")</f>
        <v>0.95168986394557908</v>
      </c>
      <c r="AQ253" s="6" t="str" cm="1">
        <f t="array" ref="AQ253">IFERROR((SUMPRODUCT(($D$253:$D$276=AQ$251)*($F$250:$AJ$250="")*$F$253:$AJ$276)+IF(AQ$251="P6",SUMPRODUCT(($F$250:$AJ$250="P6")*$F$253:$AJ$276),0))/(SUMPRODUCT(($D$253:$D$276=AQ$251)*($F$250:$AJ$250=""))+IF(AQ$251="P6",COUNTIF($F$250:$AJ$250,"P6")*ROWS($D$253:$D$276),0)),"")</f>
        <v/>
      </c>
      <c r="AR253" s="6" cm="1">
        <f t="array" ref="AR253">IFERROR((SUMPRODUCT(($D$253:$D$276=AR$251)*($F$250:$AJ$250="")*$F$253:$AJ$276)+IF(AR$251="P6",SUMPRODUCT(($F$250:$AJ$250="P6")*$F$253:$AJ$276),0))/(SUMPRODUCT(($D$253:$D$276=AR$251)*($F$250:$AJ$250=""))+IF(AR$251="P6",COUNTIF($F$250:$AJ$250,"P6")*ROWS($D$253:$D$276),0)),"")</f>
        <v>0.94567757352941151</v>
      </c>
    </row>
    <row r="254" spans="1:44" ht="14.25" customHeight="1" x14ac:dyDescent="0.35">
      <c r="A254" s="1" t="s">
        <v>7</v>
      </c>
      <c r="B254" s="1" t="s">
        <v>7</v>
      </c>
      <c r="C254" s="1" t="s">
        <v>15</v>
      </c>
      <c r="D254" s="1" t="s">
        <v>7</v>
      </c>
      <c r="E254" s="1" t="s">
        <v>9</v>
      </c>
      <c r="F254" s="1">
        <v>0.94813999999999998</v>
      </c>
      <c r="G254" s="1">
        <v>0.96045000000000003</v>
      </c>
      <c r="H254" s="1">
        <v>0.99563999999999997</v>
      </c>
      <c r="I254" s="1">
        <v>1.03748</v>
      </c>
      <c r="J254" s="1">
        <v>1.0086999999999999</v>
      </c>
      <c r="K254" s="1">
        <v>0.92808999999999997</v>
      </c>
      <c r="L254" s="1">
        <v>0.94771000000000005</v>
      </c>
      <c r="M254" s="1">
        <v>0.94813999999999998</v>
      </c>
      <c r="N254" s="1">
        <v>0.96045000000000003</v>
      </c>
      <c r="O254" s="1">
        <v>0.99563999999999997</v>
      </c>
      <c r="P254" s="1">
        <v>1.03748</v>
      </c>
      <c r="Q254" s="1">
        <v>1.0086999999999999</v>
      </c>
      <c r="R254" s="1">
        <v>0.92808999999999997</v>
      </c>
      <c r="S254" s="1">
        <v>0.94771000000000005</v>
      </c>
      <c r="T254" s="1">
        <v>0.99751999999999996</v>
      </c>
      <c r="U254" s="1">
        <v>0.96045000000000003</v>
      </c>
      <c r="V254" s="1">
        <v>0.99563999999999997</v>
      </c>
      <c r="W254" s="1">
        <v>1.03748</v>
      </c>
      <c r="X254" s="1">
        <v>1.0086999999999999</v>
      </c>
      <c r="Y254" s="1">
        <v>0.92808999999999997</v>
      </c>
      <c r="Z254" s="1">
        <v>0.94771000000000005</v>
      </c>
      <c r="AA254" s="1">
        <v>0.94813999999999998</v>
      </c>
      <c r="AB254" s="1">
        <v>0.96045000000000003</v>
      </c>
      <c r="AC254" s="1">
        <v>0.99563999999999997</v>
      </c>
      <c r="AD254" s="1">
        <v>1.03748</v>
      </c>
      <c r="AE254" s="1">
        <v>1.0086999999999999</v>
      </c>
      <c r="AF254" s="1">
        <v>0.92808999999999997</v>
      </c>
      <c r="AG254" s="1">
        <v>0.94771000000000005</v>
      </c>
      <c r="AH254" s="1">
        <v>0.94813999999999998</v>
      </c>
      <c r="AI254" s="1">
        <v>0.96045000000000003</v>
      </c>
      <c r="AJ254" s="1">
        <v>0.99563999999999997</v>
      </c>
      <c r="AL254" s="4" t="s">
        <v>23</v>
      </c>
      <c r="AM254" s="6" t="str" cm="1">
        <f t="array" ref="AM254">IFERROR((SUMPRODUCT(($D$253:$D$276=AM$251)*($F$250:$AJ$250="")*$F$253:$AJ$276)+IF(AM$251="P6",SUMPRODUCT(($F$250:$AJ$250="P6")*$F$253:$AJ$276),0))/(SUMPRODUCT(($D$253:$D$276=AM$251)*($F$250:$AJ$250=""))+IF(AM$251="P6",COUNTIF($F$250:$AJ$250,"P6")*ROWS($D$253:$D$276),0)),"")</f>
        <v/>
      </c>
      <c r="AN254" s="6" t="str" cm="1">
        <f t="array" ref="AN254">IFERROR((SUMPRODUCT(($D$253:$D$276=AN$251)*($F$250:$AJ$250="")*$F$253:$AJ$276)+IF(AN$251="P6",SUMPRODUCT(($F$250:$AJ$250="P6")*$F$253:$AJ$276),0))/(SUMPRODUCT(($D$253:$D$276=AN$251)*($F$250:$AJ$250=""))+IF(AN$251="P6",COUNTIF($F$250:$AJ$250,"P6")*ROWS($D$253:$D$276),0)),"")</f>
        <v/>
      </c>
      <c r="AO254" s="5" cm="1">
        <f t="array" ref="AO254">IFERROR((SUMPRODUCT(($D$253:$D$276=AO$251)*($F$250:$AJ$250="")*$F$253:$AJ$276)+IF(AO$251="P6",SUMPRODUCT(($F$250:$AJ$250="P6")*$F$253:$AJ$276),0))/(SUMPRODUCT(($D$253:$D$276=AO$251)*($F$250:$AJ$250=""))+IF(AO$251="P6",COUNTIF($F$250:$AJ$250,"P6")*ROWS($D$253:$D$276),0)),"")</f>
        <v>0.91979666666666648</v>
      </c>
      <c r="AP254" s="5" cm="1">
        <f t="array" ref="AP254">IFERROR((SUMPRODUCT(($D$253:$D$276=AP$251)*($F$250:$AJ$250="")*$F$253:$AJ$276)+IF(AP$251="P6",SUMPRODUCT(($F$250:$AJ$250="P6")*$F$253:$AJ$276),0))/(SUMPRODUCT(($D$253:$D$276=AP$251)*($F$250:$AJ$250=""))+IF(AP$251="P6",COUNTIF($F$250:$AJ$250,"P6")*ROWS($D$253:$D$276),0)),"")</f>
        <v>0.95168986394557908</v>
      </c>
      <c r="AQ254" s="5" t="str" cm="1">
        <f t="array" ref="AQ254">IFERROR((SUMPRODUCT(($D$253:$D$276=AQ$251)*($F$250:$AJ$250="")*$F$253:$AJ$276)+IF(AQ$251="P6",SUMPRODUCT(($F$250:$AJ$250="P6")*$F$253:$AJ$276),0))/(SUMPRODUCT(($D$253:$D$276=AQ$251)*($F$250:$AJ$250=""))+IF(AQ$251="P6",COUNTIF($F$250:$AJ$250,"P6")*ROWS($D$253:$D$276),0)),"")</f>
        <v/>
      </c>
      <c r="AR254" s="6" cm="1">
        <f t="array" ref="AR254">IFERROR((SUMPRODUCT(($D$253:$D$276=AR$251)*($F$250:$AJ$250="")*$F$253:$AJ$276)+IF(AR$251="P6",SUMPRODUCT(($F$250:$AJ$250="P6")*$F$253:$AJ$276),0))/(SUMPRODUCT(($D$253:$D$276=AR$251)*($F$250:$AJ$250=""))+IF(AR$251="P6",COUNTIF($F$250:$AJ$250,"P6")*ROWS($D$253:$D$276),0)),"")</f>
        <v>0.94567757352941151</v>
      </c>
    </row>
    <row r="255" spans="1:44" ht="14.25" customHeight="1" x14ac:dyDescent="0.35">
      <c r="A255" s="1" t="s">
        <v>7</v>
      </c>
      <c r="B255" s="1" t="s">
        <v>7</v>
      </c>
      <c r="C255" s="1" t="s">
        <v>15</v>
      </c>
      <c r="D255" s="1" t="s">
        <v>7</v>
      </c>
      <c r="E255" s="1" t="s">
        <v>10</v>
      </c>
      <c r="F255" s="1">
        <v>0.94723000000000002</v>
      </c>
      <c r="G255" s="1">
        <v>0.96313000000000004</v>
      </c>
      <c r="H255" s="1">
        <v>0.99524000000000001</v>
      </c>
      <c r="I255" s="1">
        <v>1.0300400000000001</v>
      </c>
      <c r="J255" s="1">
        <v>1.0036700000000001</v>
      </c>
      <c r="K255" s="1">
        <v>0.92547000000000001</v>
      </c>
      <c r="L255" s="1">
        <v>0.94586000000000003</v>
      </c>
      <c r="M255" s="1">
        <v>0.94723000000000002</v>
      </c>
      <c r="N255" s="1">
        <v>0.96313000000000004</v>
      </c>
      <c r="O255" s="1">
        <v>0.99524000000000001</v>
      </c>
      <c r="P255" s="1">
        <v>1.0300400000000001</v>
      </c>
      <c r="Q255" s="1">
        <v>1.0036700000000001</v>
      </c>
      <c r="R255" s="1">
        <v>0.92547000000000001</v>
      </c>
      <c r="S255" s="1">
        <v>0.94586000000000003</v>
      </c>
      <c r="T255" s="1">
        <v>0.99748999999999999</v>
      </c>
      <c r="U255" s="1">
        <v>0.96313000000000004</v>
      </c>
      <c r="V255" s="1">
        <v>0.99524000000000001</v>
      </c>
      <c r="W255" s="1">
        <v>1.0300400000000001</v>
      </c>
      <c r="X255" s="1">
        <v>1.0036700000000001</v>
      </c>
      <c r="Y255" s="1">
        <v>0.92547000000000001</v>
      </c>
      <c r="Z255" s="1">
        <v>0.94586000000000003</v>
      </c>
      <c r="AA255" s="1">
        <v>0.94723000000000002</v>
      </c>
      <c r="AB255" s="1">
        <v>0.96313000000000004</v>
      </c>
      <c r="AC255" s="1">
        <v>0.99524000000000001</v>
      </c>
      <c r="AD255" s="1">
        <v>1.0300400000000001</v>
      </c>
      <c r="AE255" s="1">
        <v>1.0036700000000001</v>
      </c>
      <c r="AF255" s="1">
        <v>0.92547000000000001</v>
      </c>
      <c r="AG255" s="1">
        <v>0.94586000000000003</v>
      </c>
      <c r="AH255" s="1">
        <v>0.94723000000000002</v>
      </c>
      <c r="AI255" s="1">
        <v>0.96313000000000004</v>
      </c>
      <c r="AJ255" s="1">
        <v>0.99524000000000001</v>
      </c>
      <c r="AL255" s="4" t="s">
        <v>25</v>
      </c>
      <c r="AM255" s="6" t="str" cm="1">
        <f t="array" ref="AM255">IFERROR((SUMPRODUCT(($D$253:$D$276=AM$251)*($F$250:$AJ$250="")*$F$253:$AJ$276)+IF(AM$251="P6",SUMPRODUCT(($F$250:$AJ$250="P6")*$F$253:$AJ$276),0))/(SUMPRODUCT(($D$253:$D$276=AM$251)*($F$250:$AJ$250=""))+IF(AM$251="P6",COUNTIF($F$250:$AJ$250,"P6")*ROWS($D$253:$D$276),0)),"")</f>
        <v/>
      </c>
      <c r="AN255" s="6" t="str" cm="1">
        <f t="array" ref="AN255">IFERROR((SUMPRODUCT(($D$253:$D$276=AN$251)*($F$250:$AJ$250="")*$F$253:$AJ$276)+IF(AN$251="P6",SUMPRODUCT(($F$250:$AJ$250="P6")*$F$253:$AJ$276),0))/(SUMPRODUCT(($D$253:$D$276=AN$251)*($F$250:$AJ$250=""))+IF(AN$251="P6",COUNTIF($F$250:$AJ$250,"P6")*ROWS($D$253:$D$276),0)),"")</f>
        <v/>
      </c>
      <c r="AO255" s="5" cm="1">
        <f t="array" ref="AO255">IFERROR((SUMPRODUCT(($D$253:$D$276=AO$251)*($F$250:$AJ$250="")*$F$253:$AJ$276)+IF(AO$251="P6",SUMPRODUCT(($F$250:$AJ$250="P6")*$F$253:$AJ$276),0))/(SUMPRODUCT(($D$253:$D$276=AO$251)*($F$250:$AJ$250=""))+IF(AO$251="P6",COUNTIF($F$250:$AJ$250,"P6")*ROWS($D$253:$D$276),0)),"")</f>
        <v>0.91979666666666648</v>
      </c>
      <c r="AP255" s="5" cm="1">
        <f t="array" ref="AP255">IFERROR((SUMPRODUCT(($D$253:$D$276=AP$251)*($F$250:$AJ$250="")*$F$253:$AJ$276)+IF(AP$251="P6",SUMPRODUCT(($F$250:$AJ$250="P6")*$F$253:$AJ$276),0))/(SUMPRODUCT(($D$253:$D$276=AP$251)*($F$250:$AJ$250=""))+IF(AP$251="P6",COUNTIF($F$250:$AJ$250,"P6")*ROWS($D$253:$D$276),0)),"")</f>
        <v>0.95168986394557908</v>
      </c>
      <c r="AQ255" s="5" t="str" cm="1">
        <f t="array" ref="AQ255">IFERROR((SUMPRODUCT(($D$253:$D$276=AQ$251)*($F$250:$AJ$250="")*$F$253:$AJ$276)+IF(AQ$251="P6",SUMPRODUCT(($F$250:$AJ$250="P6")*$F$253:$AJ$276),0))/(SUMPRODUCT(($D$253:$D$276=AQ$251)*($F$250:$AJ$250=""))+IF(AQ$251="P6",COUNTIF($F$250:$AJ$250,"P6")*ROWS($D$253:$D$276),0)),"")</f>
        <v/>
      </c>
      <c r="AR255" s="6" cm="1">
        <f t="array" ref="AR255">IFERROR((SUMPRODUCT(($D$253:$D$276=AR$251)*($F$250:$AJ$250="")*$F$253:$AJ$276)+IF(AR$251="P6",SUMPRODUCT(($F$250:$AJ$250="P6")*$F$253:$AJ$276),0))/(SUMPRODUCT(($D$253:$D$276=AR$251)*($F$250:$AJ$250=""))+IF(AR$251="P6",COUNTIF($F$250:$AJ$250,"P6")*ROWS($D$253:$D$276),0)),"")</f>
        <v>0.94567757352941151</v>
      </c>
    </row>
    <row r="256" spans="1:44" ht="14.25" customHeight="1" x14ac:dyDescent="0.35">
      <c r="A256" s="1" t="s">
        <v>7</v>
      </c>
      <c r="B256" s="1" t="s">
        <v>7</v>
      </c>
      <c r="C256" s="1" t="s">
        <v>15</v>
      </c>
      <c r="D256" s="1" t="s">
        <v>7</v>
      </c>
      <c r="E256" s="1" t="s">
        <v>11</v>
      </c>
      <c r="F256" s="1">
        <v>0.93859000000000004</v>
      </c>
      <c r="G256" s="1">
        <v>0.96157000000000004</v>
      </c>
      <c r="H256" s="1">
        <v>0.99380999999999997</v>
      </c>
      <c r="I256" s="1">
        <v>1.02362</v>
      </c>
      <c r="J256" s="1">
        <v>0.99587999999999999</v>
      </c>
      <c r="K256" s="1">
        <v>0.93801999999999996</v>
      </c>
      <c r="L256" s="1">
        <v>0.94272</v>
      </c>
      <c r="M256" s="1">
        <v>0.93859000000000004</v>
      </c>
      <c r="N256" s="1">
        <v>0.96157000000000004</v>
      </c>
      <c r="O256" s="1">
        <v>0.99380999999999997</v>
      </c>
      <c r="P256" s="1">
        <v>1.02362</v>
      </c>
      <c r="Q256" s="1">
        <v>0.99587999999999999</v>
      </c>
      <c r="R256" s="1">
        <v>0.93801999999999996</v>
      </c>
      <c r="S256" s="1">
        <v>0.94272</v>
      </c>
      <c r="T256" s="1">
        <v>0.99055000000000004</v>
      </c>
      <c r="U256" s="1">
        <v>0.96157000000000004</v>
      </c>
      <c r="V256" s="1">
        <v>0.99380999999999997</v>
      </c>
      <c r="W256" s="1">
        <v>1.02362</v>
      </c>
      <c r="X256" s="1">
        <v>0.99587999999999999</v>
      </c>
      <c r="Y256" s="1">
        <v>0.93801999999999996</v>
      </c>
      <c r="Z256" s="1">
        <v>0.94272</v>
      </c>
      <c r="AA256" s="1">
        <v>0.93859000000000004</v>
      </c>
      <c r="AB256" s="1">
        <v>0.96157000000000004</v>
      </c>
      <c r="AC256" s="1">
        <v>0.99380999999999997</v>
      </c>
      <c r="AD256" s="1">
        <v>1.02362</v>
      </c>
      <c r="AE256" s="1">
        <v>0.99587999999999999</v>
      </c>
      <c r="AF256" s="1">
        <v>0.93801999999999996</v>
      </c>
      <c r="AG256" s="1">
        <v>0.94272</v>
      </c>
      <c r="AH256" s="1">
        <v>0.93859000000000004</v>
      </c>
      <c r="AI256" s="1">
        <v>0.96157000000000004</v>
      </c>
      <c r="AJ256" s="1">
        <v>0.99380999999999997</v>
      </c>
      <c r="AL256" s="4" t="s">
        <v>27</v>
      </c>
      <c r="AM256" s="6" t="str" cm="1">
        <f t="array" ref="AM256">IFERROR((SUMPRODUCT(($D$253:$D$276=AM$251)*($F$250:$AJ$250="")*$F$253:$AJ$276)+IF(AM$251="P6",SUMPRODUCT(($F$250:$AJ$250="P6")*$F$253:$AJ$276),0))/(SUMPRODUCT(($D$253:$D$276=AM$251)*($F$250:$AJ$250=""))+IF(AM$251="P6",COUNTIF($F$250:$AJ$250,"P6")*ROWS($D$253:$D$276),0)),"")</f>
        <v/>
      </c>
      <c r="AN256" s="6" t="str" cm="1">
        <f t="array" ref="AN256">IFERROR((SUMPRODUCT(($D$253:$D$276=AN$251)*($F$250:$AJ$250="")*$F$253:$AJ$276)+IF(AN$251="P6",SUMPRODUCT(($F$250:$AJ$250="P6")*$F$253:$AJ$276),0))/(SUMPRODUCT(($D$253:$D$276=AN$251)*($F$250:$AJ$250=""))+IF(AN$251="P6",COUNTIF($F$250:$AJ$250,"P6")*ROWS($D$253:$D$276),0)),"")</f>
        <v/>
      </c>
      <c r="AO256" s="5" cm="1">
        <f t="array" ref="AO256">IFERROR((SUMPRODUCT(($D$253:$D$276=AO$251)*($F$250:$AJ$250="")*$F$253:$AJ$276)+IF(AO$251="P6",SUMPRODUCT(($F$250:$AJ$250="P6")*$F$253:$AJ$276),0))/(SUMPRODUCT(($D$253:$D$276=AO$251)*($F$250:$AJ$250=""))+IF(AO$251="P6",COUNTIF($F$250:$AJ$250,"P6")*ROWS($D$253:$D$276),0)),"")</f>
        <v>0.91979666666666648</v>
      </c>
      <c r="AP256" s="5" cm="1">
        <f t="array" ref="AP256">IFERROR((SUMPRODUCT(($D$253:$D$276=AP$251)*($F$250:$AJ$250="")*$F$253:$AJ$276)+IF(AP$251="P6",SUMPRODUCT(($F$250:$AJ$250="P6")*$F$253:$AJ$276),0))/(SUMPRODUCT(($D$253:$D$276=AP$251)*($F$250:$AJ$250=""))+IF(AP$251="P6",COUNTIF($F$250:$AJ$250,"P6")*ROWS($D$253:$D$276),0)),"")</f>
        <v>0.95168986394557908</v>
      </c>
      <c r="AQ256" s="5" t="str" cm="1">
        <f t="array" ref="AQ256">IFERROR((SUMPRODUCT(($D$253:$D$276=AQ$251)*($F$250:$AJ$250="")*$F$253:$AJ$276)+IF(AQ$251="P6",SUMPRODUCT(($F$250:$AJ$250="P6")*$F$253:$AJ$276),0))/(SUMPRODUCT(($D$253:$D$276=AQ$251)*($F$250:$AJ$250=""))+IF(AQ$251="P6",COUNTIF($F$250:$AJ$250,"P6")*ROWS($D$253:$D$276),0)),"")</f>
        <v/>
      </c>
      <c r="AR256" s="6" cm="1">
        <f t="array" ref="AR256">IFERROR((SUMPRODUCT(($D$253:$D$276=AR$251)*($F$250:$AJ$250="")*$F$253:$AJ$276)+IF(AR$251="P6",SUMPRODUCT(($F$250:$AJ$250="P6")*$F$253:$AJ$276),0))/(SUMPRODUCT(($D$253:$D$276=AR$251)*($F$250:$AJ$250=""))+IF(AR$251="P6",COUNTIF($F$250:$AJ$250,"P6")*ROWS($D$253:$D$276),0)),"")</f>
        <v>0.94567757352941151</v>
      </c>
    </row>
    <row r="257" spans="1:44" ht="14.25" customHeight="1" x14ac:dyDescent="0.35">
      <c r="A257" s="1" t="s">
        <v>7</v>
      </c>
      <c r="B257" s="1" t="s">
        <v>7</v>
      </c>
      <c r="C257" s="1" t="s">
        <v>15</v>
      </c>
      <c r="D257" s="1" t="s">
        <v>7</v>
      </c>
      <c r="E257" s="1" t="s">
        <v>12</v>
      </c>
      <c r="F257" s="1">
        <v>0.92981000000000003</v>
      </c>
      <c r="G257" s="1">
        <v>0.95091000000000003</v>
      </c>
      <c r="H257" s="1">
        <v>0.98797000000000001</v>
      </c>
      <c r="I257" s="1">
        <v>1.01075</v>
      </c>
      <c r="J257" s="1">
        <v>0.98007999999999995</v>
      </c>
      <c r="K257" s="1">
        <v>0.93713000000000002</v>
      </c>
      <c r="L257" s="1">
        <v>0.93738999999999995</v>
      </c>
      <c r="M257" s="1">
        <v>0.92981000000000003</v>
      </c>
      <c r="N257" s="1">
        <v>0.95091000000000003</v>
      </c>
      <c r="O257" s="1">
        <v>0.98797000000000001</v>
      </c>
      <c r="P257" s="1">
        <v>1.01075</v>
      </c>
      <c r="Q257" s="1">
        <v>0.98007999999999995</v>
      </c>
      <c r="R257" s="1">
        <v>0.93713000000000002</v>
      </c>
      <c r="S257" s="1">
        <v>0.93738999999999995</v>
      </c>
      <c r="T257" s="1">
        <v>0.99800999999999995</v>
      </c>
      <c r="U257" s="1">
        <v>0.95091000000000003</v>
      </c>
      <c r="V257" s="1">
        <v>0.98797000000000001</v>
      </c>
      <c r="W257" s="1">
        <v>1.01075</v>
      </c>
      <c r="X257" s="1">
        <v>0.98007999999999995</v>
      </c>
      <c r="Y257" s="1">
        <v>0.93713000000000002</v>
      </c>
      <c r="Z257" s="1">
        <v>0.93738999999999995</v>
      </c>
      <c r="AA257" s="1">
        <v>0.92981000000000003</v>
      </c>
      <c r="AB257" s="1">
        <v>0.95091000000000003</v>
      </c>
      <c r="AC257" s="1">
        <v>0.98797000000000001</v>
      </c>
      <c r="AD257" s="1">
        <v>1.01075</v>
      </c>
      <c r="AE257" s="1">
        <v>0.98007999999999995</v>
      </c>
      <c r="AF257" s="1">
        <v>0.93713000000000002</v>
      </c>
      <c r="AG257" s="1">
        <v>0.93738999999999995</v>
      </c>
      <c r="AH257" s="1">
        <v>0.92981000000000003</v>
      </c>
      <c r="AI257" s="1">
        <v>0.95091000000000003</v>
      </c>
      <c r="AJ257" s="1">
        <v>0.98797000000000001</v>
      </c>
      <c r="AL257" s="4" t="s">
        <v>29</v>
      </c>
      <c r="AM257" s="6" t="str" cm="1">
        <f t="array" ref="AM257">IFERROR((SUMPRODUCT(($D$253:$D$276=AM$251)*($F$250:$AJ$250="")*$F$253:$AJ$276)+IF(AM$251="P6",SUMPRODUCT(($F$250:$AJ$250="P6")*$F$253:$AJ$276),0))/(SUMPRODUCT(($D$253:$D$276=AM$251)*($F$250:$AJ$250=""))+IF(AM$251="P6",COUNTIF($F$250:$AJ$250,"P6")*ROWS($D$253:$D$276),0)),"")</f>
        <v/>
      </c>
      <c r="AN257" s="6" t="str" cm="1">
        <f t="array" ref="AN257">IFERROR((SUMPRODUCT(($D$253:$D$276=AN$251)*($F$250:$AJ$250="")*$F$253:$AJ$276)+IF(AN$251="P6",SUMPRODUCT(($F$250:$AJ$250="P6")*$F$253:$AJ$276),0))/(SUMPRODUCT(($D$253:$D$276=AN$251)*($F$250:$AJ$250=""))+IF(AN$251="P6",COUNTIF($F$250:$AJ$250,"P6")*ROWS($D$253:$D$276),0)),"")</f>
        <v/>
      </c>
      <c r="AO257" s="5" cm="1">
        <f t="array" ref="AO257">IFERROR((SUMPRODUCT(($D$253:$D$276=AO$251)*($F$250:$AJ$250="")*$F$253:$AJ$276)+IF(AO$251="P6",SUMPRODUCT(($F$250:$AJ$250="P6")*$F$253:$AJ$276),0))/(SUMPRODUCT(($D$253:$D$276=AO$251)*($F$250:$AJ$250=""))+IF(AO$251="P6",COUNTIF($F$250:$AJ$250,"P6")*ROWS($D$253:$D$276),0)),"")</f>
        <v>0.91979666666666648</v>
      </c>
      <c r="AP257" s="5" cm="1">
        <f t="array" ref="AP257">IFERROR((SUMPRODUCT(($D$253:$D$276=AP$251)*($F$250:$AJ$250="")*$F$253:$AJ$276)+IF(AP$251="P6",SUMPRODUCT(($F$250:$AJ$250="P6")*$F$253:$AJ$276),0))/(SUMPRODUCT(($D$253:$D$276=AP$251)*($F$250:$AJ$250=""))+IF(AP$251="P6",COUNTIF($F$250:$AJ$250,"P6")*ROWS($D$253:$D$276),0)),"")</f>
        <v>0.95168986394557908</v>
      </c>
      <c r="AQ257" s="5" t="str" cm="1">
        <f t="array" ref="AQ257">IFERROR((SUMPRODUCT(($D$253:$D$276=AQ$251)*($F$250:$AJ$250="")*$F$253:$AJ$276)+IF(AQ$251="P6",SUMPRODUCT(($F$250:$AJ$250="P6")*$F$253:$AJ$276),0))/(SUMPRODUCT(($D$253:$D$276=AQ$251)*($F$250:$AJ$250=""))+IF(AQ$251="P6",COUNTIF($F$250:$AJ$250,"P6")*ROWS($D$253:$D$276),0)),"")</f>
        <v/>
      </c>
      <c r="AR257" s="6" cm="1">
        <f t="array" ref="AR257">IFERROR((SUMPRODUCT(($D$253:$D$276=AR$251)*($F$250:$AJ$250="")*$F$253:$AJ$276)+IF(AR$251="P6",SUMPRODUCT(($F$250:$AJ$250="P6")*$F$253:$AJ$276),0))/(SUMPRODUCT(($D$253:$D$276=AR$251)*($F$250:$AJ$250=""))+IF(AR$251="P6",COUNTIF($F$250:$AJ$250,"P6")*ROWS($D$253:$D$276),0)),"")</f>
        <v>0.94567757352941151</v>
      </c>
    </row>
    <row r="258" spans="1:44" ht="14.25" customHeight="1" x14ac:dyDescent="0.35">
      <c r="A258" s="1" t="s">
        <v>7</v>
      </c>
      <c r="B258" s="1" t="s">
        <v>7</v>
      </c>
      <c r="C258" s="1" t="s">
        <v>15</v>
      </c>
      <c r="D258" s="1" t="s">
        <v>7</v>
      </c>
      <c r="E258" s="1" t="s">
        <v>18</v>
      </c>
      <c r="F258" s="1">
        <v>0.91613999999999995</v>
      </c>
      <c r="G258" s="1">
        <v>0.93642999999999998</v>
      </c>
      <c r="H258" s="1">
        <v>0.97833999999999999</v>
      </c>
      <c r="I258" s="1">
        <v>1.0024900000000001</v>
      </c>
      <c r="J258" s="1">
        <v>0.95308999999999999</v>
      </c>
      <c r="K258" s="1">
        <v>0.91607000000000005</v>
      </c>
      <c r="L258" s="1">
        <v>0.92789999999999995</v>
      </c>
      <c r="M258" s="1">
        <v>0.91613999999999995</v>
      </c>
      <c r="N258" s="1">
        <v>0.93642999999999998</v>
      </c>
      <c r="O258" s="1">
        <v>0.97833999999999999</v>
      </c>
      <c r="P258" s="1">
        <v>1.0024900000000001</v>
      </c>
      <c r="Q258" s="1">
        <v>0.95308999999999999</v>
      </c>
      <c r="R258" s="1">
        <v>0.91607000000000005</v>
      </c>
      <c r="S258" s="1">
        <v>0.92789999999999995</v>
      </c>
      <c r="T258" s="1">
        <v>0.98741999999999996</v>
      </c>
      <c r="U258" s="1">
        <v>0.93642999999999998</v>
      </c>
      <c r="V258" s="1">
        <v>0.97833999999999999</v>
      </c>
      <c r="W258" s="1">
        <v>1.0024900000000001</v>
      </c>
      <c r="X258" s="1">
        <v>0.95308999999999999</v>
      </c>
      <c r="Y258" s="1">
        <v>0.91607000000000005</v>
      </c>
      <c r="Z258" s="1">
        <v>0.92789999999999995</v>
      </c>
      <c r="AA258" s="1">
        <v>0.91613999999999995</v>
      </c>
      <c r="AB258" s="1">
        <v>0.93642999999999998</v>
      </c>
      <c r="AC258" s="1">
        <v>0.97833999999999999</v>
      </c>
      <c r="AD258" s="1">
        <v>1.0024900000000001</v>
      </c>
      <c r="AE258" s="1">
        <v>0.95308999999999999</v>
      </c>
      <c r="AF258" s="1">
        <v>0.91607000000000005</v>
      </c>
      <c r="AG258" s="1">
        <v>0.92789999999999995</v>
      </c>
      <c r="AH258" s="1">
        <v>0.91613999999999995</v>
      </c>
      <c r="AI258" s="1">
        <v>0.93642999999999998</v>
      </c>
      <c r="AJ258" s="1">
        <v>0.97833999999999999</v>
      </c>
      <c r="AL258" s="10"/>
      <c r="AM258" s="10"/>
      <c r="AN258" s="10"/>
      <c r="AO258" s="10"/>
      <c r="AP258" s="10"/>
      <c r="AQ258" s="10"/>
      <c r="AR258" s="10"/>
    </row>
    <row r="259" spans="1:44" ht="14.25" customHeight="1" x14ac:dyDescent="0.35">
      <c r="A259" s="1" t="s">
        <v>7</v>
      </c>
      <c r="B259" s="1" t="s">
        <v>7</v>
      </c>
      <c r="C259" s="1" t="s">
        <v>15</v>
      </c>
      <c r="D259" s="1" t="s">
        <v>7</v>
      </c>
      <c r="E259" s="1" t="s">
        <v>20</v>
      </c>
      <c r="F259" s="1">
        <v>0.88966000000000001</v>
      </c>
      <c r="G259" s="1">
        <v>0.91303000000000001</v>
      </c>
      <c r="H259" s="1">
        <v>0.96904000000000001</v>
      </c>
      <c r="I259" s="1">
        <v>0.99680000000000002</v>
      </c>
      <c r="J259" s="1">
        <v>0.91998999999999997</v>
      </c>
      <c r="K259" s="1">
        <v>0.89764999999999995</v>
      </c>
      <c r="L259" s="1">
        <v>0.90976000000000001</v>
      </c>
      <c r="M259" s="1">
        <v>0.88966000000000001</v>
      </c>
      <c r="N259" s="1">
        <v>0.91303000000000001</v>
      </c>
      <c r="O259" s="1">
        <v>0.96904000000000001</v>
      </c>
      <c r="P259" s="1">
        <v>0.99680000000000002</v>
      </c>
      <c r="Q259" s="1">
        <v>0.91998999999999997</v>
      </c>
      <c r="R259" s="1">
        <v>0.89764999999999995</v>
      </c>
      <c r="S259" s="1">
        <v>0.90976000000000001</v>
      </c>
      <c r="T259" s="1">
        <v>0.97770999999999997</v>
      </c>
      <c r="U259" s="1">
        <v>0.91303000000000001</v>
      </c>
      <c r="V259" s="1">
        <v>0.96904000000000001</v>
      </c>
      <c r="W259" s="1">
        <v>0.99680000000000002</v>
      </c>
      <c r="X259" s="1">
        <v>0.91998999999999997</v>
      </c>
      <c r="Y259" s="1">
        <v>0.89764999999999995</v>
      </c>
      <c r="Z259" s="1">
        <v>0.90976000000000001</v>
      </c>
      <c r="AA259" s="1">
        <v>0.88966000000000001</v>
      </c>
      <c r="AB259" s="1">
        <v>0.91303000000000001</v>
      </c>
      <c r="AC259" s="1">
        <v>0.96904000000000001</v>
      </c>
      <c r="AD259" s="1">
        <v>0.99680000000000002</v>
      </c>
      <c r="AE259" s="1">
        <v>0.91998999999999997</v>
      </c>
      <c r="AF259" s="1">
        <v>0.89764999999999995</v>
      </c>
      <c r="AG259" s="1">
        <v>0.90976000000000001</v>
      </c>
      <c r="AH259" s="1">
        <v>0.88966000000000001</v>
      </c>
      <c r="AI259" s="1">
        <v>0.91303000000000001</v>
      </c>
      <c r="AJ259" s="1">
        <v>0.96904000000000001</v>
      </c>
      <c r="AL259" s="10"/>
      <c r="AM259" s="10"/>
      <c r="AN259" s="10"/>
      <c r="AO259" s="10"/>
      <c r="AP259" s="10"/>
      <c r="AQ259" s="10"/>
      <c r="AR259" s="10"/>
    </row>
    <row r="260" spans="1:44" ht="14.25" customHeight="1" x14ac:dyDescent="0.35">
      <c r="A260" s="1" t="s">
        <v>7</v>
      </c>
      <c r="B260" s="1" t="s">
        <v>7</v>
      </c>
      <c r="C260" s="1" t="s">
        <v>15</v>
      </c>
      <c r="D260" s="1" t="s">
        <v>7</v>
      </c>
      <c r="E260" s="1" t="s">
        <v>22</v>
      </c>
      <c r="F260" s="1">
        <v>0.88488</v>
      </c>
      <c r="G260" s="1">
        <v>0.90680000000000005</v>
      </c>
      <c r="H260" s="1">
        <v>0.95220000000000005</v>
      </c>
      <c r="I260" s="1">
        <v>0.98109000000000002</v>
      </c>
      <c r="J260" s="1">
        <v>0.90807000000000004</v>
      </c>
      <c r="K260" s="1">
        <v>0.89590000000000003</v>
      </c>
      <c r="L260" s="1">
        <v>0.90049999999999997</v>
      </c>
      <c r="M260" s="1">
        <v>0.88488</v>
      </c>
      <c r="N260" s="1">
        <v>0.90680000000000005</v>
      </c>
      <c r="O260" s="1">
        <v>0.95220000000000005</v>
      </c>
      <c r="P260" s="1">
        <v>0.98109000000000002</v>
      </c>
      <c r="Q260" s="1">
        <v>0.90807000000000004</v>
      </c>
      <c r="R260" s="1">
        <v>0.89590000000000003</v>
      </c>
      <c r="S260" s="1">
        <v>0.90049999999999997</v>
      </c>
      <c r="T260" s="1">
        <v>0.97319999999999995</v>
      </c>
      <c r="U260" s="1">
        <v>0.90680000000000005</v>
      </c>
      <c r="V260" s="1">
        <v>0.95220000000000005</v>
      </c>
      <c r="W260" s="1">
        <v>0.98109000000000002</v>
      </c>
      <c r="X260" s="1">
        <v>0.90807000000000004</v>
      </c>
      <c r="Y260" s="1">
        <v>0.89590000000000003</v>
      </c>
      <c r="Z260" s="1">
        <v>0.90049999999999997</v>
      </c>
      <c r="AA260" s="1">
        <v>0.88488</v>
      </c>
      <c r="AB260" s="1">
        <v>0.90680000000000005</v>
      </c>
      <c r="AC260" s="1">
        <v>0.95220000000000005</v>
      </c>
      <c r="AD260" s="1">
        <v>0.98109000000000002</v>
      </c>
      <c r="AE260" s="1">
        <v>0.90807000000000004</v>
      </c>
      <c r="AF260" s="1">
        <v>0.89590000000000003</v>
      </c>
      <c r="AG260" s="1">
        <v>0.90049999999999997</v>
      </c>
      <c r="AH260" s="1">
        <v>0.88488</v>
      </c>
      <c r="AI260" s="1">
        <v>0.90680000000000005</v>
      </c>
      <c r="AJ260" s="1">
        <v>0.95220000000000005</v>
      </c>
      <c r="AL260" s="14" t="s">
        <v>183</v>
      </c>
      <c r="AM260" s="14"/>
      <c r="AN260" s="14"/>
      <c r="AO260" s="14"/>
      <c r="AP260" s="14"/>
      <c r="AQ260" s="14"/>
      <c r="AR260" s="14"/>
    </row>
    <row r="261" spans="1:44" ht="14.25" customHeight="1" x14ac:dyDescent="0.35">
      <c r="A261" s="1" t="s">
        <v>15</v>
      </c>
      <c r="B261" s="1" t="s">
        <v>14</v>
      </c>
      <c r="C261" s="1" t="s">
        <v>14</v>
      </c>
      <c r="D261" s="1" t="s">
        <v>16</v>
      </c>
      <c r="E261" s="1" t="s">
        <v>24</v>
      </c>
      <c r="F261" s="1">
        <v>0.90978000000000003</v>
      </c>
      <c r="G261" s="1">
        <v>0.92610000000000003</v>
      </c>
      <c r="H261" s="1">
        <v>0.92664999999999997</v>
      </c>
      <c r="I261" s="1">
        <v>0.93818999999999997</v>
      </c>
      <c r="J261" s="1">
        <v>0.90291999999999994</v>
      </c>
      <c r="K261" s="1">
        <v>0.92962</v>
      </c>
      <c r="L261" s="1">
        <v>0.91242999999999996</v>
      </c>
      <c r="M261" s="1">
        <v>0.90978000000000003</v>
      </c>
      <c r="N261" s="1">
        <v>0.92610000000000003</v>
      </c>
      <c r="O261" s="1">
        <v>0.92664999999999997</v>
      </c>
      <c r="P261" s="1">
        <v>0.93818999999999997</v>
      </c>
      <c r="Q261" s="1">
        <v>0.90291999999999994</v>
      </c>
      <c r="R261" s="1">
        <v>0.92962</v>
      </c>
      <c r="S261" s="1">
        <v>0.91242999999999996</v>
      </c>
      <c r="T261" s="1">
        <v>0.93144000000000005</v>
      </c>
      <c r="U261" s="1">
        <v>0.92610000000000003</v>
      </c>
      <c r="V261" s="1">
        <v>0.92664999999999997</v>
      </c>
      <c r="W261" s="1">
        <v>0.93818999999999997</v>
      </c>
      <c r="X261" s="1">
        <v>0.90291999999999994</v>
      </c>
      <c r="Y261" s="1">
        <v>0.92962</v>
      </c>
      <c r="Z261" s="1">
        <v>0.91242999999999996</v>
      </c>
      <c r="AA261" s="1">
        <v>0.90978000000000003</v>
      </c>
      <c r="AB261" s="1">
        <v>0.92610000000000003</v>
      </c>
      <c r="AC261" s="1">
        <v>0.92664999999999997</v>
      </c>
      <c r="AD261" s="1">
        <v>0.93818999999999997</v>
      </c>
      <c r="AE261" s="1">
        <v>0.90291999999999994</v>
      </c>
      <c r="AF261" s="1">
        <v>0.92962</v>
      </c>
      <c r="AG261" s="1">
        <v>0.91242999999999996</v>
      </c>
      <c r="AH261" s="1">
        <v>0.90978000000000003</v>
      </c>
      <c r="AI261" s="1">
        <v>0.92610000000000003</v>
      </c>
      <c r="AJ261" s="1">
        <v>0.92664999999999997</v>
      </c>
      <c r="AL261" s="4"/>
      <c r="AM261" s="4" t="s">
        <v>13</v>
      </c>
      <c r="AN261" s="4" t="s">
        <v>14</v>
      </c>
      <c r="AO261" s="4" t="s">
        <v>15</v>
      </c>
      <c r="AP261" s="4" t="s">
        <v>16</v>
      </c>
      <c r="AQ261" s="4" t="s">
        <v>17</v>
      </c>
      <c r="AR261" s="4" t="s">
        <v>7</v>
      </c>
    </row>
    <row r="262" spans="1:44" ht="14.25" customHeight="1" x14ac:dyDescent="0.35">
      <c r="A262" s="1" t="s">
        <v>15</v>
      </c>
      <c r="B262" s="1" t="s">
        <v>14</v>
      </c>
      <c r="C262" s="1" t="s">
        <v>14</v>
      </c>
      <c r="D262" s="1" t="s">
        <v>15</v>
      </c>
      <c r="E262" s="1" t="s">
        <v>26</v>
      </c>
      <c r="F262" s="1">
        <v>0.86719000000000002</v>
      </c>
      <c r="G262" s="1">
        <v>0.89037999999999995</v>
      </c>
      <c r="H262" s="1">
        <v>0.89219000000000004</v>
      </c>
      <c r="I262" s="1">
        <v>0.88200999999999996</v>
      </c>
      <c r="J262" s="1">
        <v>0.85860999999999998</v>
      </c>
      <c r="K262" s="1">
        <v>0.86604999999999999</v>
      </c>
      <c r="L262" s="1">
        <v>0.86368999999999996</v>
      </c>
      <c r="M262" s="1">
        <v>0.86719000000000002</v>
      </c>
      <c r="N262" s="1">
        <v>0.89037999999999995</v>
      </c>
      <c r="O262" s="1">
        <v>0.89219000000000004</v>
      </c>
      <c r="P262" s="1">
        <v>0.88200999999999996</v>
      </c>
      <c r="Q262" s="1">
        <v>0.85860999999999998</v>
      </c>
      <c r="R262" s="1">
        <v>0.86604999999999999</v>
      </c>
      <c r="S262" s="1">
        <v>0.86368999999999996</v>
      </c>
      <c r="T262" s="1">
        <v>0.87370000000000003</v>
      </c>
      <c r="U262" s="1">
        <v>0.89037999999999995</v>
      </c>
      <c r="V262" s="1">
        <v>0.89219000000000004</v>
      </c>
      <c r="W262" s="1">
        <v>0.88200999999999996</v>
      </c>
      <c r="X262" s="1">
        <v>0.85860999999999998</v>
      </c>
      <c r="Y262" s="1">
        <v>0.86604999999999999</v>
      </c>
      <c r="Z262" s="1">
        <v>0.86368999999999996</v>
      </c>
      <c r="AA262" s="1">
        <v>0.86719000000000002</v>
      </c>
      <c r="AB262" s="1">
        <v>0.89037999999999995</v>
      </c>
      <c r="AC262" s="1">
        <v>0.89219000000000004</v>
      </c>
      <c r="AD262" s="1">
        <v>0.88200999999999996</v>
      </c>
      <c r="AE262" s="1">
        <v>0.85860999999999998</v>
      </c>
      <c r="AF262" s="1">
        <v>0.86604999999999999</v>
      </c>
      <c r="AG262" s="1">
        <v>0.86368999999999996</v>
      </c>
      <c r="AH262" s="1">
        <v>0.86719000000000002</v>
      </c>
      <c r="AI262" s="1">
        <v>0.89037999999999995</v>
      </c>
      <c r="AJ262" s="1">
        <v>0.89219000000000004</v>
      </c>
      <c r="AL262" s="4" t="s">
        <v>19</v>
      </c>
      <c r="AM262" s="6" cm="1">
        <f t="array" ref="AM262">IFERROR((SUMPRODUCT(($C$253:$C$276=AM$251)*($F$249:$AJ$249="")*$F$253:$AJ$276)+IF(AM$251="P3",SUMPRODUCT(($F$249:$AJ$249="P3")*$F$253:$AJ$276),0))/(SUMPRODUCT(($C$253:$C$276=AM$251)*($F$249:$AJ$249=""))+IF(AM$251="P3",COUNTIF($F$249:$AJ$249,"P3")*ROWS($C$253:$C$276),0)),"")</f>
        <v>0.92599708333333286</v>
      </c>
      <c r="AN262" s="6" cm="1">
        <f t="array" ref="AN262">IFERROR((SUMPRODUCT(($C$253:$C$276=AN$251)*($F$249:$AJ$249="")*$F$253:$AJ$276)+IF(AN$251="P3",SUMPRODUCT(($F$249:$AJ$249="P3")*$F$253:$AJ$276),0))/(SUMPRODUCT(($C$253:$C$276=AN$251)*($F$249:$AJ$249=""))+IF(AN$251="P3",COUNTIF($F$249:$AJ$249,"P3")*ROWS($C$253:$C$276),0)),"")</f>
        <v>0.9415027976190482</v>
      </c>
      <c r="AO262" s="6" cm="1">
        <f t="array" ref="AO262">IFERROR((SUMPRODUCT(($C$253:$C$276=AO$251)*($F$249:$AJ$249="")*$F$253:$AJ$276)+IF(AO$251="P3",SUMPRODUCT(($F$249:$AJ$249="P3")*$F$253:$AJ$276),0))/(SUMPRODUCT(($C$253:$C$276=AO$251)*($F$249:$AJ$249=""))+IF(AO$251="P3",COUNTIF($F$249:$AJ$249,"P3")*ROWS($C$253:$C$276),0)),"")</f>
        <v>0.94567757352941151</v>
      </c>
      <c r="AP262" s="6" t="str" cm="1">
        <f t="array" ref="AP262">IFERROR((SUMPRODUCT(($C$253:$C$276=AP$251)*($F$249:$AJ$249="")*$F$253:$AJ$276)+IF(AP$251="P3",SUMPRODUCT(($F$249:$AJ$249="P3")*$F$253:$AJ$276),0))/(SUMPRODUCT(($C$253:$C$276=AP$251)*($F$249:$AJ$249=""))+IF(AP$251="P3",COUNTIF($F$249:$AJ$249,"P3")*ROWS($C$253:$C$276),0)),"")</f>
        <v/>
      </c>
      <c r="AQ262" s="6" t="str" cm="1">
        <f t="array" ref="AQ262">IFERROR((SUMPRODUCT(($C$253:$C$276=AQ$251)*($F$249:$AJ$249="")*$F$253:$AJ$276)+IF(AQ$251="P3",SUMPRODUCT(($F$249:$AJ$249="P3")*$F$253:$AJ$276),0))/(SUMPRODUCT(($C$253:$C$276=AQ$251)*($F$249:$AJ$249=""))+IF(AQ$251="P3",COUNTIF($F$249:$AJ$249,"P3")*ROWS($C$253:$C$276),0)),"")</f>
        <v/>
      </c>
      <c r="AR262" s="6" t="str" cm="1">
        <f t="array" ref="AR262">IFERROR((SUMPRODUCT(($C$253:$C$276=AR$251)*($F$249:$AJ$249="")*$F$253:$AJ$276)+IF(AR$251="P3",SUMPRODUCT(($F$249:$AJ$249="P3")*$F$253:$AJ$276),0))/(SUMPRODUCT(($C$253:$C$276=AR$251)*($F$249:$AJ$249=""))+IF(AR$251="P3",COUNTIF($F$249:$AJ$249,"P3")*ROWS($C$253:$C$276),0)),"")</f>
        <v/>
      </c>
    </row>
    <row r="263" spans="1:44" ht="14.25" customHeight="1" x14ac:dyDescent="0.35">
      <c r="A263" s="1" t="s">
        <v>13</v>
      </c>
      <c r="B263" s="1" t="s">
        <v>13</v>
      </c>
      <c r="C263" s="1" t="s">
        <v>13</v>
      </c>
      <c r="D263" s="1" t="s">
        <v>15</v>
      </c>
      <c r="E263" s="1" t="s">
        <v>28</v>
      </c>
      <c r="F263" s="1">
        <v>0.89105000000000001</v>
      </c>
      <c r="G263" s="1">
        <v>0.91922999999999999</v>
      </c>
      <c r="H263" s="1">
        <v>0.89151000000000002</v>
      </c>
      <c r="I263" s="1">
        <v>0.85731000000000002</v>
      </c>
      <c r="J263" s="1">
        <v>0.87931000000000004</v>
      </c>
      <c r="K263" s="1">
        <v>0.87865000000000004</v>
      </c>
      <c r="L263" s="1">
        <v>0.88266999999999995</v>
      </c>
      <c r="M263" s="1">
        <v>0.89105000000000001</v>
      </c>
      <c r="N263" s="1">
        <v>0.91922999999999999</v>
      </c>
      <c r="O263" s="1">
        <v>0.89151000000000002</v>
      </c>
      <c r="P263" s="1">
        <v>0.85731000000000002</v>
      </c>
      <c r="Q263" s="1">
        <v>0.87931000000000004</v>
      </c>
      <c r="R263" s="1">
        <v>0.87865000000000004</v>
      </c>
      <c r="S263" s="1">
        <v>0.88266999999999995</v>
      </c>
      <c r="T263" s="1">
        <v>0.85718000000000005</v>
      </c>
      <c r="U263" s="1">
        <v>0.91922999999999999</v>
      </c>
      <c r="V263" s="1">
        <v>0.89151000000000002</v>
      </c>
      <c r="W263" s="1">
        <v>0.85731000000000002</v>
      </c>
      <c r="X263" s="1">
        <v>0.87931000000000004</v>
      </c>
      <c r="Y263" s="1">
        <v>0.87865000000000004</v>
      </c>
      <c r="Z263" s="1">
        <v>0.88266999999999995</v>
      </c>
      <c r="AA263" s="1">
        <v>0.89105000000000001</v>
      </c>
      <c r="AB263" s="1">
        <v>0.91922999999999999</v>
      </c>
      <c r="AC263" s="1">
        <v>0.89151000000000002</v>
      </c>
      <c r="AD263" s="1">
        <v>0.85731000000000002</v>
      </c>
      <c r="AE263" s="1">
        <v>0.87931000000000004</v>
      </c>
      <c r="AF263" s="1">
        <v>0.87865000000000004</v>
      </c>
      <c r="AG263" s="1">
        <v>0.88266999999999995</v>
      </c>
      <c r="AH263" s="1">
        <v>0.89105000000000001</v>
      </c>
      <c r="AI263" s="1">
        <v>0.91922999999999999</v>
      </c>
      <c r="AJ263" s="1">
        <v>0.89151000000000002</v>
      </c>
      <c r="AL263" s="4" t="s">
        <v>21</v>
      </c>
      <c r="AM263" s="6" cm="1">
        <f t="array" ref="AM263">IFERROR((SUMPRODUCT(($A$253:$A$276=AM$251)*($F$250:$AJ$250="")*$F$253:$AJ$276)+IF(AM$251="P6",SUMPRODUCT(($F$250:$AJ$250="P6")*$F$253:$AJ$276),0))/(SUMPRODUCT(($A$253:$A$276=AM$251)*($F$250:$AJ$250=""))+IF(AM$251="P6",COUNTIF($F$250:$AJ$250,"P6")*ROWS($A$253:$A$276),0)),"")</f>
        <v>0.92534476190476245</v>
      </c>
      <c r="AN263" s="6" t="str" cm="1">
        <f t="array" ref="AN263">IFERROR((SUMPRODUCT(($A$253:$A$276=AN$251)*($F$250:$AJ$250="")*$F$253:$AJ$276)+IF(AN$251="P6",SUMPRODUCT(($F$250:$AJ$250="P6")*$F$253:$AJ$276),0))/(SUMPRODUCT(($A$253:$A$276=AN$251)*($F$250:$AJ$250=""))+IF(AN$251="P6",COUNTIF($F$250:$AJ$250,"P6")*ROWS($A$253:$A$276),0)),"")</f>
        <v/>
      </c>
      <c r="AO263" s="6" cm="1">
        <f t="array" ref="AO263">IFERROR((SUMPRODUCT(($A$253:$A$276=AO$251)*($F$250:$AJ$250="")*$F$253:$AJ$276)+IF(AO$251="P6",SUMPRODUCT(($F$250:$AJ$250="P6")*$F$253:$AJ$276),0))/(SUMPRODUCT(($A$253:$A$276=AO$251)*($F$250:$AJ$250=""))+IF(AO$251="P6",COUNTIF($F$250:$AJ$250,"P6")*ROWS($A$253:$A$276),0)),"")</f>
        <v>0.94455659863945673</v>
      </c>
      <c r="AP263" s="6" t="str" cm="1">
        <f t="array" ref="AP263">IFERROR((SUMPRODUCT(($A$253:$A$276=AP$251)*($F$250:$AJ$250="")*$F$253:$AJ$276)+IF(AP$251="P6",SUMPRODUCT(($F$250:$AJ$250="P6")*$F$253:$AJ$276),0))/(SUMPRODUCT(($A$253:$A$276=AP$251)*($F$250:$AJ$250=""))+IF(AP$251="P6",COUNTIF($F$250:$AJ$250,"P6")*ROWS($A$253:$A$276),0)),"")</f>
        <v/>
      </c>
      <c r="AQ263" s="6" t="str" cm="1">
        <f t="array" ref="AQ263">IFERROR((SUMPRODUCT(($A$253:$A$276=AQ$251)*($F$250:$AJ$250="")*$F$253:$AJ$276)+IF(AQ$251="P6",SUMPRODUCT(($F$250:$AJ$250="P6")*$F$253:$AJ$276),0))/(SUMPRODUCT(($A$253:$A$276=AQ$251)*($F$250:$AJ$250=""))+IF(AQ$251="P6",COUNTIF($F$250:$AJ$250,"P6")*ROWS($A$253:$A$276),0)),"")</f>
        <v/>
      </c>
      <c r="AR263" s="6" cm="1">
        <f t="array" ref="AR263">IFERROR((SUMPRODUCT(($A$253:$A$276=AR$251)*($F$250:$AJ$250="")*$F$253:$AJ$276)+IF(AR$251="P6",SUMPRODUCT(($F$250:$AJ$250="P6")*$F$253:$AJ$276),0))/(SUMPRODUCT(($A$253:$A$276=AR$251)*($F$250:$AJ$250=""))+IF(AR$251="P6",COUNTIF($F$250:$AJ$250,"P6")*ROWS($A$253:$A$276),0)),"")</f>
        <v>0.94567757352941151</v>
      </c>
    </row>
    <row r="264" spans="1:44" ht="14.25" customHeight="1" x14ac:dyDescent="0.35">
      <c r="A264" s="1" t="s">
        <v>13</v>
      </c>
      <c r="B264" s="1" t="s">
        <v>13</v>
      </c>
      <c r="C264" s="1" t="s">
        <v>13</v>
      </c>
      <c r="D264" s="1" t="s">
        <v>15</v>
      </c>
      <c r="E264" s="1" t="s">
        <v>30</v>
      </c>
      <c r="F264" s="1">
        <v>0.90256000000000003</v>
      </c>
      <c r="G264" s="1">
        <v>0.91844000000000003</v>
      </c>
      <c r="H264" s="1">
        <v>0.88139000000000001</v>
      </c>
      <c r="I264" s="1">
        <v>0.84221000000000001</v>
      </c>
      <c r="J264" s="1">
        <v>0.87914999999999999</v>
      </c>
      <c r="K264" s="1">
        <v>0.89842999999999995</v>
      </c>
      <c r="L264" s="1">
        <v>0.90312999999999999</v>
      </c>
      <c r="M264" s="1">
        <v>0.90256000000000003</v>
      </c>
      <c r="N264" s="1">
        <v>0.91844000000000003</v>
      </c>
      <c r="O264" s="1">
        <v>0.88139000000000001</v>
      </c>
      <c r="P264" s="1">
        <v>0.84221000000000001</v>
      </c>
      <c r="Q264" s="1">
        <v>0.87914999999999999</v>
      </c>
      <c r="R264" s="1">
        <v>0.89842999999999995</v>
      </c>
      <c r="S264" s="1">
        <v>0.90312999999999999</v>
      </c>
      <c r="T264" s="1">
        <v>0.86077000000000004</v>
      </c>
      <c r="U264" s="1">
        <v>0.91844000000000003</v>
      </c>
      <c r="V264" s="1">
        <v>0.88139000000000001</v>
      </c>
      <c r="W264" s="1">
        <v>0.84221000000000001</v>
      </c>
      <c r="X264" s="1">
        <v>0.87914999999999999</v>
      </c>
      <c r="Y264" s="1">
        <v>0.89842999999999995</v>
      </c>
      <c r="Z264" s="1">
        <v>0.90312999999999999</v>
      </c>
      <c r="AA264" s="1">
        <v>0.90256000000000003</v>
      </c>
      <c r="AB264" s="1">
        <v>0.91844000000000003</v>
      </c>
      <c r="AC264" s="1">
        <v>0.88139000000000001</v>
      </c>
      <c r="AD264" s="1">
        <v>0.84221000000000001</v>
      </c>
      <c r="AE264" s="1">
        <v>0.87914999999999999</v>
      </c>
      <c r="AF264" s="1">
        <v>0.89842999999999995</v>
      </c>
      <c r="AG264" s="1">
        <v>0.90312999999999999</v>
      </c>
      <c r="AH264" s="1">
        <v>0.90256000000000003</v>
      </c>
      <c r="AI264" s="1">
        <v>0.91844000000000003</v>
      </c>
      <c r="AJ264" s="1">
        <v>0.88139000000000001</v>
      </c>
      <c r="AL264" s="4" t="s">
        <v>23</v>
      </c>
      <c r="AM264" s="6" cm="1">
        <f t="array" ref="AM264">IFERROR((SUMPRODUCT(($A$253:$A$276=AM$251)*($F$250:$AJ$250="")*$F$253:$AJ$276)+IF(AM$251="P6",SUMPRODUCT(($F$250:$AJ$250="P6")*$F$253:$AJ$276),0))/(SUMPRODUCT(($A$253:$A$276=AM$251)*($F$250:$AJ$250=""))+IF(AM$251="P6",COUNTIF($F$250:$AJ$250,"P6")*ROWS($A$253:$A$276),0)),"")</f>
        <v>0.92534476190476245</v>
      </c>
      <c r="AN264" s="6" t="str" cm="1">
        <f t="array" ref="AN264">IFERROR((SUMPRODUCT(($A$253:$A$276=AN$251)*($F$250:$AJ$250="")*$F$253:$AJ$276)+IF(AN$251="P6",SUMPRODUCT(($F$250:$AJ$250="P6")*$F$253:$AJ$276),0))/(SUMPRODUCT(($A$253:$A$276=AN$251)*($F$250:$AJ$250=""))+IF(AN$251="P6",COUNTIF($F$250:$AJ$250,"P6")*ROWS($A$253:$A$276),0)),"")</f>
        <v/>
      </c>
      <c r="AO264" s="6" cm="1">
        <f t="array" ref="AO264">IFERROR((SUMPRODUCT(($A$253:$A$276=AO$251)*($F$250:$AJ$250="")*$F$253:$AJ$276)+IF(AO$251="P6",SUMPRODUCT(($F$250:$AJ$250="P6")*$F$253:$AJ$276),0))/(SUMPRODUCT(($A$253:$A$276=AO$251)*($F$250:$AJ$250=""))+IF(AO$251="P6",COUNTIF($F$250:$AJ$250,"P6")*ROWS($A$253:$A$276),0)),"")</f>
        <v>0.94455659863945673</v>
      </c>
      <c r="AP264" s="6" t="str" cm="1">
        <f t="array" ref="AP264">IFERROR((SUMPRODUCT(($A$253:$A$276=AP$251)*($F$250:$AJ$250="")*$F$253:$AJ$276)+IF(AP$251="P6",SUMPRODUCT(($F$250:$AJ$250="P6")*$F$253:$AJ$276),0))/(SUMPRODUCT(($A$253:$A$276=AP$251)*($F$250:$AJ$250=""))+IF(AP$251="P6",COUNTIF($F$250:$AJ$250,"P6")*ROWS($A$253:$A$276),0)),"")</f>
        <v/>
      </c>
      <c r="AQ264" s="6" t="str" cm="1">
        <f t="array" ref="AQ264">IFERROR((SUMPRODUCT(($A$253:$A$276=AQ$251)*($F$250:$AJ$250="")*$F$253:$AJ$276)+IF(AQ$251="P6",SUMPRODUCT(($F$250:$AJ$250="P6")*$F$253:$AJ$276),0))/(SUMPRODUCT(($A$253:$A$276=AQ$251)*($F$250:$AJ$250=""))+IF(AQ$251="P6",COUNTIF($F$250:$AJ$250,"P6")*ROWS($A$253:$A$276),0)),"")</f>
        <v/>
      </c>
      <c r="AR264" s="6" cm="1">
        <f t="array" ref="AR264">IFERROR((SUMPRODUCT(($A$253:$A$276=AR$251)*($F$250:$AJ$250="")*$F$253:$AJ$276)+IF(AR$251="P6",SUMPRODUCT(($F$250:$AJ$250="P6")*$F$253:$AJ$276),0))/(SUMPRODUCT(($A$253:$A$276=AR$251)*($F$250:$AJ$250=""))+IF(AR$251="P6",COUNTIF($F$250:$AJ$250,"P6")*ROWS($A$253:$A$276),0)),"")</f>
        <v>0.94567757352941151</v>
      </c>
    </row>
    <row r="265" spans="1:44" ht="14.25" customHeight="1" x14ac:dyDescent="0.35">
      <c r="A265" s="1" t="s">
        <v>13</v>
      </c>
      <c r="B265" s="1" t="s">
        <v>13</v>
      </c>
      <c r="C265" s="1" t="s">
        <v>13</v>
      </c>
      <c r="D265" s="1" t="s">
        <v>15</v>
      </c>
      <c r="E265" s="1" t="s">
        <v>31</v>
      </c>
      <c r="F265" s="1">
        <v>0.90449999999999997</v>
      </c>
      <c r="G265" s="1">
        <v>0.91976000000000002</v>
      </c>
      <c r="H265" s="1">
        <v>0.88653999999999999</v>
      </c>
      <c r="I265" s="1">
        <v>0.84633999999999998</v>
      </c>
      <c r="J265" s="1">
        <v>0.87470000000000003</v>
      </c>
      <c r="K265" s="1">
        <v>0.90188000000000001</v>
      </c>
      <c r="L265" s="1">
        <v>0.91254999999999997</v>
      </c>
      <c r="M265" s="1">
        <v>0.90449999999999997</v>
      </c>
      <c r="N265" s="1">
        <v>0.91976000000000002</v>
      </c>
      <c r="O265" s="1">
        <v>0.88653999999999999</v>
      </c>
      <c r="P265" s="1">
        <v>0.84633999999999998</v>
      </c>
      <c r="Q265" s="1">
        <v>0.87470000000000003</v>
      </c>
      <c r="R265" s="1">
        <v>0.90188000000000001</v>
      </c>
      <c r="S265" s="1">
        <v>0.91254999999999997</v>
      </c>
      <c r="T265" s="1">
        <v>0.87065000000000003</v>
      </c>
      <c r="U265" s="1">
        <v>0.91976000000000002</v>
      </c>
      <c r="V265" s="1">
        <v>0.88653999999999999</v>
      </c>
      <c r="W265" s="1">
        <v>0.84633999999999998</v>
      </c>
      <c r="X265" s="1">
        <v>0.87470000000000003</v>
      </c>
      <c r="Y265" s="1">
        <v>0.90188000000000001</v>
      </c>
      <c r="Z265" s="1">
        <v>0.91254999999999997</v>
      </c>
      <c r="AA265" s="1">
        <v>0.90449999999999997</v>
      </c>
      <c r="AB265" s="1">
        <v>0.91976000000000002</v>
      </c>
      <c r="AC265" s="1">
        <v>0.88653999999999999</v>
      </c>
      <c r="AD265" s="1">
        <v>0.84633999999999998</v>
      </c>
      <c r="AE265" s="1">
        <v>0.87470000000000003</v>
      </c>
      <c r="AF265" s="1">
        <v>0.90188000000000001</v>
      </c>
      <c r="AG265" s="1">
        <v>0.91254999999999997</v>
      </c>
      <c r="AH265" s="1">
        <v>0.90449999999999997</v>
      </c>
      <c r="AI265" s="1">
        <v>0.91976000000000002</v>
      </c>
      <c r="AJ265" s="1">
        <v>0.88653999999999999</v>
      </c>
      <c r="AL265" s="4" t="s">
        <v>25</v>
      </c>
      <c r="AM265" s="6" cm="1">
        <f t="array" ref="AM265">IFERROR((SUMPRODUCT(($A$253:$A$276=AM$251)*($F$250:$AJ$250="")*$F$253:$AJ$276)+IF(AM$251="P6",SUMPRODUCT(($F$250:$AJ$250="P6")*$F$253:$AJ$276),0))/(SUMPRODUCT(($A$253:$A$276=AM$251)*($F$250:$AJ$250=""))+IF(AM$251="P6",COUNTIF($F$250:$AJ$250,"P6")*ROWS($A$253:$A$276),0)),"")</f>
        <v>0.92534476190476245</v>
      </c>
      <c r="AN265" s="6" t="str" cm="1">
        <f t="array" ref="AN265">IFERROR((SUMPRODUCT(($A$253:$A$276=AN$251)*($F$250:$AJ$250="")*$F$253:$AJ$276)+IF(AN$251="P6",SUMPRODUCT(($F$250:$AJ$250="P6")*$F$253:$AJ$276),0))/(SUMPRODUCT(($A$253:$A$276=AN$251)*($F$250:$AJ$250=""))+IF(AN$251="P6",COUNTIF($F$250:$AJ$250,"P6")*ROWS($A$253:$A$276),0)),"")</f>
        <v/>
      </c>
      <c r="AO265" s="6" cm="1">
        <f t="array" ref="AO265">IFERROR((SUMPRODUCT(($A$253:$A$276=AO$251)*($F$250:$AJ$250="")*$F$253:$AJ$276)+IF(AO$251="P6",SUMPRODUCT(($F$250:$AJ$250="P6")*$F$253:$AJ$276),0))/(SUMPRODUCT(($A$253:$A$276=AO$251)*($F$250:$AJ$250=""))+IF(AO$251="P6",COUNTIF($F$250:$AJ$250,"P6")*ROWS($A$253:$A$276),0)),"")</f>
        <v>0.94455659863945673</v>
      </c>
      <c r="AP265" s="6" t="str" cm="1">
        <f t="array" ref="AP265">IFERROR((SUMPRODUCT(($A$253:$A$276=AP$251)*($F$250:$AJ$250="")*$F$253:$AJ$276)+IF(AP$251="P6",SUMPRODUCT(($F$250:$AJ$250="P6")*$F$253:$AJ$276),0))/(SUMPRODUCT(($A$253:$A$276=AP$251)*($F$250:$AJ$250=""))+IF(AP$251="P6",COUNTIF($F$250:$AJ$250,"P6")*ROWS($A$253:$A$276),0)),"")</f>
        <v/>
      </c>
      <c r="AQ265" s="6" t="str" cm="1">
        <f t="array" ref="AQ265">IFERROR((SUMPRODUCT(($A$253:$A$276=AQ$251)*($F$250:$AJ$250="")*$F$253:$AJ$276)+IF(AQ$251="P6",SUMPRODUCT(($F$250:$AJ$250="P6")*$F$253:$AJ$276),0))/(SUMPRODUCT(($A$253:$A$276=AQ$251)*($F$250:$AJ$250=""))+IF(AQ$251="P6",COUNTIF($F$250:$AJ$250,"P6")*ROWS($A$253:$A$276),0)),"")</f>
        <v/>
      </c>
      <c r="AR265" s="6" cm="1">
        <f t="array" ref="AR265">IFERROR((SUMPRODUCT(($A$253:$A$276=AR$251)*($F$250:$AJ$250="")*$F$253:$AJ$276)+IF(AR$251="P6",SUMPRODUCT(($F$250:$AJ$250="P6")*$F$253:$AJ$276),0))/(SUMPRODUCT(($A$253:$A$276=AR$251)*($F$250:$AJ$250=""))+IF(AR$251="P6",COUNTIF($F$250:$AJ$250,"P6")*ROWS($A$253:$A$276),0)),"")</f>
        <v>0.94567757352941151</v>
      </c>
    </row>
    <row r="266" spans="1:44" ht="14.25" customHeight="1" x14ac:dyDescent="0.35">
      <c r="A266" s="1" t="s">
        <v>13</v>
      </c>
      <c r="B266" s="1" t="s">
        <v>13</v>
      </c>
      <c r="C266" s="1" t="s">
        <v>13</v>
      </c>
      <c r="D266" s="1" t="s">
        <v>15</v>
      </c>
      <c r="E266" s="1" t="s">
        <v>32</v>
      </c>
      <c r="F266" s="1">
        <v>0.88709000000000005</v>
      </c>
      <c r="G266" s="1">
        <v>0.91108</v>
      </c>
      <c r="H266" s="1">
        <v>0.87990000000000002</v>
      </c>
      <c r="I266" s="1">
        <v>0.83491000000000004</v>
      </c>
      <c r="J266" s="1">
        <v>0.85189000000000004</v>
      </c>
      <c r="K266" s="1">
        <v>0.88143000000000005</v>
      </c>
      <c r="L266" s="1">
        <v>0.90530999999999995</v>
      </c>
      <c r="M266" s="1">
        <v>0.88709000000000005</v>
      </c>
      <c r="N266" s="1">
        <v>0.91108</v>
      </c>
      <c r="O266" s="1">
        <v>0.87990000000000002</v>
      </c>
      <c r="P266" s="1">
        <v>0.83491000000000004</v>
      </c>
      <c r="Q266" s="1">
        <v>0.85189000000000004</v>
      </c>
      <c r="R266" s="1">
        <v>0.88143000000000005</v>
      </c>
      <c r="S266" s="1">
        <v>0.90530999999999995</v>
      </c>
      <c r="T266" s="1">
        <v>0.86668000000000001</v>
      </c>
      <c r="U266" s="1">
        <v>0.91108</v>
      </c>
      <c r="V266" s="1">
        <v>0.87990000000000002</v>
      </c>
      <c r="W266" s="1">
        <v>0.83491000000000004</v>
      </c>
      <c r="X266" s="1">
        <v>0.85189000000000004</v>
      </c>
      <c r="Y266" s="1">
        <v>0.88143000000000005</v>
      </c>
      <c r="Z266" s="1">
        <v>0.90530999999999995</v>
      </c>
      <c r="AA266" s="1">
        <v>0.88709000000000005</v>
      </c>
      <c r="AB266" s="1">
        <v>0.91108</v>
      </c>
      <c r="AC266" s="1">
        <v>0.87990000000000002</v>
      </c>
      <c r="AD266" s="1">
        <v>0.83491000000000004</v>
      </c>
      <c r="AE266" s="1">
        <v>0.85189000000000004</v>
      </c>
      <c r="AF266" s="1">
        <v>0.88143000000000005</v>
      </c>
      <c r="AG266" s="1">
        <v>0.90530999999999995</v>
      </c>
      <c r="AH266" s="1">
        <v>0.88709000000000005</v>
      </c>
      <c r="AI266" s="1">
        <v>0.91108</v>
      </c>
      <c r="AJ266" s="1">
        <v>0.87990000000000002</v>
      </c>
      <c r="AL266" s="4" t="s">
        <v>27</v>
      </c>
      <c r="AM266" s="6" cm="1">
        <f t="array" ref="AM266">IFERROR((SUMPRODUCT(($A$253:$A$276=AM$251)*($F$250:$AJ$250="")*$F$253:$AJ$276)+IF(AM$251="P6",SUMPRODUCT(($F$250:$AJ$250="P6")*$F$253:$AJ$276),0))/(SUMPRODUCT(($A$253:$A$276=AM$251)*($F$250:$AJ$250=""))+IF(AM$251="P6",COUNTIF($F$250:$AJ$250,"P6")*ROWS($A$253:$A$276),0)),"")</f>
        <v>0.92534476190476245</v>
      </c>
      <c r="AN266" s="6" t="str" cm="1">
        <f t="array" ref="AN266">IFERROR((SUMPRODUCT(($A$253:$A$276=AN$251)*($F$250:$AJ$250="")*$F$253:$AJ$276)+IF(AN$251="P6",SUMPRODUCT(($F$250:$AJ$250="P6")*$F$253:$AJ$276),0))/(SUMPRODUCT(($A$253:$A$276=AN$251)*($F$250:$AJ$250=""))+IF(AN$251="P6",COUNTIF($F$250:$AJ$250,"P6")*ROWS($A$253:$A$276),0)),"")</f>
        <v/>
      </c>
      <c r="AO266" s="6" cm="1">
        <f t="array" ref="AO266">IFERROR((SUMPRODUCT(($A$253:$A$276=AO$251)*($F$250:$AJ$250="")*$F$253:$AJ$276)+IF(AO$251="P6",SUMPRODUCT(($F$250:$AJ$250="P6")*$F$253:$AJ$276),0))/(SUMPRODUCT(($A$253:$A$276=AO$251)*($F$250:$AJ$250=""))+IF(AO$251="P6",COUNTIF($F$250:$AJ$250,"P6")*ROWS($A$253:$A$276),0)),"")</f>
        <v>0.94455659863945673</v>
      </c>
      <c r="AP266" s="6" t="str" cm="1">
        <f t="array" ref="AP266">IFERROR((SUMPRODUCT(($A$253:$A$276=AP$251)*($F$250:$AJ$250="")*$F$253:$AJ$276)+IF(AP$251="P6",SUMPRODUCT(($F$250:$AJ$250="P6")*$F$253:$AJ$276),0))/(SUMPRODUCT(($A$253:$A$276=AP$251)*($F$250:$AJ$250=""))+IF(AP$251="P6",COUNTIF($F$250:$AJ$250,"P6")*ROWS($A$253:$A$276),0)),"")</f>
        <v/>
      </c>
      <c r="AQ266" s="6" t="str" cm="1">
        <f t="array" ref="AQ266">IFERROR((SUMPRODUCT(($A$253:$A$276=AQ$251)*($F$250:$AJ$250="")*$F$253:$AJ$276)+IF(AQ$251="P6",SUMPRODUCT(($F$250:$AJ$250="P6")*$F$253:$AJ$276),0))/(SUMPRODUCT(($A$253:$A$276=AQ$251)*($F$250:$AJ$250=""))+IF(AQ$251="P6",COUNTIF($F$250:$AJ$250,"P6")*ROWS($A$253:$A$276),0)),"")</f>
        <v/>
      </c>
      <c r="AR266" s="6" cm="1">
        <f t="array" ref="AR266">IFERROR((SUMPRODUCT(($A$253:$A$276=AR$251)*($F$250:$AJ$250="")*$F$253:$AJ$276)+IF(AR$251="P6",SUMPRODUCT(($F$250:$AJ$250="P6")*$F$253:$AJ$276),0))/(SUMPRODUCT(($A$253:$A$276=AR$251)*($F$250:$AJ$250=""))+IF(AR$251="P6",COUNTIF($F$250:$AJ$250,"P6")*ROWS($A$253:$A$276),0)),"")</f>
        <v>0.94567757352941151</v>
      </c>
    </row>
    <row r="267" spans="1:44" ht="14.25" customHeight="1" x14ac:dyDescent="0.35">
      <c r="A267" s="1" t="s">
        <v>13</v>
      </c>
      <c r="B267" s="1" t="s">
        <v>13</v>
      </c>
      <c r="C267" s="1" t="s">
        <v>14</v>
      </c>
      <c r="D267" s="1" t="s">
        <v>16</v>
      </c>
      <c r="E267" s="1" t="s">
        <v>33</v>
      </c>
      <c r="F267" s="1">
        <v>0.92447999999999997</v>
      </c>
      <c r="G267" s="1">
        <v>0.94289000000000001</v>
      </c>
      <c r="H267" s="1">
        <v>0.86797000000000002</v>
      </c>
      <c r="I267" s="1">
        <v>0.8236</v>
      </c>
      <c r="J267" s="1">
        <v>0.87971999999999995</v>
      </c>
      <c r="K267" s="1">
        <v>0.91449999999999998</v>
      </c>
      <c r="L267" s="1">
        <v>0.93335000000000001</v>
      </c>
      <c r="M267" s="1">
        <v>0.92447999999999997</v>
      </c>
      <c r="N267" s="1">
        <v>0.94289000000000001</v>
      </c>
      <c r="O267" s="1">
        <v>0.86797000000000002</v>
      </c>
      <c r="P267" s="1">
        <v>0.8236</v>
      </c>
      <c r="Q267" s="1">
        <v>0.87971999999999995</v>
      </c>
      <c r="R267" s="1">
        <v>0.91449999999999998</v>
      </c>
      <c r="S267" s="1">
        <v>0.93335000000000001</v>
      </c>
      <c r="T267" s="1">
        <v>0.86516000000000004</v>
      </c>
      <c r="U267" s="1">
        <v>0.94289000000000001</v>
      </c>
      <c r="V267" s="1">
        <v>0.86797000000000002</v>
      </c>
      <c r="W267" s="1">
        <v>0.8236</v>
      </c>
      <c r="X267" s="1">
        <v>0.87971999999999995</v>
      </c>
      <c r="Y267" s="1">
        <v>0.91449999999999998</v>
      </c>
      <c r="Z267" s="1">
        <v>0.93335000000000001</v>
      </c>
      <c r="AA267" s="1">
        <v>0.92447999999999997</v>
      </c>
      <c r="AB267" s="1">
        <v>0.94289000000000001</v>
      </c>
      <c r="AC267" s="1">
        <v>0.86797000000000002</v>
      </c>
      <c r="AD267" s="1">
        <v>0.8236</v>
      </c>
      <c r="AE267" s="1">
        <v>0.87971999999999995</v>
      </c>
      <c r="AF267" s="1">
        <v>0.91449999999999998</v>
      </c>
      <c r="AG267" s="1">
        <v>0.93335000000000001</v>
      </c>
      <c r="AH267" s="1">
        <v>0.92447999999999997</v>
      </c>
      <c r="AI267" s="1">
        <v>0.94289000000000001</v>
      </c>
      <c r="AJ267" s="1">
        <v>0.86797000000000002</v>
      </c>
      <c r="AL267" s="4" t="s">
        <v>29</v>
      </c>
      <c r="AM267" s="6" cm="1">
        <f t="array" ref="AM267">IFERROR((SUMPRODUCT(($A$253:$A$276=AM$251)*($F$250:$AJ$250="")*$F$253:$AJ$276)+IF(AM$251="P6",SUMPRODUCT(($F$250:$AJ$250="P6")*$F$253:$AJ$276),0))/(SUMPRODUCT(($A$253:$A$276=AM$251)*($F$250:$AJ$250=""))+IF(AM$251="P6",COUNTIF($F$250:$AJ$250,"P6")*ROWS($A$253:$A$276),0)),"")</f>
        <v>0.92534476190476245</v>
      </c>
      <c r="AN267" s="6" t="str" cm="1">
        <f t="array" ref="AN267">IFERROR((SUMPRODUCT(($A$253:$A$276=AN$251)*($F$250:$AJ$250="")*$F$253:$AJ$276)+IF(AN$251="P6",SUMPRODUCT(($F$250:$AJ$250="P6")*$F$253:$AJ$276),0))/(SUMPRODUCT(($A$253:$A$276=AN$251)*($F$250:$AJ$250=""))+IF(AN$251="P6",COUNTIF($F$250:$AJ$250,"P6")*ROWS($A$253:$A$276),0)),"")</f>
        <v/>
      </c>
      <c r="AO267" s="6" cm="1">
        <f t="array" ref="AO267">IFERROR((SUMPRODUCT(($A$253:$A$276=AO$251)*($F$250:$AJ$250="")*$F$253:$AJ$276)+IF(AO$251="P6",SUMPRODUCT(($F$250:$AJ$250="P6")*$F$253:$AJ$276),0))/(SUMPRODUCT(($A$253:$A$276=AO$251)*($F$250:$AJ$250=""))+IF(AO$251="P6",COUNTIF($F$250:$AJ$250,"P6")*ROWS($A$253:$A$276),0)),"")</f>
        <v>0.94455659863945673</v>
      </c>
      <c r="AP267" s="6" t="str" cm="1">
        <f t="array" ref="AP267">IFERROR((SUMPRODUCT(($A$253:$A$276=AP$251)*($F$250:$AJ$250="")*$F$253:$AJ$276)+IF(AP$251="P6",SUMPRODUCT(($F$250:$AJ$250="P6")*$F$253:$AJ$276),0))/(SUMPRODUCT(($A$253:$A$276=AP$251)*($F$250:$AJ$250=""))+IF(AP$251="P6",COUNTIF($F$250:$AJ$250,"P6")*ROWS($A$253:$A$276),0)),"")</f>
        <v/>
      </c>
      <c r="AQ267" s="6" t="str" cm="1">
        <f t="array" ref="AQ267">IFERROR((SUMPRODUCT(($A$253:$A$276=AQ$251)*($F$250:$AJ$250="")*$F$253:$AJ$276)+IF(AQ$251="P6",SUMPRODUCT(($F$250:$AJ$250="P6")*$F$253:$AJ$276),0))/(SUMPRODUCT(($A$253:$A$276=AQ$251)*($F$250:$AJ$250=""))+IF(AQ$251="P6",COUNTIF($F$250:$AJ$250,"P6")*ROWS($A$253:$A$276),0)),"")</f>
        <v/>
      </c>
      <c r="AR267" s="6" cm="1">
        <f t="array" ref="AR267">IFERROR((SUMPRODUCT(($A$253:$A$276=AR$251)*($F$250:$AJ$250="")*$F$253:$AJ$276)+IF(AR$251="P6",SUMPRODUCT(($F$250:$AJ$250="P6")*$F$253:$AJ$276),0))/(SUMPRODUCT(($A$253:$A$276=AR$251)*($F$250:$AJ$250=""))+IF(AR$251="P6",COUNTIF($F$250:$AJ$250,"P6")*ROWS($A$253:$A$276),0)),"")</f>
        <v>0.94567757352941151</v>
      </c>
    </row>
    <row r="268" spans="1:44" ht="14.25" customHeight="1" x14ac:dyDescent="0.35">
      <c r="A268" s="1" t="s">
        <v>15</v>
      </c>
      <c r="B268" s="1" t="s">
        <v>14</v>
      </c>
      <c r="C268" s="1" t="s">
        <v>14</v>
      </c>
      <c r="D268" s="1" t="s">
        <v>16</v>
      </c>
      <c r="E268" s="1" t="s">
        <v>34</v>
      </c>
      <c r="F268" s="1">
        <v>0.92434000000000005</v>
      </c>
      <c r="G268" s="1">
        <v>0.92873000000000006</v>
      </c>
      <c r="H268" s="1">
        <v>0.87612000000000001</v>
      </c>
      <c r="I268" s="1">
        <v>0.83287999999999995</v>
      </c>
      <c r="J268" s="1">
        <v>0.87707000000000002</v>
      </c>
      <c r="K268" s="1">
        <v>0.90239999999999998</v>
      </c>
      <c r="L268" s="1">
        <v>0.92201999999999995</v>
      </c>
      <c r="M268" s="1">
        <v>0.92434000000000005</v>
      </c>
      <c r="N268" s="1">
        <v>0.92873000000000006</v>
      </c>
      <c r="O268" s="1">
        <v>0.87612000000000001</v>
      </c>
      <c r="P268" s="1">
        <v>0.83287999999999995</v>
      </c>
      <c r="Q268" s="1">
        <v>0.87707000000000002</v>
      </c>
      <c r="R268" s="1">
        <v>0.90239999999999998</v>
      </c>
      <c r="S268" s="1">
        <v>0.92201999999999995</v>
      </c>
      <c r="T268" s="1">
        <v>0.88224000000000002</v>
      </c>
      <c r="U268" s="1">
        <v>0.92873000000000006</v>
      </c>
      <c r="V268" s="1">
        <v>0.87612000000000001</v>
      </c>
      <c r="W268" s="1">
        <v>0.83287999999999995</v>
      </c>
      <c r="X268" s="1">
        <v>0.87707000000000002</v>
      </c>
      <c r="Y268" s="1">
        <v>0.90239999999999998</v>
      </c>
      <c r="Z268" s="1">
        <v>0.92201999999999995</v>
      </c>
      <c r="AA268" s="1">
        <v>0.92434000000000005</v>
      </c>
      <c r="AB268" s="1">
        <v>0.92873000000000006</v>
      </c>
      <c r="AC268" s="1">
        <v>0.87612000000000001</v>
      </c>
      <c r="AD268" s="1">
        <v>0.83287999999999995</v>
      </c>
      <c r="AE268" s="1">
        <v>0.87707000000000002</v>
      </c>
      <c r="AF268" s="1">
        <v>0.90239999999999998</v>
      </c>
      <c r="AG268" s="1">
        <v>0.92201999999999995</v>
      </c>
      <c r="AH268" s="1">
        <v>0.92434000000000005</v>
      </c>
      <c r="AI268" s="1">
        <v>0.92873000000000006</v>
      </c>
      <c r="AJ268" s="1">
        <v>0.87612000000000001</v>
      </c>
      <c r="AL268" s="10"/>
      <c r="AM268" s="10"/>
      <c r="AN268" s="10"/>
      <c r="AO268" s="10"/>
      <c r="AP268" s="10"/>
      <c r="AQ268" s="10"/>
      <c r="AR268" s="10"/>
    </row>
    <row r="269" spans="1:44" ht="14.25" customHeight="1" x14ac:dyDescent="0.35">
      <c r="A269" s="1" t="s">
        <v>15</v>
      </c>
      <c r="B269" s="1" t="s">
        <v>14</v>
      </c>
      <c r="C269" s="1" t="s">
        <v>14</v>
      </c>
      <c r="D269" s="1" t="s">
        <v>16</v>
      </c>
      <c r="E269" s="1" t="s">
        <v>35</v>
      </c>
      <c r="F269" s="1">
        <v>0.93655999999999995</v>
      </c>
      <c r="G269" s="1">
        <v>0.93481999999999998</v>
      </c>
      <c r="H269" s="1">
        <v>0.88544</v>
      </c>
      <c r="I269" s="1">
        <v>0.83814999999999995</v>
      </c>
      <c r="J269" s="1">
        <v>0.89104000000000005</v>
      </c>
      <c r="K269" s="1">
        <v>0.90947999999999996</v>
      </c>
      <c r="L269" s="1">
        <v>0.93091999999999997</v>
      </c>
      <c r="M269" s="1">
        <v>0.93655999999999995</v>
      </c>
      <c r="N269" s="1">
        <v>0.93481999999999998</v>
      </c>
      <c r="O269" s="1">
        <v>0.88544</v>
      </c>
      <c r="P269" s="1">
        <v>0.83814999999999995</v>
      </c>
      <c r="Q269" s="1">
        <v>0.89104000000000005</v>
      </c>
      <c r="R269" s="1">
        <v>0.90947999999999996</v>
      </c>
      <c r="S269" s="1">
        <v>0.93091999999999997</v>
      </c>
      <c r="T269" s="1">
        <v>0.90032000000000001</v>
      </c>
      <c r="U269" s="1">
        <v>0.93481999999999998</v>
      </c>
      <c r="V269" s="1">
        <v>0.88544</v>
      </c>
      <c r="W269" s="1">
        <v>0.83814999999999995</v>
      </c>
      <c r="X269" s="1">
        <v>0.89104000000000005</v>
      </c>
      <c r="Y269" s="1">
        <v>0.90947999999999996</v>
      </c>
      <c r="Z269" s="1">
        <v>0.93091999999999997</v>
      </c>
      <c r="AA269" s="1">
        <v>0.93655999999999995</v>
      </c>
      <c r="AB269" s="1">
        <v>0.93481999999999998</v>
      </c>
      <c r="AC269" s="1">
        <v>0.88544</v>
      </c>
      <c r="AD269" s="1">
        <v>0.83814999999999995</v>
      </c>
      <c r="AE269" s="1">
        <v>0.89104000000000005</v>
      </c>
      <c r="AF269" s="1">
        <v>0.90947999999999996</v>
      </c>
      <c r="AG269" s="1">
        <v>0.93091999999999997</v>
      </c>
      <c r="AH269" s="1">
        <v>0.93655999999999995</v>
      </c>
      <c r="AI269" s="1">
        <v>0.93481999999999998</v>
      </c>
      <c r="AJ269" s="1">
        <v>0.88544</v>
      </c>
      <c r="AL269" s="10"/>
      <c r="AM269" s="10"/>
      <c r="AN269" s="10"/>
      <c r="AO269" s="10"/>
      <c r="AP269" s="10"/>
      <c r="AQ269" s="10"/>
      <c r="AR269" s="10"/>
    </row>
    <row r="270" spans="1:44" ht="14.25" customHeight="1" x14ac:dyDescent="0.35">
      <c r="A270" s="1" t="s">
        <v>15</v>
      </c>
      <c r="B270" s="1" t="s">
        <v>14</v>
      </c>
      <c r="C270" s="1" t="s">
        <v>14</v>
      </c>
      <c r="D270" s="1" t="s">
        <v>16</v>
      </c>
      <c r="E270" s="1" t="s">
        <v>36</v>
      </c>
      <c r="F270" s="1">
        <v>0.96358999999999995</v>
      </c>
      <c r="G270" s="1">
        <v>0.95343</v>
      </c>
      <c r="H270" s="1">
        <v>0.90520999999999996</v>
      </c>
      <c r="I270" s="1">
        <v>0.85741999999999996</v>
      </c>
      <c r="J270" s="1">
        <v>0.92627000000000004</v>
      </c>
      <c r="K270" s="1">
        <v>0.93508000000000002</v>
      </c>
      <c r="L270" s="1">
        <v>0.95216000000000001</v>
      </c>
      <c r="M270" s="1">
        <v>0.96358999999999995</v>
      </c>
      <c r="N270" s="1">
        <v>0.95343</v>
      </c>
      <c r="O270" s="1">
        <v>0.90520999999999996</v>
      </c>
      <c r="P270" s="1">
        <v>0.85741999999999996</v>
      </c>
      <c r="Q270" s="1">
        <v>0.92627000000000004</v>
      </c>
      <c r="R270" s="1">
        <v>0.93508000000000002</v>
      </c>
      <c r="S270" s="1">
        <v>0.95216000000000001</v>
      </c>
      <c r="T270" s="1">
        <v>0.92383000000000004</v>
      </c>
      <c r="U270" s="1">
        <v>0.95343</v>
      </c>
      <c r="V270" s="1">
        <v>0.90520999999999996</v>
      </c>
      <c r="W270" s="1">
        <v>0.85741999999999996</v>
      </c>
      <c r="X270" s="1">
        <v>0.92627000000000004</v>
      </c>
      <c r="Y270" s="1">
        <v>0.93508000000000002</v>
      </c>
      <c r="Z270" s="1">
        <v>0.95216000000000001</v>
      </c>
      <c r="AA270" s="1">
        <v>0.96358999999999995</v>
      </c>
      <c r="AB270" s="1">
        <v>0.95343</v>
      </c>
      <c r="AC270" s="1">
        <v>0.90520999999999996</v>
      </c>
      <c r="AD270" s="1">
        <v>0.85741999999999996</v>
      </c>
      <c r="AE270" s="1">
        <v>0.92627000000000004</v>
      </c>
      <c r="AF270" s="1">
        <v>0.93508000000000002</v>
      </c>
      <c r="AG270" s="1">
        <v>0.95216000000000001</v>
      </c>
      <c r="AH270" s="1">
        <v>0.96358999999999995</v>
      </c>
      <c r="AI270" s="1">
        <v>0.95343</v>
      </c>
      <c r="AJ270" s="1">
        <v>0.90520999999999996</v>
      </c>
      <c r="AL270" s="14" t="s">
        <v>184</v>
      </c>
      <c r="AM270" s="14"/>
      <c r="AN270" s="14"/>
      <c r="AO270" s="14"/>
      <c r="AP270" s="14"/>
      <c r="AQ270" s="14"/>
      <c r="AR270" s="14"/>
    </row>
    <row r="271" spans="1:44" ht="14.25" customHeight="1" x14ac:dyDescent="0.35">
      <c r="A271" s="1" t="s">
        <v>13</v>
      </c>
      <c r="B271" s="1" t="s">
        <v>13</v>
      </c>
      <c r="C271" s="1" t="s">
        <v>13</v>
      </c>
      <c r="D271" s="1" t="s">
        <v>15</v>
      </c>
      <c r="E271" s="1" t="s">
        <v>37</v>
      </c>
      <c r="F271" s="1">
        <v>0.93452000000000002</v>
      </c>
      <c r="G271" s="1">
        <v>0.93139000000000005</v>
      </c>
      <c r="H271" s="1">
        <v>0.94430000000000003</v>
      </c>
      <c r="I271" s="1">
        <v>0.91049999999999998</v>
      </c>
      <c r="J271" s="1">
        <v>0.90697000000000005</v>
      </c>
      <c r="K271" s="1">
        <v>0.90983000000000003</v>
      </c>
      <c r="L271" s="1">
        <v>0.93189999999999995</v>
      </c>
      <c r="M271" s="1">
        <v>0.93452000000000002</v>
      </c>
      <c r="N271" s="1">
        <v>0.93139000000000005</v>
      </c>
      <c r="O271" s="1">
        <v>0.94430000000000003</v>
      </c>
      <c r="P271" s="1">
        <v>0.91049999999999998</v>
      </c>
      <c r="Q271" s="1">
        <v>0.90697000000000005</v>
      </c>
      <c r="R271" s="1">
        <v>0.90983000000000003</v>
      </c>
      <c r="S271" s="1">
        <v>0.93189999999999995</v>
      </c>
      <c r="T271" s="1">
        <v>0.95367999999999997</v>
      </c>
      <c r="U271" s="1">
        <v>0.93139000000000005</v>
      </c>
      <c r="V271" s="1">
        <v>0.94430000000000003</v>
      </c>
      <c r="W271" s="1">
        <v>0.91049999999999998</v>
      </c>
      <c r="X271" s="1">
        <v>0.90697000000000005</v>
      </c>
      <c r="Y271" s="1">
        <v>0.90983000000000003</v>
      </c>
      <c r="Z271" s="1">
        <v>0.93189999999999995</v>
      </c>
      <c r="AA271" s="1">
        <v>0.93452000000000002</v>
      </c>
      <c r="AB271" s="1">
        <v>0.93139000000000005</v>
      </c>
      <c r="AC271" s="1">
        <v>0.94430000000000003</v>
      </c>
      <c r="AD271" s="1">
        <v>0.91049999999999998</v>
      </c>
      <c r="AE271" s="1">
        <v>0.90697000000000005</v>
      </c>
      <c r="AF271" s="1">
        <v>0.90983000000000003</v>
      </c>
      <c r="AG271" s="1">
        <v>0.93189999999999995</v>
      </c>
      <c r="AH271" s="1">
        <v>0.93452000000000002</v>
      </c>
      <c r="AI271" s="1">
        <v>0.93139000000000005</v>
      </c>
      <c r="AJ271" s="1">
        <v>0.94430000000000003</v>
      </c>
      <c r="AL271" s="4"/>
      <c r="AM271" s="4" t="s">
        <v>13</v>
      </c>
      <c r="AN271" s="4" t="s">
        <v>14</v>
      </c>
      <c r="AO271" s="4" t="s">
        <v>15</v>
      </c>
      <c r="AP271" s="4" t="s">
        <v>16</v>
      </c>
      <c r="AQ271" s="4" t="s">
        <v>17</v>
      </c>
      <c r="AR271" s="4" t="s">
        <v>7</v>
      </c>
    </row>
    <row r="272" spans="1:44" ht="14.25" customHeight="1" x14ac:dyDescent="0.35">
      <c r="A272" s="1" t="s">
        <v>13</v>
      </c>
      <c r="B272" s="1" t="s">
        <v>13</v>
      </c>
      <c r="C272" s="1" t="s">
        <v>13</v>
      </c>
      <c r="D272" s="1" t="s">
        <v>15</v>
      </c>
      <c r="E272" s="1" t="s">
        <v>38</v>
      </c>
      <c r="F272" s="1">
        <v>0.95289999999999997</v>
      </c>
      <c r="G272" s="1">
        <v>0.97836000000000001</v>
      </c>
      <c r="H272" s="1">
        <v>0.98936000000000002</v>
      </c>
      <c r="I272" s="1">
        <v>0.96160999999999996</v>
      </c>
      <c r="J272" s="1">
        <v>0.93072999999999995</v>
      </c>
      <c r="K272" s="1">
        <v>0.93354000000000004</v>
      </c>
      <c r="L272" s="1">
        <v>0.95162999999999998</v>
      </c>
      <c r="M272" s="1">
        <v>0.95289999999999997</v>
      </c>
      <c r="N272" s="1">
        <v>0.97836000000000001</v>
      </c>
      <c r="O272" s="1">
        <v>0.98936000000000002</v>
      </c>
      <c r="P272" s="1">
        <v>0.96160999999999996</v>
      </c>
      <c r="Q272" s="1">
        <v>0.93072999999999995</v>
      </c>
      <c r="R272" s="1">
        <v>0.93354000000000004</v>
      </c>
      <c r="S272" s="1">
        <v>0.95162999999999998</v>
      </c>
      <c r="T272" s="1">
        <v>1.0052399999999999</v>
      </c>
      <c r="U272" s="1">
        <v>0.97836000000000001</v>
      </c>
      <c r="V272" s="1">
        <v>0.98936000000000002</v>
      </c>
      <c r="W272" s="1">
        <v>0.96160999999999996</v>
      </c>
      <c r="X272" s="1">
        <v>0.93072999999999995</v>
      </c>
      <c r="Y272" s="1">
        <v>0.93354000000000004</v>
      </c>
      <c r="Z272" s="1">
        <v>0.95162999999999998</v>
      </c>
      <c r="AA272" s="1">
        <v>0.95289999999999997</v>
      </c>
      <c r="AB272" s="1">
        <v>0.97836000000000001</v>
      </c>
      <c r="AC272" s="1">
        <v>0.98936000000000002</v>
      </c>
      <c r="AD272" s="1">
        <v>0.96160999999999996</v>
      </c>
      <c r="AE272" s="1">
        <v>0.93072999999999995</v>
      </c>
      <c r="AF272" s="1">
        <v>0.93354000000000004</v>
      </c>
      <c r="AG272" s="1">
        <v>0.95162999999999998</v>
      </c>
      <c r="AH272" s="1">
        <v>0.95289999999999997</v>
      </c>
      <c r="AI272" s="1">
        <v>0.97836000000000001</v>
      </c>
      <c r="AJ272" s="1">
        <v>0.98936000000000002</v>
      </c>
      <c r="AL272" s="4" t="s">
        <v>19</v>
      </c>
      <c r="AM272" s="6" cm="1">
        <f t="array" ref="AM272">IFERROR((SUMPRODUCT(($C$253:$C$276=AM$251)*($F$249:$AJ$249="")*$F$253:$AJ$276)+IF(AM$251="P3",SUMPRODUCT(($F$249:$AJ$249="P3")*$F$253:$AJ$276),0))/(SUMPRODUCT(($C$253:$C$276=AM$251)*($F$249:$AJ$249=""))+IF(AM$251="P3",COUNTIF($F$249:$AJ$249,"P3")*ROWS($C$253:$C$276),0)),"")</f>
        <v>0.92599708333333286</v>
      </c>
      <c r="AN272" s="6" cm="1">
        <f t="array" ref="AN272">IFERROR((SUMPRODUCT(($C$253:$C$276=AN$251)*($F$249:$AJ$249="")*$F$253:$AJ$276)+IF(AN$251="P3",SUMPRODUCT(($F$249:$AJ$249="P3")*$F$253:$AJ$276),0))/(SUMPRODUCT(($C$253:$C$276=AN$251)*($F$249:$AJ$249=""))+IF(AN$251="P3",COUNTIF($F$249:$AJ$249,"P3")*ROWS($C$253:$C$276),0)),"")</f>
        <v>0.9415027976190482</v>
      </c>
      <c r="AO272" s="6" cm="1">
        <f t="array" ref="AO272">IFERROR((SUMPRODUCT(($C$253:$C$276=AO$251)*($F$249:$AJ$249="")*$F$253:$AJ$276)+IF(AO$251="P3",SUMPRODUCT(($F$249:$AJ$249="P3")*$F$253:$AJ$276),0))/(SUMPRODUCT(($C$253:$C$276=AO$251)*($F$249:$AJ$249=""))+IF(AO$251="P3",COUNTIF($F$249:$AJ$249,"P3")*ROWS($C$253:$C$276),0)),"")</f>
        <v>0.94567757352941151</v>
      </c>
      <c r="AP272" s="6" t="str" cm="1">
        <f t="array" ref="AP272">IFERROR((SUMPRODUCT(($C$253:$C$276=AP$251)*($F$249:$AJ$249="")*$F$253:$AJ$276)+IF(AP$251="P3",SUMPRODUCT(($F$249:$AJ$249="P3")*$F$253:$AJ$276),0))/(SUMPRODUCT(($C$253:$C$276=AP$251)*($F$249:$AJ$249=""))+IF(AP$251="P3",COUNTIF($F$249:$AJ$249,"P3")*ROWS($C$253:$C$276),0)),"")</f>
        <v/>
      </c>
      <c r="AQ272" s="6" t="str" cm="1">
        <f t="array" ref="AQ272">IFERROR((SUMPRODUCT(($C$253:$C$276=AQ$251)*($F$249:$AJ$249="")*$F$253:$AJ$276)+IF(AQ$251="P3",SUMPRODUCT(($F$249:$AJ$249="P3")*$F$253:$AJ$276),0))/(SUMPRODUCT(($C$253:$C$276=AQ$251)*($F$249:$AJ$249=""))+IF(AQ$251="P3",COUNTIF($F$249:$AJ$249,"P3")*ROWS($C$253:$C$276),0)),"")</f>
        <v/>
      </c>
      <c r="AR272" s="6" t="str" cm="1">
        <f t="array" ref="AR272">IFERROR((SUMPRODUCT(($C$253:$C$276=AR$251)*($F$249:$AJ$249="")*$F$253:$AJ$276)+IF(AR$251="P3",SUMPRODUCT(($F$249:$AJ$249="P3")*$F$253:$AJ$276),0))/(SUMPRODUCT(($C$253:$C$276=AR$251)*($F$249:$AJ$249=""))+IF(AR$251="P3",COUNTIF($F$249:$AJ$249,"P3")*ROWS($C$253:$C$276),0)),"")</f>
        <v/>
      </c>
    </row>
    <row r="273" spans="1:44" ht="14.25" customHeight="1" x14ac:dyDescent="0.35">
      <c r="A273" s="1" t="s">
        <v>13</v>
      </c>
      <c r="B273" s="1" t="s">
        <v>13</v>
      </c>
      <c r="C273" s="1" t="s">
        <v>13</v>
      </c>
      <c r="D273" s="1" t="s">
        <v>15</v>
      </c>
      <c r="E273" s="1" t="s">
        <v>39</v>
      </c>
      <c r="F273" s="1">
        <v>0.97189999999999999</v>
      </c>
      <c r="G273" s="1">
        <v>1.01854</v>
      </c>
      <c r="H273" s="1">
        <v>1.0470900000000001</v>
      </c>
      <c r="I273" s="1">
        <v>0.99495</v>
      </c>
      <c r="J273" s="1">
        <v>0.95391000000000004</v>
      </c>
      <c r="K273" s="1">
        <v>0.94711999999999996</v>
      </c>
      <c r="L273" s="1">
        <v>0.96458999999999995</v>
      </c>
      <c r="M273" s="1">
        <v>0.97189999999999999</v>
      </c>
      <c r="N273" s="1">
        <v>1.01854</v>
      </c>
      <c r="O273" s="1">
        <v>1.0470900000000001</v>
      </c>
      <c r="P273" s="1">
        <v>0.99495</v>
      </c>
      <c r="Q273" s="1">
        <v>0.95391000000000004</v>
      </c>
      <c r="R273" s="1">
        <v>0.94711999999999996</v>
      </c>
      <c r="S273" s="1">
        <v>0.96458999999999995</v>
      </c>
      <c r="T273" s="1">
        <v>1.0447500000000001</v>
      </c>
      <c r="U273" s="1">
        <v>1.01854</v>
      </c>
      <c r="V273" s="1">
        <v>1.0470900000000001</v>
      </c>
      <c r="W273" s="1">
        <v>0.99495</v>
      </c>
      <c r="X273" s="1">
        <v>0.95391000000000004</v>
      </c>
      <c r="Y273" s="1">
        <v>0.94711999999999996</v>
      </c>
      <c r="Z273" s="1">
        <v>0.96458999999999995</v>
      </c>
      <c r="AA273" s="1">
        <v>0.97189999999999999</v>
      </c>
      <c r="AB273" s="1">
        <v>1.01854</v>
      </c>
      <c r="AC273" s="1">
        <v>1.0470900000000001</v>
      </c>
      <c r="AD273" s="1">
        <v>0.99495</v>
      </c>
      <c r="AE273" s="1">
        <v>0.95391000000000004</v>
      </c>
      <c r="AF273" s="1">
        <v>0.94711999999999996</v>
      </c>
      <c r="AG273" s="1">
        <v>0.96458999999999995</v>
      </c>
      <c r="AH273" s="1">
        <v>0.97189999999999999</v>
      </c>
      <c r="AI273" s="1">
        <v>1.01854</v>
      </c>
      <c r="AJ273" s="1">
        <v>1.0470900000000001</v>
      </c>
      <c r="AL273" s="4" t="s">
        <v>21</v>
      </c>
      <c r="AM273" s="6" cm="1">
        <f t="array" ref="AM273">IFERROR((SUMPRODUCT(($B$253:$B$276=AM$251)*($F$250:$AJ$250="")*$F$253:$AJ$276)+IF(AM$251="P6",SUMPRODUCT(($F$250:$AJ$250="P6")*$F$253:$AJ$276),0))/(SUMPRODUCT(($B$253:$B$276=AM$251)*($F$250:$AJ$250=""))+IF(AM$251="P6",COUNTIF($F$250:$AJ$250,"P6")*ROWS($B$253:$B$276),0)),"")</f>
        <v>0.92534476190476245</v>
      </c>
      <c r="AN273" s="6" cm="1">
        <f t="array" ref="AN273">IFERROR((SUMPRODUCT(($B$253:$B$276=AN$251)*($F$250:$AJ$250="")*$F$253:$AJ$276)+IF(AN$251="P6",SUMPRODUCT(($F$250:$AJ$250="P6")*$F$253:$AJ$276),0))/(SUMPRODUCT(($B$253:$B$276=AN$251)*($F$250:$AJ$250=""))+IF(AN$251="P6",COUNTIF($F$250:$AJ$250,"P6")*ROWS($B$253:$B$276),0)),"")</f>
        <v>0.94455659863945673</v>
      </c>
      <c r="AO273" s="6" t="str" cm="1">
        <f t="array" ref="AO273">IFERROR((SUMPRODUCT(($B$253:$B$276=AO$251)*($F$250:$AJ$250="")*$F$253:$AJ$276)+IF(AO$251="P6",SUMPRODUCT(($F$250:$AJ$250="P6")*$F$253:$AJ$276),0))/(SUMPRODUCT(($B$253:$B$276=AO$251)*($F$250:$AJ$250=""))+IF(AO$251="P6",COUNTIF($F$250:$AJ$250,"P6")*ROWS($B$253:$B$276),0)),"")</f>
        <v/>
      </c>
      <c r="AP273" s="6" t="str" cm="1">
        <f t="array" ref="AP273">IFERROR((SUMPRODUCT(($B$253:$B$276=AP$251)*($F$250:$AJ$250="")*$F$253:$AJ$276)+IF(AP$251="P6",SUMPRODUCT(($F$250:$AJ$250="P6")*$F$253:$AJ$276),0))/(SUMPRODUCT(($B$253:$B$276=AP$251)*($F$250:$AJ$250=""))+IF(AP$251="P6",COUNTIF($F$250:$AJ$250,"P6")*ROWS($B$253:$B$276),0)),"")</f>
        <v/>
      </c>
      <c r="AQ273" s="6" t="str" cm="1">
        <f t="array" ref="AQ273">IFERROR((SUMPRODUCT(($B$253:$B$276=AQ$251)*($F$250:$AJ$250="")*$F$253:$AJ$276)+IF(AQ$251="P6",SUMPRODUCT(($F$250:$AJ$250="P6")*$F$253:$AJ$276),0))/(SUMPRODUCT(($B$253:$B$276=AQ$251)*($F$250:$AJ$250=""))+IF(AQ$251="P6",COUNTIF($F$250:$AJ$250,"P6")*ROWS($B$253:$B$276),0)),"")</f>
        <v/>
      </c>
      <c r="AR273" s="6" cm="1">
        <f t="array" ref="AR273">IFERROR((SUMPRODUCT(($B$253:$B$276=AR$251)*($F$250:$AJ$250="")*$F$253:$AJ$276)+IF(AR$251="P6",SUMPRODUCT(($F$250:$AJ$250="P6")*$F$253:$AJ$276),0))/(SUMPRODUCT(($B$253:$B$276=AR$251)*($F$250:$AJ$250=""))+IF(AR$251="P6",COUNTIF($F$250:$AJ$250,"P6")*ROWS($B$253:$B$276),0)),"")</f>
        <v>0.94567757352941151</v>
      </c>
    </row>
    <row r="274" spans="1:44" ht="14.25" customHeight="1" x14ac:dyDescent="0.35">
      <c r="A274" s="1" t="s">
        <v>13</v>
      </c>
      <c r="B274" s="1" t="s">
        <v>13</v>
      </c>
      <c r="C274" s="1" t="s">
        <v>13</v>
      </c>
      <c r="D274" s="1" t="s">
        <v>15</v>
      </c>
      <c r="E274" s="1" t="s">
        <v>40</v>
      </c>
      <c r="F274" s="1">
        <v>0.97370000000000001</v>
      </c>
      <c r="G274" s="1">
        <v>1.0299499999999999</v>
      </c>
      <c r="H274" s="1">
        <v>1.06823</v>
      </c>
      <c r="I274" s="1">
        <v>1.0126200000000001</v>
      </c>
      <c r="J274" s="1">
        <v>0.94796999999999998</v>
      </c>
      <c r="K274" s="1">
        <v>0.94806999999999997</v>
      </c>
      <c r="L274" s="1">
        <v>0.96486000000000005</v>
      </c>
      <c r="M274" s="1">
        <v>0.97370000000000001</v>
      </c>
      <c r="N274" s="1">
        <v>1.0299499999999999</v>
      </c>
      <c r="O274" s="1">
        <v>1.06823</v>
      </c>
      <c r="P274" s="1">
        <v>1.0126200000000001</v>
      </c>
      <c r="Q274" s="1">
        <v>0.94796999999999998</v>
      </c>
      <c r="R274" s="1">
        <v>0.94806999999999997</v>
      </c>
      <c r="S274" s="1">
        <v>0.96486000000000005</v>
      </c>
      <c r="T274" s="1">
        <v>1.03322</v>
      </c>
      <c r="U274" s="1">
        <v>1.0299499999999999</v>
      </c>
      <c r="V274" s="1">
        <v>1.06823</v>
      </c>
      <c r="W274" s="1">
        <v>1.0126200000000001</v>
      </c>
      <c r="X274" s="1">
        <v>0.94796999999999998</v>
      </c>
      <c r="Y274" s="1">
        <v>0.94806999999999997</v>
      </c>
      <c r="Z274" s="1">
        <v>0.96486000000000005</v>
      </c>
      <c r="AA274" s="1">
        <v>0.97370000000000001</v>
      </c>
      <c r="AB274" s="1">
        <v>1.0299499999999999</v>
      </c>
      <c r="AC274" s="1">
        <v>1.06823</v>
      </c>
      <c r="AD274" s="1">
        <v>1.0126200000000001</v>
      </c>
      <c r="AE274" s="1">
        <v>0.94796999999999998</v>
      </c>
      <c r="AF274" s="1">
        <v>0.94806999999999997</v>
      </c>
      <c r="AG274" s="1">
        <v>0.96486000000000005</v>
      </c>
      <c r="AH274" s="1">
        <v>0.97370000000000001</v>
      </c>
      <c r="AI274" s="1">
        <v>1.0299499999999999</v>
      </c>
      <c r="AJ274" s="1">
        <v>1.06823</v>
      </c>
      <c r="AL274" s="4" t="s">
        <v>23</v>
      </c>
      <c r="AM274" s="6" cm="1">
        <f t="array" ref="AM274">IFERROR((SUMPRODUCT(($B$253:$B$276=AM$251)*($F$250:$AJ$250="")*$F$253:$AJ$276)+IF(AM$251="P6",SUMPRODUCT(($F$250:$AJ$250="P6")*$F$253:$AJ$276),0))/(SUMPRODUCT(($B$253:$B$276=AM$251)*($F$250:$AJ$250=""))+IF(AM$251="P6",COUNTIF($F$250:$AJ$250,"P6")*ROWS($B$253:$B$276),0)),"")</f>
        <v>0.92534476190476245</v>
      </c>
      <c r="AN274" s="6" cm="1">
        <f t="array" ref="AN274">IFERROR((SUMPRODUCT(($B$253:$B$276=AN$251)*($F$250:$AJ$250="")*$F$253:$AJ$276)+IF(AN$251="P6",SUMPRODUCT(($F$250:$AJ$250="P6")*$F$253:$AJ$276),0))/(SUMPRODUCT(($B$253:$B$276=AN$251)*($F$250:$AJ$250=""))+IF(AN$251="P6",COUNTIF($F$250:$AJ$250,"P6")*ROWS($B$253:$B$276),0)),"")</f>
        <v>0.94455659863945673</v>
      </c>
      <c r="AO274" s="6" t="str" cm="1">
        <f t="array" ref="AO274">IFERROR((SUMPRODUCT(($B$253:$B$276=AO$251)*($F$250:$AJ$250="")*$F$253:$AJ$276)+IF(AO$251="P6",SUMPRODUCT(($F$250:$AJ$250="P6")*$F$253:$AJ$276),0))/(SUMPRODUCT(($B$253:$B$276=AO$251)*($F$250:$AJ$250=""))+IF(AO$251="P6",COUNTIF($F$250:$AJ$250,"P6")*ROWS($B$253:$B$276),0)),"")</f>
        <v/>
      </c>
      <c r="AP274" s="6" t="str" cm="1">
        <f t="array" ref="AP274">IFERROR((SUMPRODUCT(($B$253:$B$276=AP$251)*($F$250:$AJ$250="")*$F$253:$AJ$276)+IF(AP$251="P6",SUMPRODUCT(($F$250:$AJ$250="P6")*$F$253:$AJ$276),0))/(SUMPRODUCT(($B$253:$B$276=AP$251)*($F$250:$AJ$250=""))+IF(AP$251="P6",COUNTIF($F$250:$AJ$250,"P6")*ROWS($B$253:$B$276),0)),"")</f>
        <v/>
      </c>
      <c r="AQ274" s="6" t="str" cm="1">
        <f t="array" ref="AQ274">IFERROR((SUMPRODUCT(($B$253:$B$276=AQ$251)*($F$250:$AJ$250="")*$F$253:$AJ$276)+IF(AQ$251="P6",SUMPRODUCT(($F$250:$AJ$250="P6")*$F$253:$AJ$276),0))/(SUMPRODUCT(($B$253:$B$276=AQ$251)*($F$250:$AJ$250=""))+IF(AQ$251="P6",COUNTIF($F$250:$AJ$250,"P6")*ROWS($B$253:$B$276),0)),"")</f>
        <v/>
      </c>
      <c r="AR274" s="6" cm="1">
        <f t="array" ref="AR274">IFERROR((SUMPRODUCT(($B$253:$B$276=AR$251)*($F$250:$AJ$250="")*$F$253:$AJ$276)+IF(AR$251="P6",SUMPRODUCT(($F$250:$AJ$250="P6")*$F$253:$AJ$276),0))/(SUMPRODUCT(($B$253:$B$276=AR$251)*($F$250:$AJ$250=""))+IF(AR$251="P6",COUNTIF($F$250:$AJ$250,"P6")*ROWS($B$253:$B$276),0)),"")</f>
        <v>0.94567757352941151</v>
      </c>
    </row>
    <row r="275" spans="1:44" ht="14.25" customHeight="1" x14ac:dyDescent="0.35">
      <c r="A275" s="1" t="s">
        <v>15</v>
      </c>
      <c r="B275" s="1" t="s">
        <v>14</v>
      </c>
      <c r="C275" s="1" t="s">
        <v>14</v>
      </c>
      <c r="D275" s="1" t="s">
        <v>16</v>
      </c>
      <c r="E275" s="1" t="s">
        <v>41</v>
      </c>
      <c r="F275" s="1">
        <v>1.02478</v>
      </c>
      <c r="G275" s="1">
        <v>1.0855399999999999</v>
      </c>
      <c r="H275" s="1">
        <v>1.06924</v>
      </c>
      <c r="I275" s="1">
        <v>1.0131399999999999</v>
      </c>
      <c r="J275" s="1">
        <v>1.00275</v>
      </c>
      <c r="K275" s="1">
        <v>0.99904000000000004</v>
      </c>
      <c r="L275" s="1">
        <v>1.0183199999999999</v>
      </c>
      <c r="M275" s="1">
        <v>1.02478</v>
      </c>
      <c r="N275" s="1">
        <v>1.0855399999999999</v>
      </c>
      <c r="O275" s="1">
        <v>1.06924</v>
      </c>
      <c r="P275" s="1">
        <v>1.0131399999999999</v>
      </c>
      <c r="Q275" s="1">
        <v>1.00275</v>
      </c>
      <c r="R275" s="1">
        <v>0.99904000000000004</v>
      </c>
      <c r="S275" s="1">
        <v>1.0183199999999999</v>
      </c>
      <c r="T275" s="1">
        <v>1.0296000000000001</v>
      </c>
      <c r="U275" s="1">
        <v>1.0855399999999999</v>
      </c>
      <c r="V275" s="1">
        <v>1.06924</v>
      </c>
      <c r="W275" s="1">
        <v>1.0131399999999999</v>
      </c>
      <c r="X275" s="1">
        <v>1.00275</v>
      </c>
      <c r="Y275" s="1">
        <v>0.99904000000000004</v>
      </c>
      <c r="Z275" s="1">
        <v>1.0183199999999999</v>
      </c>
      <c r="AA275" s="1">
        <v>1.02478</v>
      </c>
      <c r="AB275" s="1">
        <v>1.0855399999999999</v>
      </c>
      <c r="AC275" s="1">
        <v>1.06924</v>
      </c>
      <c r="AD275" s="1">
        <v>1.0131399999999999</v>
      </c>
      <c r="AE275" s="1">
        <v>1.00275</v>
      </c>
      <c r="AF275" s="1">
        <v>0.99904000000000004</v>
      </c>
      <c r="AG275" s="1">
        <v>1.0183199999999999</v>
      </c>
      <c r="AH275" s="1">
        <v>1.02478</v>
      </c>
      <c r="AI275" s="1">
        <v>1.0855399999999999</v>
      </c>
      <c r="AJ275" s="1">
        <v>1.06924</v>
      </c>
      <c r="AL275" s="4" t="s">
        <v>25</v>
      </c>
      <c r="AM275" s="6" cm="1">
        <f t="array" ref="AM275">IFERROR((SUMPRODUCT(($B$253:$B$276=AM$251)*($F$250:$AJ$250="")*$F$253:$AJ$276)+IF(AM$251="P6",SUMPRODUCT(($F$250:$AJ$250="P6")*$F$253:$AJ$276),0))/(SUMPRODUCT(($B$253:$B$276=AM$251)*($F$250:$AJ$250=""))+IF(AM$251="P6",COUNTIF($F$250:$AJ$250,"P6")*ROWS($B$253:$B$276),0)),"")</f>
        <v>0.92534476190476245</v>
      </c>
      <c r="AN275" s="6" cm="1">
        <f t="array" ref="AN275">IFERROR((SUMPRODUCT(($B$253:$B$276=AN$251)*($F$250:$AJ$250="")*$F$253:$AJ$276)+IF(AN$251="P6",SUMPRODUCT(($F$250:$AJ$250="P6")*$F$253:$AJ$276),0))/(SUMPRODUCT(($B$253:$B$276=AN$251)*($F$250:$AJ$250=""))+IF(AN$251="P6",COUNTIF($F$250:$AJ$250,"P6")*ROWS($B$253:$B$276),0)),"")</f>
        <v>0.94455659863945673</v>
      </c>
      <c r="AO275" s="6" t="str" cm="1">
        <f t="array" ref="AO275">IFERROR((SUMPRODUCT(($B$253:$B$276=AO$251)*($F$250:$AJ$250="")*$F$253:$AJ$276)+IF(AO$251="P6",SUMPRODUCT(($F$250:$AJ$250="P6")*$F$253:$AJ$276),0))/(SUMPRODUCT(($B$253:$B$276=AO$251)*($F$250:$AJ$250=""))+IF(AO$251="P6",COUNTIF($F$250:$AJ$250,"P6")*ROWS($B$253:$B$276),0)),"")</f>
        <v/>
      </c>
      <c r="AP275" s="6" t="str" cm="1">
        <f t="array" ref="AP275">IFERROR((SUMPRODUCT(($B$253:$B$276=AP$251)*($F$250:$AJ$250="")*$F$253:$AJ$276)+IF(AP$251="P6",SUMPRODUCT(($F$250:$AJ$250="P6")*$F$253:$AJ$276),0))/(SUMPRODUCT(($B$253:$B$276=AP$251)*($F$250:$AJ$250=""))+IF(AP$251="P6",COUNTIF($F$250:$AJ$250,"P6")*ROWS($B$253:$B$276),0)),"")</f>
        <v/>
      </c>
      <c r="AQ275" s="6" t="str" cm="1">
        <f t="array" ref="AQ275">IFERROR((SUMPRODUCT(($B$253:$B$276=AQ$251)*($F$250:$AJ$250="")*$F$253:$AJ$276)+IF(AQ$251="P6",SUMPRODUCT(($F$250:$AJ$250="P6")*$F$253:$AJ$276),0))/(SUMPRODUCT(($B$253:$B$276=AQ$251)*($F$250:$AJ$250=""))+IF(AQ$251="P6",COUNTIF($F$250:$AJ$250,"P6")*ROWS($B$253:$B$276),0)),"")</f>
        <v/>
      </c>
      <c r="AR275" s="6" cm="1">
        <f t="array" ref="AR275">IFERROR((SUMPRODUCT(($B$253:$B$276=AR$251)*($F$250:$AJ$250="")*$F$253:$AJ$276)+IF(AR$251="P6",SUMPRODUCT(($F$250:$AJ$250="P6")*$F$253:$AJ$276),0))/(SUMPRODUCT(($B$253:$B$276=AR$251)*($F$250:$AJ$250=""))+IF(AR$251="P6",COUNTIF($F$250:$AJ$250,"P6")*ROWS($B$253:$B$276),0)),"")</f>
        <v>0.94567757352941151</v>
      </c>
    </row>
    <row r="276" spans="1:44" ht="14.25" customHeight="1" x14ac:dyDescent="0.35">
      <c r="A276" s="1" t="s">
        <v>15</v>
      </c>
      <c r="B276" s="1" t="s">
        <v>14</v>
      </c>
      <c r="C276" s="1" t="s">
        <v>14</v>
      </c>
      <c r="D276" s="1" t="s">
        <v>16</v>
      </c>
      <c r="E276" s="1" t="s">
        <v>42</v>
      </c>
      <c r="F276" s="1">
        <v>1.0018</v>
      </c>
      <c r="G276" s="1">
        <v>1.0743799999999999</v>
      </c>
      <c r="H276" s="1">
        <v>1.06328</v>
      </c>
      <c r="I276" s="1">
        <v>1.0163199999999999</v>
      </c>
      <c r="J276" s="1">
        <v>1.0038</v>
      </c>
      <c r="K276" s="1">
        <v>0.98453000000000002</v>
      </c>
      <c r="L276" s="1">
        <v>1.0044900000000001</v>
      </c>
      <c r="M276" s="1">
        <v>1.0018</v>
      </c>
      <c r="N276" s="1">
        <v>1.0743799999999999</v>
      </c>
      <c r="O276" s="1">
        <v>1.06328</v>
      </c>
      <c r="P276" s="1">
        <v>1.0163199999999999</v>
      </c>
      <c r="Q276" s="1">
        <v>1.0038</v>
      </c>
      <c r="R276" s="1">
        <v>0.98453000000000002</v>
      </c>
      <c r="S276" s="1">
        <v>1.0044900000000001</v>
      </c>
      <c r="T276" s="1">
        <v>1.02505</v>
      </c>
      <c r="U276" s="1">
        <v>1.0743799999999999</v>
      </c>
      <c r="V276" s="1">
        <v>1.06328</v>
      </c>
      <c r="W276" s="1">
        <v>1.0163199999999999</v>
      </c>
      <c r="X276" s="1">
        <v>1.0038</v>
      </c>
      <c r="Y276" s="1">
        <v>0.98453000000000002</v>
      </c>
      <c r="Z276" s="1">
        <v>1.0044900000000001</v>
      </c>
      <c r="AA276" s="1">
        <v>1.0018</v>
      </c>
      <c r="AB276" s="1">
        <v>1.0743799999999999</v>
      </c>
      <c r="AC276" s="1">
        <v>1.06328</v>
      </c>
      <c r="AD276" s="1">
        <v>1.0163199999999999</v>
      </c>
      <c r="AE276" s="1">
        <v>1.0038</v>
      </c>
      <c r="AF276" s="1">
        <v>0.98453000000000002</v>
      </c>
      <c r="AG276" s="1">
        <v>1.0044900000000001</v>
      </c>
      <c r="AH276" s="1">
        <v>1.0018</v>
      </c>
      <c r="AI276" s="1">
        <v>1.0743799999999999</v>
      </c>
      <c r="AJ276" s="1">
        <v>1.06328</v>
      </c>
      <c r="AL276" s="4" t="s">
        <v>27</v>
      </c>
      <c r="AM276" s="6" cm="1">
        <f t="array" ref="AM276">IFERROR((SUMPRODUCT(($B$253:$B$276=AM$251)*($F$250:$AJ$250="")*$F$253:$AJ$276)+IF(AM$251="P6",SUMPRODUCT(($F$250:$AJ$250="P6")*$F$253:$AJ$276),0))/(SUMPRODUCT(($B$253:$B$276=AM$251)*($F$250:$AJ$250=""))+IF(AM$251="P6",COUNTIF($F$250:$AJ$250,"P6")*ROWS($B$253:$B$276),0)),"")</f>
        <v>0.92534476190476245</v>
      </c>
      <c r="AN276" s="6" cm="1">
        <f t="array" ref="AN276">IFERROR((SUMPRODUCT(($B$253:$B$276=AN$251)*($F$250:$AJ$250="")*$F$253:$AJ$276)+IF(AN$251="P6",SUMPRODUCT(($F$250:$AJ$250="P6")*$F$253:$AJ$276),0))/(SUMPRODUCT(($B$253:$B$276=AN$251)*($F$250:$AJ$250=""))+IF(AN$251="P6",COUNTIF($F$250:$AJ$250,"P6")*ROWS($B$253:$B$276),0)),"")</f>
        <v>0.94455659863945673</v>
      </c>
      <c r="AO276" s="6" t="str" cm="1">
        <f t="array" ref="AO276">IFERROR((SUMPRODUCT(($B$253:$B$276=AO$251)*($F$250:$AJ$250="")*$F$253:$AJ$276)+IF(AO$251="P6",SUMPRODUCT(($F$250:$AJ$250="P6")*$F$253:$AJ$276),0))/(SUMPRODUCT(($B$253:$B$276=AO$251)*($F$250:$AJ$250=""))+IF(AO$251="P6",COUNTIF($F$250:$AJ$250,"P6")*ROWS($B$253:$B$276),0)),"")</f>
        <v/>
      </c>
      <c r="AP276" s="6" t="str" cm="1">
        <f t="array" ref="AP276">IFERROR((SUMPRODUCT(($B$253:$B$276=AP$251)*($F$250:$AJ$250="")*$F$253:$AJ$276)+IF(AP$251="P6",SUMPRODUCT(($F$250:$AJ$250="P6")*$F$253:$AJ$276),0))/(SUMPRODUCT(($B$253:$B$276=AP$251)*($F$250:$AJ$250=""))+IF(AP$251="P6",COUNTIF($F$250:$AJ$250,"P6")*ROWS($B$253:$B$276),0)),"")</f>
        <v/>
      </c>
      <c r="AQ276" s="6" t="str" cm="1">
        <f t="array" ref="AQ276">IFERROR((SUMPRODUCT(($B$253:$B$276=AQ$251)*($F$250:$AJ$250="")*$F$253:$AJ$276)+IF(AQ$251="P6",SUMPRODUCT(($F$250:$AJ$250="P6")*$F$253:$AJ$276),0))/(SUMPRODUCT(($B$253:$B$276=AQ$251)*($F$250:$AJ$250=""))+IF(AQ$251="P6",COUNTIF($F$250:$AJ$250,"P6")*ROWS($B$253:$B$276),0)),"")</f>
        <v/>
      </c>
      <c r="AR276" s="6" cm="1">
        <f t="array" ref="AR276">IFERROR((SUMPRODUCT(($B$253:$B$276=AR$251)*($F$250:$AJ$250="")*$F$253:$AJ$276)+IF(AR$251="P6",SUMPRODUCT(($F$250:$AJ$250="P6")*$F$253:$AJ$276),0))/(SUMPRODUCT(($B$253:$B$276=AR$251)*($F$250:$AJ$250=""))+IF(AR$251="P6",COUNTIF($F$250:$AJ$250,"P6")*ROWS($B$253:$B$276),0)),"")</f>
        <v>0.94567757352941151</v>
      </c>
    </row>
    <row r="277" spans="1:44" ht="14.25" customHeight="1" x14ac:dyDescent="0.35">
      <c r="AL277" s="4" t="s">
        <v>29</v>
      </c>
      <c r="AM277" s="6" cm="1">
        <f t="array" ref="AM277">IFERROR((SUMPRODUCT(($B$253:$B$276=AM$251)*($F$250:$AJ$250="")*$F$253:$AJ$276)+IF(AM$251="P6",SUMPRODUCT(($F$250:$AJ$250="P6")*$F$253:$AJ$276),0))/(SUMPRODUCT(($B$253:$B$276=AM$251)*($F$250:$AJ$250=""))+IF(AM$251="P6",COUNTIF($F$250:$AJ$250,"P6")*ROWS($B$253:$B$276),0)),"")</f>
        <v>0.92534476190476245</v>
      </c>
      <c r="AN277" s="6" cm="1">
        <f t="array" ref="AN277">IFERROR((SUMPRODUCT(($B$253:$B$276=AN$251)*($F$250:$AJ$250="")*$F$253:$AJ$276)+IF(AN$251="P6",SUMPRODUCT(($F$250:$AJ$250="P6")*$F$253:$AJ$276),0))/(SUMPRODUCT(($B$253:$B$276=AN$251)*($F$250:$AJ$250=""))+IF(AN$251="P6",COUNTIF($F$250:$AJ$250,"P6")*ROWS($B$253:$B$276),0)),"")</f>
        <v>0.94455659863945673</v>
      </c>
      <c r="AO277" s="6" t="str" cm="1">
        <f t="array" ref="AO277">IFERROR((SUMPRODUCT(($B$253:$B$276=AO$251)*($F$250:$AJ$250="")*$F$253:$AJ$276)+IF(AO$251="P6",SUMPRODUCT(($F$250:$AJ$250="P6")*$F$253:$AJ$276),0))/(SUMPRODUCT(($B$253:$B$276=AO$251)*($F$250:$AJ$250=""))+IF(AO$251="P6",COUNTIF($F$250:$AJ$250,"P6")*ROWS($B$253:$B$276),0)),"")</f>
        <v/>
      </c>
      <c r="AP277" s="6" t="str" cm="1">
        <f t="array" ref="AP277">IFERROR((SUMPRODUCT(($B$253:$B$276=AP$251)*($F$250:$AJ$250="")*$F$253:$AJ$276)+IF(AP$251="P6",SUMPRODUCT(($F$250:$AJ$250="P6")*$F$253:$AJ$276),0))/(SUMPRODUCT(($B$253:$B$276=AP$251)*($F$250:$AJ$250=""))+IF(AP$251="P6",COUNTIF($F$250:$AJ$250,"P6")*ROWS($B$253:$B$276),0)),"")</f>
        <v/>
      </c>
      <c r="AQ277" s="6" t="str" cm="1">
        <f t="array" ref="AQ277">IFERROR((SUMPRODUCT(($B$253:$B$276=AQ$251)*($F$250:$AJ$250="")*$F$253:$AJ$276)+IF(AQ$251="P6",SUMPRODUCT(($F$250:$AJ$250="P6")*$F$253:$AJ$276),0))/(SUMPRODUCT(($B$253:$B$276=AQ$251)*($F$250:$AJ$250=""))+IF(AQ$251="P6",COUNTIF($F$250:$AJ$250,"P6")*ROWS($B$253:$B$276),0)),"")</f>
        <v/>
      </c>
      <c r="AR277" s="6" cm="1">
        <f t="array" ref="AR277">IFERROR((SUMPRODUCT(($B$253:$B$276=AR$251)*($F$250:$AJ$250="")*$F$253:$AJ$276)+IF(AR$251="P6",SUMPRODUCT(($F$250:$AJ$250="P6")*$F$253:$AJ$276),0))/(SUMPRODUCT(($B$253:$B$276=AR$251)*($F$250:$AJ$250=""))+IF(AR$251="P6",COUNTIF($F$250:$AJ$250,"P6")*ROWS($B$253:$B$276),0)),"")</f>
        <v>0.94567757352941151</v>
      </c>
    </row>
    <row r="280" spans="1:44" ht="14" customHeight="1" x14ac:dyDescent="0.35"/>
    <row r="281" spans="1:44" ht="14.25" customHeight="1" x14ac:dyDescent="0.35">
      <c r="A281" s="15" t="s">
        <v>185</v>
      </c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</row>
    <row r="282" spans="1:44" ht="14.25" customHeight="1" x14ac:dyDescent="0.3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</row>
    <row r="283" spans="1:44" ht="14.25" customHeight="1" x14ac:dyDescent="0.35">
      <c r="AL283" s="10"/>
      <c r="AM283" s="10"/>
      <c r="AN283" s="10"/>
      <c r="AO283" s="10"/>
      <c r="AP283" s="10"/>
      <c r="AQ283" s="10"/>
      <c r="AR283" s="10"/>
    </row>
    <row r="284" spans="1:44" ht="14.25" customHeight="1" x14ac:dyDescent="0.35">
      <c r="F284" s="1" t="str">
        <f>IF(OR(F286="S",F286="D"),"P3","")</f>
        <v>P3</v>
      </c>
      <c r="G284" s="1" t="str">
        <f t="shared" ref="G284:AI284" si="30">IF(OR(G286="S",G286="D"),"P3","")</f>
        <v/>
      </c>
      <c r="H284" s="1" t="str">
        <f t="shared" si="30"/>
        <v/>
      </c>
      <c r="I284" s="1" t="str">
        <f t="shared" si="30"/>
        <v/>
      </c>
      <c r="J284" s="1" t="str">
        <f t="shared" si="30"/>
        <v/>
      </c>
      <c r="K284" s="1" t="str">
        <f t="shared" si="30"/>
        <v/>
      </c>
      <c r="L284" s="1" t="str">
        <f t="shared" si="30"/>
        <v>P3</v>
      </c>
      <c r="M284" s="1" t="str">
        <f t="shared" si="30"/>
        <v>P3</v>
      </c>
      <c r="N284" s="1" t="str">
        <f t="shared" si="30"/>
        <v/>
      </c>
      <c r="O284" s="1" t="str">
        <f t="shared" si="30"/>
        <v/>
      </c>
      <c r="P284" s="1" t="str">
        <f t="shared" si="30"/>
        <v/>
      </c>
      <c r="Q284" s="1" t="str">
        <f t="shared" si="30"/>
        <v/>
      </c>
      <c r="R284" s="1" t="str">
        <f t="shared" si="30"/>
        <v/>
      </c>
      <c r="S284" s="1" t="str">
        <f t="shared" si="30"/>
        <v>P3</v>
      </c>
      <c r="T284" s="1" t="str">
        <f t="shared" si="30"/>
        <v>P3</v>
      </c>
      <c r="U284" s="1" t="str">
        <f t="shared" si="30"/>
        <v/>
      </c>
      <c r="V284" s="1" t="str">
        <f t="shared" si="30"/>
        <v/>
      </c>
      <c r="W284" s="1" t="str">
        <f t="shared" si="30"/>
        <v/>
      </c>
      <c r="X284" s="1" t="str">
        <f t="shared" si="30"/>
        <v/>
      </c>
      <c r="Y284" s="1" t="str">
        <f t="shared" si="30"/>
        <v/>
      </c>
      <c r="Z284" s="1" t="str">
        <f t="shared" si="30"/>
        <v>P3</v>
      </c>
      <c r="AA284" s="1" t="str">
        <f t="shared" si="30"/>
        <v>P3</v>
      </c>
      <c r="AB284" s="1" t="str">
        <f t="shared" si="30"/>
        <v/>
      </c>
      <c r="AC284" s="1" t="str">
        <f t="shared" si="30"/>
        <v/>
      </c>
      <c r="AD284" s="1" t="str">
        <f t="shared" si="30"/>
        <v/>
      </c>
      <c r="AE284" s="1" t="str">
        <f t="shared" si="30"/>
        <v/>
      </c>
      <c r="AF284" s="1" t="str">
        <f t="shared" si="30"/>
        <v/>
      </c>
      <c r="AG284" s="1" t="str">
        <f t="shared" si="30"/>
        <v>P3</v>
      </c>
      <c r="AH284" s="1" t="str">
        <f t="shared" si="30"/>
        <v>P3</v>
      </c>
      <c r="AI284" s="1" t="str">
        <f t="shared" si="30"/>
        <v/>
      </c>
      <c r="AL284" s="10"/>
      <c r="AM284" s="10"/>
      <c r="AN284" s="10"/>
      <c r="AO284" s="10"/>
      <c r="AP284" s="10"/>
      <c r="AQ284" s="10"/>
      <c r="AR284" s="10"/>
    </row>
    <row r="285" spans="1:44" ht="14.25" customHeight="1" x14ac:dyDescent="0.35">
      <c r="F285" s="1" t="str">
        <f>IF(OR(F286="S",F286="D"),"P6","")</f>
        <v>P6</v>
      </c>
      <c r="G285" s="1" t="str">
        <f t="shared" ref="G285:AI285" si="31">IF(OR(G286="S",G286="D"),"P6","")</f>
        <v/>
      </c>
      <c r="H285" s="1" t="str">
        <f t="shared" si="31"/>
        <v/>
      </c>
      <c r="I285" s="1" t="str">
        <f t="shared" si="31"/>
        <v/>
      </c>
      <c r="J285" s="1" t="str">
        <f t="shared" si="31"/>
        <v/>
      </c>
      <c r="K285" s="1" t="str">
        <f t="shared" si="31"/>
        <v/>
      </c>
      <c r="L285" s="1" t="str">
        <f t="shared" si="31"/>
        <v>P6</v>
      </c>
      <c r="M285" s="1" t="str">
        <f t="shared" si="31"/>
        <v>P6</v>
      </c>
      <c r="N285" s="1" t="str">
        <f t="shared" si="31"/>
        <v/>
      </c>
      <c r="O285" s="1" t="str">
        <f t="shared" si="31"/>
        <v/>
      </c>
      <c r="P285" s="1" t="str">
        <f t="shared" si="31"/>
        <v/>
      </c>
      <c r="Q285" s="1" t="str">
        <f t="shared" si="31"/>
        <v/>
      </c>
      <c r="R285" s="1" t="str">
        <f t="shared" si="31"/>
        <v/>
      </c>
      <c r="S285" s="1" t="str">
        <f t="shared" si="31"/>
        <v>P6</v>
      </c>
      <c r="T285" s="1" t="str">
        <f t="shared" si="31"/>
        <v>P6</v>
      </c>
      <c r="U285" s="1" t="str">
        <f t="shared" si="31"/>
        <v/>
      </c>
      <c r="V285" s="1" t="str">
        <f t="shared" si="31"/>
        <v/>
      </c>
      <c r="W285" s="1" t="str">
        <f t="shared" si="31"/>
        <v/>
      </c>
      <c r="X285" s="1" t="str">
        <f t="shared" si="31"/>
        <v/>
      </c>
      <c r="Y285" s="1" t="str">
        <f t="shared" si="31"/>
        <v/>
      </c>
      <c r="Z285" s="1" t="str">
        <f t="shared" si="31"/>
        <v>P6</v>
      </c>
      <c r="AA285" s="1" t="str">
        <f t="shared" si="31"/>
        <v>P6</v>
      </c>
      <c r="AB285" s="1" t="str">
        <f t="shared" si="31"/>
        <v/>
      </c>
      <c r="AC285" s="1" t="str">
        <f t="shared" si="31"/>
        <v/>
      </c>
      <c r="AD285" s="1" t="str">
        <f t="shared" si="31"/>
        <v/>
      </c>
      <c r="AE285" s="1" t="str">
        <f t="shared" si="31"/>
        <v/>
      </c>
      <c r="AF285" s="1" t="str">
        <f t="shared" si="31"/>
        <v/>
      </c>
      <c r="AG285" s="1" t="str">
        <f t="shared" si="31"/>
        <v>P6</v>
      </c>
      <c r="AH285" s="1" t="str">
        <f t="shared" si="31"/>
        <v>P6</v>
      </c>
      <c r="AI285" s="1" t="str">
        <f t="shared" si="31"/>
        <v/>
      </c>
      <c r="AL285" s="14" t="s">
        <v>186</v>
      </c>
      <c r="AM285" s="14"/>
      <c r="AN285" s="14"/>
      <c r="AO285" s="14"/>
      <c r="AP285" s="14"/>
      <c r="AQ285" s="14"/>
      <c r="AR285" s="14"/>
    </row>
    <row r="286" spans="1:44" ht="14.25" customHeight="1" x14ac:dyDescent="0.35">
      <c r="F286" s="1" t="str">
        <f>CHOOSE(WEEKDAY(F287,2),"L","M","X","J","V","S","D")</f>
        <v>D</v>
      </c>
      <c r="G286" s="1" t="str">
        <f t="shared" ref="G286:AI286" si="32">CHOOSE(WEEKDAY(G287,2),"L","M","X","J","V","S","D")</f>
        <v>L</v>
      </c>
      <c r="H286" s="1" t="str">
        <f t="shared" si="32"/>
        <v>M</v>
      </c>
      <c r="I286" s="1" t="str">
        <f t="shared" si="32"/>
        <v>X</v>
      </c>
      <c r="J286" s="1" t="str">
        <f t="shared" si="32"/>
        <v>J</v>
      </c>
      <c r="K286" s="1" t="str">
        <f t="shared" si="32"/>
        <v>V</v>
      </c>
      <c r="L286" s="1" t="str">
        <f t="shared" si="32"/>
        <v>S</v>
      </c>
      <c r="M286" s="1" t="str">
        <f t="shared" si="32"/>
        <v>D</v>
      </c>
      <c r="N286" s="1" t="str">
        <f t="shared" si="32"/>
        <v>L</v>
      </c>
      <c r="O286" s="1" t="str">
        <f t="shared" si="32"/>
        <v>M</v>
      </c>
      <c r="P286" s="1" t="str">
        <f t="shared" si="32"/>
        <v>X</v>
      </c>
      <c r="Q286" s="1" t="str">
        <f t="shared" si="32"/>
        <v>J</v>
      </c>
      <c r="R286" s="1" t="str">
        <f t="shared" si="32"/>
        <v>V</v>
      </c>
      <c r="S286" s="1" t="str">
        <f t="shared" si="32"/>
        <v>S</v>
      </c>
      <c r="T286" s="1" t="str">
        <f t="shared" si="32"/>
        <v>D</v>
      </c>
      <c r="U286" s="1" t="str">
        <f t="shared" si="32"/>
        <v>L</v>
      </c>
      <c r="V286" s="1" t="str">
        <f t="shared" si="32"/>
        <v>M</v>
      </c>
      <c r="W286" s="1" t="str">
        <f t="shared" si="32"/>
        <v>X</v>
      </c>
      <c r="X286" s="1" t="str">
        <f t="shared" si="32"/>
        <v>J</v>
      </c>
      <c r="Y286" s="1" t="str">
        <f t="shared" si="32"/>
        <v>V</v>
      </c>
      <c r="Z286" s="1" t="str">
        <f t="shared" si="32"/>
        <v>S</v>
      </c>
      <c r="AA286" s="1" t="str">
        <f t="shared" si="32"/>
        <v>D</v>
      </c>
      <c r="AB286" s="1" t="str">
        <f t="shared" si="32"/>
        <v>L</v>
      </c>
      <c r="AC286" s="1" t="str">
        <f t="shared" si="32"/>
        <v>M</v>
      </c>
      <c r="AD286" s="1" t="str">
        <f t="shared" si="32"/>
        <v>X</v>
      </c>
      <c r="AE286" s="1" t="str">
        <f t="shared" si="32"/>
        <v>J</v>
      </c>
      <c r="AF286" s="1" t="str">
        <f t="shared" si="32"/>
        <v>V</v>
      </c>
      <c r="AG286" s="1" t="str">
        <f t="shared" si="32"/>
        <v>S</v>
      </c>
      <c r="AH286" s="1" t="str">
        <f t="shared" si="32"/>
        <v>D</v>
      </c>
      <c r="AI286" s="1" t="str">
        <f t="shared" si="32"/>
        <v>L</v>
      </c>
      <c r="AL286" s="4"/>
      <c r="AM286" s="4" t="s">
        <v>13</v>
      </c>
      <c r="AN286" s="4" t="s">
        <v>14</v>
      </c>
      <c r="AO286" s="4" t="s">
        <v>15</v>
      </c>
      <c r="AP286" s="4" t="s">
        <v>16</v>
      </c>
      <c r="AQ286" s="4" t="s">
        <v>17</v>
      </c>
      <c r="AR286" s="4" t="s">
        <v>7</v>
      </c>
    </row>
    <row r="287" spans="1:44" ht="14.25" customHeight="1" x14ac:dyDescent="0.35">
      <c r="A287" s="3" t="s">
        <v>76</v>
      </c>
      <c r="B287" s="3" t="s">
        <v>77</v>
      </c>
      <c r="C287" s="3" t="s">
        <v>75</v>
      </c>
      <c r="D287" s="3" t="s">
        <v>74</v>
      </c>
      <c r="F287" s="8">
        <v>45536</v>
      </c>
      <c r="G287" s="8">
        <v>45537</v>
      </c>
      <c r="H287" s="8">
        <v>45538</v>
      </c>
      <c r="I287" s="8">
        <v>45539</v>
      </c>
      <c r="J287" s="8">
        <v>45540</v>
      </c>
      <c r="K287" s="8">
        <v>45541</v>
      </c>
      <c r="L287" s="8">
        <v>45542</v>
      </c>
      <c r="M287" s="8">
        <v>45543</v>
      </c>
      <c r="N287" s="8">
        <v>45544</v>
      </c>
      <c r="O287" s="8">
        <v>45545</v>
      </c>
      <c r="P287" s="8">
        <v>45546</v>
      </c>
      <c r="Q287" s="8">
        <v>45547</v>
      </c>
      <c r="R287" s="8">
        <v>45548</v>
      </c>
      <c r="S287" s="8">
        <v>45549</v>
      </c>
      <c r="T287" s="8">
        <v>45550</v>
      </c>
      <c r="U287" s="8">
        <v>45551</v>
      </c>
      <c r="V287" s="8">
        <v>45552</v>
      </c>
      <c r="W287" s="8">
        <v>45553</v>
      </c>
      <c r="X287" s="8">
        <v>45554</v>
      </c>
      <c r="Y287" s="8">
        <v>45555</v>
      </c>
      <c r="Z287" s="8">
        <v>45556</v>
      </c>
      <c r="AA287" s="8">
        <v>45557</v>
      </c>
      <c r="AB287" s="8">
        <v>45558</v>
      </c>
      <c r="AC287" s="8">
        <v>45559</v>
      </c>
      <c r="AD287" s="8">
        <v>45560</v>
      </c>
      <c r="AE287" s="8">
        <v>45561</v>
      </c>
      <c r="AF287" s="8">
        <v>45562</v>
      </c>
      <c r="AG287" s="8">
        <v>45563</v>
      </c>
      <c r="AH287" s="8">
        <v>45564</v>
      </c>
      <c r="AI287" s="8">
        <v>45565</v>
      </c>
      <c r="AL287" s="4" t="s">
        <v>19</v>
      </c>
      <c r="AM287" s="6" cm="1">
        <f t="array" ref="AM287">IFERROR((SUMPRODUCT(($C$288:$C$311=AM$286)*($F$284:$AI$284="")*$F$288:$AI$311)+IF(AM$286="P3",SUMPRODUCT(($F$284:$AI$284="P3")*$F$288:$AI$311),0))/(SUMPRODUCT(($C$288:$C$311=AM$286)*($F$284:$AI$284=""))+IF(AM$286="P3",COUNTIF($F$284:$AI$284,"P3")*ROWS($C$288:$C$311),0)),"")</f>
        <v>0.86415071428571466</v>
      </c>
      <c r="AN287" s="6" cm="1">
        <f t="array" ref="AN287">IFERROR((SUMPRODUCT(($C$288:$C$311=AN$286)*($F$284:$AI$284="")*$F$288:$AI$311)+IF(AN$286="P3",SUMPRODUCT(($F$284:$AI$284="P3")*$F$288:$AI$311),0))/(SUMPRODUCT(($C$288:$C$311=AN$286)*($F$284:$AI$284=""))+IF(AN$286="P3",COUNTIF($F$284:$AI$284,"P3")*ROWS($C$288:$C$311),0)),"")</f>
        <v>0.89312309523809552</v>
      </c>
      <c r="AO287" s="6" cm="1">
        <f t="array" ref="AO287">IFERROR((SUMPRODUCT(($C$288:$C$311=AO$286)*($F$284:$AI$284="")*$F$288:$AI$311)+IF(AO$286="P3",SUMPRODUCT(($F$284:$AI$284="P3")*$F$288:$AI$311),0))/(SUMPRODUCT(($C$288:$C$311=AO$286)*($F$284:$AI$284=""))+IF(AO$286="P3",COUNTIF($F$284:$AI$284,"P3")*ROWS($C$288:$C$311),0)),"")</f>
        <v>0.90913468750000026</v>
      </c>
      <c r="AP287" s="6" t="str" cm="1">
        <f t="array" ref="AP287">IFERROR((SUMPRODUCT(($C$288:$C$311=AP$286)*($F$284:$AI$284="")*$F$288:$AI$311)+IF(AP$286="P3",SUMPRODUCT(($F$284:$AI$284="P3")*$F$288:$AI$311),0))/(SUMPRODUCT(($C$288:$C$311=AP$286)*($F$284:$AI$284=""))+IF(AP$286="P3",COUNTIF($F$284:$AI$284,"P3")*ROWS($C$288:$C$311),0)),"")</f>
        <v/>
      </c>
      <c r="AQ287" s="6" t="str" cm="1">
        <f t="array" ref="AQ287">IFERROR((SUMPRODUCT(($C$288:$C$311=AQ$286)*($F$284:$AI$284="")*$F$288:$AI$311)+IF(AQ$286="P3",SUMPRODUCT(($F$284:$AI$284="P3")*$F$288:$AI$311),0))/(SUMPRODUCT(($C$288:$C$311=AQ$286)*($F$284:$AI$284=""))+IF(AQ$286="P3",COUNTIF($F$284:$AI$284,"P3")*ROWS($C$288:$C$311),0)),"")</f>
        <v/>
      </c>
      <c r="AR287" s="6" t="str" cm="1">
        <f t="array" ref="AR287">IFERROR((SUMPRODUCT(($C$288:$C$311=AR$286)*($F$284:$AI$284="")*$F$288:$AI$311)+IF(AR$286="P3",SUMPRODUCT(($F$284:$AI$284="P3")*$F$288:$AI$311),0))/(SUMPRODUCT(($C$288:$C$311=AR$286)*($F$284:$AI$284=""))+IF(AR$286="P3",COUNTIF($F$284:$AI$284,"P3")*ROWS($C$288:$C$311),0)),"")</f>
        <v/>
      </c>
    </row>
    <row r="288" spans="1:44" ht="14.25" customHeight="1" x14ac:dyDescent="0.35">
      <c r="A288" s="1" t="s">
        <v>7</v>
      </c>
      <c r="B288" s="1" t="s">
        <v>7</v>
      </c>
      <c r="C288" s="1" t="s">
        <v>15</v>
      </c>
      <c r="D288" s="1" t="s">
        <v>7</v>
      </c>
      <c r="E288" s="1" t="s">
        <v>8</v>
      </c>
      <c r="F288" s="1">
        <v>0.96116999999999997</v>
      </c>
      <c r="G288" s="1">
        <v>0.95201999999999998</v>
      </c>
      <c r="H288" s="1">
        <v>0.91144000000000003</v>
      </c>
      <c r="I288" s="1">
        <v>0.90273999999999999</v>
      </c>
      <c r="J288" s="1">
        <v>0.89559</v>
      </c>
      <c r="K288" s="1">
        <v>0.90295999999999998</v>
      </c>
      <c r="L288" s="1">
        <v>0.92291000000000001</v>
      </c>
      <c r="M288" s="1">
        <v>0.96116999999999997</v>
      </c>
      <c r="N288" s="1">
        <v>0.95201999999999998</v>
      </c>
      <c r="O288" s="1">
        <v>0.91144000000000003</v>
      </c>
      <c r="P288" s="1">
        <v>0.90273999999999999</v>
      </c>
      <c r="Q288" s="1">
        <v>0.89559</v>
      </c>
      <c r="R288" s="1">
        <v>0.90295999999999998</v>
      </c>
      <c r="S288" s="1">
        <v>0.92291000000000001</v>
      </c>
      <c r="T288" s="1">
        <v>0.96116999999999997</v>
      </c>
      <c r="U288" s="1">
        <v>0.95201999999999998</v>
      </c>
      <c r="V288" s="1">
        <v>0.91144000000000003</v>
      </c>
      <c r="W288" s="1">
        <v>0.90273999999999999</v>
      </c>
      <c r="X288" s="1">
        <v>0.89559</v>
      </c>
      <c r="Y288" s="1">
        <v>0.90295999999999998</v>
      </c>
      <c r="Z288" s="1">
        <v>0.92291000000000001</v>
      </c>
      <c r="AA288" s="1">
        <v>0.96116999999999997</v>
      </c>
      <c r="AB288" s="1">
        <v>0.95201999999999998</v>
      </c>
      <c r="AC288" s="1">
        <v>0.91144000000000003</v>
      </c>
      <c r="AD288" s="1">
        <v>0.90273999999999999</v>
      </c>
      <c r="AE288" s="1">
        <v>0.89559</v>
      </c>
      <c r="AF288" s="1">
        <v>0.90295999999999998</v>
      </c>
      <c r="AG288" s="1">
        <v>0.92291000000000001</v>
      </c>
      <c r="AH288" s="1">
        <v>0.96116999999999997</v>
      </c>
      <c r="AI288" s="1">
        <v>0.95201999999999998</v>
      </c>
      <c r="AL288" s="4" t="s">
        <v>21</v>
      </c>
      <c r="AM288" s="6" t="str" cm="1">
        <f t="array" ref="AM288">IFERROR((SUMPRODUCT(($D$288:$D$311=AM$286)*($F$285:$AI$285="")*$F$288:$AI$311)+IF(AM$286="P6",SUMPRODUCT(($F$285:$AI$285="P6")*$F$288:$AI$311),0))/(SUMPRODUCT(($D$288:$D$311=AM$286)*($F$285:$AI$285=""))+IF(AM$286="P6",COUNTIF($F$285:$AI$285,"P6")*ROWS($D$288:$D$311),0)),"")</f>
        <v/>
      </c>
      <c r="AN288" s="6" t="str" cm="1">
        <f t="array" ref="AN288">IFERROR((SUMPRODUCT(($D$288:$D$311=AN$286)*($F$285:$AI$285="")*$F$288:$AI$311)+IF(AN$286="P6",SUMPRODUCT(($F$285:$AI$285="P6")*$F$288:$AI$311),0))/(SUMPRODUCT(($D$288:$D$311=AN$286)*($F$285:$AI$285=""))+IF(AN$286="P6",COUNTIF($F$285:$AI$285,"P6")*ROWS($D$288:$D$311),0)),"")</f>
        <v/>
      </c>
      <c r="AO288" s="6" cm="1">
        <f t="array" ref="AO288">IFERROR((SUMPRODUCT(($D$288:$D$311=AO$286)*($F$285:$AI$285="")*$F$288:$AI$311)+IF(AO$286="P6",SUMPRODUCT(($F$285:$AI$285="P6")*$F$288:$AI$311),0))/(SUMPRODUCT(($D$288:$D$311=AO$286)*($F$285:$AI$285=""))+IF(AO$286="P6",COUNTIF($F$285:$AI$285,"P6")*ROWS($D$288:$D$311),0)),"")</f>
        <v>0.86253814814814889</v>
      </c>
      <c r="AP288" s="6" cm="1">
        <f t="array" ref="AP288">IFERROR((SUMPRODUCT(($D$288:$D$311=AP$286)*($F$285:$AI$285="")*$F$288:$AI$311)+IF(AP$286="P6",SUMPRODUCT(($F$285:$AI$285="P6")*$F$288:$AI$311),0))/(SUMPRODUCT(($D$288:$D$311=AP$286)*($F$285:$AI$285=""))+IF(AP$286="P6",COUNTIF($F$285:$AI$285,"P6")*ROWS($D$288:$D$311),0)),"")</f>
        <v>0.89933530612244883</v>
      </c>
      <c r="AQ288" s="6" t="str" cm="1">
        <f t="array" ref="AQ288">IFERROR((SUMPRODUCT(($D$288:$D$311=AQ$286)*($F$285:$AI$285="")*$F$288:$AI$311)+IF(AQ$286="P6",SUMPRODUCT(($F$285:$AI$285="P6")*$F$288:$AI$311),0))/(SUMPRODUCT(($D$288:$D$311=AQ$286)*($F$285:$AI$285=""))+IF(AQ$286="P6",COUNTIF($F$285:$AI$285,"P6")*ROWS($D$288:$D$311),0)),"")</f>
        <v/>
      </c>
      <c r="AR288" s="6" cm="1">
        <f t="array" ref="AR288">IFERROR((SUMPRODUCT(($D$288:$D$311=AR$286)*($F$285:$AI$285="")*$F$288:$AI$311)+IF(AR$286="P6",SUMPRODUCT(($F$285:$AI$285="P6")*$F$288:$AI$311),0))/(SUMPRODUCT(($D$288:$D$311=AR$286)*($F$285:$AI$285=""))+IF(AR$286="P6",COUNTIF($F$285:$AI$285,"P6")*ROWS($D$288:$D$311),0)),"")</f>
        <v>0.90913468750000026</v>
      </c>
    </row>
    <row r="289" spans="1:44" ht="14.25" customHeight="1" x14ac:dyDescent="0.35">
      <c r="A289" s="1" t="s">
        <v>7</v>
      </c>
      <c r="B289" s="1" t="s">
        <v>7</v>
      </c>
      <c r="C289" s="1" t="s">
        <v>15</v>
      </c>
      <c r="D289" s="1" t="s">
        <v>7</v>
      </c>
      <c r="E289" s="1" t="s">
        <v>9</v>
      </c>
      <c r="F289" s="1">
        <v>1.0011300000000001</v>
      </c>
      <c r="G289" s="1">
        <v>0.99146999999999996</v>
      </c>
      <c r="H289" s="1">
        <v>0.95533000000000001</v>
      </c>
      <c r="I289" s="1">
        <v>0.94489999999999996</v>
      </c>
      <c r="J289" s="1">
        <v>0.93317000000000005</v>
      </c>
      <c r="K289" s="1">
        <v>0.93894</v>
      </c>
      <c r="L289" s="1">
        <v>0.95065999999999995</v>
      </c>
      <c r="M289" s="1">
        <v>1.0011300000000001</v>
      </c>
      <c r="N289" s="1">
        <v>0.99146999999999996</v>
      </c>
      <c r="O289" s="1">
        <v>0.95533000000000001</v>
      </c>
      <c r="P289" s="1">
        <v>0.94489999999999996</v>
      </c>
      <c r="Q289" s="1">
        <v>0.93317000000000005</v>
      </c>
      <c r="R289" s="1">
        <v>0.93894</v>
      </c>
      <c r="S289" s="1">
        <v>0.95065999999999995</v>
      </c>
      <c r="T289" s="1">
        <v>1.0011300000000001</v>
      </c>
      <c r="U289" s="1">
        <v>0.99146999999999996</v>
      </c>
      <c r="V289" s="1">
        <v>0.95533000000000001</v>
      </c>
      <c r="W289" s="1">
        <v>0.94489999999999996</v>
      </c>
      <c r="X289" s="1">
        <v>0.93317000000000005</v>
      </c>
      <c r="Y289" s="1">
        <v>0.93894</v>
      </c>
      <c r="Z289" s="1">
        <v>0.95065999999999995</v>
      </c>
      <c r="AA289" s="1">
        <v>1.0011300000000001</v>
      </c>
      <c r="AB289" s="1">
        <v>0.99146999999999996</v>
      </c>
      <c r="AC289" s="1">
        <v>0.95533000000000001</v>
      </c>
      <c r="AD289" s="1">
        <v>0.94489999999999996</v>
      </c>
      <c r="AE289" s="1">
        <v>0.93317000000000005</v>
      </c>
      <c r="AF289" s="1">
        <v>0.93894</v>
      </c>
      <c r="AG289" s="1">
        <v>0.95065999999999995</v>
      </c>
      <c r="AH289" s="1">
        <v>1.0011300000000001</v>
      </c>
      <c r="AI289" s="1">
        <v>0.99146999999999996</v>
      </c>
      <c r="AL289" s="4" t="s">
        <v>23</v>
      </c>
      <c r="AM289" s="6" t="str" cm="1">
        <f t="array" ref="AM289">IFERROR((SUMPRODUCT(($D$288:$D$311=AM$286)*($F$285:$AI$285="")*$F$288:$AI$311)+IF(AM$286="P6",SUMPRODUCT(($F$285:$AI$285="P6")*$F$288:$AI$311),0))/(SUMPRODUCT(($D$288:$D$311=AM$286)*($F$285:$AI$285=""))+IF(AM$286="P6",COUNTIF($F$285:$AI$285,"P6")*ROWS($D$288:$D$311),0)),"")</f>
        <v/>
      </c>
      <c r="AN289" s="6" t="str" cm="1">
        <f t="array" ref="AN289">IFERROR((SUMPRODUCT(($D$288:$D$311=AN$286)*($F$285:$AI$285="")*$F$288:$AI$311)+IF(AN$286="P6",SUMPRODUCT(($F$285:$AI$285="P6")*$F$288:$AI$311),0))/(SUMPRODUCT(($D$288:$D$311=AN$286)*($F$285:$AI$285=""))+IF(AN$286="P6",COUNTIF($F$285:$AI$285,"P6")*ROWS($D$288:$D$311),0)),"")</f>
        <v/>
      </c>
      <c r="AO289" s="5" cm="1">
        <f t="array" ref="AO289">IFERROR((SUMPRODUCT(($D$288:$D$311=AO$286)*($F$285:$AI$285="")*$F$288:$AI$311)+IF(AO$286="P6",SUMPRODUCT(($F$285:$AI$285="P6")*$F$288:$AI$311),0))/(SUMPRODUCT(($D$288:$D$311=AO$286)*($F$285:$AI$285=""))+IF(AO$286="P6",COUNTIF($F$285:$AI$285,"P6")*ROWS($D$288:$D$311),0)),"")</f>
        <v>0.86253814814814889</v>
      </c>
      <c r="AP289" s="5" cm="1">
        <f t="array" ref="AP289">IFERROR((SUMPRODUCT(($D$288:$D$311=AP$286)*($F$285:$AI$285="")*$F$288:$AI$311)+IF(AP$286="P6",SUMPRODUCT(($F$285:$AI$285="P6")*$F$288:$AI$311),0))/(SUMPRODUCT(($D$288:$D$311=AP$286)*($F$285:$AI$285=""))+IF(AP$286="P6",COUNTIF($F$285:$AI$285,"P6")*ROWS($D$288:$D$311),0)),"")</f>
        <v>0.89933530612244883</v>
      </c>
      <c r="AQ289" s="5" t="str" cm="1">
        <f t="array" ref="AQ289">IFERROR((SUMPRODUCT(($D$288:$D$311=AQ$286)*($F$285:$AI$285="")*$F$288:$AI$311)+IF(AQ$286="P6",SUMPRODUCT(($F$285:$AI$285="P6")*$F$288:$AI$311),0))/(SUMPRODUCT(($D$288:$D$311=AQ$286)*($F$285:$AI$285=""))+IF(AQ$286="P6",COUNTIF($F$285:$AI$285,"P6")*ROWS($D$288:$D$311),0)),"")</f>
        <v/>
      </c>
      <c r="AR289" s="6" cm="1">
        <f t="array" ref="AR289">IFERROR((SUMPRODUCT(($D$288:$D$311=AR$286)*($F$285:$AI$285="")*$F$288:$AI$311)+IF(AR$286="P6",SUMPRODUCT(($F$285:$AI$285="P6")*$F$288:$AI$311),0))/(SUMPRODUCT(($D$288:$D$311=AR$286)*($F$285:$AI$285=""))+IF(AR$286="P6",COUNTIF($F$285:$AI$285,"P6")*ROWS($D$288:$D$311),0)),"")</f>
        <v>0.90913468750000026</v>
      </c>
    </row>
    <row r="290" spans="1:44" ht="14.25" customHeight="1" x14ac:dyDescent="0.35">
      <c r="A290" s="1" t="s">
        <v>7</v>
      </c>
      <c r="B290" s="1" t="s">
        <v>7</v>
      </c>
      <c r="C290" s="1" t="s">
        <v>15</v>
      </c>
      <c r="D290" s="1" t="s">
        <v>7</v>
      </c>
      <c r="E290" s="1" t="s">
        <v>10</v>
      </c>
      <c r="F290" s="1">
        <v>1.0234000000000001</v>
      </c>
      <c r="G290" s="1">
        <v>1.0122599999999999</v>
      </c>
      <c r="H290" s="1">
        <v>0.98765000000000003</v>
      </c>
      <c r="I290" s="1">
        <v>0.96177999999999997</v>
      </c>
      <c r="J290" s="1">
        <v>0.95884999999999998</v>
      </c>
      <c r="K290" s="1">
        <v>0.96623999999999999</v>
      </c>
      <c r="L290" s="1">
        <v>0.97216000000000002</v>
      </c>
      <c r="M290" s="1">
        <v>1.0234000000000001</v>
      </c>
      <c r="N290" s="1">
        <v>1.0122599999999999</v>
      </c>
      <c r="O290" s="1">
        <v>0.98765000000000003</v>
      </c>
      <c r="P290" s="1">
        <v>0.96177999999999997</v>
      </c>
      <c r="Q290" s="1">
        <v>0.95884999999999998</v>
      </c>
      <c r="R290" s="1">
        <v>0.96623999999999999</v>
      </c>
      <c r="S290" s="1">
        <v>0.97216000000000002</v>
      </c>
      <c r="T290" s="1">
        <v>1.0234000000000001</v>
      </c>
      <c r="U290" s="1">
        <v>1.0122599999999999</v>
      </c>
      <c r="V290" s="1">
        <v>0.98765000000000003</v>
      </c>
      <c r="W290" s="1">
        <v>0.96177999999999997</v>
      </c>
      <c r="X290" s="1">
        <v>0.95884999999999998</v>
      </c>
      <c r="Y290" s="1">
        <v>0.96623999999999999</v>
      </c>
      <c r="Z290" s="1">
        <v>0.97216000000000002</v>
      </c>
      <c r="AA290" s="1">
        <v>1.0234000000000001</v>
      </c>
      <c r="AB290" s="1">
        <v>1.0122599999999999</v>
      </c>
      <c r="AC290" s="1">
        <v>0.98765000000000003</v>
      </c>
      <c r="AD290" s="1">
        <v>0.96177999999999997</v>
      </c>
      <c r="AE290" s="1">
        <v>0.95884999999999998</v>
      </c>
      <c r="AF290" s="1">
        <v>0.96623999999999999</v>
      </c>
      <c r="AG290" s="1">
        <v>0.97216000000000002</v>
      </c>
      <c r="AH290" s="1">
        <v>1.0234000000000001</v>
      </c>
      <c r="AI290" s="1">
        <v>1.0122599999999999</v>
      </c>
      <c r="AL290" s="4" t="s">
        <v>25</v>
      </c>
      <c r="AM290" s="6" t="str" cm="1">
        <f t="array" ref="AM290">IFERROR((SUMPRODUCT(($D$288:$D$311=AM$286)*($F$285:$AI$285="")*$F$288:$AI$311)+IF(AM$286="P6",SUMPRODUCT(($F$285:$AI$285="P6")*$F$288:$AI$311),0))/(SUMPRODUCT(($D$288:$D$311=AM$286)*($F$285:$AI$285=""))+IF(AM$286="P6",COUNTIF($F$285:$AI$285,"P6")*ROWS($D$288:$D$311),0)),"")</f>
        <v/>
      </c>
      <c r="AN290" s="6" t="str" cm="1">
        <f t="array" ref="AN290">IFERROR((SUMPRODUCT(($D$288:$D$311=AN$286)*($F$285:$AI$285="")*$F$288:$AI$311)+IF(AN$286="P6",SUMPRODUCT(($F$285:$AI$285="P6")*$F$288:$AI$311),0))/(SUMPRODUCT(($D$288:$D$311=AN$286)*($F$285:$AI$285=""))+IF(AN$286="P6",COUNTIF($F$285:$AI$285,"P6")*ROWS($D$288:$D$311),0)),"")</f>
        <v/>
      </c>
      <c r="AO290" s="5" cm="1">
        <f t="array" ref="AO290">IFERROR((SUMPRODUCT(($D$288:$D$311=AO$286)*($F$285:$AI$285="")*$F$288:$AI$311)+IF(AO$286="P6",SUMPRODUCT(($F$285:$AI$285="P6")*$F$288:$AI$311),0))/(SUMPRODUCT(($D$288:$D$311=AO$286)*($F$285:$AI$285=""))+IF(AO$286="P6",COUNTIF($F$285:$AI$285,"P6")*ROWS($D$288:$D$311),0)),"")</f>
        <v>0.86253814814814889</v>
      </c>
      <c r="AP290" s="5" cm="1">
        <f t="array" ref="AP290">IFERROR((SUMPRODUCT(($D$288:$D$311=AP$286)*($F$285:$AI$285="")*$F$288:$AI$311)+IF(AP$286="P6",SUMPRODUCT(($F$285:$AI$285="P6")*$F$288:$AI$311),0))/(SUMPRODUCT(($D$288:$D$311=AP$286)*($F$285:$AI$285=""))+IF(AP$286="P6",COUNTIF($F$285:$AI$285,"P6")*ROWS($D$288:$D$311),0)),"")</f>
        <v>0.89933530612244883</v>
      </c>
      <c r="AQ290" s="5" t="str" cm="1">
        <f t="array" ref="AQ290">IFERROR((SUMPRODUCT(($D$288:$D$311=AQ$286)*($F$285:$AI$285="")*$F$288:$AI$311)+IF(AQ$286="P6",SUMPRODUCT(($F$285:$AI$285="P6")*$F$288:$AI$311),0))/(SUMPRODUCT(($D$288:$D$311=AQ$286)*($F$285:$AI$285=""))+IF(AQ$286="P6",COUNTIF($F$285:$AI$285,"P6")*ROWS($D$288:$D$311),0)),"")</f>
        <v/>
      </c>
      <c r="AR290" s="6" cm="1">
        <f t="array" ref="AR290">IFERROR((SUMPRODUCT(($D$288:$D$311=AR$286)*($F$285:$AI$285="")*$F$288:$AI$311)+IF(AR$286="P6",SUMPRODUCT(($F$285:$AI$285="P6")*$F$288:$AI$311),0))/(SUMPRODUCT(($D$288:$D$311=AR$286)*($F$285:$AI$285=""))+IF(AR$286="P6",COUNTIF($F$285:$AI$285,"P6")*ROWS($D$288:$D$311),0)),"")</f>
        <v>0.90913468750000026</v>
      </c>
    </row>
    <row r="291" spans="1:44" ht="14.25" customHeight="1" x14ac:dyDescent="0.35">
      <c r="A291" s="1" t="s">
        <v>7</v>
      </c>
      <c r="B291" s="1" t="s">
        <v>7</v>
      </c>
      <c r="C291" s="1" t="s">
        <v>15</v>
      </c>
      <c r="D291" s="1" t="s">
        <v>7</v>
      </c>
      <c r="E291" s="1" t="s">
        <v>11</v>
      </c>
      <c r="F291" s="1">
        <v>1.0469999999999999</v>
      </c>
      <c r="G291" s="1">
        <v>1.0130600000000001</v>
      </c>
      <c r="H291" s="1">
        <v>0.99800999999999995</v>
      </c>
      <c r="I291" s="1">
        <v>0.97685</v>
      </c>
      <c r="J291" s="1">
        <v>0.96396999999999999</v>
      </c>
      <c r="K291" s="1">
        <v>0.9758</v>
      </c>
      <c r="L291" s="1">
        <v>0.97501000000000004</v>
      </c>
      <c r="M291" s="1">
        <v>1.0469999999999999</v>
      </c>
      <c r="N291" s="1">
        <v>1.0130600000000001</v>
      </c>
      <c r="O291" s="1">
        <v>0.99800999999999995</v>
      </c>
      <c r="P291" s="1">
        <v>0.97685</v>
      </c>
      <c r="Q291" s="1">
        <v>0.96396999999999999</v>
      </c>
      <c r="R291" s="1">
        <v>0.9758</v>
      </c>
      <c r="S291" s="1">
        <v>0.97501000000000004</v>
      </c>
      <c r="T291" s="1">
        <v>1.0469999999999999</v>
      </c>
      <c r="U291" s="1">
        <v>1.0130600000000001</v>
      </c>
      <c r="V291" s="1">
        <v>0.99800999999999995</v>
      </c>
      <c r="W291" s="1">
        <v>0.97685</v>
      </c>
      <c r="X291" s="1">
        <v>0.96396999999999999</v>
      </c>
      <c r="Y291" s="1">
        <v>0.9758</v>
      </c>
      <c r="Z291" s="1">
        <v>0.97501000000000004</v>
      </c>
      <c r="AA291" s="1">
        <v>1.0469999999999999</v>
      </c>
      <c r="AB291" s="1">
        <v>1.0130600000000001</v>
      </c>
      <c r="AC291" s="1">
        <v>0.99800999999999995</v>
      </c>
      <c r="AD291" s="1">
        <v>0.97685</v>
      </c>
      <c r="AE291" s="1">
        <v>0.96396999999999999</v>
      </c>
      <c r="AF291" s="1">
        <v>0.9758</v>
      </c>
      <c r="AG291" s="1">
        <v>0.97501000000000004</v>
      </c>
      <c r="AH291" s="1">
        <v>1.0469999999999999</v>
      </c>
      <c r="AI291" s="1">
        <v>1.0130600000000001</v>
      </c>
      <c r="AL291" s="4" t="s">
        <v>27</v>
      </c>
      <c r="AM291" s="6" t="str" cm="1">
        <f t="array" ref="AM291">IFERROR((SUMPRODUCT(($D$288:$D$311=AM$286)*($F$285:$AI$285="")*$F$288:$AI$311)+IF(AM$286="P6",SUMPRODUCT(($F$285:$AI$285="P6")*$F$288:$AI$311),0))/(SUMPRODUCT(($D$288:$D$311=AM$286)*($F$285:$AI$285=""))+IF(AM$286="P6",COUNTIF($F$285:$AI$285,"P6")*ROWS($D$288:$D$311),0)),"")</f>
        <v/>
      </c>
      <c r="AN291" s="6" t="str" cm="1">
        <f t="array" ref="AN291">IFERROR((SUMPRODUCT(($D$288:$D$311=AN$286)*($F$285:$AI$285="")*$F$288:$AI$311)+IF(AN$286="P6",SUMPRODUCT(($F$285:$AI$285="P6")*$F$288:$AI$311),0))/(SUMPRODUCT(($D$288:$D$311=AN$286)*($F$285:$AI$285=""))+IF(AN$286="P6",COUNTIF($F$285:$AI$285,"P6")*ROWS($D$288:$D$311),0)),"")</f>
        <v/>
      </c>
      <c r="AO291" s="5" cm="1">
        <f t="array" ref="AO291">IFERROR((SUMPRODUCT(($D$288:$D$311=AO$286)*($F$285:$AI$285="")*$F$288:$AI$311)+IF(AO$286="P6",SUMPRODUCT(($F$285:$AI$285="P6")*$F$288:$AI$311),0))/(SUMPRODUCT(($D$288:$D$311=AO$286)*($F$285:$AI$285=""))+IF(AO$286="P6",COUNTIF($F$285:$AI$285,"P6")*ROWS($D$288:$D$311),0)),"")</f>
        <v>0.86253814814814889</v>
      </c>
      <c r="AP291" s="5" cm="1">
        <f t="array" ref="AP291">IFERROR((SUMPRODUCT(($D$288:$D$311=AP$286)*($F$285:$AI$285="")*$F$288:$AI$311)+IF(AP$286="P6",SUMPRODUCT(($F$285:$AI$285="P6")*$F$288:$AI$311),0))/(SUMPRODUCT(($D$288:$D$311=AP$286)*($F$285:$AI$285=""))+IF(AP$286="P6",COUNTIF($F$285:$AI$285,"P6")*ROWS($D$288:$D$311),0)),"")</f>
        <v>0.89933530612244883</v>
      </c>
      <c r="AQ291" s="5" t="str" cm="1">
        <f t="array" ref="AQ291">IFERROR((SUMPRODUCT(($D$288:$D$311=AQ$286)*($F$285:$AI$285="")*$F$288:$AI$311)+IF(AQ$286="P6",SUMPRODUCT(($F$285:$AI$285="P6")*$F$288:$AI$311),0))/(SUMPRODUCT(($D$288:$D$311=AQ$286)*($F$285:$AI$285=""))+IF(AQ$286="P6",COUNTIF($F$285:$AI$285,"P6")*ROWS($D$288:$D$311),0)),"")</f>
        <v/>
      </c>
      <c r="AR291" s="6" cm="1">
        <f t="array" ref="AR291">IFERROR((SUMPRODUCT(($D$288:$D$311=AR$286)*($F$285:$AI$285="")*$F$288:$AI$311)+IF(AR$286="P6",SUMPRODUCT(($F$285:$AI$285="P6")*$F$288:$AI$311),0))/(SUMPRODUCT(($D$288:$D$311=AR$286)*($F$285:$AI$285=""))+IF(AR$286="P6",COUNTIF($F$285:$AI$285,"P6")*ROWS($D$288:$D$311),0)),"")</f>
        <v>0.90913468750000026</v>
      </c>
    </row>
    <row r="292" spans="1:44" ht="14.25" customHeight="1" x14ac:dyDescent="0.35">
      <c r="A292" s="1" t="s">
        <v>7</v>
      </c>
      <c r="B292" s="1" t="s">
        <v>7</v>
      </c>
      <c r="C292" s="1" t="s">
        <v>15</v>
      </c>
      <c r="D292" s="1" t="s">
        <v>7</v>
      </c>
      <c r="E292" s="1" t="s">
        <v>12</v>
      </c>
      <c r="F292" s="1">
        <v>1.0590900000000001</v>
      </c>
      <c r="G292" s="1">
        <v>1.0240400000000001</v>
      </c>
      <c r="H292" s="1">
        <v>1.0000500000000001</v>
      </c>
      <c r="I292" s="1">
        <v>0.97970999999999997</v>
      </c>
      <c r="J292" s="1">
        <v>0.96148999999999996</v>
      </c>
      <c r="K292" s="1">
        <v>0.97819</v>
      </c>
      <c r="L292" s="1">
        <v>0.99026000000000003</v>
      </c>
      <c r="M292" s="1">
        <v>1.0590900000000001</v>
      </c>
      <c r="N292" s="1">
        <v>1.0240400000000001</v>
      </c>
      <c r="O292" s="1">
        <v>1.0000500000000001</v>
      </c>
      <c r="P292" s="1">
        <v>0.97970999999999997</v>
      </c>
      <c r="Q292" s="1">
        <v>0.96148999999999996</v>
      </c>
      <c r="R292" s="1">
        <v>0.97819</v>
      </c>
      <c r="S292" s="1">
        <v>0.99026000000000003</v>
      </c>
      <c r="T292" s="1">
        <v>1.0590900000000001</v>
      </c>
      <c r="U292" s="1">
        <v>1.0240400000000001</v>
      </c>
      <c r="V292" s="1">
        <v>1.0000500000000001</v>
      </c>
      <c r="W292" s="1">
        <v>0.97970999999999997</v>
      </c>
      <c r="X292" s="1">
        <v>0.96148999999999996</v>
      </c>
      <c r="Y292" s="1">
        <v>0.97819</v>
      </c>
      <c r="Z292" s="1">
        <v>0.99026000000000003</v>
      </c>
      <c r="AA292" s="1">
        <v>1.0590900000000001</v>
      </c>
      <c r="AB292" s="1">
        <v>1.0240400000000001</v>
      </c>
      <c r="AC292" s="1">
        <v>1.0000500000000001</v>
      </c>
      <c r="AD292" s="1">
        <v>0.97970999999999997</v>
      </c>
      <c r="AE292" s="1">
        <v>0.96148999999999996</v>
      </c>
      <c r="AF292" s="1">
        <v>0.97819</v>
      </c>
      <c r="AG292" s="1">
        <v>0.99026000000000003</v>
      </c>
      <c r="AH292" s="1">
        <v>1.0590900000000001</v>
      </c>
      <c r="AI292" s="1">
        <v>1.0240400000000001</v>
      </c>
      <c r="AL292" s="4" t="s">
        <v>29</v>
      </c>
      <c r="AM292" s="6" t="str" cm="1">
        <f t="array" ref="AM292">IFERROR((SUMPRODUCT(($D$288:$D$311=AM$286)*($F$285:$AI$285="")*$F$288:$AI$311)+IF(AM$286="P6",SUMPRODUCT(($F$285:$AI$285="P6")*$F$288:$AI$311),0))/(SUMPRODUCT(($D$288:$D$311=AM$286)*($F$285:$AI$285=""))+IF(AM$286="P6",COUNTIF($F$285:$AI$285,"P6")*ROWS($D$288:$D$311),0)),"")</f>
        <v/>
      </c>
      <c r="AN292" s="6" t="str" cm="1">
        <f t="array" ref="AN292">IFERROR((SUMPRODUCT(($D$288:$D$311=AN$286)*($F$285:$AI$285="")*$F$288:$AI$311)+IF(AN$286="P6",SUMPRODUCT(($F$285:$AI$285="P6")*$F$288:$AI$311),0))/(SUMPRODUCT(($D$288:$D$311=AN$286)*($F$285:$AI$285=""))+IF(AN$286="P6",COUNTIF($F$285:$AI$285,"P6")*ROWS($D$288:$D$311),0)),"")</f>
        <v/>
      </c>
      <c r="AO292" s="5" cm="1">
        <f t="array" ref="AO292">IFERROR((SUMPRODUCT(($D$288:$D$311=AO$286)*($F$285:$AI$285="")*$F$288:$AI$311)+IF(AO$286="P6",SUMPRODUCT(($F$285:$AI$285="P6")*$F$288:$AI$311),0))/(SUMPRODUCT(($D$288:$D$311=AO$286)*($F$285:$AI$285=""))+IF(AO$286="P6",COUNTIF($F$285:$AI$285,"P6")*ROWS($D$288:$D$311),0)),"")</f>
        <v>0.86253814814814889</v>
      </c>
      <c r="AP292" s="5" cm="1">
        <f t="array" ref="AP292">IFERROR((SUMPRODUCT(($D$288:$D$311=AP$286)*($F$285:$AI$285="")*$F$288:$AI$311)+IF(AP$286="P6",SUMPRODUCT(($F$285:$AI$285="P6")*$F$288:$AI$311),0))/(SUMPRODUCT(($D$288:$D$311=AP$286)*($F$285:$AI$285=""))+IF(AP$286="P6",COUNTIF($F$285:$AI$285,"P6")*ROWS($D$288:$D$311),0)),"")</f>
        <v>0.89933530612244883</v>
      </c>
      <c r="AQ292" s="5" t="str" cm="1">
        <f t="array" ref="AQ292">IFERROR((SUMPRODUCT(($D$288:$D$311=AQ$286)*($F$285:$AI$285="")*$F$288:$AI$311)+IF(AQ$286="P6",SUMPRODUCT(($F$285:$AI$285="P6")*$F$288:$AI$311),0))/(SUMPRODUCT(($D$288:$D$311=AQ$286)*($F$285:$AI$285=""))+IF(AQ$286="P6",COUNTIF($F$285:$AI$285,"P6")*ROWS($D$288:$D$311),0)),"")</f>
        <v/>
      </c>
      <c r="AR292" s="6" cm="1">
        <f t="array" ref="AR292">IFERROR((SUMPRODUCT(($D$288:$D$311=AR$286)*($F$285:$AI$285="")*$F$288:$AI$311)+IF(AR$286="P6",SUMPRODUCT(($F$285:$AI$285="P6")*$F$288:$AI$311),0))/(SUMPRODUCT(($D$288:$D$311=AR$286)*($F$285:$AI$285=""))+IF(AR$286="P6",COUNTIF($F$285:$AI$285,"P6")*ROWS($D$288:$D$311),0)),"")</f>
        <v>0.90913468750000026</v>
      </c>
    </row>
    <row r="293" spans="1:44" ht="14.25" customHeight="1" x14ac:dyDescent="0.35">
      <c r="A293" s="1" t="s">
        <v>7</v>
      </c>
      <c r="B293" s="1" t="s">
        <v>7</v>
      </c>
      <c r="C293" s="1" t="s">
        <v>15</v>
      </c>
      <c r="D293" s="1" t="s">
        <v>7</v>
      </c>
      <c r="E293" s="1" t="s">
        <v>18</v>
      </c>
      <c r="F293" s="1">
        <v>1.0445800000000001</v>
      </c>
      <c r="G293" s="1">
        <v>0.98516999999999999</v>
      </c>
      <c r="H293" s="1">
        <v>0.96957000000000004</v>
      </c>
      <c r="I293" s="1">
        <v>0.95699999999999996</v>
      </c>
      <c r="J293" s="1">
        <v>0.94111</v>
      </c>
      <c r="K293" s="1">
        <v>0.95377000000000001</v>
      </c>
      <c r="L293" s="1">
        <v>0.98470000000000002</v>
      </c>
      <c r="M293" s="1">
        <v>1.0445800000000001</v>
      </c>
      <c r="N293" s="1">
        <v>0.98516999999999999</v>
      </c>
      <c r="O293" s="1">
        <v>0.96957000000000004</v>
      </c>
      <c r="P293" s="1">
        <v>0.95699999999999996</v>
      </c>
      <c r="Q293" s="1">
        <v>0.94111</v>
      </c>
      <c r="R293" s="1">
        <v>0.95377000000000001</v>
      </c>
      <c r="S293" s="1">
        <v>0.98470000000000002</v>
      </c>
      <c r="T293" s="1">
        <v>1.0445800000000001</v>
      </c>
      <c r="U293" s="1">
        <v>0.98516999999999999</v>
      </c>
      <c r="V293" s="1">
        <v>0.96957000000000004</v>
      </c>
      <c r="W293" s="1">
        <v>0.95699999999999996</v>
      </c>
      <c r="X293" s="1">
        <v>0.94111</v>
      </c>
      <c r="Y293" s="1">
        <v>0.95377000000000001</v>
      </c>
      <c r="Z293" s="1">
        <v>0.98470000000000002</v>
      </c>
      <c r="AA293" s="1">
        <v>1.0445800000000001</v>
      </c>
      <c r="AB293" s="1">
        <v>0.98516999999999999</v>
      </c>
      <c r="AC293" s="1">
        <v>0.96957000000000004</v>
      </c>
      <c r="AD293" s="1">
        <v>0.95699999999999996</v>
      </c>
      <c r="AE293" s="1">
        <v>0.94111</v>
      </c>
      <c r="AF293" s="1">
        <v>0.95377000000000001</v>
      </c>
      <c r="AG293" s="1">
        <v>0.98470000000000002</v>
      </c>
      <c r="AH293" s="1">
        <v>1.0445800000000001</v>
      </c>
      <c r="AI293" s="1">
        <v>0.98516999999999999</v>
      </c>
      <c r="AL293" s="10"/>
      <c r="AM293" s="10"/>
      <c r="AN293" s="10"/>
      <c r="AO293" s="10"/>
      <c r="AP293" s="10"/>
      <c r="AQ293" s="10"/>
      <c r="AR293" s="10"/>
    </row>
    <row r="294" spans="1:44" ht="14.25" customHeight="1" x14ac:dyDescent="0.35">
      <c r="A294" s="1" t="s">
        <v>7</v>
      </c>
      <c r="B294" s="1" t="s">
        <v>7</v>
      </c>
      <c r="C294" s="1" t="s">
        <v>15</v>
      </c>
      <c r="D294" s="1" t="s">
        <v>7</v>
      </c>
      <c r="E294" s="1" t="s">
        <v>20</v>
      </c>
      <c r="F294" s="1">
        <v>1.01241</v>
      </c>
      <c r="G294" s="1">
        <v>0.88776999999999995</v>
      </c>
      <c r="H294" s="1">
        <v>0.89139000000000002</v>
      </c>
      <c r="I294" s="1">
        <v>0.88749</v>
      </c>
      <c r="J294" s="1">
        <v>0.87834000000000001</v>
      </c>
      <c r="K294" s="1">
        <v>0.88817000000000002</v>
      </c>
      <c r="L294" s="1">
        <v>0.96250000000000002</v>
      </c>
      <c r="M294" s="1">
        <v>1.01241</v>
      </c>
      <c r="N294" s="1">
        <v>0.88776999999999995</v>
      </c>
      <c r="O294" s="1">
        <v>0.89139000000000002</v>
      </c>
      <c r="P294" s="1">
        <v>0.88749</v>
      </c>
      <c r="Q294" s="1">
        <v>0.87834000000000001</v>
      </c>
      <c r="R294" s="1">
        <v>0.88817000000000002</v>
      </c>
      <c r="S294" s="1">
        <v>0.96250000000000002</v>
      </c>
      <c r="T294" s="1">
        <v>1.01241</v>
      </c>
      <c r="U294" s="1">
        <v>0.88776999999999995</v>
      </c>
      <c r="V294" s="1">
        <v>0.89139000000000002</v>
      </c>
      <c r="W294" s="1">
        <v>0.88749</v>
      </c>
      <c r="X294" s="1">
        <v>0.87834000000000001</v>
      </c>
      <c r="Y294" s="1">
        <v>0.88817000000000002</v>
      </c>
      <c r="Z294" s="1">
        <v>0.96250000000000002</v>
      </c>
      <c r="AA294" s="1">
        <v>1.01241</v>
      </c>
      <c r="AB294" s="1">
        <v>0.88776999999999995</v>
      </c>
      <c r="AC294" s="1">
        <v>0.89139000000000002</v>
      </c>
      <c r="AD294" s="1">
        <v>0.88749</v>
      </c>
      <c r="AE294" s="1">
        <v>0.87834000000000001</v>
      </c>
      <c r="AF294" s="1">
        <v>0.88817000000000002</v>
      </c>
      <c r="AG294" s="1">
        <v>0.96250000000000002</v>
      </c>
      <c r="AH294" s="1">
        <v>1.01241</v>
      </c>
      <c r="AI294" s="1">
        <v>0.88776999999999995</v>
      </c>
      <c r="AL294" s="10"/>
      <c r="AM294" s="10"/>
      <c r="AN294" s="10"/>
      <c r="AO294" s="10"/>
      <c r="AP294" s="10"/>
      <c r="AQ294" s="10"/>
      <c r="AR294" s="10"/>
    </row>
    <row r="295" spans="1:44" ht="14.25" customHeight="1" x14ac:dyDescent="0.35">
      <c r="A295" s="1" t="s">
        <v>7</v>
      </c>
      <c r="B295" s="1" t="s">
        <v>7</v>
      </c>
      <c r="C295" s="1" t="s">
        <v>15</v>
      </c>
      <c r="D295" s="1" t="s">
        <v>7</v>
      </c>
      <c r="E295" s="1" t="s">
        <v>22</v>
      </c>
      <c r="F295" s="1">
        <v>1.0033399999999999</v>
      </c>
      <c r="G295" s="1">
        <v>0.83445999999999998</v>
      </c>
      <c r="H295" s="1">
        <v>0.81916</v>
      </c>
      <c r="I295" s="1">
        <v>0.83945999999999998</v>
      </c>
      <c r="J295" s="1">
        <v>0.83925000000000005</v>
      </c>
      <c r="K295" s="1">
        <v>0.83662000000000003</v>
      </c>
      <c r="L295" s="1">
        <v>0.93491999999999997</v>
      </c>
      <c r="M295" s="1">
        <v>1.0033399999999999</v>
      </c>
      <c r="N295" s="1">
        <v>0.83445999999999998</v>
      </c>
      <c r="O295" s="1">
        <v>0.81916</v>
      </c>
      <c r="P295" s="1">
        <v>0.83945999999999998</v>
      </c>
      <c r="Q295" s="1">
        <v>0.83925000000000005</v>
      </c>
      <c r="R295" s="1">
        <v>0.83662000000000003</v>
      </c>
      <c r="S295" s="1">
        <v>0.93491999999999997</v>
      </c>
      <c r="T295" s="1">
        <v>1.0033399999999999</v>
      </c>
      <c r="U295" s="1">
        <v>0.83445999999999998</v>
      </c>
      <c r="V295" s="1">
        <v>0.81916</v>
      </c>
      <c r="W295" s="1">
        <v>0.83945999999999998</v>
      </c>
      <c r="X295" s="1">
        <v>0.83925000000000005</v>
      </c>
      <c r="Y295" s="1">
        <v>0.83662000000000003</v>
      </c>
      <c r="Z295" s="1">
        <v>0.93491999999999997</v>
      </c>
      <c r="AA295" s="1">
        <v>1.0033399999999999</v>
      </c>
      <c r="AB295" s="1">
        <v>0.83445999999999998</v>
      </c>
      <c r="AC295" s="1">
        <v>0.81916</v>
      </c>
      <c r="AD295" s="1">
        <v>0.83945999999999998</v>
      </c>
      <c r="AE295" s="1">
        <v>0.83925000000000005</v>
      </c>
      <c r="AF295" s="1">
        <v>0.83662000000000003</v>
      </c>
      <c r="AG295" s="1">
        <v>0.93491999999999997</v>
      </c>
      <c r="AH295" s="1">
        <v>1.0033399999999999</v>
      </c>
      <c r="AI295" s="1">
        <v>0.83445999999999998</v>
      </c>
      <c r="AL295" s="14" t="s">
        <v>187</v>
      </c>
      <c r="AM295" s="14"/>
      <c r="AN295" s="14"/>
      <c r="AO295" s="14"/>
      <c r="AP295" s="14"/>
      <c r="AQ295" s="14"/>
      <c r="AR295" s="14"/>
    </row>
    <row r="296" spans="1:44" ht="14.25" customHeight="1" x14ac:dyDescent="0.35">
      <c r="A296" s="1" t="s">
        <v>15</v>
      </c>
      <c r="B296" s="1" t="s">
        <v>14</v>
      </c>
      <c r="C296" s="1" t="s">
        <v>14</v>
      </c>
      <c r="D296" s="1" t="s">
        <v>16</v>
      </c>
      <c r="E296" s="1" t="s">
        <v>24</v>
      </c>
      <c r="F296" s="1">
        <v>0.93935999999999997</v>
      </c>
      <c r="G296" s="1">
        <v>0.89907999999999999</v>
      </c>
      <c r="H296" s="1">
        <v>0.90444000000000002</v>
      </c>
      <c r="I296" s="1">
        <v>0.94408000000000003</v>
      </c>
      <c r="J296" s="1">
        <v>0.92596000000000001</v>
      </c>
      <c r="K296" s="1">
        <v>0.90810000000000002</v>
      </c>
      <c r="L296" s="1">
        <v>0.89444000000000001</v>
      </c>
      <c r="M296" s="1">
        <v>0.93935999999999997</v>
      </c>
      <c r="N296" s="1">
        <v>0.89907999999999999</v>
      </c>
      <c r="O296" s="1">
        <v>0.90444000000000002</v>
      </c>
      <c r="P296" s="1">
        <v>0.94408000000000003</v>
      </c>
      <c r="Q296" s="1">
        <v>0.92596000000000001</v>
      </c>
      <c r="R296" s="1">
        <v>0.90810000000000002</v>
      </c>
      <c r="S296" s="1">
        <v>0.89444000000000001</v>
      </c>
      <c r="T296" s="1">
        <v>0.93935999999999997</v>
      </c>
      <c r="U296" s="1">
        <v>0.89907999999999999</v>
      </c>
      <c r="V296" s="1">
        <v>0.90444000000000002</v>
      </c>
      <c r="W296" s="1">
        <v>0.94408000000000003</v>
      </c>
      <c r="X296" s="1">
        <v>0.92596000000000001</v>
      </c>
      <c r="Y296" s="1">
        <v>0.90810000000000002</v>
      </c>
      <c r="Z296" s="1">
        <v>0.89444000000000001</v>
      </c>
      <c r="AA296" s="1">
        <v>0.93935999999999997</v>
      </c>
      <c r="AB296" s="1">
        <v>0.89907999999999999</v>
      </c>
      <c r="AC296" s="1">
        <v>0.90444000000000002</v>
      </c>
      <c r="AD296" s="1">
        <v>0.94408000000000003</v>
      </c>
      <c r="AE296" s="1">
        <v>0.92596000000000001</v>
      </c>
      <c r="AF296" s="1">
        <v>0.90810000000000002</v>
      </c>
      <c r="AG296" s="1">
        <v>0.89444000000000001</v>
      </c>
      <c r="AH296" s="1">
        <v>0.93935999999999997</v>
      </c>
      <c r="AI296" s="1">
        <v>0.89907999999999999</v>
      </c>
      <c r="AL296" s="4"/>
      <c r="AM296" s="4" t="s">
        <v>13</v>
      </c>
      <c r="AN296" s="4" t="s">
        <v>14</v>
      </c>
      <c r="AO296" s="4" t="s">
        <v>15</v>
      </c>
      <c r="AP296" s="4" t="s">
        <v>16</v>
      </c>
      <c r="AQ296" s="4" t="s">
        <v>17</v>
      </c>
      <c r="AR296" s="4" t="s">
        <v>7</v>
      </c>
    </row>
    <row r="297" spans="1:44" ht="14.25" customHeight="1" x14ac:dyDescent="0.35">
      <c r="A297" s="1" t="s">
        <v>15</v>
      </c>
      <c r="B297" s="1" t="s">
        <v>14</v>
      </c>
      <c r="C297" s="1" t="s">
        <v>14</v>
      </c>
      <c r="D297" s="1" t="s">
        <v>15</v>
      </c>
      <c r="E297" s="1" t="s">
        <v>26</v>
      </c>
      <c r="F297" s="1">
        <v>0.83201000000000003</v>
      </c>
      <c r="G297" s="1">
        <v>0.84375</v>
      </c>
      <c r="H297" s="1">
        <v>0.84441999999999995</v>
      </c>
      <c r="I297" s="1">
        <v>0.85962000000000005</v>
      </c>
      <c r="J297" s="1">
        <v>0.85619000000000001</v>
      </c>
      <c r="K297" s="1">
        <v>0.84567999999999999</v>
      </c>
      <c r="L297" s="1">
        <v>0.80425000000000002</v>
      </c>
      <c r="M297" s="1">
        <v>0.83201000000000003</v>
      </c>
      <c r="N297" s="1">
        <v>0.84375</v>
      </c>
      <c r="O297" s="1">
        <v>0.84441999999999995</v>
      </c>
      <c r="P297" s="1">
        <v>0.85962000000000005</v>
      </c>
      <c r="Q297" s="1">
        <v>0.85619000000000001</v>
      </c>
      <c r="R297" s="1">
        <v>0.84567999999999999</v>
      </c>
      <c r="S297" s="1">
        <v>0.80425000000000002</v>
      </c>
      <c r="T297" s="1">
        <v>0.83201000000000003</v>
      </c>
      <c r="U297" s="1">
        <v>0.84375</v>
      </c>
      <c r="V297" s="1">
        <v>0.84441999999999995</v>
      </c>
      <c r="W297" s="1">
        <v>0.85962000000000005</v>
      </c>
      <c r="X297" s="1">
        <v>0.85619000000000001</v>
      </c>
      <c r="Y297" s="1">
        <v>0.84567999999999999</v>
      </c>
      <c r="Z297" s="1">
        <v>0.80425000000000002</v>
      </c>
      <c r="AA297" s="1">
        <v>0.83201000000000003</v>
      </c>
      <c r="AB297" s="1">
        <v>0.84375</v>
      </c>
      <c r="AC297" s="1">
        <v>0.84441999999999995</v>
      </c>
      <c r="AD297" s="1">
        <v>0.85962000000000005</v>
      </c>
      <c r="AE297" s="1">
        <v>0.85619000000000001</v>
      </c>
      <c r="AF297" s="1">
        <v>0.84567999999999999</v>
      </c>
      <c r="AG297" s="1">
        <v>0.80425000000000002</v>
      </c>
      <c r="AH297" s="1">
        <v>0.83201000000000003</v>
      </c>
      <c r="AI297" s="1">
        <v>0.84375</v>
      </c>
      <c r="AL297" s="4" t="s">
        <v>19</v>
      </c>
      <c r="AM297" s="6" cm="1">
        <f t="array" ref="AM297">IFERROR((SUMPRODUCT(($C$288:$C$311=AM$286)*($F$284:$AI$284="")*$F$288:$AI$311)+IF(AM$286="P3",SUMPRODUCT(($F$284:$AI$284="P3")*$F$288:$AI$311),0))/(SUMPRODUCT(($C$288:$C$311=AM$286)*($F$284:$AI$284=""))+IF(AM$286="P3",COUNTIF($F$284:$AI$284,"P3")*ROWS($C$288:$C$311),0)),"")</f>
        <v>0.86415071428571466</v>
      </c>
      <c r="AN297" s="6" cm="1">
        <f t="array" ref="AN297">IFERROR((SUMPRODUCT(($C$288:$C$311=AN$286)*($F$284:$AI$284="")*$F$288:$AI$311)+IF(AN$286="P3",SUMPRODUCT(($F$284:$AI$284="P3")*$F$288:$AI$311),0))/(SUMPRODUCT(($C$288:$C$311=AN$286)*($F$284:$AI$284=""))+IF(AN$286="P3",COUNTIF($F$284:$AI$284,"P3")*ROWS($C$288:$C$311),0)),"")</f>
        <v>0.89312309523809552</v>
      </c>
      <c r="AO297" s="6" cm="1">
        <f t="array" ref="AO297">IFERROR((SUMPRODUCT(($C$288:$C$311=AO$286)*($F$284:$AI$284="")*$F$288:$AI$311)+IF(AO$286="P3",SUMPRODUCT(($F$284:$AI$284="P3")*$F$288:$AI$311),0))/(SUMPRODUCT(($C$288:$C$311=AO$286)*($F$284:$AI$284=""))+IF(AO$286="P3",COUNTIF($F$284:$AI$284,"P3")*ROWS($C$288:$C$311),0)),"")</f>
        <v>0.90913468750000026</v>
      </c>
      <c r="AP297" s="6" t="str" cm="1">
        <f t="array" ref="AP297">IFERROR((SUMPRODUCT(($C$288:$C$311=AP$286)*($F$284:$AI$284="")*$F$288:$AI$311)+IF(AP$286="P3",SUMPRODUCT(($F$284:$AI$284="P3")*$F$288:$AI$311),0))/(SUMPRODUCT(($C$288:$C$311=AP$286)*($F$284:$AI$284=""))+IF(AP$286="P3",COUNTIF($F$284:$AI$284,"P3")*ROWS($C$288:$C$311),0)),"")</f>
        <v/>
      </c>
      <c r="AQ297" s="6" t="str" cm="1">
        <f t="array" ref="AQ297">IFERROR((SUMPRODUCT(($C$288:$C$311=AQ$286)*($F$284:$AI$284="")*$F$288:$AI$311)+IF(AQ$286="P3",SUMPRODUCT(($F$284:$AI$284="P3")*$F$288:$AI$311),0))/(SUMPRODUCT(($C$288:$C$311=AQ$286)*($F$284:$AI$284=""))+IF(AQ$286="P3",COUNTIF($F$284:$AI$284,"P3")*ROWS($C$288:$C$311),0)),"")</f>
        <v/>
      </c>
      <c r="AR297" s="6" t="str" cm="1">
        <f t="array" ref="AR297">IFERROR((SUMPRODUCT(($C$288:$C$311=AR$286)*($F$284:$AI$284="")*$F$288:$AI$311)+IF(AR$286="P3",SUMPRODUCT(($F$284:$AI$284="P3")*$F$288:$AI$311),0))/(SUMPRODUCT(($C$288:$C$311=AR$286)*($F$284:$AI$284=""))+IF(AR$286="P3",COUNTIF($F$284:$AI$284,"P3")*ROWS($C$288:$C$311),0)),"")</f>
        <v/>
      </c>
    </row>
    <row r="298" spans="1:44" ht="14.25" customHeight="1" x14ac:dyDescent="0.35">
      <c r="A298" s="1" t="s">
        <v>13</v>
      </c>
      <c r="B298" s="1" t="s">
        <v>13</v>
      </c>
      <c r="C298" s="1" t="s">
        <v>13</v>
      </c>
      <c r="D298" s="1" t="s">
        <v>15</v>
      </c>
      <c r="E298" s="1" t="s">
        <v>28</v>
      </c>
      <c r="F298" s="1">
        <v>0.78408</v>
      </c>
      <c r="G298" s="1">
        <v>0.81430999999999998</v>
      </c>
      <c r="H298" s="1">
        <v>0.84636999999999996</v>
      </c>
      <c r="I298" s="1">
        <v>0.86434</v>
      </c>
      <c r="J298" s="1">
        <v>0.83448999999999995</v>
      </c>
      <c r="K298" s="1">
        <v>0.82730999999999999</v>
      </c>
      <c r="L298" s="1">
        <v>0.76912999999999998</v>
      </c>
      <c r="M298" s="1">
        <v>0.78408</v>
      </c>
      <c r="N298" s="1">
        <v>0.81430999999999998</v>
      </c>
      <c r="O298" s="1">
        <v>0.84636999999999996</v>
      </c>
      <c r="P298" s="1">
        <v>0.86434</v>
      </c>
      <c r="Q298" s="1">
        <v>0.83448999999999995</v>
      </c>
      <c r="R298" s="1">
        <v>0.82730999999999999</v>
      </c>
      <c r="S298" s="1">
        <v>0.76912999999999998</v>
      </c>
      <c r="T298" s="1">
        <v>0.78408</v>
      </c>
      <c r="U298" s="1">
        <v>0.81430999999999998</v>
      </c>
      <c r="V298" s="1">
        <v>0.84636999999999996</v>
      </c>
      <c r="W298" s="1">
        <v>0.86434</v>
      </c>
      <c r="X298" s="1">
        <v>0.83448999999999995</v>
      </c>
      <c r="Y298" s="1">
        <v>0.82730999999999999</v>
      </c>
      <c r="Z298" s="1">
        <v>0.76912999999999998</v>
      </c>
      <c r="AA298" s="1">
        <v>0.78408</v>
      </c>
      <c r="AB298" s="1">
        <v>0.81430999999999998</v>
      </c>
      <c r="AC298" s="1">
        <v>0.84636999999999996</v>
      </c>
      <c r="AD298" s="1">
        <v>0.86434</v>
      </c>
      <c r="AE298" s="1">
        <v>0.83448999999999995</v>
      </c>
      <c r="AF298" s="1">
        <v>0.82730999999999999</v>
      </c>
      <c r="AG298" s="1">
        <v>0.76912999999999998</v>
      </c>
      <c r="AH298" s="1">
        <v>0.78408</v>
      </c>
      <c r="AI298" s="1">
        <v>0.81430999999999998</v>
      </c>
      <c r="AL298" s="4" t="s">
        <v>21</v>
      </c>
      <c r="AM298" s="6" cm="1">
        <f t="array" ref="AM298">IFERROR((SUMPRODUCT(($A$288:$A$311=AM$286)*($F$285:$AI$285="")*$F$288:$AI$311)+IF(AM$286="P6",SUMPRODUCT(($F$285:$AI$285="P6")*$F$288:$AI$311),0))/(SUMPRODUCT(($A$288:$A$311=AM$286)*($F$285:$AI$285=""))+IF(AM$286="P6",COUNTIF($F$285:$AI$285,"P6")*ROWS($A$288:$A$311),0)),"")</f>
        <v>0.86073841269841367</v>
      </c>
      <c r="AN298" s="6" t="str" cm="1">
        <f t="array" ref="AN298">IFERROR((SUMPRODUCT(($A$288:$A$311=AN$286)*($F$285:$AI$285="")*$F$288:$AI$311)+IF(AN$286="P6",SUMPRODUCT(($F$285:$AI$285="P6")*$F$288:$AI$311),0))/(SUMPRODUCT(($A$288:$A$311=AN$286)*($F$285:$AI$285=""))+IF(AN$286="P6",COUNTIF($F$285:$AI$285,"P6")*ROWS($A$288:$A$311),0)),"")</f>
        <v/>
      </c>
      <c r="AO298" s="6" cm="1">
        <f t="array" ref="AO298">IFERROR((SUMPRODUCT(($A$288:$A$311=AO$286)*($F$285:$AI$285="")*$F$288:$AI$311)+IF(AO$286="P6",SUMPRODUCT(($F$285:$AI$285="P6")*$F$288:$AI$311),0))/(SUMPRODUCT(($A$288:$A$311=AO$286)*($F$285:$AI$285=""))+IF(AO$286="P6",COUNTIF($F$285:$AI$285,"P6")*ROWS($A$288:$A$311),0)),"")</f>
        <v>0.90164925170068022</v>
      </c>
      <c r="AP298" s="6" t="str" cm="1">
        <f t="array" ref="AP298">IFERROR((SUMPRODUCT(($A$288:$A$311=AP$286)*($F$285:$AI$285="")*$F$288:$AI$311)+IF(AP$286="P6",SUMPRODUCT(($F$285:$AI$285="P6")*$F$288:$AI$311),0))/(SUMPRODUCT(($A$288:$A$311=AP$286)*($F$285:$AI$285=""))+IF(AP$286="P6",COUNTIF($F$285:$AI$285,"P6")*ROWS($A$288:$A$311),0)),"")</f>
        <v/>
      </c>
      <c r="AQ298" s="6" t="str" cm="1">
        <f t="array" ref="AQ298">IFERROR((SUMPRODUCT(($A$288:$A$311=AQ$286)*($F$285:$AI$285="")*$F$288:$AI$311)+IF(AQ$286="P6",SUMPRODUCT(($F$285:$AI$285="P6")*$F$288:$AI$311),0))/(SUMPRODUCT(($A$288:$A$311=AQ$286)*($F$285:$AI$285=""))+IF(AQ$286="P6",COUNTIF($F$285:$AI$285,"P6")*ROWS($A$288:$A$311),0)),"")</f>
        <v/>
      </c>
      <c r="AR298" s="6" cm="1">
        <f t="array" ref="AR298">IFERROR((SUMPRODUCT(($A$288:$A$311=AR$286)*($F$285:$AI$285="")*$F$288:$AI$311)+IF(AR$286="P6",SUMPRODUCT(($F$285:$AI$285="P6")*$F$288:$AI$311),0))/(SUMPRODUCT(($A$288:$A$311=AR$286)*($F$285:$AI$285=""))+IF(AR$286="P6",COUNTIF($F$285:$AI$285,"P6")*ROWS($A$288:$A$311),0)),"")</f>
        <v>0.90913468750000026</v>
      </c>
    </row>
    <row r="299" spans="1:44" ht="14.25" customHeight="1" x14ac:dyDescent="0.35">
      <c r="A299" s="1" t="s">
        <v>13</v>
      </c>
      <c r="B299" s="1" t="s">
        <v>13</v>
      </c>
      <c r="C299" s="1" t="s">
        <v>13</v>
      </c>
      <c r="D299" s="1" t="s">
        <v>15</v>
      </c>
      <c r="E299" s="1" t="s">
        <v>30</v>
      </c>
      <c r="F299" s="1">
        <v>0.77695000000000003</v>
      </c>
      <c r="G299" s="1">
        <v>0.83365999999999996</v>
      </c>
      <c r="H299" s="1">
        <v>0.85436000000000001</v>
      </c>
      <c r="I299" s="1">
        <v>0.89354</v>
      </c>
      <c r="J299" s="1">
        <v>0.85206999999999999</v>
      </c>
      <c r="K299" s="1">
        <v>0.84443000000000001</v>
      </c>
      <c r="L299" s="1">
        <v>0.76788000000000001</v>
      </c>
      <c r="M299" s="1">
        <v>0.77695000000000003</v>
      </c>
      <c r="N299" s="1">
        <v>0.83365999999999996</v>
      </c>
      <c r="O299" s="1">
        <v>0.85436000000000001</v>
      </c>
      <c r="P299" s="1">
        <v>0.89354</v>
      </c>
      <c r="Q299" s="1">
        <v>0.85206999999999999</v>
      </c>
      <c r="R299" s="1">
        <v>0.84443000000000001</v>
      </c>
      <c r="S299" s="1">
        <v>0.76788000000000001</v>
      </c>
      <c r="T299" s="1">
        <v>0.77695000000000003</v>
      </c>
      <c r="U299" s="1">
        <v>0.83365999999999996</v>
      </c>
      <c r="V299" s="1">
        <v>0.85436000000000001</v>
      </c>
      <c r="W299" s="1">
        <v>0.89354</v>
      </c>
      <c r="X299" s="1">
        <v>0.85206999999999999</v>
      </c>
      <c r="Y299" s="1">
        <v>0.84443000000000001</v>
      </c>
      <c r="Z299" s="1">
        <v>0.76788000000000001</v>
      </c>
      <c r="AA299" s="1">
        <v>0.77695000000000003</v>
      </c>
      <c r="AB299" s="1">
        <v>0.83365999999999996</v>
      </c>
      <c r="AC299" s="1">
        <v>0.85436000000000001</v>
      </c>
      <c r="AD299" s="1">
        <v>0.89354</v>
      </c>
      <c r="AE299" s="1">
        <v>0.85206999999999999</v>
      </c>
      <c r="AF299" s="1">
        <v>0.84443000000000001</v>
      </c>
      <c r="AG299" s="1">
        <v>0.76788000000000001</v>
      </c>
      <c r="AH299" s="1">
        <v>0.77695000000000003</v>
      </c>
      <c r="AI299" s="1">
        <v>0.83365999999999996</v>
      </c>
      <c r="AL299" s="4" t="s">
        <v>23</v>
      </c>
      <c r="AM299" s="6" cm="1">
        <f t="array" ref="AM299">IFERROR((SUMPRODUCT(($A$288:$A$311=AM$286)*($F$285:$AI$285="")*$F$288:$AI$311)+IF(AM$286="P6",SUMPRODUCT(($F$285:$AI$285="P6")*$F$288:$AI$311),0))/(SUMPRODUCT(($A$288:$A$311=AM$286)*($F$285:$AI$285=""))+IF(AM$286="P6",COUNTIF($F$285:$AI$285,"P6")*ROWS($A$288:$A$311),0)),"")</f>
        <v>0.86073841269841367</v>
      </c>
      <c r="AN299" s="6" t="str" cm="1">
        <f t="array" ref="AN299">IFERROR((SUMPRODUCT(($A$288:$A$311=AN$286)*($F$285:$AI$285="")*$F$288:$AI$311)+IF(AN$286="P6",SUMPRODUCT(($F$285:$AI$285="P6")*$F$288:$AI$311),0))/(SUMPRODUCT(($A$288:$A$311=AN$286)*($F$285:$AI$285=""))+IF(AN$286="P6",COUNTIF($F$285:$AI$285,"P6")*ROWS($A$288:$A$311),0)),"")</f>
        <v/>
      </c>
      <c r="AO299" s="6" cm="1">
        <f t="array" ref="AO299">IFERROR((SUMPRODUCT(($A$288:$A$311=AO$286)*($F$285:$AI$285="")*$F$288:$AI$311)+IF(AO$286="P6",SUMPRODUCT(($F$285:$AI$285="P6")*$F$288:$AI$311),0))/(SUMPRODUCT(($A$288:$A$311=AO$286)*($F$285:$AI$285=""))+IF(AO$286="P6",COUNTIF($F$285:$AI$285,"P6")*ROWS($A$288:$A$311),0)),"")</f>
        <v>0.90164925170068022</v>
      </c>
      <c r="AP299" s="6" t="str" cm="1">
        <f t="array" ref="AP299">IFERROR((SUMPRODUCT(($A$288:$A$311=AP$286)*($F$285:$AI$285="")*$F$288:$AI$311)+IF(AP$286="P6",SUMPRODUCT(($F$285:$AI$285="P6")*$F$288:$AI$311),0))/(SUMPRODUCT(($A$288:$A$311=AP$286)*($F$285:$AI$285=""))+IF(AP$286="P6",COUNTIF($F$285:$AI$285,"P6")*ROWS($A$288:$A$311),0)),"")</f>
        <v/>
      </c>
      <c r="AQ299" s="6" t="str" cm="1">
        <f t="array" ref="AQ299">IFERROR((SUMPRODUCT(($A$288:$A$311=AQ$286)*($F$285:$AI$285="")*$F$288:$AI$311)+IF(AQ$286="P6",SUMPRODUCT(($F$285:$AI$285="P6")*$F$288:$AI$311),0))/(SUMPRODUCT(($A$288:$A$311=AQ$286)*($F$285:$AI$285=""))+IF(AQ$286="P6",COUNTIF($F$285:$AI$285,"P6")*ROWS($A$288:$A$311),0)),"")</f>
        <v/>
      </c>
      <c r="AR299" s="6" cm="1">
        <f t="array" ref="AR299">IFERROR((SUMPRODUCT(($A$288:$A$311=AR$286)*($F$285:$AI$285="")*$F$288:$AI$311)+IF(AR$286="P6",SUMPRODUCT(($F$285:$AI$285="P6")*$F$288:$AI$311),0))/(SUMPRODUCT(($A$288:$A$311=AR$286)*($F$285:$AI$285=""))+IF(AR$286="P6",COUNTIF($F$285:$AI$285,"P6")*ROWS($A$288:$A$311),0)),"")</f>
        <v>0.90913468750000026</v>
      </c>
    </row>
    <row r="300" spans="1:44" ht="14.25" customHeight="1" x14ac:dyDescent="0.35">
      <c r="A300" s="1" t="s">
        <v>13</v>
      </c>
      <c r="B300" s="1" t="s">
        <v>13</v>
      </c>
      <c r="C300" s="1" t="s">
        <v>13</v>
      </c>
      <c r="D300" s="1" t="s">
        <v>15</v>
      </c>
      <c r="E300" s="1" t="s">
        <v>31</v>
      </c>
      <c r="F300" s="1">
        <v>0.77029999999999998</v>
      </c>
      <c r="G300" s="1">
        <v>0.81774000000000002</v>
      </c>
      <c r="H300" s="1">
        <v>0.84108000000000005</v>
      </c>
      <c r="I300" s="1">
        <v>0.86338999999999999</v>
      </c>
      <c r="J300" s="1">
        <v>0.84433999999999998</v>
      </c>
      <c r="K300" s="1">
        <v>0.84367000000000003</v>
      </c>
      <c r="L300" s="1">
        <v>0.74666999999999994</v>
      </c>
      <c r="M300" s="1">
        <v>0.77029999999999998</v>
      </c>
      <c r="N300" s="1">
        <v>0.81774000000000002</v>
      </c>
      <c r="O300" s="1">
        <v>0.84108000000000005</v>
      </c>
      <c r="P300" s="1">
        <v>0.86338999999999999</v>
      </c>
      <c r="Q300" s="1">
        <v>0.84433999999999998</v>
      </c>
      <c r="R300" s="1">
        <v>0.84367000000000003</v>
      </c>
      <c r="S300" s="1">
        <v>0.74666999999999994</v>
      </c>
      <c r="T300" s="1">
        <v>0.77029999999999998</v>
      </c>
      <c r="U300" s="1">
        <v>0.81774000000000002</v>
      </c>
      <c r="V300" s="1">
        <v>0.84108000000000005</v>
      </c>
      <c r="W300" s="1">
        <v>0.86338999999999999</v>
      </c>
      <c r="X300" s="1">
        <v>0.84433999999999998</v>
      </c>
      <c r="Y300" s="1">
        <v>0.84367000000000003</v>
      </c>
      <c r="Z300" s="1">
        <v>0.74666999999999994</v>
      </c>
      <c r="AA300" s="1">
        <v>0.77029999999999998</v>
      </c>
      <c r="AB300" s="1">
        <v>0.81774000000000002</v>
      </c>
      <c r="AC300" s="1">
        <v>0.84108000000000005</v>
      </c>
      <c r="AD300" s="1">
        <v>0.86338999999999999</v>
      </c>
      <c r="AE300" s="1">
        <v>0.84433999999999998</v>
      </c>
      <c r="AF300" s="1">
        <v>0.84367000000000003</v>
      </c>
      <c r="AG300" s="1">
        <v>0.74666999999999994</v>
      </c>
      <c r="AH300" s="1">
        <v>0.77029999999999998</v>
      </c>
      <c r="AI300" s="1">
        <v>0.81774000000000002</v>
      </c>
      <c r="AL300" s="4" t="s">
        <v>25</v>
      </c>
      <c r="AM300" s="6" cm="1">
        <f t="array" ref="AM300">IFERROR((SUMPRODUCT(($A$288:$A$311=AM$286)*($F$285:$AI$285="")*$F$288:$AI$311)+IF(AM$286="P6",SUMPRODUCT(($F$285:$AI$285="P6")*$F$288:$AI$311),0))/(SUMPRODUCT(($A$288:$A$311=AM$286)*($F$285:$AI$285=""))+IF(AM$286="P6",COUNTIF($F$285:$AI$285,"P6")*ROWS($A$288:$A$311),0)),"")</f>
        <v>0.86073841269841367</v>
      </c>
      <c r="AN300" s="6" t="str" cm="1">
        <f t="array" ref="AN300">IFERROR((SUMPRODUCT(($A$288:$A$311=AN$286)*($F$285:$AI$285="")*$F$288:$AI$311)+IF(AN$286="P6",SUMPRODUCT(($F$285:$AI$285="P6")*$F$288:$AI$311),0))/(SUMPRODUCT(($A$288:$A$311=AN$286)*($F$285:$AI$285=""))+IF(AN$286="P6",COUNTIF($F$285:$AI$285,"P6")*ROWS($A$288:$A$311),0)),"")</f>
        <v/>
      </c>
      <c r="AO300" s="6" cm="1">
        <f t="array" ref="AO300">IFERROR((SUMPRODUCT(($A$288:$A$311=AO$286)*($F$285:$AI$285="")*$F$288:$AI$311)+IF(AO$286="P6",SUMPRODUCT(($F$285:$AI$285="P6")*$F$288:$AI$311),0))/(SUMPRODUCT(($A$288:$A$311=AO$286)*($F$285:$AI$285=""))+IF(AO$286="P6",COUNTIF($F$285:$AI$285,"P6")*ROWS($A$288:$A$311),0)),"")</f>
        <v>0.90164925170068022</v>
      </c>
      <c r="AP300" s="6" t="str" cm="1">
        <f t="array" ref="AP300">IFERROR((SUMPRODUCT(($A$288:$A$311=AP$286)*($F$285:$AI$285="")*$F$288:$AI$311)+IF(AP$286="P6",SUMPRODUCT(($F$285:$AI$285="P6")*$F$288:$AI$311),0))/(SUMPRODUCT(($A$288:$A$311=AP$286)*($F$285:$AI$285=""))+IF(AP$286="P6",COUNTIF($F$285:$AI$285,"P6")*ROWS($A$288:$A$311),0)),"")</f>
        <v/>
      </c>
      <c r="AQ300" s="6" t="str" cm="1">
        <f t="array" ref="AQ300">IFERROR((SUMPRODUCT(($A$288:$A$311=AQ$286)*($F$285:$AI$285="")*$F$288:$AI$311)+IF(AQ$286="P6",SUMPRODUCT(($F$285:$AI$285="P6")*$F$288:$AI$311),0))/(SUMPRODUCT(($A$288:$A$311=AQ$286)*($F$285:$AI$285=""))+IF(AQ$286="P6",COUNTIF($F$285:$AI$285,"P6")*ROWS($A$288:$A$311),0)),"")</f>
        <v/>
      </c>
      <c r="AR300" s="6" cm="1">
        <f t="array" ref="AR300">IFERROR((SUMPRODUCT(($A$288:$A$311=AR$286)*($F$285:$AI$285="")*$F$288:$AI$311)+IF(AR$286="P6",SUMPRODUCT(($F$285:$AI$285="P6")*$F$288:$AI$311),0))/(SUMPRODUCT(($A$288:$A$311=AR$286)*($F$285:$AI$285=""))+IF(AR$286="P6",COUNTIF($F$285:$AI$285,"P6")*ROWS($A$288:$A$311),0)),"")</f>
        <v>0.90913468750000026</v>
      </c>
    </row>
    <row r="301" spans="1:44" ht="14.25" customHeight="1" x14ac:dyDescent="0.35">
      <c r="A301" s="1" t="s">
        <v>13</v>
      </c>
      <c r="B301" s="1" t="s">
        <v>13</v>
      </c>
      <c r="C301" s="1" t="s">
        <v>13</v>
      </c>
      <c r="D301" s="1" t="s">
        <v>15</v>
      </c>
      <c r="E301" s="1" t="s">
        <v>32</v>
      </c>
      <c r="F301" s="1">
        <v>0.76841000000000004</v>
      </c>
      <c r="G301" s="1">
        <v>0.78091999999999995</v>
      </c>
      <c r="H301" s="1">
        <v>0.80996000000000001</v>
      </c>
      <c r="I301" s="1">
        <v>0.82413999999999998</v>
      </c>
      <c r="J301" s="1">
        <v>0.83001000000000003</v>
      </c>
      <c r="K301" s="1">
        <v>0.81899</v>
      </c>
      <c r="L301" s="1">
        <v>0.73026999999999997</v>
      </c>
      <c r="M301" s="1">
        <v>0.76841000000000004</v>
      </c>
      <c r="N301" s="1">
        <v>0.78091999999999995</v>
      </c>
      <c r="O301" s="1">
        <v>0.80996000000000001</v>
      </c>
      <c r="P301" s="1">
        <v>0.82413999999999998</v>
      </c>
      <c r="Q301" s="1">
        <v>0.83001000000000003</v>
      </c>
      <c r="R301" s="1">
        <v>0.81899</v>
      </c>
      <c r="S301" s="1">
        <v>0.73026999999999997</v>
      </c>
      <c r="T301" s="1">
        <v>0.76841000000000004</v>
      </c>
      <c r="U301" s="1">
        <v>0.78091999999999995</v>
      </c>
      <c r="V301" s="1">
        <v>0.80996000000000001</v>
      </c>
      <c r="W301" s="1">
        <v>0.82413999999999998</v>
      </c>
      <c r="X301" s="1">
        <v>0.83001000000000003</v>
      </c>
      <c r="Y301" s="1">
        <v>0.81899</v>
      </c>
      <c r="Z301" s="1">
        <v>0.73026999999999997</v>
      </c>
      <c r="AA301" s="1">
        <v>0.76841000000000004</v>
      </c>
      <c r="AB301" s="1">
        <v>0.78091999999999995</v>
      </c>
      <c r="AC301" s="1">
        <v>0.80996000000000001</v>
      </c>
      <c r="AD301" s="1">
        <v>0.82413999999999998</v>
      </c>
      <c r="AE301" s="1">
        <v>0.83001000000000003</v>
      </c>
      <c r="AF301" s="1">
        <v>0.81899</v>
      </c>
      <c r="AG301" s="1">
        <v>0.73026999999999997</v>
      </c>
      <c r="AH301" s="1">
        <v>0.76841000000000004</v>
      </c>
      <c r="AI301" s="1">
        <v>0.78091999999999995</v>
      </c>
      <c r="AL301" s="4" t="s">
        <v>27</v>
      </c>
      <c r="AM301" s="6" cm="1">
        <f t="array" ref="AM301">IFERROR((SUMPRODUCT(($A$288:$A$311=AM$286)*($F$285:$AI$285="")*$F$288:$AI$311)+IF(AM$286="P6",SUMPRODUCT(($F$285:$AI$285="P6")*$F$288:$AI$311),0))/(SUMPRODUCT(($A$288:$A$311=AM$286)*($F$285:$AI$285=""))+IF(AM$286="P6",COUNTIF($F$285:$AI$285,"P6")*ROWS($A$288:$A$311),0)),"")</f>
        <v>0.86073841269841367</v>
      </c>
      <c r="AN301" s="6" t="str" cm="1">
        <f t="array" ref="AN301">IFERROR((SUMPRODUCT(($A$288:$A$311=AN$286)*($F$285:$AI$285="")*$F$288:$AI$311)+IF(AN$286="P6",SUMPRODUCT(($F$285:$AI$285="P6")*$F$288:$AI$311),0))/(SUMPRODUCT(($A$288:$A$311=AN$286)*($F$285:$AI$285=""))+IF(AN$286="P6",COUNTIF($F$285:$AI$285,"P6")*ROWS($A$288:$A$311),0)),"")</f>
        <v/>
      </c>
      <c r="AO301" s="6" cm="1">
        <f t="array" ref="AO301">IFERROR((SUMPRODUCT(($A$288:$A$311=AO$286)*($F$285:$AI$285="")*$F$288:$AI$311)+IF(AO$286="P6",SUMPRODUCT(($F$285:$AI$285="P6")*$F$288:$AI$311),0))/(SUMPRODUCT(($A$288:$A$311=AO$286)*($F$285:$AI$285=""))+IF(AO$286="P6",COUNTIF($F$285:$AI$285,"P6")*ROWS($A$288:$A$311),0)),"")</f>
        <v>0.90164925170068022</v>
      </c>
      <c r="AP301" s="6" t="str" cm="1">
        <f t="array" ref="AP301">IFERROR((SUMPRODUCT(($A$288:$A$311=AP$286)*($F$285:$AI$285="")*$F$288:$AI$311)+IF(AP$286="P6",SUMPRODUCT(($F$285:$AI$285="P6")*$F$288:$AI$311),0))/(SUMPRODUCT(($A$288:$A$311=AP$286)*($F$285:$AI$285=""))+IF(AP$286="P6",COUNTIF($F$285:$AI$285,"P6")*ROWS($A$288:$A$311),0)),"")</f>
        <v/>
      </c>
      <c r="AQ301" s="6" t="str" cm="1">
        <f t="array" ref="AQ301">IFERROR((SUMPRODUCT(($A$288:$A$311=AQ$286)*($F$285:$AI$285="")*$F$288:$AI$311)+IF(AQ$286="P6",SUMPRODUCT(($F$285:$AI$285="P6")*$F$288:$AI$311),0))/(SUMPRODUCT(($A$288:$A$311=AQ$286)*($F$285:$AI$285=""))+IF(AQ$286="P6",COUNTIF($F$285:$AI$285,"P6")*ROWS($A$288:$A$311),0)),"")</f>
        <v/>
      </c>
      <c r="AR301" s="6" cm="1">
        <f t="array" ref="AR301">IFERROR((SUMPRODUCT(($A$288:$A$311=AR$286)*($F$285:$AI$285="")*$F$288:$AI$311)+IF(AR$286="P6",SUMPRODUCT(($F$285:$AI$285="P6")*$F$288:$AI$311),0))/(SUMPRODUCT(($A$288:$A$311=AR$286)*($F$285:$AI$285=""))+IF(AR$286="P6",COUNTIF($F$285:$AI$285,"P6")*ROWS($A$288:$A$311),0)),"")</f>
        <v>0.90913468750000026</v>
      </c>
    </row>
    <row r="302" spans="1:44" ht="14.25" customHeight="1" x14ac:dyDescent="0.35">
      <c r="A302" s="1" t="s">
        <v>13</v>
      </c>
      <c r="B302" s="1" t="s">
        <v>13</v>
      </c>
      <c r="C302" s="1" t="s">
        <v>14</v>
      </c>
      <c r="D302" s="1" t="s">
        <v>16</v>
      </c>
      <c r="E302" s="1" t="s">
        <v>33</v>
      </c>
      <c r="F302" s="1">
        <v>0.76536000000000004</v>
      </c>
      <c r="G302" s="1">
        <v>0.80623999999999996</v>
      </c>
      <c r="H302" s="1">
        <v>0.82387999999999995</v>
      </c>
      <c r="I302" s="1">
        <v>0.83503000000000005</v>
      </c>
      <c r="J302" s="1">
        <v>0.86268</v>
      </c>
      <c r="K302" s="1">
        <v>0.84616999999999998</v>
      </c>
      <c r="L302" s="1">
        <v>0.72692000000000001</v>
      </c>
      <c r="M302" s="1">
        <v>0.76536000000000004</v>
      </c>
      <c r="N302" s="1">
        <v>0.80623999999999996</v>
      </c>
      <c r="O302" s="1">
        <v>0.82387999999999995</v>
      </c>
      <c r="P302" s="1">
        <v>0.83503000000000005</v>
      </c>
      <c r="Q302" s="1">
        <v>0.86268</v>
      </c>
      <c r="R302" s="1">
        <v>0.84616999999999998</v>
      </c>
      <c r="S302" s="1">
        <v>0.72692000000000001</v>
      </c>
      <c r="T302" s="1">
        <v>0.76536000000000004</v>
      </c>
      <c r="U302" s="1">
        <v>0.80623999999999996</v>
      </c>
      <c r="V302" s="1">
        <v>0.82387999999999995</v>
      </c>
      <c r="W302" s="1">
        <v>0.83503000000000005</v>
      </c>
      <c r="X302" s="1">
        <v>0.86268</v>
      </c>
      <c r="Y302" s="1">
        <v>0.84616999999999998</v>
      </c>
      <c r="Z302" s="1">
        <v>0.72692000000000001</v>
      </c>
      <c r="AA302" s="1">
        <v>0.76536000000000004</v>
      </c>
      <c r="AB302" s="1">
        <v>0.80623999999999996</v>
      </c>
      <c r="AC302" s="1">
        <v>0.82387999999999995</v>
      </c>
      <c r="AD302" s="1">
        <v>0.83503000000000005</v>
      </c>
      <c r="AE302" s="1">
        <v>0.86268</v>
      </c>
      <c r="AF302" s="1">
        <v>0.84616999999999998</v>
      </c>
      <c r="AG302" s="1">
        <v>0.72692000000000001</v>
      </c>
      <c r="AH302" s="1">
        <v>0.76536000000000004</v>
      </c>
      <c r="AI302" s="1">
        <v>0.80623999999999996</v>
      </c>
      <c r="AL302" s="4" t="s">
        <v>29</v>
      </c>
      <c r="AM302" s="6" cm="1">
        <f t="array" ref="AM302">IFERROR((SUMPRODUCT(($A$288:$A$311=AM$286)*($F$285:$AI$285="")*$F$288:$AI$311)+IF(AM$286="P6",SUMPRODUCT(($F$285:$AI$285="P6")*$F$288:$AI$311),0))/(SUMPRODUCT(($A$288:$A$311=AM$286)*($F$285:$AI$285=""))+IF(AM$286="P6",COUNTIF($F$285:$AI$285,"P6")*ROWS($A$288:$A$311),0)),"")</f>
        <v>0.86073841269841367</v>
      </c>
      <c r="AN302" s="6" t="str" cm="1">
        <f t="array" ref="AN302">IFERROR((SUMPRODUCT(($A$288:$A$311=AN$286)*($F$285:$AI$285="")*$F$288:$AI$311)+IF(AN$286="P6",SUMPRODUCT(($F$285:$AI$285="P6")*$F$288:$AI$311),0))/(SUMPRODUCT(($A$288:$A$311=AN$286)*($F$285:$AI$285=""))+IF(AN$286="P6",COUNTIF($F$285:$AI$285,"P6")*ROWS($A$288:$A$311),0)),"")</f>
        <v/>
      </c>
      <c r="AO302" s="6" cm="1">
        <f t="array" ref="AO302">IFERROR((SUMPRODUCT(($A$288:$A$311=AO$286)*($F$285:$AI$285="")*$F$288:$AI$311)+IF(AO$286="P6",SUMPRODUCT(($F$285:$AI$285="P6")*$F$288:$AI$311),0))/(SUMPRODUCT(($A$288:$A$311=AO$286)*($F$285:$AI$285=""))+IF(AO$286="P6",COUNTIF($F$285:$AI$285,"P6")*ROWS($A$288:$A$311),0)),"")</f>
        <v>0.90164925170068022</v>
      </c>
      <c r="AP302" s="6" t="str" cm="1">
        <f t="array" ref="AP302">IFERROR((SUMPRODUCT(($A$288:$A$311=AP$286)*($F$285:$AI$285="")*$F$288:$AI$311)+IF(AP$286="P6",SUMPRODUCT(($F$285:$AI$285="P6")*$F$288:$AI$311),0))/(SUMPRODUCT(($A$288:$A$311=AP$286)*($F$285:$AI$285=""))+IF(AP$286="P6",COUNTIF($F$285:$AI$285,"P6")*ROWS($A$288:$A$311),0)),"")</f>
        <v/>
      </c>
      <c r="AQ302" s="6" t="str" cm="1">
        <f t="array" ref="AQ302">IFERROR((SUMPRODUCT(($A$288:$A$311=AQ$286)*($F$285:$AI$285="")*$F$288:$AI$311)+IF(AQ$286="P6",SUMPRODUCT(($F$285:$AI$285="P6")*$F$288:$AI$311),0))/(SUMPRODUCT(($A$288:$A$311=AQ$286)*($F$285:$AI$285=""))+IF(AQ$286="P6",COUNTIF($F$285:$AI$285,"P6")*ROWS($A$288:$A$311),0)),"")</f>
        <v/>
      </c>
      <c r="AR302" s="6" cm="1">
        <f t="array" ref="AR302">IFERROR((SUMPRODUCT(($A$288:$A$311=AR$286)*($F$285:$AI$285="")*$F$288:$AI$311)+IF(AR$286="P6",SUMPRODUCT(($F$285:$AI$285="P6")*$F$288:$AI$311),0))/(SUMPRODUCT(($A$288:$A$311=AR$286)*($F$285:$AI$285=""))+IF(AR$286="P6",COUNTIF($F$285:$AI$285,"P6")*ROWS($A$288:$A$311),0)),"")</f>
        <v>0.90913468750000026</v>
      </c>
    </row>
    <row r="303" spans="1:44" ht="14.25" customHeight="1" x14ac:dyDescent="0.35">
      <c r="A303" s="1" t="s">
        <v>15</v>
      </c>
      <c r="B303" s="1" t="s">
        <v>14</v>
      </c>
      <c r="C303" s="1" t="s">
        <v>14</v>
      </c>
      <c r="D303" s="1" t="s">
        <v>16</v>
      </c>
      <c r="E303" s="1" t="s">
        <v>34</v>
      </c>
      <c r="F303" s="1">
        <v>0.78791</v>
      </c>
      <c r="G303" s="1">
        <v>0.83001999999999998</v>
      </c>
      <c r="H303" s="1">
        <v>0.86297999999999997</v>
      </c>
      <c r="I303" s="1">
        <v>0.86377999999999999</v>
      </c>
      <c r="J303" s="1">
        <v>0.87577000000000005</v>
      </c>
      <c r="K303" s="1">
        <v>0.88238000000000005</v>
      </c>
      <c r="L303" s="1">
        <v>0.78344999999999998</v>
      </c>
      <c r="M303" s="1">
        <v>0.78791</v>
      </c>
      <c r="N303" s="1">
        <v>0.83001999999999998</v>
      </c>
      <c r="O303" s="1">
        <v>0.86297999999999997</v>
      </c>
      <c r="P303" s="1">
        <v>0.86377999999999999</v>
      </c>
      <c r="Q303" s="1">
        <v>0.87577000000000005</v>
      </c>
      <c r="R303" s="1">
        <v>0.88238000000000005</v>
      </c>
      <c r="S303" s="1">
        <v>0.78344999999999998</v>
      </c>
      <c r="T303" s="1">
        <v>0.78791</v>
      </c>
      <c r="U303" s="1">
        <v>0.83001999999999998</v>
      </c>
      <c r="V303" s="1">
        <v>0.86297999999999997</v>
      </c>
      <c r="W303" s="1">
        <v>0.86377999999999999</v>
      </c>
      <c r="X303" s="1">
        <v>0.87577000000000005</v>
      </c>
      <c r="Y303" s="1">
        <v>0.88238000000000005</v>
      </c>
      <c r="Z303" s="1">
        <v>0.78344999999999998</v>
      </c>
      <c r="AA303" s="1">
        <v>0.78791</v>
      </c>
      <c r="AB303" s="1">
        <v>0.83001999999999998</v>
      </c>
      <c r="AC303" s="1">
        <v>0.86297999999999997</v>
      </c>
      <c r="AD303" s="1">
        <v>0.86377999999999999</v>
      </c>
      <c r="AE303" s="1">
        <v>0.87577000000000005</v>
      </c>
      <c r="AF303" s="1">
        <v>0.88238000000000005</v>
      </c>
      <c r="AG303" s="1">
        <v>0.78344999999999998</v>
      </c>
      <c r="AH303" s="1">
        <v>0.78791</v>
      </c>
      <c r="AI303" s="1">
        <v>0.83001999999999998</v>
      </c>
      <c r="AL303" s="10"/>
      <c r="AM303" s="10"/>
      <c r="AN303" s="10"/>
      <c r="AO303" s="10"/>
      <c r="AP303" s="10"/>
      <c r="AQ303" s="10"/>
      <c r="AR303" s="10"/>
    </row>
    <row r="304" spans="1:44" ht="14.25" customHeight="1" x14ac:dyDescent="0.35">
      <c r="A304" s="1" t="s">
        <v>15</v>
      </c>
      <c r="B304" s="1" t="s">
        <v>14</v>
      </c>
      <c r="C304" s="1" t="s">
        <v>14</v>
      </c>
      <c r="D304" s="1" t="s">
        <v>16</v>
      </c>
      <c r="E304" s="1" t="s">
        <v>35</v>
      </c>
      <c r="F304" s="1">
        <v>0.81784000000000001</v>
      </c>
      <c r="G304" s="1">
        <v>0.85726999999999998</v>
      </c>
      <c r="H304" s="1">
        <v>0.89331000000000005</v>
      </c>
      <c r="I304" s="1">
        <v>0.90427000000000002</v>
      </c>
      <c r="J304" s="1">
        <v>0.88527999999999996</v>
      </c>
      <c r="K304" s="1">
        <v>0.91605000000000003</v>
      </c>
      <c r="L304" s="1">
        <v>0.81035000000000001</v>
      </c>
      <c r="M304" s="1">
        <v>0.81784000000000001</v>
      </c>
      <c r="N304" s="1">
        <v>0.85726999999999998</v>
      </c>
      <c r="O304" s="1">
        <v>0.89331000000000005</v>
      </c>
      <c r="P304" s="1">
        <v>0.90427000000000002</v>
      </c>
      <c r="Q304" s="1">
        <v>0.88527999999999996</v>
      </c>
      <c r="R304" s="1">
        <v>0.91605000000000003</v>
      </c>
      <c r="S304" s="1">
        <v>0.81035000000000001</v>
      </c>
      <c r="T304" s="1">
        <v>0.81784000000000001</v>
      </c>
      <c r="U304" s="1">
        <v>0.85726999999999998</v>
      </c>
      <c r="V304" s="1">
        <v>0.89331000000000005</v>
      </c>
      <c r="W304" s="1">
        <v>0.90427000000000002</v>
      </c>
      <c r="X304" s="1">
        <v>0.88527999999999996</v>
      </c>
      <c r="Y304" s="1">
        <v>0.91605000000000003</v>
      </c>
      <c r="Z304" s="1">
        <v>0.81035000000000001</v>
      </c>
      <c r="AA304" s="1">
        <v>0.81784000000000001</v>
      </c>
      <c r="AB304" s="1">
        <v>0.85726999999999998</v>
      </c>
      <c r="AC304" s="1">
        <v>0.89331000000000005</v>
      </c>
      <c r="AD304" s="1">
        <v>0.90427000000000002</v>
      </c>
      <c r="AE304" s="1">
        <v>0.88527999999999996</v>
      </c>
      <c r="AF304" s="1">
        <v>0.91605000000000003</v>
      </c>
      <c r="AG304" s="1">
        <v>0.81035000000000001</v>
      </c>
      <c r="AH304" s="1">
        <v>0.81784000000000001</v>
      </c>
      <c r="AI304" s="1">
        <v>0.85726999999999998</v>
      </c>
      <c r="AL304" s="10"/>
      <c r="AM304" s="10"/>
      <c r="AN304" s="10"/>
      <c r="AO304" s="10"/>
      <c r="AP304" s="10"/>
      <c r="AQ304" s="10"/>
      <c r="AR304" s="10"/>
    </row>
    <row r="305" spans="1:44" ht="14.25" customHeight="1" x14ac:dyDescent="0.35">
      <c r="A305" s="1" t="s">
        <v>15</v>
      </c>
      <c r="B305" s="1" t="s">
        <v>14</v>
      </c>
      <c r="C305" s="1" t="s">
        <v>14</v>
      </c>
      <c r="D305" s="1" t="s">
        <v>16</v>
      </c>
      <c r="E305" s="1" t="s">
        <v>36</v>
      </c>
      <c r="F305" s="1">
        <v>0.86621000000000004</v>
      </c>
      <c r="G305" s="1">
        <v>0.86556</v>
      </c>
      <c r="H305" s="1">
        <v>0.91391999999999995</v>
      </c>
      <c r="I305" s="1">
        <v>0.91351000000000004</v>
      </c>
      <c r="J305" s="1">
        <v>0.90844000000000003</v>
      </c>
      <c r="K305" s="1">
        <v>0.92171999999999998</v>
      </c>
      <c r="L305" s="1">
        <v>0.85058</v>
      </c>
      <c r="M305" s="1">
        <v>0.86621000000000004</v>
      </c>
      <c r="N305" s="1">
        <v>0.86556</v>
      </c>
      <c r="O305" s="1">
        <v>0.91391999999999995</v>
      </c>
      <c r="P305" s="1">
        <v>0.91351000000000004</v>
      </c>
      <c r="Q305" s="1">
        <v>0.90844000000000003</v>
      </c>
      <c r="R305" s="1">
        <v>0.92171999999999998</v>
      </c>
      <c r="S305" s="1">
        <v>0.85058</v>
      </c>
      <c r="T305" s="1">
        <v>0.86621000000000004</v>
      </c>
      <c r="U305" s="1">
        <v>0.86556</v>
      </c>
      <c r="V305" s="1">
        <v>0.91391999999999995</v>
      </c>
      <c r="W305" s="1">
        <v>0.91351000000000004</v>
      </c>
      <c r="X305" s="1">
        <v>0.90844000000000003</v>
      </c>
      <c r="Y305" s="1">
        <v>0.92171999999999998</v>
      </c>
      <c r="Z305" s="1">
        <v>0.85058</v>
      </c>
      <c r="AA305" s="1">
        <v>0.86621000000000004</v>
      </c>
      <c r="AB305" s="1">
        <v>0.86556</v>
      </c>
      <c r="AC305" s="1">
        <v>0.91391999999999995</v>
      </c>
      <c r="AD305" s="1">
        <v>0.91351000000000004</v>
      </c>
      <c r="AE305" s="1">
        <v>0.90844000000000003</v>
      </c>
      <c r="AF305" s="1">
        <v>0.92171999999999998</v>
      </c>
      <c r="AG305" s="1">
        <v>0.85058</v>
      </c>
      <c r="AH305" s="1">
        <v>0.86621000000000004</v>
      </c>
      <c r="AI305" s="1">
        <v>0.86556</v>
      </c>
      <c r="AL305" s="14" t="s">
        <v>188</v>
      </c>
      <c r="AM305" s="14"/>
      <c r="AN305" s="14"/>
      <c r="AO305" s="14"/>
      <c r="AP305" s="14"/>
      <c r="AQ305" s="14"/>
      <c r="AR305" s="14"/>
    </row>
    <row r="306" spans="1:44" ht="14.25" customHeight="1" x14ac:dyDescent="0.35">
      <c r="A306" s="1" t="s">
        <v>13</v>
      </c>
      <c r="B306" s="1" t="s">
        <v>13</v>
      </c>
      <c r="C306" s="1" t="s">
        <v>13</v>
      </c>
      <c r="D306" s="1" t="s">
        <v>15</v>
      </c>
      <c r="E306" s="1" t="s">
        <v>37</v>
      </c>
      <c r="F306" s="1">
        <v>0.89629999999999999</v>
      </c>
      <c r="G306" s="1">
        <v>0.86833000000000005</v>
      </c>
      <c r="H306" s="1">
        <v>0.89451000000000003</v>
      </c>
      <c r="I306" s="1">
        <v>0.94545000000000001</v>
      </c>
      <c r="J306" s="1">
        <v>0.93064999999999998</v>
      </c>
      <c r="K306" s="1">
        <v>0.89500999999999997</v>
      </c>
      <c r="L306" s="1">
        <v>0.86216999999999999</v>
      </c>
      <c r="M306" s="1">
        <v>0.89629999999999999</v>
      </c>
      <c r="N306" s="1">
        <v>0.86833000000000005</v>
      </c>
      <c r="O306" s="1">
        <v>0.89451000000000003</v>
      </c>
      <c r="P306" s="1">
        <v>0.94545000000000001</v>
      </c>
      <c r="Q306" s="1">
        <v>0.93064999999999998</v>
      </c>
      <c r="R306" s="1">
        <v>0.89500999999999997</v>
      </c>
      <c r="S306" s="1">
        <v>0.86216999999999999</v>
      </c>
      <c r="T306" s="1">
        <v>0.89629999999999999</v>
      </c>
      <c r="U306" s="1">
        <v>0.86833000000000005</v>
      </c>
      <c r="V306" s="1">
        <v>0.89451000000000003</v>
      </c>
      <c r="W306" s="1">
        <v>0.94545000000000001</v>
      </c>
      <c r="X306" s="1">
        <v>0.93064999999999998</v>
      </c>
      <c r="Y306" s="1">
        <v>0.89500999999999997</v>
      </c>
      <c r="Z306" s="1">
        <v>0.86216999999999999</v>
      </c>
      <c r="AA306" s="1">
        <v>0.89629999999999999</v>
      </c>
      <c r="AB306" s="1">
        <v>0.86833000000000005</v>
      </c>
      <c r="AC306" s="1">
        <v>0.89451000000000003</v>
      </c>
      <c r="AD306" s="1">
        <v>0.94545000000000001</v>
      </c>
      <c r="AE306" s="1">
        <v>0.93064999999999998</v>
      </c>
      <c r="AF306" s="1">
        <v>0.89500999999999997</v>
      </c>
      <c r="AG306" s="1">
        <v>0.86216999999999999</v>
      </c>
      <c r="AH306" s="1">
        <v>0.89629999999999999</v>
      </c>
      <c r="AI306" s="1">
        <v>0.86833000000000005</v>
      </c>
      <c r="AL306" s="4"/>
      <c r="AM306" s="4" t="s">
        <v>13</v>
      </c>
      <c r="AN306" s="4" t="s">
        <v>14</v>
      </c>
      <c r="AO306" s="4" t="s">
        <v>15</v>
      </c>
      <c r="AP306" s="4" t="s">
        <v>16</v>
      </c>
      <c r="AQ306" s="4" t="s">
        <v>17</v>
      </c>
      <c r="AR306" s="4" t="s">
        <v>7</v>
      </c>
    </row>
    <row r="307" spans="1:44" ht="14.25" customHeight="1" x14ac:dyDescent="0.35">
      <c r="A307" s="1" t="s">
        <v>13</v>
      </c>
      <c r="B307" s="1" t="s">
        <v>13</v>
      </c>
      <c r="C307" s="1" t="s">
        <v>13</v>
      </c>
      <c r="D307" s="1" t="s">
        <v>15</v>
      </c>
      <c r="E307" s="1" t="s">
        <v>38</v>
      </c>
      <c r="F307" s="1">
        <v>0.89946999999999999</v>
      </c>
      <c r="G307" s="1">
        <v>0.88288999999999995</v>
      </c>
      <c r="H307" s="1">
        <v>0.89622000000000002</v>
      </c>
      <c r="I307" s="1">
        <v>0.93952000000000002</v>
      </c>
      <c r="J307" s="1">
        <v>0.96294000000000002</v>
      </c>
      <c r="K307" s="1">
        <v>0.91083000000000003</v>
      </c>
      <c r="L307" s="1">
        <v>0.87677000000000005</v>
      </c>
      <c r="M307" s="1">
        <v>0.89946999999999999</v>
      </c>
      <c r="N307" s="1">
        <v>0.88288999999999995</v>
      </c>
      <c r="O307" s="1">
        <v>0.89622000000000002</v>
      </c>
      <c r="P307" s="1">
        <v>0.93952000000000002</v>
      </c>
      <c r="Q307" s="1">
        <v>0.96294000000000002</v>
      </c>
      <c r="R307" s="1">
        <v>0.91083000000000003</v>
      </c>
      <c r="S307" s="1">
        <v>0.87677000000000005</v>
      </c>
      <c r="T307" s="1">
        <v>0.89946999999999999</v>
      </c>
      <c r="U307" s="1">
        <v>0.88288999999999995</v>
      </c>
      <c r="V307" s="1">
        <v>0.89622000000000002</v>
      </c>
      <c r="W307" s="1">
        <v>0.93952000000000002</v>
      </c>
      <c r="X307" s="1">
        <v>0.96294000000000002</v>
      </c>
      <c r="Y307" s="1">
        <v>0.91083000000000003</v>
      </c>
      <c r="Z307" s="1">
        <v>0.87677000000000005</v>
      </c>
      <c r="AA307" s="1">
        <v>0.89946999999999999</v>
      </c>
      <c r="AB307" s="1">
        <v>0.88288999999999995</v>
      </c>
      <c r="AC307" s="1">
        <v>0.89622000000000002</v>
      </c>
      <c r="AD307" s="1">
        <v>0.93952000000000002</v>
      </c>
      <c r="AE307" s="1">
        <v>0.96294000000000002</v>
      </c>
      <c r="AF307" s="1">
        <v>0.91083000000000003</v>
      </c>
      <c r="AG307" s="1">
        <v>0.87677000000000005</v>
      </c>
      <c r="AH307" s="1">
        <v>0.89946999999999999</v>
      </c>
      <c r="AI307" s="1">
        <v>0.88288999999999995</v>
      </c>
      <c r="AL307" s="4" t="s">
        <v>19</v>
      </c>
      <c r="AM307" s="6" cm="1">
        <f t="array" ref="AM307">IFERROR((SUMPRODUCT(($C$288:$C$311=AM$286)*($F$284:$AI$284="")*$F$288:$AI$311)+IF(AM$286="P3",SUMPRODUCT(($F$284:$AI$284="P3")*$F$288:$AI$311),0))/(SUMPRODUCT(($C$288:$C$311=AM$286)*($F$284:$AI$284=""))+IF(AM$286="P3",COUNTIF($F$284:$AI$284,"P3")*ROWS($C$288:$C$311),0)),"")</f>
        <v>0.86415071428571466</v>
      </c>
      <c r="AN307" s="6" cm="1">
        <f t="array" ref="AN307">IFERROR((SUMPRODUCT(($C$288:$C$311=AN$286)*($F$284:$AI$284="")*$F$288:$AI$311)+IF(AN$286="P3",SUMPRODUCT(($F$284:$AI$284="P3")*$F$288:$AI$311),0))/(SUMPRODUCT(($C$288:$C$311=AN$286)*($F$284:$AI$284=""))+IF(AN$286="P3",COUNTIF($F$284:$AI$284,"P3")*ROWS($C$288:$C$311),0)),"")</f>
        <v>0.89312309523809552</v>
      </c>
      <c r="AO307" s="6" cm="1">
        <f t="array" ref="AO307">IFERROR((SUMPRODUCT(($C$288:$C$311=AO$286)*($F$284:$AI$284="")*$F$288:$AI$311)+IF(AO$286="P3",SUMPRODUCT(($F$284:$AI$284="P3")*$F$288:$AI$311),0))/(SUMPRODUCT(($C$288:$C$311=AO$286)*($F$284:$AI$284=""))+IF(AO$286="P3",COUNTIF($F$284:$AI$284,"P3")*ROWS($C$288:$C$311),0)),"")</f>
        <v>0.90913468750000026</v>
      </c>
      <c r="AP307" s="6" t="str" cm="1">
        <f t="array" ref="AP307">IFERROR((SUMPRODUCT(($C$288:$C$311=AP$286)*($F$284:$AI$284="")*$F$288:$AI$311)+IF(AP$286="P3",SUMPRODUCT(($F$284:$AI$284="P3")*$F$288:$AI$311),0))/(SUMPRODUCT(($C$288:$C$311=AP$286)*($F$284:$AI$284=""))+IF(AP$286="P3",COUNTIF($F$284:$AI$284,"P3")*ROWS($C$288:$C$311),0)),"")</f>
        <v/>
      </c>
      <c r="AQ307" s="6" t="str" cm="1">
        <f t="array" ref="AQ307">IFERROR((SUMPRODUCT(($C$288:$C$311=AQ$286)*($F$284:$AI$284="")*$F$288:$AI$311)+IF(AQ$286="P3",SUMPRODUCT(($F$284:$AI$284="P3")*$F$288:$AI$311),0))/(SUMPRODUCT(($C$288:$C$311=AQ$286)*($F$284:$AI$284=""))+IF(AQ$286="P3",COUNTIF($F$284:$AI$284,"P3")*ROWS($C$288:$C$311),0)),"")</f>
        <v/>
      </c>
      <c r="AR307" s="6" t="str" cm="1">
        <f t="array" ref="AR307">IFERROR((SUMPRODUCT(($C$288:$C$311=AR$286)*($F$284:$AI$284="")*$F$288:$AI$311)+IF(AR$286="P3",SUMPRODUCT(($F$284:$AI$284="P3")*$F$288:$AI$311),0))/(SUMPRODUCT(($C$288:$C$311=AR$286)*($F$284:$AI$284=""))+IF(AR$286="P3",COUNTIF($F$284:$AI$284,"P3")*ROWS($C$288:$C$311),0)),"")</f>
        <v/>
      </c>
    </row>
    <row r="308" spans="1:44" ht="14.25" customHeight="1" x14ac:dyDescent="0.35">
      <c r="A308" s="1" t="s">
        <v>13</v>
      </c>
      <c r="B308" s="1" t="s">
        <v>13</v>
      </c>
      <c r="C308" s="1" t="s">
        <v>13</v>
      </c>
      <c r="D308" s="1" t="s">
        <v>15</v>
      </c>
      <c r="E308" s="1" t="s">
        <v>39</v>
      </c>
      <c r="F308" s="1">
        <v>0.87431999999999999</v>
      </c>
      <c r="G308" s="1">
        <v>0.84968999999999995</v>
      </c>
      <c r="H308" s="1">
        <v>0.86229999999999996</v>
      </c>
      <c r="I308" s="1">
        <v>0.90161000000000002</v>
      </c>
      <c r="J308" s="1">
        <v>0.90061000000000002</v>
      </c>
      <c r="K308" s="1">
        <v>0.91505999999999998</v>
      </c>
      <c r="L308" s="1">
        <v>0.88527</v>
      </c>
      <c r="M308" s="1">
        <v>0.87431999999999999</v>
      </c>
      <c r="N308" s="1">
        <v>0.84968999999999995</v>
      </c>
      <c r="O308" s="1">
        <v>0.86229999999999996</v>
      </c>
      <c r="P308" s="1">
        <v>0.90161000000000002</v>
      </c>
      <c r="Q308" s="1">
        <v>0.90061000000000002</v>
      </c>
      <c r="R308" s="1">
        <v>0.91505999999999998</v>
      </c>
      <c r="S308" s="1">
        <v>0.88527</v>
      </c>
      <c r="T308" s="1">
        <v>0.87431999999999999</v>
      </c>
      <c r="U308" s="1">
        <v>0.84968999999999995</v>
      </c>
      <c r="V308" s="1">
        <v>0.86229999999999996</v>
      </c>
      <c r="W308" s="1">
        <v>0.90161000000000002</v>
      </c>
      <c r="X308" s="1">
        <v>0.90061000000000002</v>
      </c>
      <c r="Y308" s="1">
        <v>0.91505999999999998</v>
      </c>
      <c r="Z308" s="1">
        <v>0.88527</v>
      </c>
      <c r="AA308" s="1">
        <v>0.87431999999999999</v>
      </c>
      <c r="AB308" s="1">
        <v>0.84968999999999995</v>
      </c>
      <c r="AC308" s="1">
        <v>0.86229999999999996</v>
      </c>
      <c r="AD308" s="1">
        <v>0.90161000000000002</v>
      </c>
      <c r="AE308" s="1">
        <v>0.90061000000000002</v>
      </c>
      <c r="AF308" s="1">
        <v>0.91505999999999998</v>
      </c>
      <c r="AG308" s="1">
        <v>0.88527</v>
      </c>
      <c r="AH308" s="1">
        <v>0.87431999999999999</v>
      </c>
      <c r="AI308" s="1">
        <v>0.84968999999999995</v>
      </c>
      <c r="AL308" s="4" t="s">
        <v>21</v>
      </c>
      <c r="AM308" s="6" cm="1">
        <f t="array" ref="AM308">IFERROR((SUMPRODUCT(($B$288:$B$311=AM$286)*($F$285:$AI$285="")*$F$288:$AI$311)+IF(AM$286="P6",SUMPRODUCT(($F$285:$AI$285="P6")*$F$288:$AI$311),0))/(SUMPRODUCT(($B$288:$B$311=AM$286)*($F$285:$AI$285=""))+IF(AM$286="P6",COUNTIF($F$285:$AI$285,"P6")*ROWS($B$288:$B$311),0)),"")</f>
        <v>0.86073841269841367</v>
      </c>
      <c r="AN308" s="6" cm="1">
        <f t="array" ref="AN308">IFERROR((SUMPRODUCT(($B$288:$B$311=AN$286)*($F$285:$AI$285="")*$F$288:$AI$311)+IF(AN$286="P6",SUMPRODUCT(($F$285:$AI$285="P6")*$F$288:$AI$311),0))/(SUMPRODUCT(($B$288:$B$311=AN$286)*($F$285:$AI$285=""))+IF(AN$286="P6",COUNTIF($F$285:$AI$285,"P6")*ROWS($B$288:$B$311),0)),"")</f>
        <v>0.90164925170068022</v>
      </c>
      <c r="AO308" s="6" t="str" cm="1">
        <f t="array" ref="AO308">IFERROR((SUMPRODUCT(($B$288:$B$311=AO$286)*($F$285:$AI$285="")*$F$288:$AI$311)+IF(AO$286="P6",SUMPRODUCT(($F$285:$AI$285="P6")*$F$288:$AI$311),0))/(SUMPRODUCT(($B$288:$B$311=AO$286)*($F$285:$AI$285=""))+IF(AO$286="P6",COUNTIF($F$285:$AI$285,"P6")*ROWS($B$288:$B$311),0)),"")</f>
        <v/>
      </c>
      <c r="AP308" s="6" t="str" cm="1">
        <f t="array" ref="AP308">IFERROR((SUMPRODUCT(($B$288:$B$311=AP$286)*($F$285:$AI$285="")*$F$288:$AI$311)+IF(AP$286="P6",SUMPRODUCT(($F$285:$AI$285="P6")*$F$288:$AI$311),0))/(SUMPRODUCT(($B$288:$B$311=AP$286)*($F$285:$AI$285=""))+IF(AP$286="P6",COUNTIF($F$285:$AI$285,"P6")*ROWS($B$288:$B$311),0)),"")</f>
        <v/>
      </c>
      <c r="AQ308" s="6" t="str" cm="1">
        <f t="array" ref="AQ308">IFERROR((SUMPRODUCT(($B$288:$B$311=AQ$286)*($F$285:$AI$285="")*$F$288:$AI$311)+IF(AQ$286="P6",SUMPRODUCT(($F$285:$AI$285="P6")*$F$288:$AI$311),0))/(SUMPRODUCT(($B$288:$B$311=AQ$286)*($F$285:$AI$285=""))+IF(AQ$286="P6",COUNTIF($F$285:$AI$285,"P6")*ROWS($B$288:$B$311),0)),"")</f>
        <v/>
      </c>
      <c r="AR308" s="6" cm="1">
        <f t="array" ref="AR308">IFERROR((SUMPRODUCT(($B$288:$B$311=AR$286)*($F$285:$AI$285="")*$F$288:$AI$311)+IF(AR$286="P6",SUMPRODUCT(($F$285:$AI$285="P6")*$F$288:$AI$311),0))/(SUMPRODUCT(($B$288:$B$311=AR$286)*($F$285:$AI$285=""))+IF(AR$286="P6",COUNTIF($F$285:$AI$285,"P6")*ROWS($B$288:$B$311),0)),"")</f>
        <v>0.90913468750000026</v>
      </c>
    </row>
    <row r="309" spans="1:44" ht="14.25" customHeight="1" x14ac:dyDescent="0.35">
      <c r="A309" s="1" t="s">
        <v>13</v>
      </c>
      <c r="B309" s="1" t="s">
        <v>13</v>
      </c>
      <c r="C309" s="1" t="s">
        <v>13</v>
      </c>
      <c r="D309" s="1" t="s">
        <v>15</v>
      </c>
      <c r="E309" s="1" t="s">
        <v>40</v>
      </c>
      <c r="F309" s="1">
        <v>0.84914999999999996</v>
      </c>
      <c r="G309" s="1">
        <v>0.84314</v>
      </c>
      <c r="H309" s="1">
        <v>0.85241</v>
      </c>
      <c r="I309" s="1">
        <v>0.86453999999999998</v>
      </c>
      <c r="J309" s="1">
        <v>0.87338000000000005</v>
      </c>
      <c r="K309" s="1">
        <v>0.89344999999999997</v>
      </c>
      <c r="L309" s="1">
        <v>0.86955000000000005</v>
      </c>
      <c r="M309" s="1">
        <v>0.84914999999999996</v>
      </c>
      <c r="N309" s="1">
        <v>0.84314</v>
      </c>
      <c r="O309" s="1">
        <v>0.85241</v>
      </c>
      <c r="P309" s="1">
        <v>0.86453999999999998</v>
      </c>
      <c r="Q309" s="1">
        <v>0.87338000000000005</v>
      </c>
      <c r="R309" s="1">
        <v>0.89344999999999997</v>
      </c>
      <c r="S309" s="1">
        <v>0.86955000000000005</v>
      </c>
      <c r="T309" s="1">
        <v>0.84914999999999996</v>
      </c>
      <c r="U309" s="1">
        <v>0.84314</v>
      </c>
      <c r="V309" s="1">
        <v>0.85241</v>
      </c>
      <c r="W309" s="1">
        <v>0.86453999999999998</v>
      </c>
      <c r="X309" s="1">
        <v>0.87338000000000005</v>
      </c>
      <c r="Y309" s="1">
        <v>0.89344999999999997</v>
      </c>
      <c r="Z309" s="1">
        <v>0.86955000000000005</v>
      </c>
      <c r="AA309" s="1">
        <v>0.84914999999999996</v>
      </c>
      <c r="AB309" s="1">
        <v>0.84314</v>
      </c>
      <c r="AC309" s="1">
        <v>0.85241</v>
      </c>
      <c r="AD309" s="1">
        <v>0.86453999999999998</v>
      </c>
      <c r="AE309" s="1">
        <v>0.87338000000000005</v>
      </c>
      <c r="AF309" s="1">
        <v>0.89344999999999997</v>
      </c>
      <c r="AG309" s="1">
        <v>0.86955000000000005</v>
      </c>
      <c r="AH309" s="1">
        <v>0.84914999999999996</v>
      </c>
      <c r="AI309" s="1">
        <v>0.84314</v>
      </c>
      <c r="AL309" s="4" t="s">
        <v>23</v>
      </c>
      <c r="AM309" s="6" cm="1">
        <f t="array" ref="AM309">IFERROR((SUMPRODUCT(($B$288:$B$311=AM$286)*($F$285:$AI$285="")*$F$288:$AI$311)+IF(AM$286="P6",SUMPRODUCT(($F$285:$AI$285="P6")*$F$288:$AI$311),0))/(SUMPRODUCT(($B$288:$B$311=AM$286)*($F$285:$AI$285=""))+IF(AM$286="P6",COUNTIF($F$285:$AI$285,"P6")*ROWS($B$288:$B$311),0)),"")</f>
        <v>0.86073841269841367</v>
      </c>
      <c r="AN309" s="6" cm="1">
        <f t="array" ref="AN309">IFERROR((SUMPRODUCT(($B$288:$B$311=AN$286)*($F$285:$AI$285="")*$F$288:$AI$311)+IF(AN$286="P6",SUMPRODUCT(($F$285:$AI$285="P6")*$F$288:$AI$311),0))/(SUMPRODUCT(($B$288:$B$311=AN$286)*($F$285:$AI$285=""))+IF(AN$286="P6",COUNTIF($F$285:$AI$285,"P6")*ROWS($B$288:$B$311),0)),"")</f>
        <v>0.90164925170068022</v>
      </c>
      <c r="AO309" s="6" t="str" cm="1">
        <f t="array" ref="AO309">IFERROR((SUMPRODUCT(($B$288:$B$311=AO$286)*($F$285:$AI$285="")*$F$288:$AI$311)+IF(AO$286="P6",SUMPRODUCT(($F$285:$AI$285="P6")*$F$288:$AI$311),0))/(SUMPRODUCT(($B$288:$B$311=AO$286)*($F$285:$AI$285=""))+IF(AO$286="P6",COUNTIF($F$285:$AI$285,"P6")*ROWS($B$288:$B$311),0)),"")</f>
        <v/>
      </c>
      <c r="AP309" s="6" t="str" cm="1">
        <f t="array" ref="AP309">IFERROR((SUMPRODUCT(($B$288:$B$311=AP$286)*($F$285:$AI$285="")*$F$288:$AI$311)+IF(AP$286="P6",SUMPRODUCT(($F$285:$AI$285="P6")*$F$288:$AI$311),0))/(SUMPRODUCT(($B$288:$B$311=AP$286)*($F$285:$AI$285=""))+IF(AP$286="P6",COUNTIF($F$285:$AI$285,"P6")*ROWS($B$288:$B$311),0)),"")</f>
        <v/>
      </c>
      <c r="AQ309" s="6" t="str" cm="1">
        <f t="array" ref="AQ309">IFERROR((SUMPRODUCT(($B$288:$B$311=AQ$286)*($F$285:$AI$285="")*$F$288:$AI$311)+IF(AQ$286="P6",SUMPRODUCT(($F$285:$AI$285="P6")*$F$288:$AI$311),0))/(SUMPRODUCT(($B$288:$B$311=AQ$286)*($F$285:$AI$285=""))+IF(AQ$286="P6",COUNTIF($F$285:$AI$285,"P6")*ROWS($B$288:$B$311),0)),"")</f>
        <v/>
      </c>
      <c r="AR309" s="6" cm="1">
        <f t="array" ref="AR309">IFERROR((SUMPRODUCT(($B$288:$B$311=AR$286)*($F$285:$AI$285="")*$F$288:$AI$311)+IF(AR$286="P6",SUMPRODUCT(($F$285:$AI$285="P6")*$F$288:$AI$311),0))/(SUMPRODUCT(($B$288:$B$311=AR$286)*($F$285:$AI$285=""))+IF(AR$286="P6",COUNTIF($F$285:$AI$285,"P6")*ROWS($B$288:$B$311),0)),"")</f>
        <v>0.90913468750000026</v>
      </c>
    </row>
    <row r="310" spans="1:44" ht="14.25" customHeight="1" x14ac:dyDescent="0.35">
      <c r="A310" s="1" t="s">
        <v>15</v>
      </c>
      <c r="B310" s="1" t="s">
        <v>14</v>
      </c>
      <c r="C310" s="1" t="s">
        <v>14</v>
      </c>
      <c r="D310" s="1" t="s">
        <v>16</v>
      </c>
      <c r="E310" s="1" t="s">
        <v>41</v>
      </c>
      <c r="F310" s="1">
        <v>0.87663999999999997</v>
      </c>
      <c r="G310" s="1">
        <v>0.91015999999999997</v>
      </c>
      <c r="H310" s="1">
        <v>0.92584999999999995</v>
      </c>
      <c r="I310" s="1">
        <v>0.92766000000000004</v>
      </c>
      <c r="J310" s="1">
        <v>0.92925999999999997</v>
      </c>
      <c r="K310" s="1">
        <v>0.95626999999999995</v>
      </c>
      <c r="L310" s="1">
        <v>0.9012</v>
      </c>
      <c r="M310" s="1">
        <v>0.87663999999999997</v>
      </c>
      <c r="N310" s="1">
        <v>0.91015999999999997</v>
      </c>
      <c r="O310" s="1">
        <v>0.92584999999999995</v>
      </c>
      <c r="P310" s="1">
        <v>0.92766000000000004</v>
      </c>
      <c r="Q310" s="1">
        <v>0.92925999999999997</v>
      </c>
      <c r="R310" s="1">
        <v>0.95626999999999995</v>
      </c>
      <c r="S310" s="1">
        <v>0.9012</v>
      </c>
      <c r="T310" s="1">
        <v>0.87663999999999997</v>
      </c>
      <c r="U310" s="1">
        <v>0.91015999999999997</v>
      </c>
      <c r="V310" s="1">
        <v>0.92584999999999995</v>
      </c>
      <c r="W310" s="1">
        <v>0.92766000000000004</v>
      </c>
      <c r="X310" s="1">
        <v>0.92925999999999997</v>
      </c>
      <c r="Y310" s="1">
        <v>0.95626999999999995</v>
      </c>
      <c r="Z310" s="1">
        <v>0.9012</v>
      </c>
      <c r="AA310" s="1">
        <v>0.87663999999999997</v>
      </c>
      <c r="AB310" s="1">
        <v>0.91015999999999997</v>
      </c>
      <c r="AC310" s="1">
        <v>0.92584999999999995</v>
      </c>
      <c r="AD310" s="1">
        <v>0.92766000000000004</v>
      </c>
      <c r="AE310" s="1">
        <v>0.92925999999999997</v>
      </c>
      <c r="AF310" s="1">
        <v>0.95626999999999995</v>
      </c>
      <c r="AG310" s="1">
        <v>0.9012</v>
      </c>
      <c r="AH310" s="1">
        <v>0.87663999999999997</v>
      </c>
      <c r="AI310" s="1">
        <v>0.91015999999999997</v>
      </c>
      <c r="AL310" s="4" t="s">
        <v>25</v>
      </c>
      <c r="AM310" s="6" cm="1">
        <f t="array" ref="AM310">IFERROR((SUMPRODUCT(($B$288:$B$311=AM$286)*($F$285:$AI$285="")*$F$288:$AI$311)+IF(AM$286="P6",SUMPRODUCT(($F$285:$AI$285="P6")*$F$288:$AI$311),0))/(SUMPRODUCT(($B$288:$B$311=AM$286)*($F$285:$AI$285=""))+IF(AM$286="P6",COUNTIF($F$285:$AI$285,"P6")*ROWS($B$288:$B$311),0)),"")</f>
        <v>0.86073841269841367</v>
      </c>
      <c r="AN310" s="6" cm="1">
        <f t="array" ref="AN310">IFERROR((SUMPRODUCT(($B$288:$B$311=AN$286)*($F$285:$AI$285="")*$F$288:$AI$311)+IF(AN$286="P6",SUMPRODUCT(($F$285:$AI$285="P6")*$F$288:$AI$311),0))/(SUMPRODUCT(($B$288:$B$311=AN$286)*($F$285:$AI$285=""))+IF(AN$286="P6",COUNTIF($F$285:$AI$285,"P6")*ROWS($B$288:$B$311),0)),"")</f>
        <v>0.90164925170068022</v>
      </c>
      <c r="AO310" s="6" t="str" cm="1">
        <f t="array" ref="AO310">IFERROR((SUMPRODUCT(($B$288:$B$311=AO$286)*($F$285:$AI$285="")*$F$288:$AI$311)+IF(AO$286="P6",SUMPRODUCT(($F$285:$AI$285="P6")*$F$288:$AI$311),0))/(SUMPRODUCT(($B$288:$B$311=AO$286)*($F$285:$AI$285=""))+IF(AO$286="P6",COUNTIF($F$285:$AI$285,"P6")*ROWS($B$288:$B$311),0)),"")</f>
        <v/>
      </c>
      <c r="AP310" s="6" t="str" cm="1">
        <f t="array" ref="AP310">IFERROR((SUMPRODUCT(($B$288:$B$311=AP$286)*($F$285:$AI$285="")*$F$288:$AI$311)+IF(AP$286="P6",SUMPRODUCT(($F$285:$AI$285="P6")*$F$288:$AI$311),0))/(SUMPRODUCT(($B$288:$B$311=AP$286)*($F$285:$AI$285=""))+IF(AP$286="P6",COUNTIF($F$285:$AI$285,"P6")*ROWS($B$288:$B$311),0)),"")</f>
        <v/>
      </c>
      <c r="AQ310" s="6" t="str" cm="1">
        <f t="array" ref="AQ310">IFERROR((SUMPRODUCT(($B$288:$B$311=AQ$286)*($F$285:$AI$285="")*$F$288:$AI$311)+IF(AQ$286="P6",SUMPRODUCT(($F$285:$AI$285="P6")*$F$288:$AI$311),0))/(SUMPRODUCT(($B$288:$B$311=AQ$286)*($F$285:$AI$285=""))+IF(AQ$286="P6",COUNTIF($F$285:$AI$285,"P6")*ROWS($B$288:$B$311),0)),"")</f>
        <v/>
      </c>
      <c r="AR310" s="6" cm="1">
        <f t="array" ref="AR310">IFERROR((SUMPRODUCT(($B$288:$B$311=AR$286)*($F$285:$AI$285="")*$F$288:$AI$311)+IF(AR$286="P6",SUMPRODUCT(($F$285:$AI$285="P6")*$F$288:$AI$311),0))/(SUMPRODUCT(($B$288:$B$311=AR$286)*($F$285:$AI$285=""))+IF(AR$286="P6",COUNTIF($F$285:$AI$285,"P6")*ROWS($B$288:$B$311),0)),"")</f>
        <v>0.90913468750000026</v>
      </c>
    </row>
    <row r="311" spans="1:44" ht="14.25" customHeight="1" x14ac:dyDescent="0.35">
      <c r="A311" s="1" t="s">
        <v>15</v>
      </c>
      <c r="B311" s="1" t="s">
        <v>14</v>
      </c>
      <c r="C311" s="1" t="s">
        <v>14</v>
      </c>
      <c r="D311" s="1" t="s">
        <v>16</v>
      </c>
      <c r="E311" s="1" t="s">
        <v>42</v>
      </c>
      <c r="F311" s="1">
        <v>0.90991999999999995</v>
      </c>
      <c r="G311" s="1">
        <v>0.95155999999999996</v>
      </c>
      <c r="H311" s="1">
        <v>0.94406000000000001</v>
      </c>
      <c r="I311" s="1">
        <v>0.96723000000000003</v>
      </c>
      <c r="J311" s="1">
        <v>0.97121999999999997</v>
      </c>
      <c r="K311" s="1">
        <v>0.98741000000000001</v>
      </c>
      <c r="L311" s="1">
        <v>0.92666999999999999</v>
      </c>
      <c r="M311" s="1">
        <v>0.90991999999999995</v>
      </c>
      <c r="N311" s="1">
        <v>0.95155999999999996</v>
      </c>
      <c r="O311" s="1">
        <v>0.94406000000000001</v>
      </c>
      <c r="P311" s="1">
        <v>0.96723000000000003</v>
      </c>
      <c r="Q311" s="1">
        <v>0.97121999999999997</v>
      </c>
      <c r="R311" s="1">
        <v>0.98741000000000001</v>
      </c>
      <c r="S311" s="1">
        <v>0.92666999999999999</v>
      </c>
      <c r="T311" s="1">
        <v>0.90991999999999995</v>
      </c>
      <c r="U311" s="1">
        <v>0.95155999999999996</v>
      </c>
      <c r="V311" s="1">
        <v>0.94406000000000001</v>
      </c>
      <c r="W311" s="1">
        <v>0.96723000000000003</v>
      </c>
      <c r="X311" s="1">
        <v>0.97121999999999997</v>
      </c>
      <c r="Y311" s="1">
        <v>0.98741000000000001</v>
      </c>
      <c r="Z311" s="1">
        <v>0.92666999999999999</v>
      </c>
      <c r="AA311" s="1">
        <v>0.90991999999999995</v>
      </c>
      <c r="AB311" s="1">
        <v>0.95155999999999996</v>
      </c>
      <c r="AC311" s="1">
        <v>0.94406000000000001</v>
      </c>
      <c r="AD311" s="1">
        <v>0.96723000000000003</v>
      </c>
      <c r="AE311" s="1">
        <v>0.97121999999999997</v>
      </c>
      <c r="AF311" s="1">
        <v>0.98741000000000001</v>
      </c>
      <c r="AG311" s="1">
        <v>0.92666999999999999</v>
      </c>
      <c r="AH311" s="1">
        <v>0.90991999999999995</v>
      </c>
      <c r="AI311" s="1">
        <v>0.95155999999999996</v>
      </c>
      <c r="AL311" s="4" t="s">
        <v>27</v>
      </c>
      <c r="AM311" s="6" cm="1">
        <f t="array" ref="AM311">IFERROR((SUMPRODUCT(($B$288:$B$311=AM$286)*($F$285:$AI$285="")*$F$288:$AI$311)+IF(AM$286="P6",SUMPRODUCT(($F$285:$AI$285="P6")*$F$288:$AI$311),0))/(SUMPRODUCT(($B$288:$B$311=AM$286)*($F$285:$AI$285=""))+IF(AM$286="P6",COUNTIF($F$285:$AI$285,"P6")*ROWS($B$288:$B$311),0)),"")</f>
        <v>0.86073841269841367</v>
      </c>
      <c r="AN311" s="6" cm="1">
        <f t="array" ref="AN311">IFERROR((SUMPRODUCT(($B$288:$B$311=AN$286)*($F$285:$AI$285="")*$F$288:$AI$311)+IF(AN$286="P6",SUMPRODUCT(($F$285:$AI$285="P6")*$F$288:$AI$311),0))/(SUMPRODUCT(($B$288:$B$311=AN$286)*($F$285:$AI$285=""))+IF(AN$286="P6",COUNTIF($F$285:$AI$285,"P6")*ROWS($B$288:$B$311),0)),"")</f>
        <v>0.90164925170068022</v>
      </c>
      <c r="AO311" s="6" t="str" cm="1">
        <f t="array" ref="AO311">IFERROR((SUMPRODUCT(($B$288:$B$311=AO$286)*($F$285:$AI$285="")*$F$288:$AI$311)+IF(AO$286="P6",SUMPRODUCT(($F$285:$AI$285="P6")*$F$288:$AI$311),0))/(SUMPRODUCT(($B$288:$B$311=AO$286)*($F$285:$AI$285=""))+IF(AO$286="P6",COUNTIF($F$285:$AI$285,"P6")*ROWS($B$288:$B$311),0)),"")</f>
        <v/>
      </c>
      <c r="AP311" s="6" t="str" cm="1">
        <f t="array" ref="AP311">IFERROR((SUMPRODUCT(($B$288:$B$311=AP$286)*($F$285:$AI$285="")*$F$288:$AI$311)+IF(AP$286="P6",SUMPRODUCT(($F$285:$AI$285="P6")*$F$288:$AI$311),0))/(SUMPRODUCT(($B$288:$B$311=AP$286)*($F$285:$AI$285=""))+IF(AP$286="P6",COUNTIF($F$285:$AI$285,"P6")*ROWS($B$288:$B$311),0)),"")</f>
        <v/>
      </c>
      <c r="AQ311" s="6" t="str" cm="1">
        <f t="array" ref="AQ311">IFERROR((SUMPRODUCT(($B$288:$B$311=AQ$286)*($F$285:$AI$285="")*$F$288:$AI$311)+IF(AQ$286="P6",SUMPRODUCT(($F$285:$AI$285="P6")*$F$288:$AI$311),0))/(SUMPRODUCT(($B$288:$B$311=AQ$286)*($F$285:$AI$285=""))+IF(AQ$286="P6",COUNTIF($F$285:$AI$285,"P6")*ROWS($B$288:$B$311),0)),"")</f>
        <v/>
      </c>
      <c r="AR311" s="6" cm="1">
        <f t="array" ref="AR311">IFERROR((SUMPRODUCT(($B$288:$B$311=AR$286)*($F$285:$AI$285="")*$F$288:$AI$311)+IF(AR$286="P6",SUMPRODUCT(($F$285:$AI$285="P6")*$F$288:$AI$311),0))/(SUMPRODUCT(($B$288:$B$311=AR$286)*($F$285:$AI$285=""))+IF(AR$286="P6",COUNTIF($F$285:$AI$285,"P6")*ROWS($B$288:$B$311),0)),"")</f>
        <v>0.90913468750000026</v>
      </c>
    </row>
    <row r="312" spans="1:44" ht="14.25" customHeight="1" x14ac:dyDescent="0.35">
      <c r="AL312" s="4" t="s">
        <v>29</v>
      </c>
      <c r="AM312" s="6" cm="1">
        <f t="array" ref="AM312">IFERROR((SUMPRODUCT(($B$288:$B$311=AM$286)*($F$285:$AI$285="")*$F$288:$AI$311)+IF(AM$286="P6",SUMPRODUCT(($F$285:$AI$285="P6")*$F$288:$AI$311),0))/(SUMPRODUCT(($B$288:$B$311=AM$286)*($F$285:$AI$285=""))+IF(AM$286="P6",COUNTIF($F$285:$AI$285,"P6")*ROWS($B$288:$B$311),0)),"")</f>
        <v>0.86073841269841367</v>
      </c>
      <c r="AN312" s="6" cm="1">
        <f t="array" ref="AN312">IFERROR((SUMPRODUCT(($B$288:$B$311=AN$286)*($F$285:$AI$285="")*$F$288:$AI$311)+IF(AN$286="P6",SUMPRODUCT(($F$285:$AI$285="P6")*$F$288:$AI$311),0))/(SUMPRODUCT(($B$288:$B$311=AN$286)*($F$285:$AI$285=""))+IF(AN$286="P6",COUNTIF($F$285:$AI$285,"P6")*ROWS($B$288:$B$311),0)),"")</f>
        <v>0.90164925170068022</v>
      </c>
      <c r="AO312" s="6" t="str" cm="1">
        <f t="array" ref="AO312">IFERROR((SUMPRODUCT(($B$288:$B$311=AO$286)*($F$285:$AI$285="")*$F$288:$AI$311)+IF(AO$286="P6",SUMPRODUCT(($F$285:$AI$285="P6")*$F$288:$AI$311),0))/(SUMPRODUCT(($B$288:$B$311=AO$286)*($F$285:$AI$285=""))+IF(AO$286="P6",COUNTIF($F$285:$AI$285,"P6")*ROWS($B$288:$B$311),0)),"")</f>
        <v/>
      </c>
      <c r="AP312" s="6" t="str" cm="1">
        <f t="array" ref="AP312">IFERROR((SUMPRODUCT(($B$288:$B$311=AP$286)*($F$285:$AI$285="")*$F$288:$AI$311)+IF(AP$286="P6",SUMPRODUCT(($F$285:$AI$285="P6")*$F$288:$AI$311),0))/(SUMPRODUCT(($B$288:$B$311=AP$286)*($F$285:$AI$285=""))+IF(AP$286="P6",COUNTIF($F$285:$AI$285,"P6")*ROWS($B$288:$B$311),0)),"")</f>
        <v/>
      </c>
      <c r="AQ312" s="6" t="str" cm="1">
        <f t="array" ref="AQ312">IFERROR((SUMPRODUCT(($B$288:$B$311=AQ$286)*($F$285:$AI$285="")*$F$288:$AI$311)+IF(AQ$286="P6",SUMPRODUCT(($F$285:$AI$285="P6")*$F$288:$AI$311),0))/(SUMPRODUCT(($B$288:$B$311=AQ$286)*($F$285:$AI$285=""))+IF(AQ$286="P6",COUNTIF($F$285:$AI$285,"P6")*ROWS($B$288:$B$311),0)),"")</f>
        <v/>
      </c>
      <c r="AR312" s="6" cm="1">
        <f t="array" ref="AR312">IFERROR((SUMPRODUCT(($B$288:$B$311=AR$286)*($F$285:$AI$285="")*$F$288:$AI$311)+IF(AR$286="P6",SUMPRODUCT(($F$285:$AI$285="P6")*$F$288:$AI$311),0))/(SUMPRODUCT(($B$288:$B$311=AR$286)*($F$285:$AI$285=""))+IF(AR$286="P6",COUNTIF($F$285:$AI$285,"P6")*ROWS($B$288:$B$311),0)),"")</f>
        <v>0.90913468750000026</v>
      </c>
    </row>
    <row r="316" spans="1:44" ht="14.25" customHeight="1" x14ac:dyDescent="0.35">
      <c r="A316" s="15" t="s">
        <v>189</v>
      </c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</row>
    <row r="317" spans="1:44" ht="14.25" customHeight="1" x14ac:dyDescent="0.3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</row>
    <row r="318" spans="1:44" ht="14.25" customHeight="1" x14ac:dyDescent="0.35">
      <c r="AL318" s="10"/>
      <c r="AM318" s="10"/>
      <c r="AN318" s="10"/>
      <c r="AO318" s="10"/>
      <c r="AP318" s="10"/>
      <c r="AQ318" s="10"/>
      <c r="AR318" s="10"/>
    </row>
    <row r="319" spans="1:44" ht="14.25" customHeight="1" x14ac:dyDescent="0.35">
      <c r="F319" s="1" t="str">
        <f>IF(OR(F321="S",F321="D",F322=DATE(2024,10,12)),"P3","")</f>
        <v/>
      </c>
      <c r="G319" s="1" t="str">
        <f t="shared" ref="G319:AJ319" si="33">IF(OR(G321="S",G321="D",G322=DATE(2024,10,12)),"P3","")</f>
        <v/>
      </c>
      <c r="H319" s="1" t="str">
        <f t="shared" si="33"/>
        <v/>
      </c>
      <c r="I319" s="1" t="str">
        <f t="shared" si="33"/>
        <v/>
      </c>
      <c r="J319" s="1" t="str">
        <f t="shared" si="33"/>
        <v>P3</v>
      </c>
      <c r="K319" s="1" t="str">
        <f t="shared" si="33"/>
        <v>P3</v>
      </c>
      <c r="L319" s="1" t="str">
        <f t="shared" si="33"/>
        <v/>
      </c>
      <c r="M319" s="1" t="str">
        <f t="shared" si="33"/>
        <v/>
      </c>
      <c r="N319" s="1" t="str">
        <f t="shared" si="33"/>
        <v/>
      </c>
      <c r="O319" s="1" t="str">
        <f t="shared" si="33"/>
        <v/>
      </c>
      <c r="P319" s="1" t="str">
        <f t="shared" si="33"/>
        <v/>
      </c>
      <c r="Q319" s="1" t="str">
        <f t="shared" si="33"/>
        <v>P3</v>
      </c>
      <c r="R319" s="1" t="str">
        <f t="shared" si="33"/>
        <v>P3</v>
      </c>
      <c r="S319" s="1" t="str">
        <f t="shared" si="33"/>
        <v/>
      </c>
      <c r="T319" s="1" t="str">
        <f t="shared" si="33"/>
        <v/>
      </c>
      <c r="U319" s="1" t="str">
        <f t="shared" si="33"/>
        <v/>
      </c>
      <c r="V319" s="1" t="str">
        <f t="shared" si="33"/>
        <v/>
      </c>
      <c r="W319" s="1" t="str">
        <f t="shared" si="33"/>
        <v/>
      </c>
      <c r="X319" s="1" t="str">
        <f t="shared" si="33"/>
        <v>P3</v>
      </c>
      <c r="Y319" s="1" t="str">
        <f t="shared" si="33"/>
        <v>P3</v>
      </c>
      <c r="Z319" s="1" t="str">
        <f t="shared" si="33"/>
        <v/>
      </c>
      <c r="AA319" s="1" t="str">
        <f t="shared" si="33"/>
        <v/>
      </c>
      <c r="AB319" s="1" t="str">
        <f t="shared" si="33"/>
        <v/>
      </c>
      <c r="AC319" s="1" t="str">
        <f t="shared" si="33"/>
        <v/>
      </c>
      <c r="AD319" s="1" t="str">
        <f t="shared" si="33"/>
        <v/>
      </c>
      <c r="AE319" s="1" t="str">
        <f t="shared" si="33"/>
        <v>P3</v>
      </c>
      <c r="AF319" s="1" t="str">
        <f t="shared" si="33"/>
        <v>P3</v>
      </c>
      <c r="AG319" s="1" t="str">
        <f t="shared" si="33"/>
        <v/>
      </c>
      <c r="AH319" s="1" t="str">
        <f t="shared" si="33"/>
        <v/>
      </c>
      <c r="AI319" s="1" t="str">
        <f t="shared" si="33"/>
        <v/>
      </c>
      <c r="AJ319" s="1" t="str">
        <f t="shared" si="33"/>
        <v/>
      </c>
      <c r="AL319" s="10"/>
      <c r="AM319" s="10"/>
      <c r="AN319" s="10"/>
      <c r="AO319" s="10"/>
      <c r="AP319" s="10"/>
      <c r="AQ319" s="10"/>
      <c r="AR319" s="10"/>
    </row>
    <row r="320" spans="1:44" ht="14.25" customHeight="1" x14ac:dyDescent="0.35">
      <c r="F320" s="1" t="str">
        <f>IF(OR(F321="S",F321="D",F322=DATE(2024,10,12)),"P6","")</f>
        <v/>
      </c>
      <c r="G320" s="1" t="str">
        <f t="shared" ref="G320:AJ320" si="34">IF(OR(G321="S",G321="D",G322=DATE(2024,10,12)),"P6","")</f>
        <v/>
      </c>
      <c r="H320" s="1" t="str">
        <f t="shared" si="34"/>
        <v/>
      </c>
      <c r="I320" s="1" t="str">
        <f t="shared" si="34"/>
        <v/>
      </c>
      <c r="J320" s="1" t="str">
        <f t="shared" si="34"/>
        <v>P6</v>
      </c>
      <c r="K320" s="1" t="str">
        <f t="shared" si="34"/>
        <v>P6</v>
      </c>
      <c r="L320" s="1" t="str">
        <f t="shared" si="34"/>
        <v/>
      </c>
      <c r="M320" s="1" t="str">
        <f t="shared" si="34"/>
        <v/>
      </c>
      <c r="N320" s="1" t="str">
        <f t="shared" si="34"/>
        <v/>
      </c>
      <c r="O320" s="1" t="str">
        <f t="shared" si="34"/>
        <v/>
      </c>
      <c r="P320" s="1" t="str">
        <f t="shared" si="34"/>
        <v/>
      </c>
      <c r="Q320" s="1" t="str">
        <f t="shared" si="34"/>
        <v>P6</v>
      </c>
      <c r="R320" s="1" t="str">
        <f t="shared" si="34"/>
        <v>P6</v>
      </c>
      <c r="S320" s="1" t="str">
        <f t="shared" si="34"/>
        <v/>
      </c>
      <c r="T320" s="1" t="str">
        <f t="shared" si="34"/>
        <v/>
      </c>
      <c r="U320" s="1" t="str">
        <f t="shared" si="34"/>
        <v/>
      </c>
      <c r="V320" s="1" t="str">
        <f t="shared" si="34"/>
        <v/>
      </c>
      <c r="W320" s="1" t="str">
        <f t="shared" si="34"/>
        <v/>
      </c>
      <c r="X320" s="1" t="str">
        <f t="shared" si="34"/>
        <v>P6</v>
      </c>
      <c r="Y320" s="1" t="str">
        <f t="shared" si="34"/>
        <v>P6</v>
      </c>
      <c r="Z320" s="1" t="str">
        <f t="shared" si="34"/>
        <v/>
      </c>
      <c r="AA320" s="1" t="str">
        <f t="shared" si="34"/>
        <v/>
      </c>
      <c r="AB320" s="1" t="str">
        <f t="shared" si="34"/>
        <v/>
      </c>
      <c r="AC320" s="1" t="str">
        <f t="shared" si="34"/>
        <v/>
      </c>
      <c r="AD320" s="1" t="str">
        <f t="shared" si="34"/>
        <v/>
      </c>
      <c r="AE320" s="1" t="str">
        <f t="shared" si="34"/>
        <v>P6</v>
      </c>
      <c r="AF320" s="1" t="str">
        <f t="shared" si="34"/>
        <v>P6</v>
      </c>
      <c r="AG320" s="1" t="str">
        <f t="shared" si="34"/>
        <v/>
      </c>
      <c r="AH320" s="1" t="str">
        <f t="shared" si="34"/>
        <v/>
      </c>
      <c r="AI320" s="1" t="str">
        <f t="shared" si="34"/>
        <v/>
      </c>
      <c r="AJ320" s="1" t="str">
        <f t="shared" si="34"/>
        <v/>
      </c>
      <c r="AL320" s="14" t="s">
        <v>190</v>
      </c>
      <c r="AM320" s="14"/>
      <c r="AN320" s="14"/>
      <c r="AO320" s="14"/>
      <c r="AP320" s="14"/>
      <c r="AQ320" s="14"/>
      <c r="AR320" s="14"/>
    </row>
    <row r="321" spans="1:44" ht="14.25" customHeight="1" x14ac:dyDescent="0.35">
      <c r="F321" s="1" t="str">
        <f>CHOOSE(WEEKDAY(F322,2),"L","M","X","J","V","S","D")</f>
        <v>M</v>
      </c>
      <c r="G321" s="1" t="str">
        <f t="shared" ref="G321:AJ321" si="35">CHOOSE(WEEKDAY(G322,2),"L","M","X","J","V","S","D")</f>
        <v>X</v>
      </c>
      <c r="H321" s="1" t="str">
        <f t="shared" si="35"/>
        <v>J</v>
      </c>
      <c r="I321" s="1" t="str">
        <f t="shared" si="35"/>
        <v>V</v>
      </c>
      <c r="J321" s="1" t="str">
        <f t="shared" si="35"/>
        <v>S</v>
      </c>
      <c r="K321" s="1" t="str">
        <f t="shared" si="35"/>
        <v>D</v>
      </c>
      <c r="L321" s="1" t="str">
        <f t="shared" si="35"/>
        <v>L</v>
      </c>
      <c r="M321" s="1" t="str">
        <f t="shared" si="35"/>
        <v>M</v>
      </c>
      <c r="N321" s="1" t="str">
        <f t="shared" si="35"/>
        <v>X</v>
      </c>
      <c r="O321" s="1" t="str">
        <f t="shared" si="35"/>
        <v>J</v>
      </c>
      <c r="P321" s="1" t="str">
        <f t="shared" si="35"/>
        <v>V</v>
      </c>
      <c r="Q321" s="1" t="str">
        <f t="shared" si="35"/>
        <v>S</v>
      </c>
      <c r="R321" s="1" t="str">
        <f t="shared" si="35"/>
        <v>D</v>
      </c>
      <c r="S321" s="1" t="str">
        <f t="shared" si="35"/>
        <v>L</v>
      </c>
      <c r="T321" s="1" t="str">
        <f t="shared" si="35"/>
        <v>M</v>
      </c>
      <c r="U321" s="1" t="str">
        <f t="shared" si="35"/>
        <v>X</v>
      </c>
      <c r="V321" s="1" t="str">
        <f t="shared" si="35"/>
        <v>J</v>
      </c>
      <c r="W321" s="1" t="str">
        <f t="shared" si="35"/>
        <v>V</v>
      </c>
      <c r="X321" s="1" t="str">
        <f t="shared" si="35"/>
        <v>S</v>
      </c>
      <c r="Y321" s="1" t="str">
        <f t="shared" si="35"/>
        <v>D</v>
      </c>
      <c r="Z321" s="1" t="str">
        <f t="shared" si="35"/>
        <v>L</v>
      </c>
      <c r="AA321" s="1" t="str">
        <f t="shared" si="35"/>
        <v>M</v>
      </c>
      <c r="AB321" s="1" t="str">
        <f t="shared" si="35"/>
        <v>X</v>
      </c>
      <c r="AC321" s="1" t="str">
        <f t="shared" si="35"/>
        <v>J</v>
      </c>
      <c r="AD321" s="1" t="str">
        <f t="shared" si="35"/>
        <v>V</v>
      </c>
      <c r="AE321" s="1" t="str">
        <f t="shared" si="35"/>
        <v>S</v>
      </c>
      <c r="AF321" s="1" t="str">
        <f t="shared" si="35"/>
        <v>D</v>
      </c>
      <c r="AG321" s="1" t="str">
        <f t="shared" si="35"/>
        <v>L</v>
      </c>
      <c r="AH321" s="1" t="str">
        <f t="shared" si="35"/>
        <v>M</v>
      </c>
      <c r="AI321" s="1" t="str">
        <f t="shared" si="35"/>
        <v>X</v>
      </c>
      <c r="AJ321" s="1" t="str">
        <f t="shared" si="35"/>
        <v>J</v>
      </c>
      <c r="AL321" s="4"/>
      <c r="AM321" s="4" t="s">
        <v>13</v>
      </c>
      <c r="AN321" s="4" t="s">
        <v>14</v>
      </c>
      <c r="AO321" s="4" t="s">
        <v>15</v>
      </c>
      <c r="AP321" s="4" t="s">
        <v>16</v>
      </c>
      <c r="AQ321" s="4" t="s">
        <v>17</v>
      </c>
      <c r="AR321" s="4" t="s">
        <v>7</v>
      </c>
    </row>
    <row r="322" spans="1:44" ht="14.25" customHeight="1" x14ac:dyDescent="0.35">
      <c r="A322" s="3" t="s">
        <v>76</v>
      </c>
      <c r="B322" s="3" t="s">
        <v>77</v>
      </c>
      <c r="C322" s="3" t="s">
        <v>75</v>
      </c>
      <c r="D322" s="3" t="s">
        <v>74</v>
      </c>
      <c r="F322" s="8">
        <v>45566</v>
      </c>
      <c r="G322" s="8">
        <v>45567</v>
      </c>
      <c r="H322" s="8">
        <v>45568</v>
      </c>
      <c r="I322" s="8">
        <v>45569</v>
      </c>
      <c r="J322" s="8">
        <v>45570</v>
      </c>
      <c r="K322" s="8">
        <v>45571</v>
      </c>
      <c r="L322" s="8">
        <v>45572</v>
      </c>
      <c r="M322" s="8">
        <v>45573</v>
      </c>
      <c r="N322" s="8">
        <v>45574</v>
      </c>
      <c r="O322" s="8">
        <v>45575</v>
      </c>
      <c r="P322" s="8">
        <v>45576</v>
      </c>
      <c r="Q322" s="8">
        <v>45577</v>
      </c>
      <c r="R322" s="8">
        <v>45578</v>
      </c>
      <c r="S322" s="8">
        <v>45579</v>
      </c>
      <c r="T322" s="8">
        <v>45580</v>
      </c>
      <c r="U322" s="8">
        <v>45581</v>
      </c>
      <c r="V322" s="8">
        <v>45582</v>
      </c>
      <c r="W322" s="8">
        <v>45583</v>
      </c>
      <c r="X322" s="8">
        <v>45584</v>
      </c>
      <c r="Y322" s="8">
        <v>45585</v>
      </c>
      <c r="Z322" s="8">
        <v>45586</v>
      </c>
      <c r="AA322" s="8">
        <v>45587</v>
      </c>
      <c r="AB322" s="8">
        <v>45588</v>
      </c>
      <c r="AC322" s="8">
        <v>45589</v>
      </c>
      <c r="AD322" s="8">
        <v>45590</v>
      </c>
      <c r="AE322" s="8">
        <v>45591</v>
      </c>
      <c r="AF322" s="8">
        <v>45592</v>
      </c>
      <c r="AG322" s="8">
        <v>45593</v>
      </c>
      <c r="AH322" s="8">
        <v>45594</v>
      </c>
      <c r="AI322" s="8">
        <v>45595</v>
      </c>
      <c r="AJ322" s="8">
        <v>45596</v>
      </c>
      <c r="AL322" s="4" t="s">
        <v>19</v>
      </c>
      <c r="AM322" s="6" cm="1">
        <f t="array" ref="AM322">IFERROR((SUMPRODUCT(($C$323:$C$347=AM$321)*($F$319:$AJ$319="")*$F$323:$AJ$347)+IF(AM$321="P3",SUMPRODUCT(($F$319:$AJ$319="P3")*$F$323:$AJ$347),0))/(SUMPRODUCT(($C$323:$C$347=AM$321)*($F$319:$AJ$319=""))+IF(AM$321="P3",COUNTIF($F$319:$AJ$319,"P3")*ROWS($C$323:$C$347),0)),"")</f>
        <v>0.94110592391304382</v>
      </c>
      <c r="AN322" s="6" cm="1">
        <f t="array" ref="AN322">IFERROR((SUMPRODUCT(($C$323:$C$347=AN$321)*($F$319:$AJ$319="")*$F$323:$AJ$347)+IF(AN$321="P3",SUMPRODUCT(($F$319:$AJ$319="P3")*$F$323:$AJ$347),0))/(SUMPRODUCT(($C$323:$C$347=AN$321)*($F$319:$AJ$319=""))+IF(AN$321="P3",COUNTIF($F$319:$AJ$319,"P3")*ROWS($C$323:$C$347),0)),"")</f>
        <v>1.1122594021739136</v>
      </c>
      <c r="AO322" s="6" cm="1">
        <f t="array" ref="AO322">IFERROR((SUMPRODUCT(($C$323:$C$347=AO$321)*($F$319:$AJ$319="")*$F$323:$AJ$347)+IF(AO$321="P3",SUMPRODUCT(($F$319:$AJ$319="P3")*$F$323:$AJ$347),0))/(SUMPRODUCT(($C$323:$C$347=AO$321)*($F$319:$AJ$319=""))+IF(AO$321="P3",COUNTIF($F$319:$AJ$319,"P3")*ROWS($C$323:$C$347),0)),"")</f>
        <v>0.92573555282555309</v>
      </c>
      <c r="AP322" s="6" t="str" cm="1">
        <f t="array" ref="AP322">IFERROR((SUMPRODUCT(($C$323:$C$347=AP$321)*($F$319:$AJ$319="")*$F$323:$AJ$347)+IF(AP$321="P3",SUMPRODUCT(($F$319:$AJ$319="P3")*$F$323:$AJ$347),0))/(SUMPRODUCT(($C$323:$C$347=AP$321)*($F$319:$AJ$319=""))+IF(AP$321="P3",COUNTIF($F$319:$AJ$319,"P3")*ROWS($C$323:$C$347),0)),"")</f>
        <v/>
      </c>
      <c r="AQ322" s="6" t="str" cm="1">
        <f t="array" ref="AQ322">IFERROR((SUMPRODUCT(($C$323:$C$347=AQ$321)*($F$319:$AJ$319="")*$F$323:$AJ$347)+IF(AQ$321="P3",SUMPRODUCT(($F$319:$AJ$319="P3")*$F$323:$AJ$347),0))/(SUMPRODUCT(($C$323:$C$347=AQ$321)*($F$319:$AJ$319=""))+IF(AQ$321="P3",COUNTIF($F$319:$AJ$319,"P3")*ROWS($C$323:$C$347),0)),"")</f>
        <v/>
      </c>
      <c r="AR322" s="6" t="str" cm="1">
        <f t="array" ref="AR322">IFERROR((SUMPRODUCT(($C$323:$C$347=AR$321)*($F$319:$AJ$319="")*$F$323:$AJ$347)+IF(AR$321="P3",SUMPRODUCT(($F$319:$AJ$319="P3")*$F$323:$AJ$347),0))/(SUMPRODUCT(($C$323:$C$347=AR$321)*($F$319:$AJ$319=""))+IF(AR$321="P3",COUNTIF($F$319:$AJ$319,"P3")*ROWS($C$323:$C$347),0)),"")</f>
        <v/>
      </c>
    </row>
    <row r="323" spans="1:44" ht="14.25" customHeight="1" x14ac:dyDescent="0.35">
      <c r="A323" s="1" t="s">
        <v>7</v>
      </c>
      <c r="B323" s="1" t="s">
        <v>7</v>
      </c>
      <c r="C323" s="1" t="s">
        <v>15</v>
      </c>
      <c r="D323" s="1" t="s">
        <v>7</v>
      </c>
      <c r="E323" s="1" t="s">
        <v>8</v>
      </c>
      <c r="F323" s="1">
        <v>1.0042899999999999</v>
      </c>
      <c r="G323" s="1">
        <v>1.0125</v>
      </c>
      <c r="H323" s="1">
        <v>1.0315399999999999</v>
      </c>
      <c r="I323" s="1">
        <v>1.0226</v>
      </c>
      <c r="J323" s="1">
        <v>1.03739</v>
      </c>
      <c r="K323" s="1">
        <v>1.05294</v>
      </c>
      <c r="L323" s="1">
        <v>1.0365599999999999</v>
      </c>
      <c r="M323" s="1">
        <v>1.0042899999999999</v>
      </c>
      <c r="N323" s="1">
        <v>1.0125</v>
      </c>
      <c r="O323" s="1">
        <v>1.0315399999999999</v>
      </c>
      <c r="P323" s="1">
        <v>1.0226</v>
      </c>
      <c r="Q323" s="1">
        <v>0.94882999999999995</v>
      </c>
      <c r="R323" s="1">
        <v>1.05294</v>
      </c>
      <c r="S323" s="1">
        <v>1.0365599999999999</v>
      </c>
      <c r="T323" s="1">
        <v>1.0042899999999999</v>
      </c>
      <c r="U323" s="1">
        <v>1.0125</v>
      </c>
      <c r="V323" s="1">
        <v>1.0315399999999999</v>
      </c>
      <c r="W323" s="1">
        <v>1.0226</v>
      </c>
      <c r="X323" s="1">
        <v>1.03739</v>
      </c>
      <c r="Y323" s="1">
        <v>1.05294</v>
      </c>
      <c r="Z323" s="1">
        <v>1.0365599999999999</v>
      </c>
      <c r="AA323" s="1">
        <v>1.0042899999999999</v>
      </c>
      <c r="AB323" s="1">
        <v>1.0125</v>
      </c>
      <c r="AC323" s="1">
        <v>1.0315399999999999</v>
      </c>
      <c r="AD323" s="1">
        <v>1.0226</v>
      </c>
      <c r="AE323" s="1">
        <v>1.03739</v>
      </c>
      <c r="AF323" s="1">
        <v>1.05294</v>
      </c>
      <c r="AG323" s="1">
        <v>1.0365599999999999</v>
      </c>
      <c r="AH323" s="1">
        <v>1.0042899999999999</v>
      </c>
      <c r="AI323" s="1">
        <v>1.0125</v>
      </c>
      <c r="AJ323" s="1">
        <v>1.0315399999999999</v>
      </c>
      <c r="AL323" s="4" t="s">
        <v>21</v>
      </c>
      <c r="AM323" s="6" t="str" cm="1">
        <f t="array" ref="AM323">IFERROR((SUMPRODUCT(($D$323:$D$347=AM$321)*($F$320:$AJ$320="")*$F$323:$AJ$347)+IF(AM$321="P6",SUMPRODUCT(($F$320:$AJ$320="P6")*$F$323:$AJ$347),0))/(SUMPRODUCT(($D$323:$D$347=AM$321)*($F$320:$AJ$320=""))+IF(AM$321="P6",COUNTIF($F$320:$AJ$320,"P6")*ROWS($D$323:$D$347),0)),"")</f>
        <v/>
      </c>
      <c r="AN323" s="6" t="str" cm="1">
        <f t="array" ref="AN323">IFERROR((SUMPRODUCT(($D$323:$D$347=AN$321)*($F$320:$AJ$320="")*$F$323:$AJ$347)+IF(AN$321="P6",SUMPRODUCT(($F$320:$AJ$320="P6")*$F$323:$AJ$347),0))/(SUMPRODUCT(($D$323:$D$347=AN$321)*($F$320:$AJ$320=""))+IF(AN$321="P6",COUNTIF($F$320:$AJ$320,"P6")*ROWS($D$323:$D$347),0)),"")</f>
        <v/>
      </c>
      <c r="AO323" s="6" t="str" cm="1">
        <f t="array" ref="AO323">IFERROR((SUMPRODUCT(($D$323:$D$347=AO$321)*($F$320:$AJ$320="")*$F$323:$AJ$347)+IF(AO$321="P6",SUMPRODUCT(($F$320:$AJ$320="P6")*$F$323:$AJ$347),0))/(SUMPRODUCT(($D$323:$D$347=AO$321)*($F$320:$AJ$320=""))+IF(AO$321="P6",COUNTIF($F$320:$AJ$320,"P6")*ROWS($D$323:$D$347),0)),"")</f>
        <v/>
      </c>
      <c r="AP323" s="6" cm="1">
        <f t="array" ref="AP323">IFERROR((SUMPRODUCT(($D$323:$D$347=AP$321)*($F$320:$AJ$320="")*$F$323:$AJ$347)+IF(AP$321="P6",SUMPRODUCT(($F$320:$AJ$320="P6")*$F$323:$AJ$347),0))/(SUMPRODUCT(($D$323:$D$347=AP$321)*($F$320:$AJ$320=""))+IF(AP$321="P6",COUNTIF($F$320:$AJ$320,"P6")*ROWS($D$323:$D$347),0)),"")</f>
        <v>0.93998961352656996</v>
      </c>
      <c r="AQ323" s="6" cm="1">
        <f t="array" ref="AQ323">IFERROR((SUMPRODUCT(($D$323:$D$347=AQ$321)*($F$320:$AJ$320="")*$F$323:$AJ$347)+IF(AQ$321="P6",SUMPRODUCT(($F$320:$AJ$320="P6")*$F$323:$AJ$347),0))/(SUMPRODUCT(($D$323:$D$347=AQ$321)*($F$320:$AJ$320=""))+IF(AQ$321="P6",COUNTIF($F$320:$AJ$320,"P6")*ROWS($D$323:$D$347),0)),"")</f>
        <v>1.1381451552795032</v>
      </c>
      <c r="AR323" s="6" cm="1">
        <f t="array" ref="AR323">IFERROR((SUMPRODUCT(($D$323:$D$347=AR$321)*($F$320:$AJ$320="")*$F$323:$AJ$347)+IF(AR$321="P6",SUMPRODUCT(($F$320:$AJ$320="P6")*$F$323:$AJ$347),0))/(SUMPRODUCT(($D$323:$D$347=AR$321)*($F$320:$AJ$320=""))+IF(AR$321="P6",COUNTIF($F$320:$AJ$320,"P6")*ROWS($D$323:$D$347),0)),"")</f>
        <v>0.92573555282555309</v>
      </c>
    </row>
    <row r="324" spans="1:44" ht="14.25" customHeight="1" x14ac:dyDescent="0.35">
      <c r="A324" s="1" t="s">
        <v>7</v>
      </c>
      <c r="B324" s="1" t="s">
        <v>7</v>
      </c>
      <c r="C324" s="1" t="s">
        <v>15</v>
      </c>
      <c r="D324" s="1" t="s">
        <v>7</v>
      </c>
      <c r="E324" s="1" t="s">
        <v>9</v>
      </c>
      <c r="F324" s="1">
        <v>1.03895</v>
      </c>
      <c r="G324" s="1">
        <v>1.0609</v>
      </c>
      <c r="H324" s="1">
        <v>1.0630999999999999</v>
      </c>
      <c r="I324" s="1">
        <v>1.0649200000000001</v>
      </c>
      <c r="J324" s="1">
        <v>1.0725199999999999</v>
      </c>
      <c r="K324" s="1">
        <v>1.10226</v>
      </c>
      <c r="L324" s="1">
        <v>1.0972500000000001</v>
      </c>
      <c r="M324" s="1">
        <v>1.03895</v>
      </c>
      <c r="N324" s="1">
        <v>1.0609</v>
      </c>
      <c r="O324" s="1">
        <v>1.0630999999999999</v>
      </c>
      <c r="P324" s="1">
        <v>1.0649200000000001</v>
      </c>
      <c r="Q324" s="1">
        <v>0.99746000000000001</v>
      </c>
      <c r="R324" s="1">
        <v>1.10226</v>
      </c>
      <c r="S324" s="1">
        <v>1.0972500000000001</v>
      </c>
      <c r="T324" s="1">
        <v>1.03895</v>
      </c>
      <c r="U324" s="1">
        <v>1.0609</v>
      </c>
      <c r="V324" s="1">
        <v>1.0630999999999999</v>
      </c>
      <c r="W324" s="1">
        <v>1.0649200000000001</v>
      </c>
      <c r="X324" s="1">
        <v>1.0725199999999999</v>
      </c>
      <c r="Y324" s="1">
        <v>1.10226</v>
      </c>
      <c r="Z324" s="1">
        <v>1.0972500000000001</v>
      </c>
      <c r="AA324" s="1">
        <v>1.03895</v>
      </c>
      <c r="AB324" s="1">
        <v>1.0609</v>
      </c>
      <c r="AC324" s="1">
        <v>1.0630999999999999</v>
      </c>
      <c r="AD324" s="1">
        <v>1.0649200000000001</v>
      </c>
      <c r="AE324" s="1">
        <v>1.0725199999999999</v>
      </c>
      <c r="AF324" s="1">
        <v>1.10226</v>
      </c>
      <c r="AG324" s="1">
        <v>1.0972500000000001</v>
      </c>
      <c r="AH324" s="1">
        <v>1.03895</v>
      </c>
      <c r="AI324" s="1">
        <v>1.0609</v>
      </c>
      <c r="AJ324" s="1">
        <v>1.0630999999999999</v>
      </c>
      <c r="AL324" s="4" t="s">
        <v>23</v>
      </c>
      <c r="AM324" s="6" t="str" cm="1">
        <f t="array" ref="AM324">IFERROR((SUMPRODUCT(($D$323:$D$347=AM$321)*($F$320:$AJ$320="")*$F$323:$AJ$347)+IF(AM$321="P6",SUMPRODUCT(($F$320:$AJ$320="P6")*$F$323:$AJ$347),0))/(SUMPRODUCT(($D$323:$D$347=AM$321)*($F$320:$AJ$320=""))+IF(AM$321="P6",COUNTIF($F$320:$AJ$320,"P6")*ROWS($D$323:$D$347),0)),"")</f>
        <v/>
      </c>
      <c r="AN324" s="6" t="str" cm="1">
        <f t="array" ref="AN324">IFERROR((SUMPRODUCT(($D$323:$D$347=AN$321)*($F$320:$AJ$320="")*$F$323:$AJ$347)+IF(AN$321="P6",SUMPRODUCT(($F$320:$AJ$320="P6")*$F$323:$AJ$347),0))/(SUMPRODUCT(($D$323:$D$347=AN$321)*($F$320:$AJ$320=""))+IF(AN$321="P6",COUNTIF($F$320:$AJ$320,"P6")*ROWS($D$323:$D$347),0)),"")</f>
        <v/>
      </c>
      <c r="AO324" s="5" t="str" cm="1">
        <f t="array" ref="AO324">IFERROR((SUMPRODUCT(($D$323:$D$347=AO$321)*($F$320:$AJ$320="")*$F$323:$AJ$347)+IF(AO$321="P6",SUMPRODUCT(($F$320:$AJ$320="P6")*$F$323:$AJ$347),0))/(SUMPRODUCT(($D$323:$D$347=AO$321)*($F$320:$AJ$320=""))+IF(AO$321="P6",COUNTIF($F$320:$AJ$320,"P6")*ROWS($D$323:$D$347),0)),"")</f>
        <v/>
      </c>
      <c r="AP324" s="5" cm="1">
        <f t="array" ref="AP324">IFERROR((SUMPRODUCT(($D$323:$D$347=AP$321)*($F$320:$AJ$320="")*$F$323:$AJ$347)+IF(AP$321="P6",SUMPRODUCT(($F$320:$AJ$320="P6")*$F$323:$AJ$347),0))/(SUMPRODUCT(($D$323:$D$347=AP$321)*($F$320:$AJ$320=""))+IF(AP$321="P6",COUNTIF($F$320:$AJ$320,"P6")*ROWS($D$323:$D$347),0)),"")</f>
        <v>0.93998961352656996</v>
      </c>
      <c r="AQ324" s="5" cm="1">
        <f t="array" ref="AQ324">IFERROR((SUMPRODUCT(($D$323:$D$347=AQ$321)*($F$320:$AJ$320="")*$F$323:$AJ$347)+IF(AQ$321="P6",SUMPRODUCT(($F$320:$AJ$320="P6")*$F$323:$AJ$347),0))/(SUMPRODUCT(($D$323:$D$347=AQ$321)*($F$320:$AJ$320=""))+IF(AQ$321="P6",COUNTIF($F$320:$AJ$320,"P6")*ROWS($D$323:$D$347),0)),"")</f>
        <v>1.1381451552795032</v>
      </c>
      <c r="AR324" s="6" cm="1">
        <f t="array" ref="AR324">IFERROR((SUMPRODUCT(($D$323:$D$347=AR$321)*($F$320:$AJ$320="")*$F$323:$AJ$347)+IF(AR$321="P6",SUMPRODUCT(($F$320:$AJ$320="P6")*$F$323:$AJ$347),0))/(SUMPRODUCT(($D$323:$D$347=AR$321)*($F$320:$AJ$320=""))+IF(AR$321="P6",COUNTIF($F$320:$AJ$320,"P6")*ROWS($D$323:$D$347),0)),"")</f>
        <v>0.92573555282555309</v>
      </c>
    </row>
    <row r="325" spans="1:44" ht="14.25" customHeight="1" x14ac:dyDescent="0.35">
      <c r="A325" s="1" t="s">
        <v>7</v>
      </c>
      <c r="B325" s="1" t="s">
        <v>7</v>
      </c>
      <c r="C325" s="1" t="s">
        <v>15</v>
      </c>
      <c r="D325" s="1" t="s">
        <v>7</v>
      </c>
      <c r="E325" s="1" t="s">
        <v>10</v>
      </c>
      <c r="F325" s="1">
        <v>1.0611299999999999</v>
      </c>
      <c r="G325" s="1">
        <v>1.07551</v>
      </c>
      <c r="H325" s="1">
        <v>1.0940399999999999</v>
      </c>
      <c r="I325" s="1">
        <v>1.09012</v>
      </c>
      <c r="J325" s="1">
        <v>1.1034999999999999</v>
      </c>
      <c r="K325" s="1">
        <v>1.14358</v>
      </c>
      <c r="L325" s="1">
        <v>1.11849</v>
      </c>
      <c r="M325" s="1">
        <v>1.0611299999999999</v>
      </c>
      <c r="N325" s="1">
        <v>1.07551</v>
      </c>
      <c r="O325" s="1">
        <v>1.0940399999999999</v>
      </c>
      <c r="P325" s="1">
        <v>1.09012</v>
      </c>
      <c r="Q325" s="1">
        <v>1.0201499999999999</v>
      </c>
      <c r="R325" s="1">
        <v>1.14358</v>
      </c>
      <c r="S325" s="1">
        <v>1.11849</v>
      </c>
      <c r="T325" s="1">
        <v>1.0611299999999999</v>
      </c>
      <c r="U325" s="1">
        <v>1.07551</v>
      </c>
      <c r="V325" s="1">
        <v>1.0940399999999999</v>
      </c>
      <c r="W325" s="1">
        <v>1.09012</v>
      </c>
      <c r="X325" s="1">
        <v>1.1034999999999999</v>
      </c>
      <c r="Y325" s="1">
        <v>1.14358</v>
      </c>
      <c r="Z325" s="1">
        <v>1.11849</v>
      </c>
      <c r="AA325" s="1">
        <v>1.0611299999999999</v>
      </c>
      <c r="AB325" s="1">
        <v>1.07551</v>
      </c>
      <c r="AC325" s="1">
        <v>1.0940399999999999</v>
      </c>
      <c r="AD325" s="1">
        <v>1.09012</v>
      </c>
      <c r="AE325" s="1">
        <v>1.1034999999999999</v>
      </c>
      <c r="AF325" s="1">
        <v>1.14358</v>
      </c>
      <c r="AG325" s="1">
        <v>1.11849</v>
      </c>
      <c r="AH325" s="1">
        <v>1.0611299999999999</v>
      </c>
      <c r="AI325" s="1">
        <v>1.07551</v>
      </c>
      <c r="AJ325" s="1">
        <v>1.0940399999999999</v>
      </c>
      <c r="AL325" s="4" t="s">
        <v>25</v>
      </c>
      <c r="AM325" s="6" t="str" cm="1">
        <f t="array" ref="AM325">IFERROR((SUMPRODUCT(($D$323:$D$347=AM$321)*($F$320:$AJ$320="")*$F$323:$AJ$347)+IF(AM$321="P6",SUMPRODUCT(($F$320:$AJ$320="P6")*$F$323:$AJ$347),0))/(SUMPRODUCT(($D$323:$D$347=AM$321)*($F$320:$AJ$320=""))+IF(AM$321="P6",COUNTIF($F$320:$AJ$320,"P6")*ROWS($D$323:$D$347),0)),"")</f>
        <v/>
      </c>
      <c r="AN325" s="6" t="str" cm="1">
        <f t="array" ref="AN325">IFERROR((SUMPRODUCT(($D$323:$D$347=AN$321)*($F$320:$AJ$320="")*$F$323:$AJ$347)+IF(AN$321="P6",SUMPRODUCT(($F$320:$AJ$320="P6")*$F$323:$AJ$347),0))/(SUMPRODUCT(($D$323:$D$347=AN$321)*($F$320:$AJ$320=""))+IF(AN$321="P6",COUNTIF($F$320:$AJ$320,"P6")*ROWS($D$323:$D$347),0)),"")</f>
        <v/>
      </c>
      <c r="AO325" s="5" t="str" cm="1">
        <f t="array" ref="AO325">IFERROR((SUMPRODUCT(($D$323:$D$347=AO$321)*($F$320:$AJ$320="")*$F$323:$AJ$347)+IF(AO$321="P6",SUMPRODUCT(($F$320:$AJ$320="P6")*$F$323:$AJ$347),0))/(SUMPRODUCT(($D$323:$D$347=AO$321)*($F$320:$AJ$320=""))+IF(AO$321="P6",COUNTIF($F$320:$AJ$320,"P6")*ROWS($D$323:$D$347),0)),"")</f>
        <v/>
      </c>
      <c r="AP325" s="5" cm="1">
        <f t="array" ref="AP325">IFERROR((SUMPRODUCT(($D$323:$D$347=AP$321)*($F$320:$AJ$320="")*$F$323:$AJ$347)+IF(AP$321="P6",SUMPRODUCT(($F$320:$AJ$320="P6")*$F$323:$AJ$347),0))/(SUMPRODUCT(($D$323:$D$347=AP$321)*($F$320:$AJ$320=""))+IF(AP$321="P6",COUNTIF($F$320:$AJ$320,"P6")*ROWS($D$323:$D$347),0)),"")</f>
        <v>0.93998961352656996</v>
      </c>
      <c r="AQ325" s="5" cm="1">
        <f t="array" ref="AQ325">IFERROR((SUMPRODUCT(($D$323:$D$347=AQ$321)*($F$320:$AJ$320="")*$F$323:$AJ$347)+IF(AQ$321="P6",SUMPRODUCT(($F$320:$AJ$320="P6")*$F$323:$AJ$347),0))/(SUMPRODUCT(($D$323:$D$347=AQ$321)*($F$320:$AJ$320=""))+IF(AQ$321="P6",COUNTIF($F$320:$AJ$320,"P6")*ROWS($D$323:$D$347),0)),"")</f>
        <v>1.1381451552795032</v>
      </c>
      <c r="AR325" s="6" cm="1">
        <f t="array" ref="AR325">IFERROR((SUMPRODUCT(($D$323:$D$347=AR$321)*($F$320:$AJ$320="")*$F$323:$AJ$347)+IF(AR$321="P6",SUMPRODUCT(($F$320:$AJ$320="P6")*$F$323:$AJ$347),0))/(SUMPRODUCT(($D$323:$D$347=AR$321)*($F$320:$AJ$320=""))+IF(AR$321="P6",COUNTIF($F$320:$AJ$320,"P6")*ROWS($D$323:$D$347),0)),"")</f>
        <v>0.92573555282555309</v>
      </c>
    </row>
    <row r="326" spans="1:44" ht="14.25" customHeight="1" x14ac:dyDescent="0.35">
      <c r="A326" s="1" t="s">
        <v>7</v>
      </c>
      <c r="B326" s="1" t="s">
        <v>7</v>
      </c>
      <c r="C326" s="1" t="s">
        <v>15</v>
      </c>
      <c r="D326" s="1" t="s">
        <v>7</v>
      </c>
      <c r="E326" s="1" t="s">
        <v>11</v>
      </c>
      <c r="F326" s="1">
        <v>1.06592</v>
      </c>
      <c r="G326" s="1">
        <v>1.07812</v>
      </c>
      <c r="H326" s="1">
        <v>1.1085799999999999</v>
      </c>
      <c r="I326" s="1">
        <v>1.10703</v>
      </c>
      <c r="J326" s="1">
        <v>1.1279399999999999</v>
      </c>
      <c r="K326" s="1">
        <v>1.1148899999999999</v>
      </c>
      <c r="L326" s="1">
        <v>1.12443</v>
      </c>
      <c r="M326" s="1">
        <v>1.06592</v>
      </c>
      <c r="N326" s="1">
        <v>1.07812</v>
      </c>
      <c r="O326" s="1">
        <v>1.1085799999999999</v>
      </c>
      <c r="P326" s="1">
        <v>1.10703</v>
      </c>
      <c r="Q326" s="1">
        <v>1.0146999999999999</v>
      </c>
      <c r="R326" s="1">
        <v>1.1148899999999999</v>
      </c>
      <c r="S326" s="1">
        <v>1.12443</v>
      </c>
      <c r="T326" s="1">
        <v>1.06592</v>
      </c>
      <c r="U326" s="1">
        <v>1.07812</v>
      </c>
      <c r="V326" s="1">
        <v>1.1085799999999999</v>
      </c>
      <c r="W326" s="1">
        <v>1.10703</v>
      </c>
      <c r="X326" s="1">
        <v>1.1279399999999999</v>
      </c>
      <c r="Y326" s="1">
        <v>1.1148899999999999</v>
      </c>
      <c r="Z326" s="1">
        <v>1.12443</v>
      </c>
      <c r="AA326" s="1">
        <v>1.06592</v>
      </c>
      <c r="AB326" s="1">
        <v>1.07812</v>
      </c>
      <c r="AC326" s="1">
        <v>1.1085799999999999</v>
      </c>
      <c r="AD326" s="1">
        <v>1.10703</v>
      </c>
      <c r="AE326" s="1">
        <v>1.1279399999999999</v>
      </c>
      <c r="AF326" s="1">
        <v>1.1148899999999999</v>
      </c>
      <c r="AG326" s="1">
        <v>1.12443</v>
      </c>
      <c r="AH326" s="1">
        <v>1.06592</v>
      </c>
      <c r="AI326" s="1">
        <v>1.07812</v>
      </c>
      <c r="AJ326" s="1">
        <v>1.1085799999999999</v>
      </c>
      <c r="AL326" s="4" t="s">
        <v>27</v>
      </c>
      <c r="AM326" s="6" t="str" cm="1">
        <f t="array" ref="AM326">IFERROR((SUMPRODUCT(($D$323:$D$347=AM$321)*($F$320:$AJ$320="")*$F$323:$AJ$347)+IF(AM$321="P6",SUMPRODUCT(($F$320:$AJ$320="P6")*$F$323:$AJ$347),0))/(SUMPRODUCT(($D$323:$D$347=AM$321)*($F$320:$AJ$320=""))+IF(AM$321="P6",COUNTIF($F$320:$AJ$320,"P6")*ROWS($D$323:$D$347),0)),"")</f>
        <v/>
      </c>
      <c r="AN326" s="6" t="str" cm="1">
        <f t="array" ref="AN326">IFERROR((SUMPRODUCT(($D$323:$D$347=AN$321)*($F$320:$AJ$320="")*$F$323:$AJ$347)+IF(AN$321="P6",SUMPRODUCT(($F$320:$AJ$320="P6")*$F$323:$AJ$347),0))/(SUMPRODUCT(($D$323:$D$347=AN$321)*($F$320:$AJ$320=""))+IF(AN$321="P6",COUNTIF($F$320:$AJ$320,"P6")*ROWS($D$323:$D$347),0)),"")</f>
        <v/>
      </c>
      <c r="AO326" s="5" t="str" cm="1">
        <f t="array" ref="AO326">IFERROR((SUMPRODUCT(($D$323:$D$347=AO$321)*($F$320:$AJ$320="")*$F$323:$AJ$347)+IF(AO$321="P6",SUMPRODUCT(($F$320:$AJ$320="P6")*$F$323:$AJ$347),0))/(SUMPRODUCT(($D$323:$D$347=AO$321)*($F$320:$AJ$320=""))+IF(AO$321="P6",COUNTIF($F$320:$AJ$320,"P6")*ROWS($D$323:$D$347),0)),"")</f>
        <v/>
      </c>
      <c r="AP326" s="5" cm="1">
        <f t="array" ref="AP326">IFERROR((SUMPRODUCT(($D$323:$D$347=AP$321)*($F$320:$AJ$320="")*$F$323:$AJ$347)+IF(AP$321="P6",SUMPRODUCT(($F$320:$AJ$320="P6")*$F$323:$AJ$347),0))/(SUMPRODUCT(($D$323:$D$347=AP$321)*($F$320:$AJ$320=""))+IF(AP$321="P6",COUNTIF($F$320:$AJ$320,"P6")*ROWS($D$323:$D$347),0)),"")</f>
        <v>0.93998961352656996</v>
      </c>
      <c r="AQ326" s="5" cm="1">
        <f t="array" ref="AQ326">IFERROR((SUMPRODUCT(($D$323:$D$347=AQ$321)*($F$320:$AJ$320="")*$F$323:$AJ$347)+IF(AQ$321="P6",SUMPRODUCT(($F$320:$AJ$320="P6")*$F$323:$AJ$347),0))/(SUMPRODUCT(($D$323:$D$347=AQ$321)*($F$320:$AJ$320=""))+IF(AQ$321="P6",COUNTIF($F$320:$AJ$320,"P6")*ROWS($D$323:$D$347),0)),"")</f>
        <v>1.1381451552795032</v>
      </c>
      <c r="AR326" s="6" cm="1">
        <f t="array" ref="AR326">IFERROR((SUMPRODUCT(($D$323:$D$347=AR$321)*($F$320:$AJ$320="")*$F$323:$AJ$347)+IF(AR$321="P6",SUMPRODUCT(($F$320:$AJ$320="P6")*$F$323:$AJ$347),0))/(SUMPRODUCT(($D$323:$D$347=AR$321)*($F$320:$AJ$320=""))+IF(AR$321="P6",COUNTIF($F$320:$AJ$320,"P6")*ROWS($D$323:$D$347),0)),"")</f>
        <v>0.92573555282555309</v>
      </c>
    </row>
    <row r="327" spans="1:44" ht="14.25" customHeight="1" x14ac:dyDescent="0.35">
      <c r="A327" s="1" t="s">
        <v>7</v>
      </c>
      <c r="B327" s="1" t="s">
        <v>7</v>
      </c>
      <c r="C327" s="1" t="s">
        <v>15</v>
      </c>
      <c r="D327" s="1" t="s">
        <v>7</v>
      </c>
      <c r="E327" s="1" t="s">
        <v>12</v>
      </c>
      <c r="F327" s="1">
        <v>1.05904</v>
      </c>
      <c r="G327" s="1">
        <v>1.07524</v>
      </c>
      <c r="H327" s="1">
        <v>1.11955</v>
      </c>
      <c r="I327" s="1">
        <v>1.1119699999999999</v>
      </c>
      <c r="J327" s="1">
        <v>1.1374</v>
      </c>
      <c r="K327" s="1">
        <v>1.14137</v>
      </c>
      <c r="L327" s="1">
        <v>1.1134200000000001</v>
      </c>
      <c r="M327" s="1">
        <v>1.05904</v>
      </c>
      <c r="N327" s="1">
        <v>1.07524</v>
      </c>
      <c r="O327" s="1">
        <v>1.11955</v>
      </c>
      <c r="P327" s="1">
        <v>1.1119699999999999</v>
      </c>
      <c r="Q327" s="1">
        <v>1.0169600000000001</v>
      </c>
      <c r="R327" s="1">
        <v>1.14137</v>
      </c>
      <c r="S327" s="1">
        <v>1.1134200000000001</v>
      </c>
      <c r="T327" s="1">
        <v>1.05904</v>
      </c>
      <c r="U327" s="1">
        <v>1.07524</v>
      </c>
      <c r="V327" s="1">
        <v>1.11955</v>
      </c>
      <c r="W327" s="1">
        <v>1.1119699999999999</v>
      </c>
      <c r="X327" s="1">
        <v>1.1374</v>
      </c>
      <c r="Y327" s="1">
        <v>1.14137</v>
      </c>
      <c r="Z327" s="1">
        <v>1.1134200000000001</v>
      </c>
      <c r="AA327" s="1">
        <v>1.05904</v>
      </c>
      <c r="AB327" s="1">
        <v>1.07524</v>
      </c>
      <c r="AC327" s="1">
        <v>1.11955</v>
      </c>
      <c r="AD327" s="1">
        <v>1.1119699999999999</v>
      </c>
      <c r="AE327" s="1">
        <v>1.1374</v>
      </c>
      <c r="AF327" s="1">
        <v>1.14137</v>
      </c>
      <c r="AG327" s="1">
        <v>1.1134200000000001</v>
      </c>
      <c r="AH327" s="1">
        <v>1.05904</v>
      </c>
      <c r="AI327" s="1">
        <v>1.07524</v>
      </c>
      <c r="AJ327" s="1">
        <v>1.11955</v>
      </c>
      <c r="AL327" s="4" t="s">
        <v>29</v>
      </c>
      <c r="AM327" s="6" t="str" cm="1">
        <f t="array" ref="AM327">IFERROR((SUMPRODUCT(($D$323:$D$347=AM$321)*($F$320:$AJ$320="")*$F$323:$AJ$347)+IF(AM$321="P6",SUMPRODUCT(($F$320:$AJ$320="P6")*$F$323:$AJ$347),0))/(SUMPRODUCT(($D$323:$D$347=AM$321)*($F$320:$AJ$320=""))+IF(AM$321="P6",COUNTIF($F$320:$AJ$320,"P6")*ROWS($D$323:$D$347),0)),"")</f>
        <v/>
      </c>
      <c r="AN327" s="6" t="str" cm="1">
        <f t="array" ref="AN327">IFERROR((SUMPRODUCT(($D$323:$D$347=AN$321)*($F$320:$AJ$320="")*$F$323:$AJ$347)+IF(AN$321="P6",SUMPRODUCT(($F$320:$AJ$320="P6")*$F$323:$AJ$347),0))/(SUMPRODUCT(($D$323:$D$347=AN$321)*($F$320:$AJ$320=""))+IF(AN$321="P6",COUNTIF($F$320:$AJ$320,"P6")*ROWS($D$323:$D$347),0)),"")</f>
        <v/>
      </c>
      <c r="AO327" s="5" t="str" cm="1">
        <f t="array" ref="AO327">IFERROR((SUMPRODUCT(($D$323:$D$347=AO$321)*($F$320:$AJ$320="")*$F$323:$AJ$347)+IF(AO$321="P6",SUMPRODUCT(($F$320:$AJ$320="P6")*$F$323:$AJ$347),0))/(SUMPRODUCT(($D$323:$D$347=AO$321)*($F$320:$AJ$320=""))+IF(AO$321="P6",COUNTIF($F$320:$AJ$320,"P6")*ROWS($D$323:$D$347),0)),"")</f>
        <v/>
      </c>
      <c r="AP327" s="5" cm="1">
        <f t="array" ref="AP327">IFERROR((SUMPRODUCT(($D$323:$D$347=AP$321)*($F$320:$AJ$320="")*$F$323:$AJ$347)+IF(AP$321="P6",SUMPRODUCT(($F$320:$AJ$320="P6")*$F$323:$AJ$347),0))/(SUMPRODUCT(($D$323:$D$347=AP$321)*($F$320:$AJ$320=""))+IF(AP$321="P6",COUNTIF($F$320:$AJ$320,"P6")*ROWS($D$323:$D$347),0)),"")</f>
        <v>0.93998961352656996</v>
      </c>
      <c r="AQ327" s="5" cm="1">
        <f t="array" ref="AQ327">IFERROR((SUMPRODUCT(($D$323:$D$347=AQ$321)*($F$320:$AJ$320="")*$F$323:$AJ$347)+IF(AQ$321="P6",SUMPRODUCT(($F$320:$AJ$320="P6")*$F$323:$AJ$347),0))/(SUMPRODUCT(($D$323:$D$347=AQ$321)*($F$320:$AJ$320=""))+IF(AQ$321="P6",COUNTIF($F$320:$AJ$320,"P6")*ROWS($D$323:$D$347),0)),"")</f>
        <v>1.1381451552795032</v>
      </c>
      <c r="AR327" s="6" cm="1">
        <f t="array" ref="AR327">IFERROR((SUMPRODUCT(($D$323:$D$347=AR$321)*($F$320:$AJ$320="")*$F$323:$AJ$347)+IF(AR$321="P6",SUMPRODUCT(($F$320:$AJ$320="P6")*$F$323:$AJ$347),0))/(SUMPRODUCT(($D$323:$D$347=AR$321)*($F$320:$AJ$320=""))+IF(AR$321="P6",COUNTIF($F$320:$AJ$320,"P6")*ROWS($D$323:$D$347),0)),"")</f>
        <v>0.92573555282555309</v>
      </c>
    </row>
    <row r="328" spans="1:44" ht="14.25" customHeight="1" x14ac:dyDescent="0.35">
      <c r="A328" s="1" t="s">
        <v>7</v>
      </c>
      <c r="B328" s="1" t="s">
        <v>7</v>
      </c>
      <c r="C328" s="1" t="s">
        <v>15</v>
      </c>
      <c r="D328" s="1" t="s">
        <v>7</v>
      </c>
      <c r="E328" s="1" t="s">
        <v>18</v>
      </c>
      <c r="F328" s="1">
        <v>1.03538</v>
      </c>
      <c r="G328" s="1">
        <v>1.0435099999999999</v>
      </c>
      <c r="H328" s="1">
        <v>1.0841499999999999</v>
      </c>
      <c r="I328" s="1">
        <v>1.09053</v>
      </c>
      <c r="J328" s="1">
        <v>1.1235999999999999</v>
      </c>
      <c r="K328" s="1">
        <v>1.12266</v>
      </c>
      <c r="L328" s="1">
        <v>1.05949</v>
      </c>
      <c r="M328" s="1">
        <v>1.03538</v>
      </c>
      <c r="N328" s="1">
        <v>1.0435099999999999</v>
      </c>
      <c r="O328" s="1">
        <v>1.0841499999999999</v>
      </c>
      <c r="P328" s="1">
        <v>1.09053</v>
      </c>
      <c r="Q328" s="1">
        <v>1.0231699999999999</v>
      </c>
      <c r="R328" s="1">
        <v>1.12266</v>
      </c>
      <c r="S328" s="1">
        <v>1.05949</v>
      </c>
      <c r="T328" s="1">
        <v>1.03538</v>
      </c>
      <c r="U328" s="1">
        <v>1.0435099999999999</v>
      </c>
      <c r="V328" s="1">
        <v>1.0841499999999999</v>
      </c>
      <c r="W328" s="1">
        <v>1.09053</v>
      </c>
      <c r="X328" s="1">
        <v>1.1235999999999999</v>
      </c>
      <c r="Y328" s="1">
        <v>1.12266</v>
      </c>
      <c r="Z328" s="1">
        <v>1.05949</v>
      </c>
      <c r="AA328" s="1">
        <v>1.03538</v>
      </c>
      <c r="AB328" s="1">
        <v>1.0435099999999999</v>
      </c>
      <c r="AC328" s="1">
        <v>1.0841499999999999</v>
      </c>
      <c r="AD328" s="1">
        <v>1.09053</v>
      </c>
      <c r="AE328" s="1">
        <v>1.1235999999999999</v>
      </c>
      <c r="AF328" s="1">
        <v>1.12266</v>
      </c>
      <c r="AG328" s="1">
        <v>1.05949</v>
      </c>
      <c r="AH328" s="1">
        <v>1.03538</v>
      </c>
      <c r="AI328" s="1">
        <v>1.0435099999999999</v>
      </c>
      <c r="AJ328" s="1">
        <v>1.0841499999999999</v>
      </c>
      <c r="AL328" s="10"/>
      <c r="AM328" s="10"/>
      <c r="AN328" s="10"/>
      <c r="AO328" s="10"/>
      <c r="AP328" s="10"/>
      <c r="AQ328" s="10"/>
      <c r="AR328" s="10"/>
    </row>
    <row r="329" spans="1:44" ht="14.25" customHeight="1" x14ac:dyDescent="0.35">
      <c r="A329" s="1" t="s">
        <v>7</v>
      </c>
      <c r="B329" s="1" t="s">
        <v>7</v>
      </c>
      <c r="C329" s="1" t="s">
        <v>15</v>
      </c>
      <c r="D329" s="1" t="s">
        <v>7</v>
      </c>
      <c r="E329" s="1" t="s">
        <v>20</v>
      </c>
      <c r="F329" s="1">
        <v>0.95962999999999998</v>
      </c>
      <c r="G329" s="1">
        <v>0.96096999999999999</v>
      </c>
      <c r="H329" s="1">
        <v>0.98736000000000002</v>
      </c>
      <c r="I329" s="1">
        <v>0.99863999999999997</v>
      </c>
      <c r="J329" s="1">
        <v>1.1012200000000001</v>
      </c>
      <c r="K329" s="1">
        <v>1.09829</v>
      </c>
      <c r="L329" s="1">
        <v>0.94694999999999996</v>
      </c>
      <c r="M329" s="1">
        <v>0.95962999999999998</v>
      </c>
      <c r="N329" s="1">
        <v>0.96096999999999999</v>
      </c>
      <c r="O329" s="1">
        <v>0.98736000000000002</v>
      </c>
      <c r="P329" s="1">
        <v>0.99863999999999997</v>
      </c>
      <c r="Q329" s="1">
        <v>0.99726000000000004</v>
      </c>
      <c r="R329" s="1">
        <v>1.09829</v>
      </c>
      <c r="S329" s="1">
        <v>0.94694999999999996</v>
      </c>
      <c r="T329" s="1">
        <v>0.95962999999999998</v>
      </c>
      <c r="U329" s="1">
        <v>0.96096999999999999</v>
      </c>
      <c r="V329" s="1">
        <v>0.98736000000000002</v>
      </c>
      <c r="W329" s="1">
        <v>0.99863999999999997</v>
      </c>
      <c r="X329" s="1">
        <v>1.1012200000000001</v>
      </c>
      <c r="Y329" s="1">
        <v>1.09829</v>
      </c>
      <c r="Z329" s="1">
        <v>0.94694999999999996</v>
      </c>
      <c r="AA329" s="1">
        <v>0.95962999999999998</v>
      </c>
      <c r="AB329" s="1">
        <v>0.96096999999999999</v>
      </c>
      <c r="AC329" s="1">
        <v>0.98736000000000002</v>
      </c>
      <c r="AD329" s="1">
        <v>0.99863999999999997</v>
      </c>
      <c r="AE329" s="1">
        <v>1.1012200000000001</v>
      </c>
      <c r="AF329" s="1">
        <v>1.09829</v>
      </c>
      <c r="AG329" s="1">
        <v>0.94694999999999996</v>
      </c>
      <c r="AH329" s="1">
        <v>0.95962999999999998</v>
      </c>
      <c r="AI329" s="1">
        <v>0.96096999999999999</v>
      </c>
      <c r="AJ329" s="1">
        <v>0.98736000000000002</v>
      </c>
      <c r="AL329" s="10"/>
      <c r="AM329" s="10"/>
      <c r="AN329" s="10"/>
      <c r="AO329" s="10"/>
      <c r="AP329" s="10"/>
      <c r="AQ329" s="10"/>
      <c r="AR329" s="10"/>
    </row>
    <row r="330" spans="1:44" ht="14.25" customHeight="1" x14ac:dyDescent="0.35">
      <c r="A330" s="1" t="s">
        <v>7</v>
      </c>
      <c r="B330" s="1" t="s">
        <v>7</v>
      </c>
      <c r="C330" s="1" t="s">
        <v>15</v>
      </c>
      <c r="D330" s="1" t="s">
        <v>7</v>
      </c>
      <c r="E330" s="1" t="s">
        <v>22</v>
      </c>
      <c r="F330" s="1">
        <v>0.90486999999999995</v>
      </c>
      <c r="G330" s="1">
        <v>0.87058000000000002</v>
      </c>
      <c r="H330" s="1">
        <v>0.89602000000000004</v>
      </c>
      <c r="I330" s="1">
        <v>0.89561000000000002</v>
      </c>
      <c r="J330" s="1">
        <v>1.0376300000000001</v>
      </c>
      <c r="K330" s="1">
        <v>1.0427999999999999</v>
      </c>
      <c r="L330" s="1">
        <v>0.87824000000000002</v>
      </c>
      <c r="M330" s="1">
        <v>0.90486999999999995</v>
      </c>
      <c r="N330" s="1">
        <v>0.87058000000000002</v>
      </c>
      <c r="O330" s="1">
        <v>0.89602000000000004</v>
      </c>
      <c r="P330" s="1">
        <v>0.89561000000000002</v>
      </c>
      <c r="Q330" s="1">
        <v>0.96299000000000001</v>
      </c>
      <c r="R330" s="1">
        <v>1.0427999999999999</v>
      </c>
      <c r="S330" s="1">
        <v>0.87824000000000002</v>
      </c>
      <c r="T330" s="1">
        <v>0.90486999999999995</v>
      </c>
      <c r="U330" s="1">
        <v>0.87058000000000002</v>
      </c>
      <c r="V330" s="1">
        <v>0.89602000000000004</v>
      </c>
      <c r="W330" s="1">
        <v>0.89561000000000002</v>
      </c>
      <c r="X330" s="1">
        <v>1.0376300000000001</v>
      </c>
      <c r="Y330" s="1">
        <v>1.0427999999999999</v>
      </c>
      <c r="Z330" s="1">
        <v>0.87824000000000002</v>
      </c>
      <c r="AA330" s="1">
        <v>0.90486999999999995</v>
      </c>
      <c r="AB330" s="1">
        <v>0.87058000000000002</v>
      </c>
      <c r="AC330" s="1">
        <v>0.89602000000000004</v>
      </c>
      <c r="AD330" s="1">
        <v>0.89561000000000002</v>
      </c>
      <c r="AE330" s="1">
        <v>1.0376300000000001</v>
      </c>
      <c r="AF330" s="1">
        <v>1.0427999999999999</v>
      </c>
      <c r="AG330" s="1">
        <v>0.87824000000000002</v>
      </c>
      <c r="AH330" s="1">
        <v>0.90486999999999995</v>
      </c>
      <c r="AI330" s="1">
        <v>0.87058000000000002</v>
      </c>
      <c r="AJ330" s="1">
        <v>0.89602000000000004</v>
      </c>
      <c r="AL330" s="14" t="s">
        <v>191</v>
      </c>
      <c r="AM330" s="14"/>
      <c r="AN330" s="14"/>
      <c r="AO330" s="14"/>
      <c r="AP330" s="14"/>
      <c r="AQ330" s="14"/>
      <c r="AR330" s="14"/>
    </row>
    <row r="331" spans="1:44" ht="14.25" customHeight="1" x14ac:dyDescent="0.35">
      <c r="A331" s="1" t="s">
        <v>15</v>
      </c>
      <c r="B331" s="1" t="s">
        <v>15</v>
      </c>
      <c r="C331" s="1" t="s">
        <v>14</v>
      </c>
      <c r="D331" s="1" t="s">
        <v>17</v>
      </c>
      <c r="E331" s="1" t="s">
        <v>24</v>
      </c>
      <c r="F331" s="1">
        <v>1.1548799999999999</v>
      </c>
      <c r="G331" s="1">
        <v>1.1322700000000001</v>
      </c>
      <c r="H331" s="1">
        <v>1.1458900000000001</v>
      </c>
      <c r="I331" s="1">
        <v>1.14592</v>
      </c>
      <c r="J331" s="1">
        <v>0.97784000000000004</v>
      </c>
      <c r="K331" s="1">
        <v>1.01231</v>
      </c>
      <c r="L331" s="1">
        <v>1.1364799999999999</v>
      </c>
      <c r="M331" s="1">
        <v>1.1548799999999999</v>
      </c>
      <c r="N331" s="1">
        <v>1.1322700000000001</v>
      </c>
      <c r="O331" s="1">
        <v>1.1458900000000001</v>
      </c>
      <c r="P331" s="1">
        <v>1.14592</v>
      </c>
      <c r="Q331" s="1">
        <v>0.93601000000000001</v>
      </c>
      <c r="R331" s="1">
        <v>1.01231</v>
      </c>
      <c r="S331" s="1">
        <v>1.1364799999999999</v>
      </c>
      <c r="T331" s="1">
        <v>1.1548799999999999</v>
      </c>
      <c r="U331" s="1">
        <v>1.1322700000000001</v>
      </c>
      <c r="V331" s="1">
        <v>1.1458900000000001</v>
      </c>
      <c r="W331" s="1">
        <v>1.14592</v>
      </c>
      <c r="X331" s="1">
        <v>0.97784000000000004</v>
      </c>
      <c r="Y331" s="1">
        <v>1.01231</v>
      </c>
      <c r="Z331" s="1">
        <v>1.1364799999999999</v>
      </c>
      <c r="AA331" s="1">
        <v>1.1548799999999999</v>
      </c>
      <c r="AB331" s="1">
        <v>1.1322700000000001</v>
      </c>
      <c r="AC331" s="1">
        <v>1.1458900000000001</v>
      </c>
      <c r="AD331" s="1">
        <v>1.14592</v>
      </c>
      <c r="AE331" s="1">
        <v>0.97784000000000004</v>
      </c>
      <c r="AF331" s="1">
        <v>1.01231</v>
      </c>
      <c r="AG331" s="1">
        <v>1.1364799999999999</v>
      </c>
      <c r="AH331" s="1">
        <v>1.1548799999999999</v>
      </c>
      <c r="AI331" s="1">
        <v>1.1322700000000001</v>
      </c>
      <c r="AJ331" s="1">
        <v>1.1458900000000001</v>
      </c>
      <c r="AL331" s="4"/>
      <c r="AM331" s="4" t="s">
        <v>13</v>
      </c>
      <c r="AN331" s="4" t="s">
        <v>14</v>
      </c>
      <c r="AO331" s="4" t="s">
        <v>15</v>
      </c>
      <c r="AP331" s="4" t="s">
        <v>16</v>
      </c>
      <c r="AQ331" s="4" t="s">
        <v>17</v>
      </c>
      <c r="AR331" s="4" t="s">
        <v>7</v>
      </c>
    </row>
    <row r="332" spans="1:44" ht="14.25" customHeight="1" x14ac:dyDescent="0.35">
      <c r="A332" s="1" t="s">
        <v>15</v>
      </c>
      <c r="B332" s="1" t="s">
        <v>15</v>
      </c>
      <c r="C332" s="1" t="s">
        <v>14</v>
      </c>
      <c r="D332" s="1" t="s">
        <v>16</v>
      </c>
      <c r="E332" s="1" t="s">
        <v>26</v>
      </c>
      <c r="F332" s="1">
        <v>0.92169999999999996</v>
      </c>
      <c r="G332" s="1">
        <v>0.91695000000000004</v>
      </c>
      <c r="H332" s="1">
        <v>0.96579000000000004</v>
      </c>
      <c r="I332" s="1">
        <v>0.93554000000000004</v>
      </c>
      <c r="J332" s="1">
        <v>0.87685000000000002</v>
      </c>
      <c r="K332" s="1">
        <v>0.92596000000000001</v>
      </c>
      <c r="L332" s="1">
        <v>0.91249999999999998</v>
      </c>
      <c r="M332" s="1">
        <v>0.92169999999999996</v>
      </c>
      <c r="N332" s="1">
        <v>0.91695000000000004</v>
      </c>
      <c r="O332" s="1">
        <v>0.96579000000000004</v>
      </c>
      <c r="P332" s="1">
        <v>0.93554000000000004</v>
      </c>
      <c r="Q332" s="1">
        <v>0.85989000000000004</v>
      </c>
      <c r="R332" s="1">
        <v>0.92596000000000001</v>
      </c>
      <c r="S332" s="1">
        <v>0.91249999999999998</v>
      </c>
      <c r="T332" s="1">
        <v>0.92169999999999996</v>
      </c>
      <c r="U332" s="1">
        <v>0.91695000000000004</v>
      </c>
      <c r="V332" s="1">
        <v>0.96579000000000004</v>
      </c>
      <c r="W332" s="1">
        <v>0.93554000000000004</v>
      </c>
      <c r="X332" s="1">
        <v>0.87685000000000002</v>
      </c>
      <c r="Y332" s="1">
        <v>0.92596000000000001</v>
      </c>
      <c r="Z332" s="1">
        <v>0.91249999999999998</v>
      </c>
      <c r="AA332" s="1">
        <v>0.92169999999999996</v>
      </c>
      <c r="AB332" s="1">
        <v>0.91695000000000004</v>
      </c>
      <c r="AC332" s="1">
        <v>0.96579000000000004</v>
      </c>
      <c r="AD332" s="1">
        <v>0.93554000000000004</v>
      </c>
      <c r="AE332" s="1">
        <v>0.87685000000000002</v>
      </c>
      <c r="AF332" s="1">
        <v>0.92596000000000001</v>
      </c>
      <c r="AG332" s="1">
        <v>0.91249999999999998</v>
      </c>
      <c r="AH332" s="1">
        <v>0.92169999999999996</v>
      </c>
      <c r="AI332" s="1">
        <v>0.91695000000000004</v>
      </c>
      <c r="AJ332" s="1">
        <v>0.96579000000000004</v>
      </c>
      <c r="AL332" s="4" t="s">
        <v>19</v>
      </c>
      <c r="AM332" s="6" cm="1">
        <f t="array" ref="AM332">IFERROR((SUMPRODUCT(($C$323:$C$347=AM$321)*($F$319:$AJ$319="")*$F$323:$AJ$347)+IF(AM$321="P3",SUMPRODUCT(($F$319:$AJ$319="P3")*$F$323:$AJ$347),0))/(SUMPRODUCT(($C$323:$C$347=AM$321)*($F$319:$AJ$319=""))+IF(AM$321="P3",COUNTIF($F$319:$AJ$319,"P3")*ROWS($C$323:$C$347),0)),"")</f>
        <v>0.94110592391304382</v>
      </c>
      <c r="AN332" s="6" cm="1">
        <f t="array" ref="AN332">IFERROR((SUMPRODUCT(($C$323:$C$347=AN$321)*($F$319:$AJ$319="")*$F$323:$AJ$347)+IF(AN$321="P3",SUMPRODUCT(($F$319:$AJ$319="P3")*$F$323:$AJ$347),0))/(SUMPRODUCT(($C$323:$C$347=AN$321)*($F$319:$AJ$319=""))+IF(AN$321="P3",COUNTIF($F$319:$AJ$319,"P3")*ROWS($C$323:$C$347),0)),"")</f>
        <v>1.1122594021739136</v>
      </c>
      <c r="AO332" s="6" cm="1">
        <f t="array" ref="AO332">IFERROR((SUMPRODUCT(($C$323:$C$347=AO$321)*($F$319:$AJ$319="")*$F$323:$AJ$347)+IF(AO$321="P3",SUMPRODUCT(($F$319:$AJ$319="P3")*$F$323:$AJ$347),0))/(SUMPRODUCT(($C$323:$C$347=AO$321)*($F$319:$AJ$319=""))+IF(AO$321="P3",COUNTIF($F$319:$AJ$319,"P3")*ROWS($C$323:$C$347),0)),"")</f>
        <v>0.92573555282555309</v>
      </c>
      <c r="AP332" s="6" t="str" cm="1">
        <f t="array" ref="AP332">IFERROR((SUMPRODUCT(($C$323:$C$347=AP$321)*($F$319:$AJ$319="")*$F$323:$AJ$347)+IF(AP$321="P3",SUMPRODUCT(($F$319:$AJ$319="P3")*$F$323:$AJ$347),0))/(SUMPRODUCT(($C$323:$C$347=AP$321)*($F$319:$AJ$319=""))+IF(AP$321="P3",COUNTIF($F$319:$AJ$319,"P3")*ROWS($C$323:$C$347),0)),"")</f>
        <v/>
      </c>
      <c r="AQ332" s="6" t="str" cm="1">
        <f t="array" ref="AQ332">IFERROR((SUMPRODUCT(($C$323:$C$347=AQ$321)*($F$319:$AJ$319="")*$F$323:$AJ$347)+IF(AQ$321="P3",SUMPRODUCT(($F$319:$AJ$319="P3")*$F$323:$AJ$347),0))/(SUMPRODUCT(($C$323:$C$347=AQ$321)*($F$319:$AJ$319=""))+IF(AQ$321="P3",COUNTIF($F$319:$AJ$319,"P3")*ROWS($C$323:$C$347),0)),"")</f>
        <v/>
      </c>
      <c r="AR332" s="6" t="str" cm="1">
        <f t="array" ref="AR332">IFERROR((SUMPRODUCT(($C$323:$C$347=AR$321)*($F$319:$AJ$319="")*$F$323:$AJ$347)+IF(AR$321="P3",SUMPRODUCT(($F$319:$AJ$319="P3")*$F$323:$AJ$347),0))/(SUMPRODUCT(($C$323:$C$347=AR$321)*($F$319:$AJ$319=""))+IF(AR$321="P3",COUNTIF($F$319:$AJ$319,"P3")*ROWS($C$323:$C$347),0)),"")</f>
        <v/>
      </c>
    </row>
    <row r="333" spans="1:44" ht="14.25" customHeight="1" x14ac:dyDescent="0.35">
      <c r="A333" s="1" t="s">
        <v>13</v>
      </c>
      <c r="B333" s="1" t="s">
        <v>14</v>
      </c>
      <c r="C333" s="1" t="s">
        <v>13</v>
      </c>
      <c r="D333" s="1" t="s">
        <v>16</v>
      </c>
      <c r="E333" s="1" t="s">
        <v>28</v>
      </c>
      <c r="F333" s="1">
        <v>0.89666999999999997</v>
      </c>
      <c r="G333" s="1">
        <v>0.88905000000000001</v>
      </c>
      <c r="H333" s="1">
        <v>0.96782000000000001</v>
      </c>
      <c r="I333" s="1">
        <v>0.89537</v>
      </c>
      <c r="J333" s="1">
        <v>0.79898000000000002</v>
      </c>
      <c r="K333" s="1">
        <v>0.84609999999999996</v>
      </c>
      <c r="L333" s="1">
        <v>0.87090999999999996</v>
      </c>
      <c r="M333" s="1">
        <v>0.89666999999999997</v>
      </c>
      <c r="N333" s="1">
        <v>0.88905000000000001</v>
      </c>
      <c r="O333" s="1">
        <v>0.96782000000000001</v>
      </c>
      <c r="P333" s="1">
        <v>0.89537</v>
      </c>
      <c r="Q333" s="1">
        <v>0.83287999999999995</v>
      </c>
      <c r="R333" s="1">
        <v>0.84609999999999996</v>
      </c>
      <c r="S333" s="1">
        <v>0.87090999999999996</v>
      </c>
      <c r="T333" s="1">
        <v>0.89666999999999997</v>
      </c>
      <c r="U333" s="1">
        <v>0.88905000000000001</v>
      </c>
      <c r="V333" s="1">
        <v>0.96782000000000001</v>
      </c>
      <c r="W333" s="1">
        <v>0.89537</v>
      </c>
      <c r="X333" s="1">
        <v>0.79898000000000002</v>
      </c>
      <c r="Y333" s="1">
        <v>0.84609999999999996</v>
      </c>
      <c r="Z333" s="1">
        <v>0.87090999999999996</v>
      </c>
      <c r="AA333" s="1">
        <v>0.89666999999999997</v>
      </c>
      <c r="AB333" s="1">
        <v>0.88905000000000001</v>
      </c>
      <c r="AC333" s="1">
        <v>0.96782000000000001</v>
      </c>
      <c r="AD333" s="1">
        <v>0.89537</v>
      </c>
      <c r="AE333" s="1">
        <v>0.79898000000000002</v>
      </c>
      <c r="AF333" s="1">
        <v>0.84609999999999996</v>
      </c>
      <c r="AG333" s="1">
        <v>0.87090999999999996</v>
      </c>
      <c r="AH333" s="1">
        <v>0.89666999999999997</v>
      </c>
      <c r="AI333" s="1">
        <v>0.88905000000000001</v>
      </c>
      <c r="AJ333" s="1">
        <v>0.96782000000000001</v>
      </c>
      <c r="AL333" s="4" t="s">
        <v>21</v>
      </c>
      <c r="AM333" s="6" cm="1">
        <f t="array" ref="AM333">IFERROR((SUMPRODUCT(($A$323:$A$347=AM$321)*($F$320:$AJ$320="")*$F$323:$AJ$347)+IF(AM$321="P6",SUMPRODUCT(($F$320:$AJ$320="P6")*$F$323:$AJ$347),0))/(SUMPRODUCT(($A$323:$A$347=AM$321)*($F$320:$AJ$320=""))+IF(AM$321="P6",COUNTIF($F$320:$AJ$320,"P6")*ROWS($A$323:$A$347),0)),"")</f>
        <v>0.95134845410628022</v>
      </c>
      <c r="AN333" s="6" t="str" cm="1">
        <f t="array" ref="AN333">IFERROR((SUMPRODUCT(($A$323:$A$347=AN$321)*($F$320:$AJ$320="")*$F$323:$AJ$347)+IF(AN$321="P6",SUMPRODUCT(($F$320:$AJ$320="P6")*$F$323:$AJ$347),0))/(SUMPRODUCT(($A$323:$A$347=AN$321)*($F$320:$AJ$320=""))+IF(AN$321="P6",COUNTIF($F$320:$AJ$320,"P6")*ROWS($A$323:$A$347),0)),"")</f>
        <v/>
      </c>
      <c r="AO333" s="6" cm="1">
        <f t="array" ref="AO333">IFERROR((SUMPRODUCT(($A$323:$A$347=AO$321)*($F$320:$AJ$320="")*$F$323:$AJ$347)+IF(AO$321="P6",SUMPRODUCT(($F$320:$AJ$320="P6")*$F$323:$AJ$347),0))/(SUMPRODUCT(($A$323:$A$347=AO$321)*($F$320:$AJ$320=""))+IF(AO$321="P6",COUNTIF($F$320:$AJ$320,"P6")*ROWS($A$323:$A$347),0)),"")</f>
        <v>1.1235409316770186</v>
      </c>
      <c r="AP333" s="6" t="str" cm="1">
        <f t="array" ref="AP333">IFERROR((SUMPRODUCT(($A$323:$A$347=AP$321)*($F$320:$AJ$320="")*$F$323:$AJ$347)+IF(AP$321="P6",SUMPRODUCT(($F$320:$AJ$320="P6")*$F$323:$AJ$347),0))/(SUMPRODUCT(($A$323:$A$347=AP$321)*($F$320:$AJ$320=""))+IF(AP$321="P6",COUNTIF($F$320:$AJ$320,"P6")*ROWS($A$323:$A$347),0)),"")</f>
        <v/>
      </c>
      <c r="AQ333" s="6" t="str" cm="1">
        <f t="array" ref="AQ333">IFERROR((SUMPRODUCT(($A$323:$A$347=AQ$321)*($F$320:$AJ$320="")*$F$323:$AJ$347)+IF(AQ$321="P6",SUMPRODUCT(($F$320:$AJ$320="P6")*$F$323:$AJ$347),0))/(SUMPRODUCT(($A$323:$A$347=AQ$321)*($F$320:$AJ$320=""))+IF(AQ$321="P6",COUNTIF($F$320:$AJ$320,"P6")*ROWS($A$323:$A$347),0)),"")</f>
        <v/>
      </c>
      <c r="AR333" s="6" cm="1">
        <f t="array" ref="AR333">IFERROR((SUMPRODUCT(($A$323:$A$347=AR$321)*($F$320:$AJ$320="")*$F$323:$AJ$347)+IF(AR$321="P6",SUMPRODUCT(($F$320:$AJ$320="P6")*$F$323:$AJ$347),0))/(SUMPRODUCT(($A$323:$A$347=AR$321)*($F$320:$AJ$320=""))+IF(AR$321="P6",COUNTIF($F$320:$AJ$320,"P6")*ROWS($A$323:$A$347),0)),"")</f>
        <v>0.92573555282555309</v>
      </c>
    </row>
    <row r="334" spans="1:44" ht="14.25" customHeight="1" x14ac:dyDescent="0.35">
      <c r="A334" s="1" t="s">
        <v>13</v>
      </c>
      <c r="B334" s="1" t="s">
        <v>14</v>
      </c>
      <c r="C334" s="1" t="s">
        <v>13</v>
      </c>
      <c r="D334" s="1" t="s">
        <v>16</v>
      </c>
      <c r="E334" s="1" t="s">
        <v>30</v>
      </c>
      <c r="F334" s="1">
        <v>0.90310000000000001</v>
      </c>
      <c r="G334" s="1">
        <v>0.89224999999999999</v>
      </c>
      <c r="H334" s="1">
        <v>0.96538000000000002</v>
      </c>
      <c r="I334" s="1">
        <v>0.89422999999999997</v>
      </c>
      <c r="J334" s="1">
        <v>0.77531000000000005</v>
      </c>
      <c r="K334" s="1">
        <v>0.83869000000000005</v>
      </c>
      <c r="L334" s="1">
        <v>0.85460000000000003</v>
      </c>
      <c r="M334" s="1">
        <v>0.90310000000000001</v>
      </c>
      <c r="N334" s="1">
        <v>0.89224999999999999</v>
      </c>
      <c r="O334" s="1">
        <v>0.96538000000000002</v>
      </c>
      <c r="P334" s="1">
        <v>0.89422999999999997</v>
      </c>
      <c r="Q334" s="1">
        <v>0.86289000000000005</v>
      </c>
      <c r="R334" s="1">
        <v>0.83869000000000005</v>
      </c>
      <c r="S334" s="1">
        <v>0.85460000000000003</v>
      </c>
      <c r="T334" s="1">
        <v>0.90310000000000001</v>
      </c>
      <c r="U334" s="1">
        <v>0.89224999999999999</v>
      </c>
      <c r="V334" s="1">
        <v>0.96538000000000002</v>
      </c>
      <c r="W334" s="1">
        <v>0.89422999999999997</v>
      </c>
      <c r="X334" s="1">
        <v>0.77531000000000005</v>
      </c>
      <c r="Y334" s="1">
        <v>0.83869000000000005</v>
      </c>
      <c r="Z334" s="1">
        <v>0.85460000000000003</v>
      </c>
      <c r="AA334" s="1">
        <v>0.90310000000000001</v>
      </c>
      <c r="AB334" s="1">
        <v>0.89224999999999999</v>
      </c>
      <c r="AC334" s="1">
        <v>0.96538000000000002</v>
      </c>
      <c r="AD334" s="1">
        <v>0.89422999999999997</v>
      </c>
      <c r="AE334" s="1">
        <v>0.77531000000000005</v>
      </c>
      <c r="AF334" s="1">
        <v>0.83869000000000005</v>
      </c>
      <c r="AG334" s="1">
        <v>0.85460000000000003</v>
      </c>
      <c r="AH334" s="1">
        <v>0.90310000000000001</v>
      </c>
      <c r="AI334" s="1">
        <v>0.89224999999999999</v>
      </c>
      <c r="AJ334" s="1">
        <v>0.96538000000000002</v>
      </c>
      <c r="AL334" s="4" t="s">
        <v>23</v>
      </c>
      <c r="AM334" s="6" cm="1">
        <f t="array" ref="AM334">IFERROR((SUMPRODUCT(($A$323:$A$347=AM$321)*($F$320:$AJ$320="")*$F$323:$AJ$347)+IF(AM$321="P6",SUMPRODUCT(($F$320:$AJ$320="P6")*$F$323:$AJ$347),0))/(SUMPRODUCT(($A$323:$A$347=AM$321)*($F$320:$AJ$320=""))+IF(AM$321="P6",COUNTIF($F$320:$AJ$320,"P6")*ROWS($A$323:$A$347),0)),"")</f>
        <v>0.95134845410628022</v>
      </c>
      <c r="AN334" s="6" t="str" cm="1">
        <f t="array" ref="AN334">IFERROR((SUMPRODUCT(($A$323:$A$347=AN$321)*($F$320:$AJ$320="")*$F$323:$AJ$347)+IF(AN$321="P6",SUMPRODUCT(($F$320:$AJ$320="P6")*$F$323:$AJ$347),0))/(SUMPRODUCT(($A$323:$A$347=AN$321)*($F$320:$AJ$320=""))+IF(AN$321="P6",COUNTIF($F$320:$AJ$320,"P6")*ROWS($A$323:$A$347),0)),"")</f>
        <v/>
      </c>
      <c r="AO334" s="6" cm="1">
        <f t="array" ref="AO334">IFERROR((SUMPRODUCT(($A$323:$A$347=AO$321)*($F$320:$AJ$320="")*$F$323:$AJ$347)+IF(AO$321="P6",SUMPRODUCT(($F$320:$AJ$320="P6")*$F$323:$AJ$347),0))/(SUMPRODUCT(($A$323:$A$347=AO$321)*($F$320:$AJ$320=""))+IF(AO$321="P6",COUNTIF($F$320:$AJ$320,"P6")*ROWS($A$323:$A$347),0)),"")</f>
        <v>1.1235409316770186</v>
      </c>
      <c r="AP334" s="6" t="str" cm="1">
        <f t="array" ref="AP334">IFERROR((SUMPRODUCT(($A$323:$A$347=AP$321)*($F$320:$AJ$320="")*$F$323:$AJ$347)+IF(AP$321="P6",SUMPRODUCT(($F$320:$AJ$320="P6")*$F$323:$AJ$347),0))/(SUMPRODUCT(($A$323:$A$347=AP$321)*($F$320:$AJ$320=""))+IF(AP$321="P6",COUNTIF($F$320:$AJ$320,"P6")*ROWS($A$323:$A$347),0)),"")</f>
        <v/>
      </c>
      <c r="AQ334" s="6" t="str" cm="1">
        <f t="array" ref="AQ334">IFERROR((SUMPRODUCT(($A$323:$A$347=AQ$321)*($F$320:$AJ$320="")*$F$323:$AJ$347)+IF(AQ$321="P6",SUMPRODUCT(($F$320:$AJ$320="P6")*$F$323:$AJ$347),0))/(SUMPRODUCT(($A$323:$A$347=AQ$321)*($F$320:$AJ$320=""))+IF(AQ$321="P6",COUNTIF($F$320:$AJ$320,"P6")*ROWS($A$323:$A$347),0)),"")</f>
        <v/>
      </c>
      <c r="AR334" s="6" cm="1">
        <f t="array" ref="AR334">IFERROR((SUMPRODUCT(($A$323:$A$347=AR$321)*($F$320:$AJ$320="")*$F$323:$AJ$347)+IF(AR$321="P6",SUMPRODUCT(($F$320:$AJ$320="P6")*$F$323:$AJ$347),0))/(SUMPRODUCT(($A$323:$A$347=AR$321)*($F$320:$AJ$320=""))+IF(AR$321="P6",COUNTIF($F$320:$AJ$320,"P6")*ROWS($A$323:$A$347),0)),"")</f>
        <v>0.92573555282555309</v>
      </c>
    </row>
    <row r="335" spans="1:44" ht="14.25" customHeight="1" x14ac:dyDescent="0.35">
      <c r="A335" s="1" t="s">
        <v>13</v>
      </c>
      <c r="B335" s="1" t="s">
        <v>14</v>
      </c>
      <c r="C335" s="1" t="s">
        <v>13</v>
      </c>
      <c r="D335" s="1" t="s">
        <v>16</v>
      </c>
      <c r="E335" s="1" t="s">
        <v>31</v>
      </c>
      <c r="F335" s="1">
        <v>0.88227999999999995</v>
      </c>
      <c r="G335" s="1">
        <v>0.88053000000000003</v>
      </c>
      <c r="H335" s="1">
        <v>0.94135999999999997</v>
      </c>
      <c r="I335" s="1">
        <v>0.88270999999999999</v>
      </c>
      <c r="J335" s="1">
        <v>0.76761999999999997</v>
      </c>
      <c r="K335" s="1">
        <v>0.81752000000000002</v>
      </c>
      <c r="L335" s="1">
        <v>0.84419999999999995</v>
      </c>
      <c r="M335" s="1">
        <v>0.88227999999999995</v>
      </c>
      <c r="N335" s="1">
        <v>0.88053000000000003</v>
      </c>
      <c r="O335" s="1">
        <v>0.94135999999999997</v>
      </c>
      <c r="P335" s="1">
        <v>0.88270999999999999</v>
      </c>
      <c r="Q335" s="1">
        <v>0.86012999999999995</v>
      </c>
      <c r="R335" s="1">
        <v>0.81752000000000002</v>
      </c>
      <c r="S335" s="1">
        <v>0.84419999999999995</v>
      </c>
      <c r="T335" s="1">
        <v>0.88227999999999995</v>
      </c>
      <c r="U335" s="1">
        <v>0.88053000000000003</v>
      </c>
      <c r="V335" s="1">
        <v>0.94135999999999997</v>
      </c>
      <c r="W335" s="1">
        <v>0.88270999999999999</v>
      </c>
      <c r="X335" s="1">
        <v>0.76761999999999997</v>
      </c>
      <c r="Y335" s="1">
        <v>0.81752000000000002</v>
      </c>
      <c r="Z335" s="1">
        <v>0.84419999999999995</v>
      </c>
      <c r="AA335" s="1">
        <v>0.88227999999999995</v>
      </c>
      <c r="AB335" s="1">
        <v>0.88053000000000003</v>
      </c>
      <c r="AC335" s="1">
        <v>0.94135999999999997</v>
      </c>
      <c r="AD335" s="1">
        <v>0.88270999999999999</v>
      </c>
      <c r="AE335" s="1">
        <v>0.76761999999999997</v>
      </c>
      <c r="AF335" s="1">
        <v>0.81752000000000002</v>
      </c>
      <c r="AG335" s="1">
        <v>0.84419999999999995</v>
      </c>
      <c r="AH335" s="1">
        <v>0.88227999999999995</v>
      </c>
      <c r="AI335" s="1">
        <v>0.88053000000000003</v>
      </c>
      <c r="AJ335" s="1">
        <v>0.94135999999999997</v>
      </c>
      <c r="AL335" s="4" t="s">
        <v>25</v>
      </c>
      <c r="AM335" s="6" cm="1">
        <f t="array" ref="AM335">IFERROR((SUMPRODUCT(($A$323:$A$347=AM$321)*($F$320:$AJ$320="")*$F$323:$AJ$347)+IF(AM$321="P6",SUMPRODUCT(($F$320:$AJ$320="P6")*$F$323:$AJ$347),0))/(SUMPRODUCT(($A$323:$A$347=AM$321)*($F$320:$AJ$320=""))+IF(AM$321="P6",COUNTIF($F$320:$AJ$320,"P6")*ROWS($A$323:$A$347),0)),"")</f>
        <v>0.95134845410628022</v>
      </c>
      <c r="AN335" s="6" t="str" cm="1">
        <f t="array" ref="AN335">IFERROR((SUMPRODUCT(($A$323:$A$347=AN$321)*($F$320:$AJ$320="")*$F$323:$AJ$347)+IF(AN$321="P6",SUMPRODUCT(($F$320:$AJ$320="P6")*$F$323:$AJ$347),0))/(SUMPRODUCT(($A$323:$A$347=AN$321)*($F$320:$AJ$320=""))+IF(AN$321="P6",COUNTIF($F$320:$AJ$320,"P6")*ROWS($A$323:$A$347),0)),"")</f>
        <v/>
      </c>
      <c r="AO335" s="6" cm="1">
        <f t="array" ref="AO335">IFERROR((SUMPRODUCT(($A$323:$A$347=AO$321)*($F$320:$AJ$320="")*$F$323:$AJ$347)+IF(AO$321="P6",SUMPRODUCT(($F$320:$AJ$320="P6")*$F$323:$AJ$347),0))/(SUMPRODUCT(($A$323:$A$347=AO$321)*($F$320:$AJ$320=""))+IF(AO$321="P6",COUNTIF($F$320:$AJ$320,"P6")*ROWS($A$323:$A$347),0)),"")</f>
        <v>1.1235409316770186</v>
      </c>
      <c r="AP335" s="6" t="str" cm="1">
        <f t="array" ref="AP335">IFERROR((SUMPRODUCT(($A$323:$A$347=AP$321)*($F$320:$AJ$320="")*$F$323:$AJ$347)+IF(AP$321="P6",SUMPRODUCT(($F$320:$AJ$320="P6")*$F$323:$AJ$347),0))/(SUMPRODUCT(($A$323:$A$347=AP$321)*($F$320:$AJ$320=""))+IF(AP$321="P6",COUNTIF($F$320:$AJ$320,"P6")*ROWS($A$323:$A$347),0)),"")</f>
        <v/>
      </c>
      <c r="AQ335" s="6" t="str" cm="1">
        <f t="array" ref="AQ335">IFERROR((SUMPRODUCT(($A$323:$A$347=AQ$321)*($F$320:$AJ$320="")*$F$323:$AJ$347)+IF(AQ$321="P6",SUMPRODUCT(($F$320:$AJ$320="P6")*$F$323:$AJ$347),0))/(SUMPRODUCT(($A$323:$A$347=AQ$321)*($F$320:$AJ$320=""))+IF(AQ$321="P6",COUNTIF($F$320:$AJ$320,"P6")*ROWS($A$323:$A$347),0)),"")</f>
        <v/>
      </c>
      <c r="AR335" s="6" cm="1">
        <f t="array" ref="AR335">IFERROR((SUMPRODUCT(($A$323:$A$347=AR$321)*($F$320:$AJ$320="")*$F$323:$AJ$347)+IF(AR$321="P6",SUMPRODUCT(($F$320:$AJ$320="P6")*$F$323:$AJ$347),0))/(SUMPRODUCT(($A$323:$A$347=AR$321)*($F$320:$AJ$320=""))+IF(AR$321="P6",COUNTIF($F$320:$AJ$320,"P6")*ROWS($A$323:$A$347),0)),"")</f>
        <v>0.92573555282555309</v>
      </c>
    </row>
    <row r="336" spans="1:44" ht="14.25" customHeight="1" x14ac:dyDescent="0.35">
      <c r="A336" s="1" t="s">
        <v>13</v>
      </c>
      <c r="B336" s="1" t="s">
        <v>14</v>
      </c>
      <c r="C336" s="1" t="s">
        <v>13</v>
      </c>
      <c r="D336" s="1" t="s">
        <v>16</v>
      </c>
      <c r="E336" s="1" t="s">
        <v>32</v>
      </c>
      <c r="F336" s="1">
        <v>0.88646999999999998</v>
      </c>
      <c r="G336" s="1">
        <v>0.86609000000000003</v>
      </c>
      <c r="H336" s="1">
        <v>0.92366000000000004</v>
      </c>
      <c r="I336" s="1">
        <v>0.86624999999999996</v>
      </c>
      <c r="J336" s="1">
        <v>0.74985999999999997</v>
      </c>
      <c r="K336" s="1">
        <v>0.79978000000000005</v>
      </c>
      <c r="L336" s="1">
        <v>0.83245999999999998</v>
      </c>
      <c r="M336" s="1">
        <v>0.88646999999999998</v>
      </c>
      <c r="N336" s="1">
        <v>0.86609000000000003</v>
      </c>
      <c r="O336" s="1">
        <v>0.92366000000000004</v>
      </c>
      <c r="P336" s="1">
        <v>0.86624999999999996</v>
      </c>
      <c r="Q336" s="1">
        <v>0.85075999999999996</v>
      </c>
      <c r="R336" s="1">
        <v>0.79978000000000005</v>
      </c>
      <c r="S336" s="1">
        <v>0.83245999999999998</v>
      </c>
      <c r="T336" s="1">
        <v>0.88646999999999998</v>
      </c>
      <c r="U336" s="1">
        <v>0.86609000000000003</v>
      </c>
      <c r="V336" s="1">
        <v>0.92366000000000004</v>
      </c>
      <c r="W336" s="1">
        <v>0.86624999999999996</v>
      </c>
      <c r="X336" s="1">
        <v>0.74985999999999997</v>
      </c>
      <c r="Y336" s="1">
        <v>0.79978000000000005</v>
      </c>
      <c r="Z336" s="1">
        <v>0.83245999999999998</v>
      </c>
      <c r="AA336" s="1">
        <v>0.88646999999999998</v>
      </c>
      <c r="AB336" s="1">
        <v>0.86609000000000003</v>
      </c>
      <c r="AC336" s="1">
        <v>0.92366000000000004</v>
      </c>
      <c r="AD336" s="1">
        <v>0.86624999999999996</v>
      </c>
      <c r="AE336" s="1">
        <v>0.74985999999999997</v>
      </c>
      <c r="AF336" s="1">
        <v>0.79978000000000005</v>
      </c>
      <c r="AG336" s="1">
        <v>0.83245999999999998</v>
      </c>
      <c r="AH336" s="1">
        <v>0.88646999999999998</v>
      </c>
      <c r="AI336" s="1">
        <v>0.86609000000000003</v>
      </c>
      <c r="AJ336" s="1">
        <v>0.92366000000000004</v>
      </c>
      <c r="AL336" s="4" t="s">
        <v>27</v>
      </c>
      <c r="AM336" s="6" cm="1">
        <f t="array" ref="AM336">IFERROR((SUMPRODUCT(($A$323:$A$347=AM$321)*($F$320:$AJ$320="")*$F$323:$AJ$347)+IF(AM$321="P6",SUMPRODUCT(($F$320:$AJ$320="P6")*$F$323:$AJ$347),0))/(SUMPRODUCT(($A$323:$A$347=AM$321)*($F$320:$AJ$320=""))+IF(AM$321="P6",COUNTIF($F$320:$AJ$320,"P6")*ROWS($A$323:$A$347),0)),"")</f>
        <v>0.95134845410628022</v>
      </c>
      <c r="AN336" s="6" t="str" cm="1">
        <f t="array" ref="AN336">IFERROR((SUMPRODUCT(($A$323:$A$347=AN$321)*($F$320:$AJ$320="")*$F$323:$AJ$347)+IF(AN$321="P6",SUMPRODUCT(($F$320:$AJ$320="P6")*$F$323:$AJ$347),0))/(SUMPRODUCT(($A$323:$A$347=AN$321)*($F$320:$AJ$320=""))+IF(AN$321="P6",COUNTIF($F$320:$AJ$320,"P6")*ROWS($A$323:$A$347),0)),"")</f>
        <v/>
      </c>
      <c r="AO336" s="6" cm="1">
        <f t="array" ref="AO336">IFERROR((SUMPRODUCT(($A$323:$A$347=AO$321)*($F$320:$AJ$320="")*$F$323:$AJ$347)+IF(AO$321="P6",SUMPRODUCT(($F$320:$AJ$320="P6")*$F$323:$AJ$347),0))/(SUMPRODUCT(($A$323:$A$347=AO$321)*($F$320:$AJ$320=""))+IF(AO$321="P6",COUNTIF($F$320:$AJ$320,"P6")*ROWS($A$323:$A$347),0)),"")</f>
        <v>1.1235409316770186</v>
      </c>
      <c r="AP336" s="6" t="str" cm="1">
        <f t="array" ref="AP336">IFERROR((SUMPRODUCT(($A$323:$A$347=AP$321)*($F$320:$AJ$320="")*$F$323:$AJ$347)+IF(AP$321="P6",SUMPRODUCT(($F$320:$AJ$320="P6")*$F$323:$AJ$347),0))/(SUMPRODUCT(($A$323:$A$347=AP$321)*($F$320:$AJ$320=""))+IF(AP$321="P6",COUNTIF($F$320:$AJ$320,"P6")*ROWS($A$323:$A$347),0)),"")</f>
        <v/>
      </c>
      <c r="AQ336" s="6" t="str" cm="1">
        <f t="array" ref="AQ336">IFERROR((SUMPRODUCT(($A$323:$A$347=AQ$321)*($F$320:$AJ$320="")*$F$323:$AJ$347)+IF(AQ$321="P6",SUMPRODUCT(($F$320:$AJ$320="P6")*$F$323:$AJ$347),0))/(SUMPRODUCT(($A$323:$A$347=AQ$321)*($F$320:$AJ$320=""))+IF(AQ$321="P6",COUNTIF($F$320:$AJ$320,"P6")*ROWS($A$323:$A$347),0)),"")</f>
        <v/>
      </c>
      <c r="AR336" s="6" cm="1">
        <f t="array" ref="AR336">IFERROR((SUMPRODUCT(($A$323:$A$347=AR$321)*($F$320:$AJ$320="")*$F$323:$AJ$347)+IF(AR$321="P6",SUMPRODUCT(($F$320:$AJ$320="P6")*$F$323:$AJ$347),0))/(SUMPRODUCT(($A$323:$A$347=AR$321)*($F$320:$AJ$320=""))+IF(AR$321="P6",COUNTIF($F$320:$AJ$320,"P6")*ROWS($A$323:$A$347),0)),"")</f>
        <v>0.92573555282555309</v>
      </c>
    </row>
    <row r="337" spans="1:44" ht="14.25" customHeight="1" x14ac:dyDescent="0.35">
      <c r="A337" s="1" t="s">
        <v>13</v>
      </c>
      <c r="B337" s="1" t="s">
        <v>14</v>
      </c>
      <c r="C337" s="1" t="s">
        <v>14</v>
      </c>
      <c r="D337" s="1" t="s">
        <v>17</v>
      </c>
      <c r="E337" s="1" t="s">
        <v>33</v>
      </c>
      <c r="F337" s="1">
        <v>1.05484</v>
      </c>
      <c r="G337" s="1">
        <v>1.0173000000000001</v>
      </c>
      <c r="H337" s="1">
        <v>1.09154</v>
      </c>
      <c r="I337" s="1">
        <v>1.0027600000000001</v>
      </c>
      <c r="J337" s="1">
        <v>0.75541000000000003</v>
      </c>
      <c r="K337" s="1">
        <v>0.80471000000000004</v>
      </c>
      <c r="L337" s="1">
        <v>0.98404999999999998</v>
      </c>
      <c r="M337" s="1">
        <v>1.05484</v>
      </c>
      <c r="N337" s="1">
        <v>1.0173000000000001</v>
      </c>
      <c r="O337" s="1">
        <v>1.09154</v>
      </c>
      <c r="P337" s="1">
        <v>1.0027600000000001</v>
      </c>
      <c r="Q337" s="1">
        <v>0.86028000000000004</v>
      </c>
      <c r="R337" s="1">
        <v>0.80471000000000004</v>
      </c>
      <c r="S337" s="1">
        <v>0.98404999999999998</v>
      </c>
      <c r="T337" s="1">
        <v>1.05484</v>
      </c>
      <c r="U337" s="1">
        <v>1.0173000000000001</v>
      </c>
      <c r="V337" s="1">
        <v>1.09154</v>
      </c>
      <c r="W337" s="1">
        <v>1.0027600000000001</v>
      </c>
      <c r="X337" s="1">
        <v>0.75541000000000003</v>
      </c>
      <c r="Y337" s="1">
        <v>0.80471000000000004</v>
      </c>
      <c r="Z337" s="1">
        <v>0.98404999999999998</v>
      </c>
      <c r="AA337" s="1">
        <v>1.05484</v>
      </c>
      <c r="AB337" s="1">
        <v>1.0173000000000001</v>
      </c>
      <c r="AC337" s="1">
        <v>1.09154</v>
      </c>
      <c r="AD337" s="1">
        <v>1.0027600000000001</v>
      </c>
      <c r="AE337" s="1">
        <v>0.75541000000000003</v>
      </c>
      <c r="AF337" s="1">
        <v>0.80471000000000004</v>
      </c>
      <c r="AG337" s="1">
        <v>0.98404999999999998</v>
      </c>
      <c r="AH337" s="1">
        <v>1.05484</v>
      </c>
      <c r="AI337" s="1">
        <v>1.0173000000000001</v>
      </c>
      <c r="AJ337" s="1">
        <v>1.09154</v>
      </c>
      <c r="AL337" s="4" t="s">
        <v>29</v>
      </c>
      <c r="AM337" s="6" cm="1">
        <f t="array" ref="AM337">IFERROR((SUMPRODUCT(($A$323:$A$347=AM$321)*($F$320:$AJ$320="")*$F$323:$AJ$347)+IF(AM$321="P6",SUMPRODUCT(($F$320:$AJ$320="P6")*$F$323:$AJ$347),0))/(SUMPRODUCT(($A$323:$A$347=AM$321)*($F$320:$AJ$320=""))+IF(AM$321="P6",COUNTIF($F$320:$AJ$320,"P6")*ROWS($A$323:$A$347),0)),"")</f>
        <v>0.95134845410628022</v>
      </c>
      <c r="AN337" s="6" t="str" cm="1">
        <f t="array" ref="AN337">IFERROR((SUMPRODUCT(($A$323:$A$347=AN$321)*($F$320:$AJ$320="")*$F$323:$AJ$347)+IF(AN$321="P6",SUMPRODUCT(($F$320:$AJ$320="P6")*$F$323:$AJ$347),0))/(SUMPRODUCT(($A$323:$A$347=AN$321)*($F$320:$AJ$320=""))+IF(AN$321="P6",COUNTIF($F$320:$AJ$320,"P6")*ROWS($A$323:$A$347),0)),"")</f>
        <v/>
      </c>
      <c r="AO337" s="6" cm="1">
        <f t="array" ref="AO337">IFERROR((SUMPRODUCT(($A$323:$A$347=AO$321)*($F$320:$AJ$320="")*$F$323:$AJ$347)+IF(AO$321="P6",SUMPRODUCT(($F$320:$AJ$320="P6")*$F$323:$AJ$347),0))/(SUMPRODUCT(($A$323:$A$347=AO$321)*($F$320:$AJ$320=""))+IF(AO$321="P6",COUNTIF($F$320:$AJ$320,"P6")*ROWS($A$323:$A$347),0)),"")</f>
        <v>1.1235409316770186</v>
      </c>
      <c r="AP337" s="6" t="str" cm="1">
        <f t="array" ref="AP337">IFERROR((SUMPRODUCT(($A$323:$A$347=AP$321)*($F$320:$AJ$320="")*$F$323:$AJ$347)+IF(AP$321="P6",SUMPRODUCT(($F$320:$AJ$320="P6")*$F$323:$AJ$347),0))/(SUMPRODUCT(($A$323:$A$347=AP$321)*($F$320:$AJ$320=""))+IF(AP$321="P6",COUNTIF($F$320:$AJ$320,"P6")*ROWS($A$323:$A$347),0)),"")</f>
        <v/>
      </c>
      <c r="AQ337" s="6" t="str" cm="1">
        <f t="array" ref="AQ337">IFERROR((SUMPRODUCT(($A$323:$A$347=AQ$321)*($F$320:$AJ$320="")*$F$323:$AJ$347)+IF(AQ$321="P6",SUMPRODUCT(($F$320:$AJ$320="P6")*$F$323:$AJ$347),0))/(SUMPRODUCT(($A$323:$A$347=AQ$321)*($F$320:$AJ$320=""))+IF(AQ$321="P6",COUNTIF($F$320:$AJ$320,"P6")*ROWS($A$323:$A$347),0)),"")</f>
        <v/>
      </c>
      <c r="AR337" s="6" cm="1">
        <f t="array" ref="AR337">IFERROR((SUMPRODUCT(($A$323:$A$347=AR$321)*($F$320:$AJ$320="")*$F$323:$AJ$347)+IF(AR$321="P6",SUMPRODUCT(($F$320:$AJ$320="P6")*$F$323:$AJ$347),0))/(SUMPRODUCT(($A$323:$A$347=AR$321)*($F$320:$AJ$320=""))+IF(AR$321="P6",COUNTIF($F$320:$AJ$320,"P6")*ROWS($A$323:$A$347),0)),"")</f>
        <v>0.92573555282555309</v>
      </c>
    </row>
    <row r="338" spans="1:44" ht="14.25" customHeight="1" x14ac:dyDescent="0.35">
      <c r="A338" s="1" t="s">
        <v>15</v>
      </c>
      <c r="B338" s="1" t="s">
        <v>15</v>
      </c>
      <c r="C338" s="1" t="s">
        <v>14</v>
      </c>
      <c r="D338" s="1" t="s">
        <v>17</v>
      </c>
      <c r="E338" s="1" t="s">
        <v>34</v>
      </c>
      <c r="F338" s="1">
        <v>1.1082000000000001</v>
      </c>
      <c r="G338" s="1">
        <v>1.0628599999999999</v>
      </c>
      <c r="H338" s="1">
        <v>1.1303399999999999</v>
      </c>
      <c r="I338" s="1">
        <v>1.04112</v>
      </c>
      <c r="J338" s="1">
        <v>0.81076000000000004</v>
      </c>
      <c r="K338" s="1">
        <v>0.86302000000000001</v>
      </c>
      <c r="L338" s="1">
        <v>1.0488500000000001</v>
      </c>
      <c r="M338" s="1">
        <v>1.1082000000000001</v>
      </c>
      <c r="N338" s="1">
        <v>1.0628599999999999</v>
      </c>
      <c r="O338" s="1">
        <v>1.1303399999999999</v>
      </c>
      <c r="P338" s="1">
        <v>1.04112</v>
      </c>
      <c r="Q338" s="1">
        <v>0.91322999999999999</v>
      </c>
      <c r="R338" s="1">
        <v>0.86302000000000001</v>
      </c>
      <c r="S338" s="1">
        <v>1.0488500000000001</v>
      </c>
      <c r="T338" s="1">
        <v>1.1082000000000001</v>
      </c>
      <c r="U338" s="1">
        <v>1.0628599999999999</v>
      </c>
      <c r="V338" s="1">
        <v>1.1303399999999999</v>
      </c>
      <c r="W338" s="1">
        <v>1.04112</v>
      </c>
      <c r="X338" s="1">
        <v>0.81076000000000004</v>
      </c>
      <c r="Y338" s="1">
        <v>0.86302000000000001</v>
      </c>
      <c r="Z338" s="1">
        <v>1.0488500000000001</v>
      </c>
      <c r="AA338" s="1">
        <v>1.1082000000000001</v>
      </c>
      <c r="AB338" s="1">
        <v>1.0628599999999999</v>
      </c>
      <c r="AC338" s="1">
        <v>1.1303399999999999</v>
      </c>
      <c r="AD338" s="1">
        <v>1.04112</v>
      </c>
      <c r="AE338" s="1">
        <v>0.81076000000000004</v>
      </c>
      <c r="AF338" s="1">
        <v>0.86302000000000001</v>
      </c>
      <c r="AG338" s="1">
        <v>1.0488500000000001</v>
      </c>
      <c r="AH338" s="1">
        <v>1.1082000000000001</v>
      </c>
      <c r="AI338" s="1">
        <v>1.0628599999999999</v>
      </c>
      <c r="AJ338" s="1">
        <v>1.1303399999999999</v>
      </c>
      <c r="AL338" s="10"/>
      <c r="AM338" s="10"/>
      <c r="AN338" s="10"/>
      <c r="AO338" s="10"/>
      <c r="AP338" s="10"/>
      <c r="AQ338" s="10"/>
      <c r="AR338" s="10"/>
    </row>
    <row r="339" spans="1:44" ht="14.25" customHeight="1" x14ac:dyDescent="0.35">
      <c r="A339" s="1" t="s">
        <v>15</v>
      </c>
      <c r="B339" s="1" t="s">
        <v>15</v>
      </c>
      <c r="C339" s="1" t="s">
        <v>14</v>
      </c>
      <c r="D339" s="1" t="s">
        <v>17</v>
      </c>
      <c r="E339" s="1" t="s">
        <v>35</v>
      </c>
      <c r="F339" s="1">
        <v>1.1533500000000001</v>
      </c>
      <c r="G339" s="1">
        <v>1.0974299999999999</v>
      </c>
      <c r="H339" s="1">
        <v>1.16421</v>
      </c>
      <c r="I339" s="1">
        <v>1.0880700000000001</v>
      </c>
      <c r="J339" s="1">
        <v>0.85848999999999998</v>
      </c>
      <c r="K339" s="1">
        <v>0.94398000000000004</v>
      </c>
      <c r="L339" s="1">
        <v>1.11453</v>
      </c>
      <c r="M339" s="1">
        <v>1.1533500000000001</v>
      </c>
      <c r="N339" s="1">
        <v>1.0974299999999999</v>
      </c>
      <c r="O339" s="1">
        <v>1.16421</v>
      </c>
      <c r="P339" s="1">
        <v>1.0880700000000001</v>
      </c>
      <c r="Q339" s="1">
        <v>0.94982999999999995</v>
      </c>
      <c r="R339" s="1">
        <v>0.94398000000000004</v>
      </c>
      <c r="S339" s="1">
        <v>1.11453</v>
      </c>
      <c r="T339" s="1">
        <v>1.1533500000000001</v>
      </c>
      <c r="U339" s="1">
        <v>1.0974299999999999</v>
      </c>
      <c r="V339" s="1">
        <v>1.16421</v>
      </c>
      <c r="W339" s="1">
        <v>1.0880700000000001</v>
      </c>
      <c r="X339" s="1">
        <v>0.85848999999999998</v>
      </c>
      <c r="Y339" s="1">
        <v>0.94398000000000004</v>
      </c>
      <c r="Z339" s="1">
        <v>1.11453</v>
      </c>
      <c r="AA339" s="1">
        <v>1.1533500000000001</v>
      </c>
      <c r="AB339" s="1">
        <v>1.0974299999999999</v>
      </c>
      <c r="AC339" s="1">
        <v>1.16421</v>
      </c>
      <c r="AD339" s="1">
        <v>1.0880700000000001</v>
      </c>
      <c r="AE339" s="1">
        <v>0.85848999999999998</v>
      </c>
      <c r="AF339" s="1">
        <v>0.94398000000000004</v>
      </c>
      <c r="AG339" s="1">
        <v>1.11453</v>
      </c>
      <c r="AH339" s="1">
        <v>1.1533500000000001</v>
      </c>
      <c r="AI339" s="1">
        <v>1.0974299999999999</v>
      </c>
      <c r="AJ339" s="1">
        <v>1.16421</v>
      </c>
      <c r="AL339" s="10"/>
      <c r="AM339" s="10"/>
      <c r="AN339" s="10"/>
      <c r="AO339" s="10"/>
      <c r="AP339" s="10"/>
      <c r="AQ339" s="10"/>
      <c r="AR339" s="10"/>
    </row>
    <row r="340" spans="1:44" ht="14.25" customHeight="1" x14ac:dyDescent="0.35">
      <c r="A340" s="1" t="s">
        <v>15</v>
      </c>
      <c r="B340" s="1" t="s">
        <v>15</v>
      </c>
      <c r="C340" s="1" t="s">
        <v>14</v>
      </c>
      <c r="D340" s="1" t="s">
        <v>17</v>
      </c>
      <c r="E340" s="1" t="s">
        <v>36</v>
      </c>
      <c r="F340" s="1">
        <v>1.1542600000000001</v>
      </c>
      <c r="G340" s="1">
        <v>1.1110100000000001</v>
      </c>
      <c r="H340" s="1">
        <v>1.18001</v>
      </c>
      <c r="I340" s="1">
        <v>1.1190199999999999</v>
      </c>
      <c r="J340" s="1">
        <v>0.89346999999999999</v>
      </c>
      <c r="K340" s="1">
        <v>0.99339</v>
      </c>
      <c r="L340" s="1">
        <v>1.1518299999999999</v>
      </c>
      <c r="M340" s="1">
        <v>1.1542600000000001</v>
      </c>
      <c r="N340" s="1">
        <v>1.1110100000000001</v>
      </c>
      <c r="O340" s="1">
        <v>1.18001</v>
      </c>
      <c r="P340" s="1">
        <v>1.1190199999999999</v>
      </c>
      <c r="Q340" s="1">
        <v>0.95726</v>
      </c>
      <c r="R340" s="1">
        <v>0.99339</v>
      </c>
      <c r="S340" s="1">
        <v>1.1518299999999999</v>
      </c>
      <c r="T340" s="1">
        <v>1.1542600000000001</v>
      </c>
      <c r="U340" s="1">
        <v>1.1110100000000001</v>
      </c>
      <c r="V340" s="1">
        <v>1.18001</v>
      </c>
      <c r="W340" s="1">
        <v>1.1190199999999999</v>
      </c>
      <c r="X340" s="1">
        <v>0.89346999999999999</v>
      </c>
      <c r="Y340" s="1">
        <v>0.99339</v>
      </c>
      <c r="Z340" s="1">
        <v>1.1518299999999999</v>
      </c>
      <c r="AA340" s="1">
        <v>1.1542600000000001</v>
      </c>
      <c r="AB340" s="1">
        <v>1.1110100000000001</v>
      </c>
      <c r="AC340" s="1">
        <v>1.18001</v>
      </c>
      <c r="AD340" s="1">
        <v>1.1190199999999999</v>
      </c>
      <c r="AE340" s="1">
        <v>0.89346999999999999</v>
      </c>
      <c r="AF340" s="1">
        <v>0.99339</v>
      </c>
      <c r="AG340" s="1">
        <v>1.1518299999999999</v>
      </c>
      <c r="AH340" s="1">
        <v>1.1542600000000001</v>
      </c>
      <c r="AI340" s="1">
        <v>1.1110100000000001</v>
      </c>
      <c r="AJ340" s="1">
        <v>1.18001</v>
      </c>
      <c r="AL340" s="14" t="s">
        <v>192</v>
      </c>
      <c r="AM340" s="14"/>
      <c r="AN340" s="14"/>
      <c r="AO340" s="14"/>
      <c r="AP340" s="14"/>
      <c r="AQ340" s="14"/>
      <c r="AR340" s="14"/>
    </row>
    <row r="341" spans="1:44" ht="14.25" customHeight="1" x14ac:dyDescent="0.35">
      <c r="A341" s="1" t="s">
        <v>13</v>
      </c>
      <c r="B341" s="1" t="s">
        <v>14</v>
      </c>
      <c r="C341" s="1" t="s">
        <v>13</v>
      </c>
      <c r="D341" s="1" t="s">
        <v>16</v>
      </c>
      <c r="E341" s="1" t="s">
        <v>37</v>
      </c>
      <c r="F341" s="1">
        <v>0.99870000000000003</v>
      </c>
      <c r="G341" s="1">
        <v>0.96062000000000003</v>
      </c>
      <c r="H341" s="1">
        <v>0.99456</v>
      </c>
      <c r="I341" s="1">
        <v>0.98331000000000002</v>
      </c>
      <c r="J341" s="1">
        <v>0.95186000000000004</v>
      </c>
      <c r="K341" s="1">
        <v>0.99146999999999996</v>
      </c>
      <c r="L341" s="1">
        <v>1.0072099999999999</v>
      </c>
      <c r="M341" s="1">
        <v>0.99870000000000003</v>
      </c>
      <c r="N341" s="1">
        <v>0.96062000000000003</v>
      </c>
      <c r="O341" s="1">
        <v>0.99456</v>
      </c>
      <c r="P341" s="1">
        <v>0.98331000000000002</v>
      </c>
      <c r="Q341" s="1">
        <v>0.94649000000000005</v>
      </c>
      <c r="R341" s="1">
        <v>0.99146999999999996</v>
      </c>
      <c r="S341" s="1">
        <v>1.0072099999999999</v>
      </c>
      <c r="T341" s="1">
        <v>0.99870000000000003</v>
      </c>
      <c r="U341" s="1">
        <v>0.96062000000000003</v>
      </c>
      <c r="V341" s="1">
        <v>0.99456</v>
      </c>
      <c r="W341" s="1">
        <v>0.98331000000000002</v>
      </c>
      <c r="X341" s="1">
        <v>0.95186000000000004</v>
      </c>
      <c r="Y341" s="1">
        <v>0.99146999999999996</v>
      </c>
      <c r="Z341" s="1">
        <v>1.0072099999999999</v>
      </c>
      <c r="AA341" s="1">
        <v>0.99870000000000003</v>
      </c>
      <c r="AB341" s="1">
        <v>0.96062000000000003</v>
      </c>
      <c r="AC341" s="1">
        <v>0.99456</v>
      </c>
      <c r="AD341" s="1">
        <v>0.98331000000000002</v>
      </c>
      <c r="AE341" s="1">
        <v>0.95186000000000004</v>
      </c>
      <c r="AF341" s="1">
        <v>0.99146999999999996</v>
      </c>
      <c r="AG341" s="1">
        <v>1.0072099999999999</v>
      </c>
      <c r="AH341" s="1">
        <v>0.99870000000000003</v>
      </c>
      <c r="AI341" s="1">
        <v>0.96062000000000003</v>
      </c>
      <c r="AJ341" s="1">
        <v>0.99456</v>
      </c>
      <c r="AL341" s="4"/>
      <c r="AM341" s="4" t="s">
        <v>13</v>
      </c>
      <c r="AN341" s="4" t="s">
        <v>14</v>
      </c>
      <c r="AO341" s="4" t="s">
        <v>15</v>
      </c>
      <c r="AP341" s="4" t="s">
        <v>16</v>
      </c>
      <c r="AQ341" s="4" t="s">
        <v>17</v>
      </c>
      <c r="AR341" s="4" t="s">
        <v>7</v>
      </c>
    </row>
    <row r="342" spans="1:44" ht="14.25" customHeight="1" x14ac:dyDescent="0.35">
      <c r="A342" s="1" t="s">
        <v>13</v>
      </c>
      <c r="B342" s="1" t="s">
        <v>14</v>
      </c>
      <c r="C342" s="1" t="s">
        <v>13</v>
      </c>
      <c r="D342" s="1" t="s">
        <v>16</v>
      </c>
      <c r="E342" s="1" t="s">
        <v>38</v>
      </c>
      <c r="F342" s="1">
        <v>1.00352</v>
      </c>
      <c r="G342" s="1">
        <v>0.98018000000000005</v>
      </c>
      <c r="H342" s="1">
        <v>0.96579000000000004</v>
      </c>
      <c r="I342" s="1">
        <v>1.0169699999999999</v>
      </c>
      <c r="J342" s="1">
        <v>0.98497000000000001</v>
      </c>
      <c r="K342" s="1">
        <v>0.96897</v>
      </c>
      <c r="L342" s="1">
        <v>0.99178999999999995</v>
      </c>
      <c r="M342" s="1">
        <v>1.00352</v>
      </c>
      <c r="N342" s="1">
        <v>0.98018000000000005</v>
      </c>
      <c r="O342" s="1">
        <v>0.96579000000000004</v>
      </c>
      <c r="P342" s="1">
        <v>1.0169699999999999</v>
      </c>
      <c r="Q342" s="1">
        <v>0.95655999999999997</v>
      </c>
      <c r="R342" s="1">
        <v>0.96897</v>
      </c>
      <c r="S342" s="1">
        <v>0.99178999999999995</v>
      </c>
      <c r="T342" s="1">
        <v>1.00352</v>
      </c>
      <c r="U342" s="1">
        <v>0.98018000000000005</v>
      </c>
      <c r="V342" s="1">
        <v>0.96579000000000004</v>
      </c>
      <c r="W342" s="1">
        <v>1.0169699999999999</v>
      </c>
      <c r="X342" s="1">
        <v>0.98497000000000001</v>
      </c>
      <c r="Y342" s="1">
        <v>0.96897</v>
      </c>
      <c r="Z342" s="1">
        <v>0.99178999999999995</v>
      </c>
      <c r="AA342" s="1">
        <v>1.00352</v>
      </c>
      <c r="AB342" s="1">
        <v>0.98018000000000005</v>
      </c>
      <c r="AC342" s="1">
        <v>0.96579000000000004</v>
      </c>
      <c r="AD342" s="1">
        <v>1.0169699999999999</v>
      </c>
      <c r="AE342" s="1">
        <v>0.98497000000000001</v>
      </c>
      <c r="AF342" s="1">
        <v>0.96897</v>
      </c>
      <c r="AG342" s="1">
        <v>0.99178999999999995</v>
      </c>
      <c r="AH342" s="1">
        <v>1.00352</v>
      </c>
      <c r="AI342" s="1">
        <v>0.98018000000000005</v>
      </c>
      <c r="AJ342" s="1">
        <v>0.96579000000000004</v>
      </c>
      <c r="AL342" s="4" t="s">
        <v>19</v>
      </c>
      <c r="AM342" s="6" cm="1">
        <f t="array" ref="AM342">IFERROR((SUMPRODUCT(($C$323:$C$347=AM$321)*($F$319:$AJ$319="")*$F$323:$AJ$347)+IF(AM$321="P3",SUMPRODUCT(($F$319:$AJ$319="P3")*$F$323:$AJ$347),0))/(SUMPRODUCT(($C$323:$C$347=AM$321)*($F$319:$AJ$319=""))+IF(AM$321="P3",COUNTIF($F$319:$AJ$319,"P3")*ROWS($C$323:$C$347),0)),"")</f>
        <v>0.94110592391304382</v>
      </c>
      <c r="AN342" s="6" cm="1">
        <f t="array" ref="AN342">IFERROR((SUMPRODUCT(($C$323:$C$347=AN$321)*($F$319:$AJ$319="")*$F$323:$AJ$347)+IF(AN$321="P3",SUMPRODUCT(($F$319:$AJ$319="P3")*$F$323:$AJ$347),0))/(SUMPRODUCT(($C$323:$C$347=AN$321)*($F$319:$AJ$319=""))+IF(AN$321="P3",COUNTIF($F$319:$AJ$319,"P3")*ROWS($C$323:$C$347),0)),"")</f>
        <v>1.1122594021739136</v>
      </c>
      <c r="AO342" s="6" cm="1">
        <f t="array" ref="AO342">IFERROR((SUMPRODUCT(($C$323:$C$347=AO$321)*($F$319:$AJ$319="")*$F$323:$AJ$347)+IF(AO$321="P3",SUMPRODUCT(($F$319:$AJ$319="P3")*$F$323:$AJ$347),0))/(SUMPRODUCT(($C$323:$C$347=AO$321)*($F$319:$AJ$319=""))+IF(AO$321="P3",COUNTIF($F$319:$AJ$319,"P3")*ROWS($C$323:$C$347),0)),"")</f>
        <v>0.92573555282555309</v>
      </c>
      <c r="AP342" s="6" t="str" cm="1">
        <f t="array" ref="AP342">IFERROR((SUMPRODUCT(($C$323:$C$347=AP$321)*($F$319:$AJ$319="")*$F$323:$AJ$347)+IF(AP$321="P3",SUMPRODUCT(($F$319:$AJ$319="P3")*$F$323:$AJ$347),0))/(SUMPRODUCT(($C$323:$C$347=AP$321)*($F$319:$AJ$319=""))+IF(AP$321="P3",COUNTIF($F$319:$AJ$319,"P3")*ROWS($C$323:$C$347),0)),"")</f>
        <v/>
      </c>
      <c r="AQ342" s="6" t="str" cm="1">
        <f t="array" ref="AQ342">IFERROR((SUMPRODUCT(($C$323:$C$347=AQ$321)*($F$319:$AJ$319="")*$F$323:$AJ$347)+IF(AQ$321="P3",SUMPRODUCT(($F$319:$AJ$319="P3")*$F$323:$AJ$347),0))/(SUMPRODUCT(($C$323:$C$347=AQ$321)*($F$319:$AJ$319=""))+IF(AQ$321="P3",COUNTIF($F$319:$AJ$319,"P3")*ROWS($C$323:$C$347),0)),"")</f>
        <v/>
      </c>
      <c r="AR342" s="6" t="str" cm="1">
        <f t="array" ref="AR342">IFERROR((SUMPRODUCT(($C$323:$C$347=AR$321)*($F$319:$AJ$319="")*$F$323:$AJ$347)+IF(AR$321="P3",SUMPRODUCT(($F$319:$AJ$319="P3")*$F$323:$AJ$347),0))/(SUMPRODUCT(($C$323:$C$347=AR$321)*($F$319:$AJ$319=""))+IF(AR$321="P3",COUNTIF($F$319:$AJ$319,"P3")*ROWS($C$323:$C$347),0)),"")</f>
        <v/>
      </c>
    </row>
    <row r="343" spans="1:44" ht="14.25" customHeight="1" x14ac:dyDescent="0.35">
      <c r="A343" s="1" t="s">
        <v>13</v>
      </c>
      <c r="B343" s="1" t="s">
        <v>14</v>
      </c>
      <c r="C343" s="1" t="s">
        <v>13</v>
      </c>
      <c r="D343" s="1" t="s">
        <v>16</v>
      </c>
      <c r="E343" s="1" t="s">
        <v>39</v>
      </c>
      <c r="F343" s="1">
        <v>0.99834000000000001</v>
      </c>
      <c r="G343" s="1">
        <v>0.96326000000000001</v>
      </c>
      <c r="H343" s="1">
        <v>0.95140000000000002</v>
      </c>
      <c r="I343" s="1">
        <v>1.02773</v>
      </c>
      <c r="J343" s="1">
        <v>0.98623000000000005</v>
      </c>
      <c r="K343" s="1">
        <v>0.92712000000000006</v>
      </c>
      <c r="L343" s="1">
        <v>0.96014999999999995</v>
      </c>
      <c r="M343" s="1">
        <v>0.99834000000000001</v>
      </c>
      <c r="N343" s="1">
        <v>0.96326000000000001</v>
      </c>
      <c r="O343" s="1">
        <v>0.95140000000000002</v>
      </c>
      <c r="P343" s="1">
        <v>1.02773</v>
      </c>
      <c r="Q343" s="1">
        <v>0.94286999999999999</v>
      </c>
      <c r="R343" s="1">
        <v>0.92712000000000006</v>
      </c>
      <c r="S343" s="1">
        <v>0.96014999999999995</v>
      </c>
      <c r="T343" s="1">
        <v>0.99834000000000001</v>
      </c>
      <c r="U343" s="1">
        <v>0.96326000000000001</v>
      </c>
      <c r="V343" s="1">
        <v>0.95140000000000002</v>
      </c>
      <c r="W343" s="1">
        <v>1.02773</v>
      </c>
      <c r="X343" s="1">
        <v>0.98623000000000005</v>
      </c>
      <c r="Y343" s="1">
        <v>0.92712000000000006</v>
      </c>
      <c r="Z343" s="1">
        <v>0.96014999999999995</v>
      </c>
      <c r="AA343" s="1">
        <v>0.99834000000000001</v>
      </c>
      <c r="AB343" s="1">
        <v>0.96326000000000001</v>
      </c>
      <c r="AC343" s="1">
        <v>0.95140000000000002</v>
      </c>
      <c r="AD343" s="1">
        <v>1.02773</v>
      </c>
      <c r="AE343" s="1">
        <v>0.98623000000000005</v>
      </c>
      <c r="AF343" s="1">
        <v>0.92712000000000006</v>
      </c>
      <c r="AG343" s="1">
        <v>0.96014999999999995</v>
      </c>
      <c r="AH343" s="1">
        <v>0.99834000000000001</v>
      </c>
      <c r="AI343" s="1">
        <v>0.96326000000000001</v>
      </c>
      <c r="AJ343" s="1">
        <v>0.95140000000000002</v>
      </c>
      <c r="AL343" s="4" t="s">
        <v>21</v>
      </c>
      <c r="AM343" s="6" t="str" cm="1">
        <f t="array" ref="AM343">IFERROR((SUMPRODUCT(($B$323:$B$347=AM$321)*($F$320:$AJ$320="")*$F$323:$AJ$347)+IF(AM$321="P6",SUMPRODUCT(($F$320:$AJ$320="P6")*$F$323:$AJ$347),0))/(SUMPRODUCT(($B$323:$B$347=AM$321)*($F$320:$AJ$320=""))+IF(AM$321="P6",COUNTIF($F$320:$AJ$320,"P6")*ROWS($B$323:$B$347),0)),"")</f>
        <v/>
      </c>
      <c r="AN343" s="6" cm="1">
        <f t="array" ref="AN343">IFERROR((SUMPRODUCT(($B$323:$B$347=AN$321)*($F$320:$AJ$320="")*$F$323:$AJ$347)+IF(AN$321="P6",SUMPRODUCT(($F$320:$AJ$320="P6")*$F$323:$AJ$347),0))/(SUMPRODUCT(($B$323:$B$347=AN$321)*($F$320:$AJ$320=""))+IF(AN$321="P6",COUNTIF($F$320:$AJ$320,"P6")*ROWS($B$323:$B$347),0)),"")</f>
        <v>0.95134845410628022</v>
      </c>
      <c r="AO343" s="6" cm="1">
        <f t="array" ref="AO343">IFERROR((SUMPRODUCT(($B$323:$B$347=AO$321)*($F$320:$AJ$320="")*$F$323:$AJ$347)+IF(AO$321="P6",SUMPRODUCT(($F$320:$AJ$320="P6")*$F$323:$AJ$347),0))/(SUMPRODUCT(($B$323:$B$347=AO$321)*($F$320:$AJ$320=""))+IF(AO$321="P6",COUNTIF($F$320:$AJ$320,"P6")*ROWS($B$323:$B$347),0)),"")</f>
        <v>1.1235409316770186</v>
      </c>
      <c r="AP343" s="6" t="str" cm="1">
        <f t="array" ref="AP343">IFERROR((SUMPRODUCT(($B$323:$B$347=AP$321)*($F$320:$AJ$320="")*$F$323:$AJ$347)+IF(AP$321="P6",SUMPRODUCT(($F$320:$AJ$320="P6")*$F$323:$AJ$347),0))/(SUMPRODUCT(($B$323:$B$347=AP$321)*($F$320:$AJ$320=""))+IF(AP$321="P6",COUNTIF($F$320:$AJ$320,"P6")*ROWS($B$323:$B$347),0)),"")</f>
        <v/>
      </c>
      <c r="AQ343" s="6" t="str" cm="1">
        <f t="array" ref="AQ343">IFERROR((SUMPRODUCT(($B$323:$B$347=AQ$321)*($F$320:$AJ$320="")*$F$323:$AJ$347)+IF(AQ$321="P6",SUMPRODUCT(($F$320:$AJ$320="P6")*$F$323:$AJ$347),0))/(SUMPRODUCT(($B$323:$B$347=AQ$321)*($F$320:$AJ$320=""))+IF(AQ$321="P6",COUNTIF($F$320:$AJ$320,"P6")*ROWS($B$323:$B$347),0)),"")</f>
        <v/>
      </c>
      <c r="AR343" s="6" cm="1">
        <f t="array" ref="AR343">IFERROR((SUMPRODUCT(($B$323:$B$347=AR$321)*($F$320:$AJ$320="")*$F$323:$AJ$347)+IF(AR$321="P6",SUMPRODUCT(($F$320:$AJ$320="P6")*$F$323:$AJ$347),0))/(SUMPRODUCT(($B$323:$B$347=AR$321)*($F$320:$AJ$320=""))+IF(AR$321="P6",COUNTIF($F$320:$AJ$320,"P6")*ROWS($B$323:$B$347),0)),"")</f>
        <v>0.92573555282555309</v>
      </c>
    </row>
    <row r="344" spans="1:44" ht="14.25" customHeight="1" x14ac:dyDescent="0.35">
      <c r="A344" s="1" t="s">
        <v>13</v>
      </c>
      <c r="B344" s="1" t="s">
        <v>14</v>
      </c>
      <c r="C344" s="1" t="s">
        <v>13</v>
      </c>
      <c r="D344" s="1" t="s">
        <v>16</v>
      </c>
      <c r="E344" s="1" t="s">
        <v>40</v>
      </c>
      <c r="F344" s="1">
        <v>1.0133399999999999</v>
      </c>
      <c r="G344" s="1">
        <v>0.96391000000000004</v>
      </c>
      <c r="H344" s="1">
        <v>1.00305</v>
      </c>
      <c r="I344" s="1">
        <v>1.0352399999999999</v>
      </c>
      <c r="J344" s="1">
        <v>0.99175999999999997</v>
      </c>
      <c r="K344" s="1">
        <v>0.91849999999999998</v>
      </c>
      <c r="L344" s="1">
        <v>0.96357999999999999</v>
      </c>
      <c r="M344" s="1">
        <v>1.0133399999999999</v>
      </c>
      <c r="N344" s="1">
        <v>0.96391000000000004</v>
      </c>
      <c r="O344" s="1">
        <v>1.00305</v>
      </c>
      <c r="P344" s="1">
        <v>1.0352399999999999</v>
      </c>
      <c r="Q344" s="1">
        <v>0.94057000000000002</v>
      </c>
      <c r="R344" s="1">
        <v>0.91849999999999998</v>
      </c>
      <c r="S344" s="1">
        <v>0.96357999999999999</v>
      </c>
      <c r="T344" s="1">
        <v>1.0133399999999999</v>
      </c>
      <c r="U344" s="1">
        <v>0.96391000000000004</v>
      </c>
      <c r="V344" s="1">
        <v>1.00305</v>
      </c>
      <c r="W344" s="1">
        <v>1.0352399999999999</v>
      </c>
      <c r="X344" s="1">
        <v>0.99175999999999997</v>
      </c>
      <c r="Y344" s="1">
        <v>0.91849999999999998</v>
      </c>
      <c r="Z344" s="1">
        <v>0.96357999999999999</v>
      </c>
      <c r="AA344" s="1">
        <v>1.0133399999999999</v>
      </c>
      <c r="AB344" s="1">
        <v>0.96391000000000004</v>
      </c>
      <c r="AC344" s="1">
        <v>1.00305</v>
      </c>
      <c r="AD344" s="1">
        <v>1.0352399999999999</v>
      </c>
      <c r="AE344" s="1">
        <v>0.99175999999999997</v>
      </c>
      <c r="AF344" s="1">
        <v>0.91849999999999998</v>
      </c>
      <c r="AG344" s="1">
        <v>0.96357999999999999</v>
      </c>
      <c r="AH344" s="1">
        <v>1.0133399999999999</v>
      </c>
      <c r="AI344" s="1">
        <v>0.96391000000000004</v>
      </c>
      <c r="AJ344" s="1">
        <v>1.00305</v>
      </c>
      <c r="AL344" s="4" t="s">
        <v>23</v>
      </c>
      <c r="AM344" s="6" t="str" cm="1">
        <f t="array" ref="AM344">IFERROR((SUMPRODUCT(($B$323:$B$347=AM$321)*($F$320:$AJ$320="")*$F$323:$AJ$347)+IF(AM$321="P6",SUMPRODUCT(($F$320:$AJ$320="P6")*$F$323:$AJ$347),0))/(SUMPRODUCT(($B$323:$B$347=AM$321)*($F$320:$AJ$320=""))+IF(AM$321="P6",COUNTIF($F$320:$AJ$320,"P6")*ROWS($B$323:$B$347),0)),"")</f>
        <v/>
      </c>
      <c r="AN344" s="6" cm="1">
        <f t="array" ref="AN344">IFERROR((SUMPRODUCT(($B$323:$B$347=AN$321)*($F$320:$AJ$320="")*$F$323:$AJ$347)+IF(AN$321="P6",SUMPRODUCT(($F$320:$AJ$320="P6")*$F$323:$AJ$347),0))/(SUMPRODUCT(($B$323:$B$347=AN$321)*($F$320:$AJ$320=""))+IF(AN$321="P6",COUNTIF($F$320:$AJ$320,"P6")*ROWS($B$323:$B$347),0)),"")</f>
        <v>0.95134845410628022</v>
      </c>
      <c r="AO344" s="6" cm="1">
        <f t="array" ref="AO344">IFERROR((SUMPRODUCT(($B$323:$B$347=AO$321)*($F$320:$AJ$320="")*$F$323:$AJ$347)+IF(AO$321="P6",SUMPRODUCT(($F$320:$AJ$320="P6")*$F$323:$AJ$347),0))/(SUMPRODUCT(($B$323:$B$347=AO$321)*($F$320:$AJ$320=""))+IF(AO$321="P6",COUNTIF($F$320:$AJ$320,"P6")*ROWS($B$323:$B$347),0)),"")</f>
        <v>1.1235409316770186</v>
      </c>
      <c r="AP344" s="6" t="str" cm="1">
        <f t="array" ref="AP344">IFERROR((SUMPRODUCT(($B$323:$B$347=AP$321)*($F$320:$AJ$320="")*$F$323:$AJ$347)+IF(AP$321="P6",SUMPRODUCT(($F$320:$AJ$320="P6")*$F$323:$AJ$347),0))/(SUMPRODUCT(($B$323:$B$347=AP$321)*($F$320:$AJ$320=""))+IF(AP$321="P6",COUNTIF($F$320:$AJ$320,"P6")*ROWS($B$323:$B$347),0)),"")</f>
        <v/>
      </c>
      <c r="AQ344" s="6" t="str" cm="1">
        <f t="array" ref="AQ344">IFERROR((SUMPRODUCT(($B$323:$B$347=AQ$321)*($F$320:$AJ$320="")*$F$323:$AJ$347)+IF(AQ$321="P6",SUMPRODUCT(($F$320:$AJ$320="P6")*$F$323:$AJ$347),0))/(SUMPRODUCT(($B$323:$B$347=AQ$321)*($F$320:$AJ$320=""))+IF(AQ$321="P6",COUNTIF($F$320:$AJ$320,"P6")*ROWS($B$323:$B$347),0)),"")</f>
        <v/>
      </c>
      <c r="AR344" s="6" cm="1">
        <f t="array" ref="AR344">IFERROR((SUMPRODUCT(($B$323:$B$347=AR$321)*($F$320:$AJ$320="")*$F$323:$AJ$347)+IF(AR$321="P6",SUMPRODUCT(($F$320:$AJ$320="P6")*$F$323:$AJ$347),0))/(SUMPRODUCT(($B$323:$B$347=AR$321)*($F$320:$AJ$320=""))+IF(AR$321="P6",COUNTIF($F$320:$AJ$320,"P6")*ROWS($B$323:$B$347),0)),"")</f>
        <v>0.92573555282555309</v>
      </c>
    </row>
    <row r="345" spans="1:44" ht="14.25" customHeight="1" x14ac:dyDescent="0.35">
      <c r="A345" s="1" t="s">
        <v>15</v>
      </c>
      <c r="B345" s="1" t="s">
        <v>15</v>
      </c>
      <c r="C345" s="1" t="s">
        <v>14</v>
      </c>
      <c r="D345" s="1" t="s">
        <v>17</v>
      </c>
      <c r="E345" s="1" t="s">
        <v>41</v>
      </c>
      <c r="F345" s="1">
        <v>1.22451</v>
      </c>
      <c r="G345" s="1">
        <v>1.14733</v>
      </c>
      <c r="H345" s="1">
        <v>1.2234</v>
      </c>
      <c r="I345" s="1">
        <v>1.2235100000000001</v>
      </c>
      <c r="J345" s="1">
        <v>1.0230300000000001</v>
      </c>
      <c r="K345" s="1">
        <v>0.93313000000000001</v>
      </c>
      <c r="L345" s="1">
        <v>1.1415299999999999</v>
      </c>
      <c r="M345" s="1">
        <v>1.22451</v>
      </c>
      <c r="N345" s="1">
        <v>1.14733</v>
      </c>
      <c r="O345" s="1">
        <v>1.2234</v>
      </c>
      <c r="P345" s="1">
        <v>1.2235100000000001</v>
      </c>
      <c r="Q345" s="1">
        <v>0.96143999999999996</v>
      </c>
      <c r="R345" s="1">
        <v>0.93313000000000001</v>
      </c>
      <c r="S345" s="1">
        <v>1.1415299999999999</v>
      </c>
      <c r="T345" s="1">
        <v>1.22451</v>
      </c>
      <c r="U345" s="1">
        <v>1.14733</v>
      </c>
      <c r="V345" s="1">
        <v>1.2234</v>
      </c>
      <c r="W345" s="1">
        <v>1.2235100000000001</v>
      </c>
      <c r="X345" s="1">
        <v>1.0230300000000001</v>
      </c>
      <c r="Y345" s="1">
        <v>0.93313000000000001</v>
      </c>
      <c r="Z345" s="1">
        <v>1.1415299999999999</v>
      </c>
      <c r="AA345" s="1">
        <v>1.22451</v>
      </c>
      <c r="AB345" s="1">
        <v>1.14733</v>
      </c>
      <c r="AC345" s="1">
        <v>1.2234</v>
      </c>
      <c r="AD345" s="1">
        <v>1.2235100000000001</v>
      </c>
      <c r="AE345" s="1">
        <v>1.0230300000000001</v>
      </c>
      <c r="AF345" s="1">
        <v>0.93313000000000001</v>
      </c>
      <c r="AG345" s="1">
        <v>1.1415299999999999</v>
      </c>
      <c r="AH345" s="1">
        <v>1.22451</v>
      </c>
      <c r="AI345" s="1">
        <v>1.14733</v>
      </c>
      <c r="AJ345" s="1">
        <v>1.2234</v>
      </c>
      <c r="AL345" s="4" t="s">
        <v>25</v>
      </c>
      <c r="AM345" s="6" t="str" cm="1">
        <f t="array" ref="AM345">IFERROR((SUMPRODUCT(($B$323:$B$347=AM$321)*($F$320:$AJ$320="")*$F$323:$AJ$347)+IF(AM$321="P6",SUMPRODUCT(($F$320:$AJ$320="P6")*$F$323:$AJ$347),0))/(SUMPRODUCT(($B$323:$B$347=AM$321)*($F$320:$AJ$320=""))+IF(AM$321="P6",COUNTIF($F$320:$AJ$320,"P6")*ROWS($B$323:$B$347),0)),"")</f>
        <v/>
      </c>
      <c r="AN345" s="6" cm="1">
        <f t="array" ref="AN345">IFERROR((SUMPRODUCT(($B$323:$B$347=AN$321)*($F$320:$AJ$320="")*$F$323:$AJ$347)+IF(AN$321="P6",SUMPRODUCT(($F$320:$AJ$320="P6")*$F$323:$AJ$347),0))/(SUMPRODUCT(($B$323:$B$347=AN$321)*($F$320:$AJ$320=""))+IF(AN$321="P6",COUNTIF($F$320:$AJ$320,"P6")*ROWS($B$323:$B$347),0)),"")</f>
        <v>0.95134845410628022</v>
      </c>
      <c r="AO345" s="6" cm="1">
        <f t="array" ref="AO345">IFERROR((SUMPRODUCT(($B$323:$B$347=AO$321)*($F$320:$AJ$320="")*$F$323:$AJ$347)+IF(AO$321="P6",SUMPRODUCT(($F$320:$AJ$320="P6")*$F$323:$AJ$347),0))/(SUMPRODUCT(($B$323:$B$347=AO$321)*($F$320:$AJ$320=""))+IF(AO$321="P6",COUNTIF($F$320:$AJ$320,"P6")*ROWS($B$323:$B$347),0)),"")</f>
        <v>1.1235409316770186</v>
      </c>
      <c r="AP345" s="6" t="str" cm="1">
        <f t="array" ref="AP345">IFERROR((SUMPRODUCT(($B$323:$B$347=AP$321)*($F$320:$AJ$320="")*$F$323:$AJ$347)+IF(AP$321="P6",SUMPRODUCT(($F$320:$AJ$320="P6")*$F$323:$AJ$347),0))/(SUMPRODUCT(($B$323:$B$347=AP$321)*($F$320:$AJ$320=""))+IF(AP$321="P6",COUNTIF($F$320:$AJ$320,"P6")*ROWS($B$323:$B$347),0)),"")</f>
        <v/>
      </c>
      <c r="AQ345" s="6" t="str" cm="1">
        <f t="array" ref="AQ345">IFERROR((SUMPRODUCT(($B$323:$B$347=AQ$321)*($F$320:$AJ$320="")*$F$323:$AJ$347)+IF(AQ$321="P6",SUMPRODUCT(($F$320:$AJ$320="P6")*$F$323:$AJ$347),0))/(SUMPRODUCT(($B$323:$B$347=AQ$321)*($F$320:$AJ$320=""))+IF(AQ$321="P6",COUNTIF($F$320:$AJ$320,"P6")*ROWS($B$323:$B$347),0)),"")</f>
        <v/>
      </c>
      <c r="AR345" s="6" cm="1">
        <f t="array" ref="AR345">IFERROR((SUMPRODUCT(($B$323:$B$347=AR$321)*($F$320:$AJ$320="")*$F$323:$AJ$347)+IF(AR$321="P6",SUMPRODUCT(($F$320:$AJ$320="P6")*$F$323:$AJ$347),0))/(SUMPRODUCT(($B$323:$B$347=AR$321)*($F$320:$AJ$320=""))+IF(AR$321="P6",COUNTIF($F$320:$AJ$320,"P6")*ROWS($B$323:$B$347),0)),"")</f>
        <v>0.92573555282555309</v>
      </c>
    </row>
    <row r="346" spans="1:44" ht="14.25" customHeight="1" x14ac:dyDescent="0.35">
      <c r="A346" s="1" t="s">
        <v>15</v>
      </c>
      <c r="B346" s="1" t="s">
        <v>15</v>
      </c>
      <c r="C346" s="1" t="s">
        <v>14</v>
      </c>
      <c r="D346" s="1" t="s">
        <v>17</v>
      </c>
      <c r="E346" s="1" t="s">
        <v>42</v>
      </c>
      <c r="F346" s="1">
        <v>1.2869900000000001</v>
      </c>
      <c r="G346" s="1">
        <v>1.21661</v>
      </c>
      <c r="H346" s="1">
        <v>1.26146</v>
      </c>
      <c r="I346" s="1">
        <v>1.2626900000000001</v>
      </c>
      <c r="J346" s="1">
        <v>1.0544</v>
      </c>
      <c r="K346" s="1">
        <v>0.9889</v>
      </c>
      <c r="L346" s="1">
        <v>1.2016199999999999</v>
      </c>
      <c r="M346" s="1">
        <v>1.2869900000000001</v>
      </c>
      <c r="N346" s="1">
        <v>1.21661</v>
      </c>
      <c r="O346" s="1">
        <v>1.26146</v>
      </c>
      <c r="P346" s="1">
        <v>1.2626900000000001</v>
      </c>
      <c r="Q346" s="1">
        <v>0.99182000000000003</v>
      </c>
      <c r="R346" s="1">
        <v>0.9889</v>
      </c>
      <c r="S346" s="1">
        <v>1.2016199999999999</v>
      </c>
      <c r="T346" s="1">
        <v>1.2869900000000001</v>
      </c>
      <c r="U346" s="1">
        <v>1.21661</v>
      </c>
      <c r="V346" s="1">
        <v>1.26146</v>
      </c>
      <c r="W346" s="1">
        <v>1.2626900000000001</v>
      </c>
      <c r="X346" s="1">
        <v>1.0544</v>
      </c>
      <c r="Y346" s="1">
        <v>0.9889</v>
      </c>
      <c r="Z346" s="1">
        <v>1.2016199999999999</v>
      </c>
      <c r="AA346" s="1">
        <v>1.2869900000000001</v>
      </c>
      <c r="AB346" s="1">
        <v>1.21661</v>
      </c>
      <c r="AC346" s="1">
        <v>1.26146</v>
      </c>
      <c r="AD346" s="1">
        <v>1.2626900000000001</v>
      </c>
      <c r="AE346" s="1">
        <v>1.0544</v>
      </c>
      <c r="AF346" s="1">
        <v>0.9889</v>
      </c>
      <c r="AG346" s="1">
        <v>1.2016199999999999</v>
      </c>
      <c r="AH346" s="1">
        <v>1.2869900000000001</v>
      </c>
      <c r="AI346" s="1">
        <v>1.21661</v>
      </c>
      <c r="AJ346" s="1">
        <v>1.26146</v>
      </c>
      <c r="AL346" s="4" t="s">
        <v>27</v>
      </c>
      <c r="AM346" s="6" t="str" cm="1">
        <f t="array" ref="AM346">IFERROR((SUMPRODUCT(($B$323:$B$347=AM$321)*($F$320:$AJ$320="")*$F$323:$AJ$347)+IF(AM$321="P6",SUMPRODUCT(($F$320:$AJ$320="P6")*$F$323:$AJ$347),0))/(SUMPRODUCT(($B$323:$B$347=AM$321)*($F$320:$AJ$320=""))+IF(AM$321="P6",COUNTIF($F$320:$AJ$320,"P6")*ROWS($B$323:$B$347),0)),"")</f>
        <v/>
      </c>
      <c r="AN346" s="6" cm="1">
        <f t="array" ref="AN346">IFERROR((SUMPRODUCT(($B$323:$B$347=AN$321)*($F$320:$AJ$320="")*$F$323:$AJ$347)+IF(AN$321="P6",SUMPRODUCT(($F$320:$AJ$320="P6")*$F$323:$AJ$347),0))/(SUMPRODUCT(($B$323:$B$347=AN$321)*($F$320:$AJ$320=""))+IF(AN$321="P6",COUNTIF($F$320:$AJ$320,"P6")*ROWS($B$323:$B$347),0)),"")</f>
        <v>0.95134845410628022</v>
      </c>
      <c r="AO346" s="6" cm="1">
        <f t="array" ref="AO346">IFERROR((SUMPRODUCT(($B$323:$B$347=AO$321)*($F$320:$AJ$320="")*$F$323:$AJ$347)+IF(AO$321="P6",SUMPRODUCT(($F$320:$AJ$320="P6")*$F$323:$AJ$347),0))/(SUMPRODUCT(($B$323:$B$347=AO$321)*($F$320:$AJ$320=""))+IF(AO$321="P6",COUNTIF($F$320:$AJ$320,"P6")*ROWS($B$323:$B$347),0)),"")</f>
        <v>1.1235409316770186</v>
      </c>
      <c r="AP346" s="6" t="str" cm="1">
        <f t="array" ref="AP346">IFERROR((SUMPRODUCT(($B$323:$B$347=AP$321)*($F$320:$AJ$320="")*$F$323:$AJ$347)+IF(AP$321="P6",SUMPRODUCT(($F$320:$AJ$320="P6")*$F$323:$AJ$347),0))/(SUMPRODUCT(($B$323:$B$347=AP$321)*($F$320:$AJ$320=""))+IF(AP$321="P6",COUNTIF($F$320:$AJ$320,"P6")*ROWS($B$323:$B$347),0)),"")</f>
        <v/>
      </c>
      <c r="AQ346" s="6" t="str" cm="1">
        <f t="array" ref="AQ346">IFERROR((SUMPRODUCT(($B$323:$B$347=AQ$321)*($F$320:$AJ$320="")*$F$323:$AJ$347)+IF(AQ$321="P6",SUMPRODUCT(($F$320:$AJ$320="P6")*$F$323:$AJ$347),0))/(SUMPRODUCT(($B$323:$B$347=AQ$321)*($F$320:$AJ$320=""))+IF(AQ$321="P6",COUNTIF($F$320:$AJ$320,"P6")*ROWS($B$323:$B$347),0)),"")</f>
        <v/>
      </c>
      <c r="AR346" s="6" cm="1">
        <f t="array" ref="AR346">IFERROR((SUMPRODUCT(($B$323:$B$347=AR$321)*($F$320:$AJ$320="")*$F$323:$AJ$347)+IF(AR$321="P6",SUMPRODUCT(($F$320:$AJ$320="P6")*$F$323:$AJ$347),0))/(SUMPRODUCT(($B$323:$B$347=AR$321)*($F$320:$AJ$320=""))+IF(AR$321="P6",COUNTIF($F$320:$AJ$320,"P6")*ROWS($B$323:$B$347),0)),"")</f>
        <v>0.92573555282555309</v>
      </c>
    </row>
    <row r="347" spans="1:44" ht="14.25" customHeight="1" x14ac:dyDescent="0.35">
      <c r="A347" s="1" t="s">
        <v>7</v>
      </c>
      <c r="B347" s="1" t="s">
        <v>7</v>
      </c>
      <c r="C347" s="9" t="s">
        <v>15</v>
      </c>
      <c r="D347" s="9" t="s">
        <v>7</v>
      </c>
      <c r="E347" s="9" t="s">
        <v>53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P347" s="9">
        <v>0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  <c r="Z347" s="9">
        <v>0</v>
      </c>
      <c r="AA347" s="9">
        <v>0</v>
      </c>
      <c r="AB347" s="9">
        <v>0</v>
      </c>
      <c r="AC347" s="9">
        <v>0</v>
      </c>
      <c r="AD347" s="9">
        <v>0</v>
      </c>
      <c r="AE347" s="9">
        <v>0</v>
      </c>
      <c r="AF347" s="9">
        <v>1.12706</v>
      </c>
      <c r="AG347" s="9">
        <v>0</v>
      </c>
      <c r="AH347" s="9">
        <v>0</v>
      </c>
      <c r="AI347" s="9">
        <v>0</v>
      </c>
      <c r="AJ347" s="9">
        <v>0</v>
      </c>
      <c r="AL347" s="4" t="s">
        <v>29</v>
      </c>
      <c r="AM347" s="6" t="str" cm="1">
        <f t="array" ref="AM347">IFERROR((SUMPRODUCT(($B$323:$B$347=AM$321)*($F$320:$AJ$320="")*$F$323:$AJ$347)+IF(AM$321="P6",SUMPRODUCT(($F$320:$AJ$320="P6")*$F$323:$AJ$347),0))/(SUMPRODUCT(($B$323:$B$347=AM$321)*($F$320:$AJ$320=""))+IF(AM$321="P6",COUNTIF($F$320:$AJ$320,"P6")*ROWS($B$323:$B$347),0)),"")</f>
        <v/>
      </c>
      <c r="AN347" s="6" cm="1">
        <f t="array" ref="AN347">IFERROR((SUMPRODUCT(($B$323:$B$347=AN$321)*($F$320:$AJ$320="")*$F$323:$AJ$347)+IF(AN$321="P6",SUMPRODUCT(($F$320:$AJ$320="P6")*$F$323:$AJ$347),0))/(SUMPRODUCT(($B$323:$B$347=AN$321)*($F$320:$AJ$320=""))+IF(AN$321="P6",COUNTIF($F$320:$AJ$320,"P6")*ROWS($B$323:$B$347),0)),"")</f>
        <v>0.95134845410628022</v>
      </c>
      <c r="AO347" s="6" cm="1">
        <f t="array" ref="AO347">IFERROR((SUMPRODUCT(($B$323:$B$347=AO$321)*($F$320:$AJ$320="")*$F$323:$AJ$347)+IF(AO$321="P6",SUMPRODUCT(($F$320:$AJ$320="P6")*$F$323:$AJ$347),0))/(SUMPRODUCT(($B$323:$B$347=AO$321)*($F$320:$AJ$320=""))+IF(AO$321="P6",COUNTIF($F$320:$AJ$320,"P6")*ROWS($B$323:$B$347),0)),"")</f>
        <v>1.1235409316770186</v>
      </c>
      <c r="AP347" s="6" t="str" cm="1">
        <f t="array" ref="AP347">IFERROR((SUMPRODUCT(($B$323:$B$347=AP$321)*($F$320:$AJ$320="")*$F$323:$AJ$347)+IF(AP$321="P6",SUMPRODUCT(($F$320:$AJ$320="P6")*$F$323:$AJ$347),0))/(SUMPRODUCT(($B$323:$B$347=AP$321)*($F$320:$AJ$320=""))+IF(AP$321="P6",COUNTIF($F$320:$AJ$320,"P6")*ROWS($B$323:$B$347),0)),"")</f>
        <v/>
      </c>
      <c r="AQ347" s="6" t="str" cm="1">
        <f t="array" ref="AQ347">IFERROR((SUMPRODUCT(($B$323:$B$347=AQ$321)*($F$320:$AJ$320="")*$F$323:$AJ$347)+IF(AQ$321="P6",SUMPRODUCT(($F$320:$AJ$320="P6")*$F$323:$AJ$347),0))/(SUMPRODUCT(($B$323:$B$347=AQ$321)*($F$320:$AJ$320=""))+IF(AQ$321="P6",COUNTIF($F$320:$AJ$320,"P6")*ROWS($B$323:$B$347),0)),"")</f>
        <v/>
      </c>
      <c r="AR347" s="6" cm="1">
        <f t="array" ref="AR347">IFERROR((SUMPRODUCT(($B$323:$B$347=AR$321)*($F$320:$AJ$320="")*$F$323:$AJ$347)+IF(AR$321="P6",SUMPRODUCT(($F$320:$AJ$320="P6")*$F$323:$AJ$347),0))/(SUMPRODUCT(($B$323:$B$347=AR$321)*($F$320:$AJ$320=""))+IF(AR$321="P6",COUNTIF($F$320:$AJ$320,"P6")*ROWS($B$323:$B$347),0)),"")</f>
        <v>0.92573555282555309</v>
      </c>
    </row>
    <row r="351" spans="1:44" ht="14.25" customHeight="1" x14ac:dyDescent="0.35">
      <c r="A351" s="15" t="s">
        <v>193</v>
      </c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</row>
    <row r="352" spans="1:44" ht="14.25" customHeight="1" x14ac:dyDescent="0.3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</row>
    <row r="353" spans="1:44" ht="14.25" customHeight="1" x14ac:dyDescent="0.35">
      <c r="AL353" s="10"/>
      <c r="AM353" s="10"/>
      <c r="AN353" s="10"/>
      <c r="AO353" s="10"/>
      <c r="AP353" s="10"/>
      <c r="AQ353" s="10"/>
      <c r="AR353" s="10"/>
    </row>
    <row r="354" spans="1:44" ht="14.25" customHeight="1" x14ac:dyDescent="0.35">
      <c r="F354" s="1" t="str">
        <f>IF(OR(F356="S",F356="D",F357=DATE(2024,11,1)),"P3","")</f>
        <v>P3</v>
      </c>
      <c r="G354" s="1" t="str">
        <f t="shared" ref="G354:AI354" si="36">IF(OR(G356="S",G356="D",G357=DATE(2024,11,1)),"P3","")</f>
        <v>P3</v>
      </c>
      <c r="H354" s="1" t="str">
        <f t="shared" si="36"/>
        <v>P3</v>
      </c>
      <c r="I354" s="1" t="str">
        <f t="shared" si="36"/>
        <v/>
      </c>
      <c r="J354" s="1" t="str">
        <f t="shared" si="36"/>
        <v/>
      </c>
      <c r="K354" s="1" t="str">
        <f t="shared" si="36"/>
        <v/>
      </c>
      <c r="L354" s="1" t="str">
        <f t="shared" si="36"/>
        <v/>
      </c>
      <c r="M354" s="1" t="str">
        <f t="shared" si="36"/>
        <v/>
      </c>
      <c r="N354" s="1" t="str">
        <f t="shared" si="36"/>
        <v>P3</v>
      </c>
      <c r="O354" s="1" t="str">
        <f t="shared" si="36"/>
        <v>P3</v>
      </c>
      <c r="P354" s="1" t="str">
        <f t="shared" si="36"/>
        <v/>
      </c>
      <c r="Q354" s="1" t="str">
        <f t="shared" si="36"/>
        <v/>
      </c>
      <c r="R354" s="1" t="str">
        <f t="shared" si="36"/>
        <v/>
      </c>
      <c r="S354" s="1" t="str">
        <f t="shared" si="36"/>
        <v/>
      </c>
      <c r="T354" s="1" t="str">
        <f t="shared" si="36"/>
        <v/>
      </c>
      <c r="U354" s="1" t="str">
        <f t="shared" si="36"/>
        <v>P3</v>
      </c>
      <c r="V354" s="1" t="str">
        <f t="shared" si="36"/>
        <v>P3</v>
      </c>
      <c r="W354" s="1" t="str">
        <f t="shared" si="36"/>
        <v/>
      </c>
      <c r="X354" s="1" t="str">
        <f t="shared" si="36"/>
        <v/>
      </c>
      <c r="Y354" s="1" t="str">
        <f t="shared" si="36"/>
        <v/>
      </c>
      <c r="Z354" s="1" t="str">
        <f t="shared" si="36"/>
        <v/>
      </c>
      <c r="AA354" s="1" t="str">
        <f t="shared" si="36"/>
        <v/>
      </c>
      <c r="AB354" s="1" t="str">
        <f t="shared" si="36"/>
        <v>P3</v>
      </c>
      <c r="AC354" s="1" t="str">
        <f t="shared" si="36"/>
        <v>P3</v>
      </c>
      <c r="AD354" s="1" t="str">
        <f t="shared" si="36"/>
        <v/>
      </c>
      <c r="AE354" s="1" t="str">
        <f t="shared" si="36"/>
        <v/>
      </c>
      <c r="AF354" s="1" t="str">
        <f t="shared" si="36"/>
        <v/>
      </c>
      <c r="AG354" s="1" t="str">
        <f t="shared" si="36"/>
        <v/>
      </c>
      <c r="AH354" s="1" t="str">
        <f t="shared" si="36"/>
        <v/>
      </c>
      <c r="AI354" s="1" t="str">
        <f t="shared" si="36"/>
        <v>P3</v>
      </c>
      <c r="AL354" s="10"/>
      <c r="AM354" s="10"/>
      <c r="AN354" s="10"/>
      <c r="AO354" s="10"/>
      <c r="AP354" s="10"/>
      <c r="AQ354" s="10"/>
      <c r="AR354" s="10"/>
    </row>
    <row r="355" spans="1:44" ht="14.25" customHeight="1" x14ac:dyDescent="0.35">
      <c r="F355" s="1" t="str">
        <f>IF(OR(F356="S",F356="D",F357=DATE(2024,11,1)),"P6","")</f>
        <v>P6</v>
      </c>
      <c r="G355" s="1" t="str">
        <f t="shared" ref="G355:AI355" si="37">IF(OR(G356="S",G356="D",G357=DATE(2024,11,1)),"P6","")</f>
        <v>P6</v>
      </c>
      <c r="H355" s="1" t="str">
        <f t="shared" si="37"/>
        <v>P6</v>
      </c>
      <c r="I355" s="1" t="str">
        <f t="shared" si="37"/>
        <v/>
      </c>
      <c r="J355" s="1" t="str">
        <f t="shared" si="37"/>
        <v/>
      </c>
      <c r="K355" s="1" t="str">
        <f t="shared" si="37"/>
        <v/>
      </c>
      <c r="L355" s="1" t="str">
        <f t="shared" si="37"/>
        <v/>
      </c>
      <c r="M355" s="1" t="str">
        <f t="shared" si="37"/>
        <v/>
      </c>
      <c r="N355" s="1" t="str">
        <f t="shared" si="37"/>
        <v>P6</v>
      </c>
      <c r="O355" s="1" t="str">
        <f t="shared" si="37"/>
        <v>P6</v>
      </c>
      <c r="P355" s="1" t="str">
        <f t="shared" si="37"/>
        <v/>
      </c>
      <c r="Q355" s="1" t="str">
        <f t="shared" si="37"/>
        <v/>
      </c>
      <c r="R355" s="1" t="str">
        <f t="shared" si="37"/>
        <v/>
      </c>
      <c r="S355" s="1" t="str">
        <f t="shared" si="37"/>
        <v/>
      </c>
      <c r="T355" s="1" t="str">
        <f t="shared" si="37"/>
        <v/>
      </c>
      <c r="U355" s="1" t="str">
        <f t="shared" si="37"/>
        <v>P6</v>
      </c>
      <c r="V355" s="1" t="str">
        <f t="shared" si="37"/>
        <v>P6</v>
      </c>
      <c r="W355" s="1" t="str">
        <f t="shared" si="37"/>
        <v/>
      </c>
      <c r="X355" s="1" t="str">
        <f t="shared" si="37"/>
        <v/>
      </c>
      <c r="Y355" s="1" t="str">
        <f t="shared" si="37"/>
        <v/>
      </c>
      <c r="Z355" s="1" t="str">
        <f t="shared" si="37"/>
        <v/>
      </c>
      <c r="AA355" s="1" t="str">
        <f t="shared" si="37"/>
        <v/>
      </c>
      <c r="AB355" s="1" t="str">
        <f t="shared" si="37"/>
        <v>P6</v>
      </c>
      <c r="AC355" s="1" t="str">
        <f t="shared" si="37"/>
        <v>P6</v>
      </c>
      <c r="AD355" s="1" t="str">
        <f t="shared" si="37"/>
        <v/>
      </c>
      <c r="AE355" s="1" t="str">
        <f t="shared" si="37"/>
        <v/>
      </c>
      <c r="AF355" s="1" t="str">
        <f t="shared" si="37"/>
        <v/>
      </c>
      <c r="AG355" s="1" t="str">
        <f t="shared" si="37"/>
        <v/>
      </c>
      <c r="AH355" s="1" t="str">
        <f t="shared" si="37"/>
        <v/>
      </c>
      <c r="AI355" s="1" t="str">
        <f t="shared" si="37"/>
        <v>P6</v>
      </c>
      <c r="AL355" s="14" t="s">
        <v>194</v>
      </c>
      <c r="AM355" s="14"/>
      <c r="AN355" s="14"/>
      <c r="AO355" s="14"/>
      <c r="AP355" s="14"/>
      <c r="AQ355" s="14"/>
      <c r="AR355" s="14"/>
    </row>
    <row r="356" spans="1:44" ht="14.25" customHeight="1" x14ac:dyDescent="0.35">
      <c r="F356" s="1" t="str">
        <f>CHOOSE(WEEKDAY(F357,2),"L","M","X","J","V","S","D")</f>
        <v>V</v>
      </c>
      <c r="G356" s="1" t="str">
        <f t="shared" ref="G356:AI356" si="38">CHOOSE(WEEKDAY(G357,2),"L","M","X","J","V","S","D")</f>
        <v>S</v>
      </c>
      <c r="H356" s="1" t="str">
        <f t="shared" si="38"/>
        <v>D</v>
      </c>
      <c r="I356" s="1" t="str">
        <f t="shared" si="38"/>
        <v>L</v>
      </c>
      <c r="J356" s="1" t="str">
        <f t="shared" si="38"/>
        <v>M</v>
      </c>
      <c r="K356" s="1" t="str">
        <f t="shared" si="38"/>
        <v>X</v>
      </c>
      <c r="L356" s="1" t="str">
        <f t="shared" si="38"/>
        <v>J</v>
      </c>
      <c r="M356" s="1" t="str">
        <f t="shared" si="38"/>
        <v>V</v>
      </c>
      <c r="N356" s="1" t="str">
        <f t="shared" si="38"/>
        <v>S</v>
      </c>
      <c r="O356" s="1" t="str">
        <f t="shared" si="38"/>
        <v>D</v>
      </c>
      <c r="P356" s="1" t="str">
        <f t="shared" si="38"/>
        <v>L</v>
      </c>
      <c r="Q356" s="1" t="str">
        <f t="shared" si="38"/>
        <v>M</v>
      </c>
      <c r="R356" s="1" t="str">
        <f t="shared" si="38"/>
        <v>X</v>
      </c>
      <c r="S356" s="1" t="str">
        <f t="shared" si="38"/>
        <v>J</v>
      </c>
      <c r="T356" s="1" t="str">
        <f t="shared" si="38"/>
        <v>V</v>
      </c>
      <c r="U356" s="1" t="str">
        <f t="shared" si="38"/>
        <v>S</v>
      </c>
      <c r="V356" s="1" t="str">
        <f t="shared" si="38"/>
        <v>D</v>
      </c>
      <c r="W356" s="1" t="str">
        <f t="shared" si="38"/>
        <v>L</v>
      </c>
      <c r="X356" s="1" t="str">
        <f t="shared" si="38"/>
        <v>M</v>
      </c>
      <c r="Y356" s="1" t="str">
        <f t="shared" si="38"/>
        <v>X</v>
      </c>
      <c r="Z356" s="1" t="str">
        <f t="shared" si="38"/>
        <v>J</v>
      </c>
      <c r="AA356" s="1" t="str">
        <f t="shared" si="38"/>
        <v>V</v>
      </c>
      <c r="AB356" s="1" t="str">
        <f t="shared" si="38"/>
        <v>S</v>
      </c>
      <c r="AC356" s="1" t="str">
        <f t="shared" si="38"/>
        <v>D</v>
      </c>
      <c r="AD356" s="1" t="str">
        <f t="shared" si="38"/>
        <v>L</v>
      </c>
      <c r="AE356" s="1" t="str">
        <f t="shared" si="38"/>
        <v>M</v>
      </c>
      <c r="AF356" s="1" t="str">
        <f t="shared" si="38"/>
        <v>X</v>
      </c>
      <c r="AG356" s="1" t="str">
        <f t="shared" si="38"/>
        <v>J</v>
      </c>
      <c r="AH356" s="1" t="str">
        <f t="shared" si="38"/>
        <v>V</v>
      </c>
      <c r="AI356" s="1" t="str">
        <f t="shared" si="38"/>
        <v>S</v>
      </c>
      <c r="AL356" s="4"/>
      <c r="AM356" s="4" t="s">
        <v>13</v>
      </c>
      <c r="AN356" s="4" t="s">
        <v>14</v>
      </c>
      <c r="AO356" s="4" t="s">
        <v>15</v>
      </c>
      <c r="AP356" s="4" t="s">
        <v>16</v>
      </c>
      <c r="AQ356" s="4" t="s">
        <v>17</v>
      </c>
      <c r="AR356" s="4" t="s">
        <v>7</v>
      </c>
    </row>
    <row r="357" spans="1:44" ht="14.25" customHeight="1" x14ac:dyDescent="0.35">
      <c r="A357" s="3" t="s">
        <v>76</v>
      </c>
      <c r="B357" s="3" t="s">
        <v>77</v>
      </c>
      <c r="C357" s="3" t="s">
        <v>75</v>
      </c>
      <c r="D357" s="3" t="s">
        <v>74</v>
      </c>
      <c r="F357" s="8">
        <v>45597</v>
      </c>
      <c r="G357" s="8">
        <v>45598</v>
      </c>
      <c r="H357" s="8">
        <v>45599</v>
      </c>
      <c r="I357" s="8">
        <v>45600</v>
      </c>
      <c r="J357" s="8">
        <v>45601</v>
      </c>
      <c r="K357" s="8">
        <v>45602</v>
      </c>
      <c r="L357" s="8">
        <v>45603</v>
      </c>
      <c r="M357" s="8">
        <v>45604</v>
      </c>
      <c r="N357" s="8">
        <v>45605</v>
      </c>
      <c r="O357" s="8">
        <v>45606</v>
      </c>
      <c r="P357" s="8">
        <v>45607</v>
      </c>
      <c r="Q357" s="8">
        <v>45608</v>
      </c>
      <c r="R357" s="8">
        <v>45609</v>
      </c>
      <c r="S357" s="8">
        <v>45610</v>
      </c>
      <c r="T357" s="8">
        <v>45611</v>
      </c>
      <c r="U357" s="8">
        <v>45612</v>
      </c>
      <c r="V357" s="8">
        <v>45613</v>
      </c>
      <c r="W357" s="8">
        <v>45614</v>
      </c>
      <c r="X357" s="8">
        <v>45615</v>
      </c>
      <c r="Y357" s="8">
        <v>45616</v>
      </c>
      <c r="Z357" s="8">
        <v>45617</v>
      </c>
      <c r="AA357" s="8">
        <v>45618</v>
      </c>
      <c r="AB357" s="8">
        <v>45619</v>
      </c>
      <c r="AC357" s="8">
        <v>45620</v>
      </c>
      <c r="AD357" s="8">
        <v>45621</v>
      </c>
      <c r="AE357" s="8">
        <v>45622</v>
      </c>
      <c r="AF357" s="8">
        <v>45623</v>
      </c>
      <c r="AG357" s="8">
        <v>45624</v>
      </c>
      <c r="AH357" s="8">
        <v>45625</v>
      </c>
      <c r="AI357" s="8">
        <v>45626</v>
      </c>
      <c r="AL357" s="4" t="s">
        <v>19</v>
      </c>
      <c r="AM357" s="6" cm="1">
        <f t="array" ref="AM357">IFERROR((SUMPRODUCT(($C$358:$C$381=AM$356)*($F$354:$AI$354="")*$F$358:$AI$381)+IF(AM$356="P3",SUMPRODUCT(($F$354:$AI$354="P3")*$F$358:$AI$381),0))/(SUMPRODUCT(($C$358:$C$381=AM$356)*($F$354:$AI$354=""))+IF(AM$356="P3",COUNTIF($F$354:$AI$354,"P3")*ROWS($C$358:$C$381),0)),"")</f>
        <v>1.055215499999999</v>
      </c>
      <c r="AN357" s="6" cm="1">
        <f t="array" ref="AN357">IFERROR((SUMPRODUCT(($C$358:$C$381=AN$356)*($F$354:$AI$354="")*$F$358:$AI$381)+IF(AN$356="P3",SUMPRODUCT(($F$354:$AI$354="P3")*$F$358:$AI$381),0))/(SUMPRODUCT(($C$358:$C$381=AN$356)*($F$354:$AI$354=""))+IF(AN$356="P3",COUNTIF($F$354:$AI$354,"P3")*ROWS($C$358:$C$381),0)),"")</f>
        <v>1.1331577499999992</v>
      </c>
      <c r="AO357" s="6" cm="1">
        <f t="array" ref="AO357">IFERROR((SUMPRODUCT(($C$358:$C$381=AO$356)*($F$354:$AI$354="")*$F$358:$AI$381)+IF(AO$356="P3",SUMPRODUCT(($F$354:$AI$354="P3")*$F$358:$AI$381),0))/(SUMPRODUCT(($C$358:$C$381=AO$356)*($F$354:$AI$354=""))+IF(AO$356="P3",COUNTIF($F$354:$AI$354,"P3")*ROWS($C$358:$C$381),0)),"")</f>
        <v>1.1763203750000006</v>
      </c>
      <c r="AP357" s="6" t="str" cm="1">
        <f t="array" ref="AP357">IFERROR((SUMPRODUCT(($C$358:$C$381=AP$356)*($F$354:$AI$354="")*$F$358:$AI$381)+IF(AP$356="P3",SUMPRODUCT(($F$354:$AI$354="P3")*$F$358:$AI$381),0))/(SUMPRODUCT(($C$358:$C$381=AP$356)*($F$354:$AI$354=""))+IF(AP$356="P3",COUNTIF($F$354:$AI$354,"P3")*ROWS($C$358:$C$381),0)),"")</f>
        <v/>
      </c>
      <c r="AQ357" s="6" t="str" cm="1">
        <f t="array" ref="AQ357">IFERROR((SUMPRODUCT(($C$358:$C$381=AQ$356)*($F$354:$AI$354="")*$F$358:$AI$381)+IF(AQ$356="P3",SUMPRODUCT(($F$354:$AI$354="P3")*$F$358:$AI$381),0))/(SUMPRODUCT(($C$358:$C$381=AQ$356)*($F$354:$AI$354=""))+IF(AQ$356="P3",COUNTIF($F$354:$AI$354,"P3")*ROWS($C$358:$C$381),0)),"")</f>
        <v/>
      </c>
      <c r="AR357" s="6" t="str" cm="1">
        <f t="array" ref="AR357">IFERROR((SUMPRODUCT(($C$358:$C$381=AR$356)*($F$354:$AI$354="")*$F$358:$AI$381)+IF(AR$356="P3",SUMPRODUCT(($F$354:$AI$354="P3")*$F$358:$AI$381),0))/(SUMPRODUCT(($C$358:$C$381=AR$356)*($F$354:$AI$354=""))+IF(AR$356="P3",COUNTIF($F$354:$AI$354,"P3")*ROWS($C$358:$C$381),0)),"")</f>
        <v/>
      </c>
    </row>
    <row r="358" spans="1:44" ht="14.25" customHeight="1" x14ac:dyDescent="0.35">
      <c r="A358" s="1" t="s">
        <v>7</v>
      </c>
      <c r="B358" s="1" t="s">
        <v>7</v>
      </c>
      <c r="C358" s="1" t="s">
        <v>15</v>
      </c>
      <c r="D358" s="1" t="s">
        <v>7</v>
      </c>
      <c r="E358" s="1" t="s">
        <v>8</v>
      </c>
      <c r="F358" s="1">
        <v>1.1299300000000001</v>
      </c>
      <c r="G358" s="1">
        <v>1.22234</v>
      </c>
      <c r="H358" s="1">
        <v>1.25102</v>
      </c>
      <c r="I358" s="1">
        <v>1.23732</v>
      </c>
      <c r="J358" s="1">
        <v>1.1866699999999999</v>
      </c>
      <c r="K358" s="1">
        <v>1.1999599999999999</v>
      </c>
      <c r="L358" s="1">
        <v>1.2542</v>
      </c>
      <c r="M358" s="1">
        <v>1.2057</v>
      </c>
      <c r="N358" s="1">
        <v>1.22234</v>
      </c>
      <c r="O358" s="1">
        <v>1.25102</v>
      </c>
      <c r="P358" s="1">
        <v>1.23732</v>
      </c>
      <c r="Q358" s="1">
        <v>1.1866699999999999</v>
      </c>
      <c r="R358" s="1">
        <v>1.1999599999999999</v>
      </c>
      <c r="S358" s="1">
        <v>1.2542</v>
      </c>
      <c r="T358" s="1">
        <v>1.2057</v>
      </c>
      <c r="U358" s="1">
        <v>1.22234</v>
      </c>
      <c r="V358" s="1">
        <v>1.25102</v>
      </c>
      <c r="W358" s="1">
        <v>1.23732</v>
      </c>
      <c r="X358" s="1">
        <v>1.1866699999999999</v>
      </c>
      <c r="Y358" s="1">
        <v>1.1999599999999999</v>
      </c>
      <c r="Z358" s="1">
        <v>1.2542</v>
      </c>
      <c r="AA358" s="1">
        <v>1.2057</v>
      </c>
      <c r="AB358" s="1">
        <v>1.22234</v>
      </c>
      <c r="AC358" s="1">
        <v>1.25102</v>
      </c>
      <c r="AD358" s="1">
        <v>1.23732</v>
      </c>
      <c r="AE358" s="1">
        <v>1.1866699999999999</v>
      </c>
      <c r="AF358" s="1">
        <v>1.1999599999999999</v>
      </c>
      <c r="AG358" s="1">
        <v>1.2542</v>
      </c>
      <c r="AH358" s="1">
        <v>1.2057</v>
      </c>
      <c r="AI358" s="1">
        <v>1.22234</v>
      </c>
      <c r="AL358" s="4" t="s">
        <v>21</v>
      </c>
      <c r="AM358" s="6" t="str" cm="1">
        <f t="array" ref="AM358">IFERROR((SUMPRODUCT(($D$358:$D$381=AM$356)*($F$355:$AI$355="")*$F$358:$AI$381)+IF(AM$356="P6",SUMPRODUCT(($F$355:$AI$355="P6")*$F$358:$AI$381),0))/(SUMPRODUCT(($D$358:$D$381=AM$356)*($F$355:$AI$355=""))+IF(AM$356="P6",COUNTIF($F$355:$AI$355,"P6")*ROWS($D$358:$D$381),0)),"")</f>
        <v/>
      </c>
      <c r="AN358" s="6" cm="1">
        <f t="array" ref="AN358">IFERROR((SUMPRODUCT(($D$358:$D$381=AN$356)*($F$355:$AI$355="")*$F$358:$AI$381)+IF(AN$356="P6",SUMPRODUCT(($F$355:$AI$355="P6")*$F$358:$AI$381),0))/(SUMPRODUCT(($D$358:$D$381=AN$356)*($F$355:$AI$355=""))+IF(AN$356="P6",COUNTIF($F$355:$AI$355,"P6")*ROWS($D$358:$D$381),0)),"")</f>
        <v>1.0532333333333332</v>
      </c>
      <c r="AO358" s="6" cm="1">
        <f t="array" ref="AO358">IFERROR((SUMPRODUCT(($D$358:$D$381=AO$356)*($F$355:$AI$355="")*$F$358:$AI$381)+IF(AO$356="P6",SUMPRODUCT(($F$355:$AI$355="P6")*$F$358:$AI$381),0))/(SUMPRODUCT(($D$358:$D$381=AO$356)*($F$355:$AI$355=""))+IF(AO$356="P6",COUNTIF($F$355:$AI$355,"P6")*ROWS($D$358:$D$381),0)),"")</f>
        <v>1.1468408571428568</v>
      </c>
      <c r="AP358" s="6" t="str" cm="1">
        <f t="array" ref="AP358">IFERROR((SUMPRODUCT(($D$358:$D$381=AP$356)*($F$355:$AI$355="")*$F$358:$AI$381)+IF(AP$356="P6",SUMPRODUCT(($F$355:$AI$355="P6")*$F$358:$AI$381),0))/(SUMPRODUCT(($D$358:$D$381=AP$356)*($F$355:$AI$355=""))+IF(AP$356="P6",COUNTIF($F$355:$AI$355,"P6")*ROWS($D$358:$D$381),0)),"")</f>
        <v/>
      </c>
      <c r="AQ358" s="6" t="str" cm="1">
        <f t="array" ref="AQ358">IFERROR((SUMPRODUCT(($D$358:$D$381=AQ$356)*($F$355:$AI$355="")*$F$358:$AI$381)+IF(AQ$356="P6",SUMPRODUCT(($F$355:$AI$355="P6")*$F$358:$AI$381),0))/(SUMPRODUCT(($D$358:$D$381=AQ$356)*($F$355:$AI$355=""))+IF(AQ$356="P6",COUNTIF($F$355:$AI$355,"P6")*ROWS($D$358:$D$381),0)),"")</f>
        <v/>
      </c>
      <c r="AR358" s="6" cm="1">
        <f t="array" ref="AR358">IFERROR((SUMPRODUCT(($D$358:$D$381=AR$356)*($F$355:$AI$355="")*$F$358:$AI$381)+IF(AR$356="P6",SUMPRODUCT(($F$355:$AI$355="P6")*$F$358:$AI$381),0))/(SUMPRODUCT(($D$358:$D$381=AR$356)*($F$355:$AI$355=""))+IF(AR$356="P6",COUNTIF($F$355:$AI$355,"P6")*ROWS($D$358:$D$381),0)),"")</f>
        <v>1.1763203750000006</v>
      </c>
    </row>
    <row r="359" spans="1:44" ht="14.25" customHeight="1" x14ac:dyDescent="0.35">
      <c r="A359" s="1" t="s">
        <v>7</v>
      </c>
      <c r="B359" s="1" t="s">
        <v>7</v>
      </c>
      <c r="C359" s="1" t="s">
        <v>15</v>
      </c>
      <c r="D359" s="1" t="s">
        <v>7</v>
      </c>
      <c r="E359" s="1" t="s">
        <v>9</v>
      </c>
      <c r="F359" s="1">
        <v>1.1757899999999999</v>
      </c>
      <c r="G359" s="1">
        <v>1.2881100000000001</v>
      </c>
      <c r="H359" s="1">
        <v>1.30036</v>
      </c>
      <c r="I359" s="1">
        <v>1.3011999999999999</v>
      </c>
      <c r="J359" s="1">
        <v>1.2722599999999999</v>
      </c>
      <c r="K359" s="1">
        <v>1.23949</v>
      </c>
      <c r="L359" s="1">
        <v>1.2971200000000001</v>
      </c>
      <c r="M359" s="1">
        <v>1.2416</v>
      </c>
      <c r="N359" s="1">
        <v>1.2881100000000001</v>
      </c>
      <c r="O359" s="1">
        <v>1.30036</v>
      </c>
      <c r="P359" s="1">
        <v>1.3011999999999999</v>
      </c>
      <c r="Q359" s="1">
        <v>1.2722599999999999</v>
      </c>
      <c r="R359" s="1">
        <v>1.23949</v>
      </c>
      <c r="S359" s="1">
        <v>1.2971200000000001</v>
      </c>
      <c r="T359" s="1">
        <v>1.2416</v>
      </c>
      <c r="U359" s="1">
        <v>1.2881100000000001</v>
      </c>
      <c r="V359" s="1">
        <v>1.30036</v>
      </c>
      <c r="W359" s="1">
        <v>1.3011999999999999</v>
      </c>
      <c r="X359" s="1">
        <v>1.2722599999999999</v>
      </c>
      <c r="Y359" s="1">
        <v>1.23949</v>
      </c>
      <c r="Z359" s="1">
        <v>1.2971200000000001</v>
      </c>
      <c r="AA359" s="1">
        <v>1.2416</v>
      </c>
      <c r="AB359" s="1">
        <v>1.2881100000000001</v>
      </c>
      <c r="AC359" s="1">
        <v>1.30036</v>
      </c>
      <c r="AD359" s="1">
        <v>1.3011999999999999</v>
      </c>
      <c r="AE359" s="1">
        <v>1.2722599999999999</v>
      </c>
      <c r="AF359" s="1">
        <v>1.23949</v>
      </c>
      <c r="AG359" s="1">
        <v>1.2971200000000001</v>
      </c>
      <c r="AH359" s="1">
        <v>1.2416</v>
      </c>
      <c r="AI359" s="1">
        <v>1.2881100000000001</v>
      </c>
      <c r="AL359" s="4" t="s">
        <v>23</v>
      </c>
      <c r="AM359" s="6" t="str" cm="1">
        <f t="array" ref="AM359">IFERROR((SUMPRODUCT(($D$358:$D$381=AM$356)*($F$355:$AI$355="")*$F$358:$AI$381)+IF(AM$356="P6",SUMPRODUCT(($F$355:$AI$355="P6")*$F$358:$AI$381),0))/(SUMPRODUCT(($D$358:$D$381=AM$356)*($F$355:$AI$355=""))+IF(AM$356="P6",COUNTIF($F$355:$AI$355,"P6")*ROWS($D$358:$D$381),0)),"")</f>
        <v/>
      </c>
      <c r="AN359" s="6" cm="1">
        <f t="array" ref="AN359">IFERROR((SUMPRODUCT(($D$358:$D$381=AN$356)*($F$355:$AI$355="")*$F$358:$AI$381)+IF(AN$356="P6",SUMPRODUCT(($F$355:$AI$355="P6")*$F$358:$AI$381),0))/(SUMPRODUCT(($D$358:$D$381=AN$356)*($F$355:$AI$355=""))+IF(AN$356="P6",COUNTIF($F$355:$AI$355,"P6")*ROWS($D$358:$D$381),0)),"")</f>
        <v>1.0532333333333332</v>
      </c>
      <c r="AO359" s="5" cm="1">
        <f t="array" ref="AO359">IFERROR((SUMPRODUCT(($D$358:$D$381=AO$356)*($F$355:$AI$355="")*$F$358:$AI$381)+IF(AO$356="P6",SUMPRODUCT(($F$355:$AI$355="P6")*$F$358:$AI$381),0))/(SUMPRODUCT(($D$358:$D$381=AO$356)*($F$355:$AI$355=""))+IF(AO$356="P6",COUNTIF($F$355:$AI$355,"P6")*ROWS($D$358:$D$381),0)),"")</f>
        <v>1.1468408571428568</v>
      </c>
      <c r="AP359" s="5" t="str" cm="1">
        <f t="array" ref="AP359">IFERROR((SUMPRODUCT(($D$358:$D$381=AP$356)*($F$355:$AI$355="")*$F$358:$AI$381)+IF(AP$356="P6",SUMPRODUCT(($F$355:$AI$355="P6")*$F$358:$AI$381),0))/(SUMPRODUCT(($D$358:$D$381=AP$356)*($F$355:$AI$355=""))+IF(AP$356="P6",COUNTIF($F$355:$AI$355,"P6")*ROWS($D$358:$D$381),0)),"")</f>
        <v/>
      </c>
      <c r="AQ359" s="5" t="str" cm="1">
        <f t="array" ref="AQ359">IFERROR((SUMPRODUCT(($D$358:$D$381=AQ$356)*($F$355:$AI$355="")*$F$358:$AI$381)+IF(AQ$356="P6",SUMPRODUCT(($F$355:$AI$355="P6")*$F$358:$AI$381),0))/(SUMPRODUCT(($D$358:$D$381=AQ$356)*($F$355:$AI$355=""))+IF(AQ$356="P6",COUNTIF($F$355:$AI$355,"P6")*ROWS($D$358:$D$381),0)),"")</f>
        <v/>
      </c>
      <c r="AR359" s="6" cm="1">
        <f t="array" ref="AR359">IFERROR((SUMPRODUCT(($D$358:$D$381=AR$356)*($F$355:$AI$355="")*$F$358:$AI$381)+IF(AR$356="P6",SUMPRODUCT(($F$355:$AI$355="P6")*$F$358:$AI$381),0))/(SUMPRODUCT(($D$358:$D$381=AR$356)*($F$355:$AI$355=""))+IF(AR$356="P6",COUNTIF($F$355:$AI$355,"P6")*ROWS($D$358:$D$381),0)),"")</f>
        <v>1.1763203750000006</v>
      </c>
    </row>
    <row r="360" spans="1:44" ht="14.25" customHeight="1" x14ac:dyDescent="0.35">
      <c r="A360" s="1" t="s">
        <v>7</v>
      </c>
      <c r="B360" s="1" t="s">
        <v>7</v>
      </c>
      <c r="C360" s="1" t="s">
        <v>15</v>
      </c>
      <c r="D360" s="1" t="s">
        <v>7</v>
      </c>
      <c r="E360" s="1" t="s">
        <v>10</v>
      </c>
      <c r="F360" s="1">
        <v>1.2024600000000001</v>
      </c>
      <c r="G360" s="1">
        <v>1.3307100000000001</v>
      </c>
      <c r="H360" s="1">
        <v>1.3470800000000001</v>
      </c>
      <c r="I360" s="1">
        <v>1.3329200000000001</v>
      </c>
      <c r="J360" s="1">
        <v>1.28735</v>
      </c>
      <c r="K360" s="1">
        <v>1.28467</v>
      </c>
      <c r="L360" s="1">
        <v>1.3270500000000001</v>
      </c>
      <c r="M360" s="1">
        <v>1.27817</v>
      </c>
      <c r="N360" s="1">
        <v>1.3307100000000001</v>
      </c>
      <c r="O360" s="1">
        <v>1.3470800000000001</v>
      </c>
      <c r="P360" s="1">
        <v>1.3329200000000001</v>
      </c>
      <c r="Q360" s="1">
        <v>1.28735</v>
      </c>
      <c r="R360" s="1">
        <v>1.28467</v>
      </c>
      <c r="S360" s="1">
        <v>1.3270500000000001</v>
      </c>
      <c r="T360" s="1">
        <v>1.27817</v>
      </c>
      <c r="U360" s="1">
        <v>1.3307100000000001</v>
      </c>
      <c r="V360" s="1">
        <v>1.3470800000000001</v>
      </c>
      <c r="W360" s="1">
        <v>1.3329200000000001</v>
      </c>
      <c r="X360" s="1">
        <v>1.28735</v>
      </c>
      <c r="Y360" s="1">
        <v>1.28467</v>
      </c>
      <c r="Z360" s="1">
        <v>1.3270500000000001</v>
      </c>
      <c r="AA360" s="1">
        <v>1.27817</v>
      </c>
      <c r="AB360" s="1">
        <v>1.3307100000000001</v>
      </c>
      <c r="AC360" s="1">
        <v>1.3470800000000001</v>
      </c>
      <c r="AD360" s="1">
        <v>1.3329200000000001</v>
      </c>
      <c r="AE360" s="1">
        <v>1.28735</v>
      </c>
      <c r="AF360" s="1">
        <v>1.28467</v>
      </c>
      <c r="AG360" s="1">
        <v>1.3270500000000001</v>
      </c>
      <c r="AH360" s="1">
        <v>1.27817</v>
      </c>
      <c r="AI360" s="1">
        <v>1.3307100000000001</v>
      </c>
      <c r="AL360" s="4" t="s">
        <v>25</v>
      </c>
      <c r="AM360" s="6" t="str" cm="1">
        <f t="array" ref="AM360">IFERROR((SUMPRODUCT(($D$358:$D$381=AM$356)*($F$355:$AI$355="")*$F$358:$AI$381)+IF(AM$356="P6",SUMPRODUCT(($F$355:$AI$355="P6")*$F$358:$AI$381),0))/(SUMPRODUCT(($D$358:$D$381=AM$356)*($F$355:$AI$355=""))+IF(AM$356="P6",COUNTIF($F$355:$AI$355,"P6")*ROWS($D$358:$D$381),0)),"")</f>
        <v/>
      </c>
      <c r="AN360" s="6" cm="1">
        <f t="array" ref="AN360">IFERROR((SUMPRODUCT(($D$358:$D$381=AN$356)*($F$355:$AI$355="")*$F$358:$AI$381)+IF(AN$356="P6",SUMPRODUCT(($F$355:$AI$355="P6")*$F$358:$AI$381),0))/(SUMPRODUCT(($D$358:$D$381=AN$356)*($F$355:$AI$355=""))+IF(AN$356="P6",COUNTIF($F$355:$AI$355,"P6")*ROWS($D$358:$D$381),0)),"")</f>
        <v>1.0532333333333332</v>
      </c>
      <c r="AO360" s="5" cm="1">
        <f t="array" ref="AO360">IFERROR((SUMPRODUCT(($D$358:$D$381=AO$356)*($F$355:$AI$355="")*$F$358:$AI$381)+IF(AO$356="P6",SUMPRODUCT(($F$355:$AI$355="P6")*$F$358:$AI$381),0))/(SUMPRODUCT(($D$358:$D$381=AO$356)*($F$355:$AI$355=""))+IF(AO$356="P6",COUNTIF($F$355:$AI$355,"P6")*ROWS($D$358:$D$381),0)),"")</f>
        <v>1.1468408571428568</v>
      </c>
      <c r="AP360" s="5" t="str" cm="1">
        <f t="array" ref="AP360">IFERROR((SUMPRODUCT(($D$358:$D$381=AP$356)*($F$355:$AI$355="")*$F$358:$AI$381)+IF(AP$356="P6",SUMPRODUCT(($F$355:$AI$355="P6")*$F$358:$AI$381),0))/(SUMPRODUCT(($D$358:$D$381=AP$356)*($F$355:$AI$355=""))+IF(AP$356="P6",COUNTIF($F$355:$AI$355,"P6")*ROWS($D$358:$D$381),0)),"")</f>
        <v/>
      </c>
      <c r="AQ360" s="5" t="str" cm="1">
        <f t="array" ref="AQ360">IFERROR((SUMPRODUCT(($D$358:$D$381=AQ$356)*($F$355:$AI$355="")*$F$358:$AI$381)+IF(AQ$356="P6",SUMPRODUCT(($F$355:$AI$355="P6")*$F$358:$AI$381),0))/(SUMPRODUCT(($D$358:$D$381=AQ$356)*($F$355:$AI$355=""))+IF(AQ$356="P6",COUNTIF($F$355:$AI$355,"P6")*ROWS($D$358:$D$381),0)),"")</f>
        <v/>
      </c>
      <c r="AR360" s="6" cm="1">
        <f t="array" ref="AR360">IFERROR((SUMPRODUCT(($D$358:$D$381=AR$356)*($F$355:$AI$355="")*$F$358:$AI$381)+IF(AR$356="P6",SUMPRODUCT(($F$355:$AI$355="P6")*$F$358:$AI$381),0))/(SUMPRODUCT(($D$358:$D$381=AR$356)*($F$355:$AI$355=""))+IF(AR$356="P6",COUNTIF($F$355:$AI$355,"P6")*ROWS($D$358:$D$381),0)),"")</f>
        <v>1.1763203750000006</v>
      </c>
    </row>
    <row r="361" spans="1:44" ht="14.25" customHeight="1" x14ac:dyDescent="0.35">
      <c r="A361" s="1" t="s">
        <v>7</v>
      </c>
      <c r="B361" s="1" t="s">
        <v>7</v>
      </c>
      <c r="C361" s="1" t="s">
        <v>15</v>
      </c>
      <c r="D361" s="1" t="s">
        <v>7</v>
      </c>
      <c r="E361" s="1" t="s">
        <v>11</v>
      </c>
      <c r="F361" s="1">
        <v>1.22516</v>
      </c>
      <c r="G361" s="1">
        <v>1.3458699999999999</v>
      </c>
      <c r="H361" s="1">
        <v>1.37155</v>
      </c>
      <c r="I361" s="1">
        <v>1.3465100000000001</v>
      </c>
      <c r="J361" s="1">
        <v>1.29694</v>
      </c>
      <c r="K361" s="1">
        <v>1.304</v>
      </c>
      <c r="L361" s="1">
        <v>1.3325199999999999</v>
      </c>
      <c r="M361" s="1">
        <v>1.2878799999999999</v>
      </c>
      <c r="N361" s="1">
        <v>1.3458699999999999</v>
      </c>
      <c r="O361" s="1">
        <v>1.37155</v>
      </c>
      <c r="P361" s="1">
        <v>1.3465100000000001</v>
      </c>
      <c r="Q361" s="1">
        <v>1.29694</v>
      </c>
      <c r="R361" s="1">
        <v>1.304</v>
      </c>
      <c r="S361" s="1">
        <v>1.3325199999999999</v>
      </c>
      <c r="T361" s="1">
        <v>1.2878799999999999</v>
      </c>
      <c r="U361" s="1">
        <v>1.3458699999999999</v>
      </c>
      <c r="V361" s="1">
        <v>1.37155</v>
      </c>
      <c r="W361" s="1">
        <v>1.3465100000000001</v>
      </c>
      <c r="X361" s="1">
        <v>1.29694</v>
      </c>
      <c r="Y361" s="1">
        <v>1.304</v>
      </c>
      <c r="Z361" s="1">
        <v>1.3325199999999999</v>
      </c>
      <c r="AA361" s="1">
        <v>1.2878799999999999</v>
      </c>
      <c r="AB361" s="1">
        <v>1.3458699999999999</v>
      </c>
      <c r="AC361" s="1">
        <v>1.37155</v>
      </c>
      <c r="AD361" s="1">
        <v>1.3465100000000001</v>
      </c>
      <c r="AE361" s="1">
        <v>1.29694</v>
      </c>
      <c r="AF361" s="1">
        <v>1.304</v>
      </c>
      <c r="AG361" s="1">
        <v>1.3325199999999999</v>
      </c>
      <c r="AH361" s="1">
        <v>1.2878799999999999</v>
      </c>
      <c r="AI361" s="1">
        <v>1.3458699999999999</v>
      </c>
      <c r="AL361" s="4" t="s">
        <v>27</v>
      </c>
      <c r="AM361" s="6" t="str" cm="1">
        <f t="array" ref="AM361">IFERROR((SUMPRODUCT(($D$358:$D$381=AM$356)*($F$355:$AI$355="")*$F$358:$AI$381)+IF(AM$356="P6",SUMPRODUCT(($F$355:$AI$355="P6")*$F$358:$AI$381),0))/(SUMPRODUCT(($D$358:$D$381=AM$356)*($F$355:$AI$355=""))+IF(AM$356="P6",COUNTIF($F$355:$AI$355,"P6")*ROWS($D$358:$D$381),0)),"")</f>
        <v/>
      </c>
      <c r="AN361" s="6" cm="1">
        <f t="array" ref="AN361">IFERROR((SUMPRODUCT(($D$358:$D$381=AN$356)*($F$355:$AI$355="")*$F$358:$AI$381)+IF(AN$356="P6",SUMPRODUCT(($F$355:$AI$355="P6")*$F$358:$AI$381),0))/(SUMPRODUCT(($D$358:$D$381=AN$356)*($F$355:$AI$355=""))+IF(AN$356="P6",COUNTIF($F$355:$AI$355,"P6")*ROWS($D$358:$D$381),0)),"")</f>
        <v>1.0532333333333332</v>
      </c>
      <c r="AO361" s="5" cm="1">
        <f t="array" ref="AO361">IFERROR((SUMPRODUCT(($D$358:$D$381=AO$356)*($F$355:$AI$355="")*$F$358:$AI$381)+IF(AO$356="P6",SUMPRODUCT(($F$355:$AI$355="P6")*$F$358:$AI$381),0))/(SUMPRODUCT(($D$358:$D$381=AO$356)*($F$355:$AI$355=""))+IF(AO$356="P6",COUNTIF($F$355:$AI$355,"P6")*ROWS($D$358:$D$381),0)),"")</f>
        <v>1.1468408571428568</v>
      </c>
      <c r="AP361" s="5" t="str" cm="1">
        <f t="array" ref="AP361">IFERROR((SUMPRODUCT(($D$358:$D$381=AP$356)*($F$355:$AI$355="")*$F$358:$AI$381)+IF(AP$356="P6",SUMPRODUCT(($F$355:$AI$355="P6")*$F$358:$AI$381),0))/(SUMPRODUCT(($D$358:$D$381=AP$356)*($F$355:$AI$355=""))+IF(AP$356="P6",COUNTIF($F$355:$AI$355,"P6")*ROWS($D$358:$D$381),0)),"")</f>
        <v/>
      </c>
      <c r="AQ361" s="5" t="str" cm="1">
        <f t="array" ref="AQ361">IFERROR((SUMPRODUCT(($D$358:$D$381=AQ$356)*($F$355:$AI$355="")*$F$358:$AI$381)+IF(AQ$356="P6",SUMPRODUCT(($F$355:$AI$355="P6")*$F$358:$AI$381),0))/(SUMPRODUCT(($D$358:$D$381=AQ$356)*($F$355:$AI$355=""))+IF(AQ$356="P6",COUNTIF($F$355:$AI$355,"P6")*ROWS($D$358:$D$381),0)),"")</f>
        <v/>
      </c>
      <c r="AR361" s="6" cm="1">
        <f t="array" ref="AR361">IFERROR((SUMPRODUCT(($D$358:$D$381=AR$356)*($F$355:$AI$355="")*$F$358:$AI$381)+IF(AR$356="P6",SUMPRODUCT(($F$355:$AI$355="P6")*$F$358:$AI$381),0))/(SUMPRODUCT(($D$358:$D$381=AR$356)*($F$355:$AI$355=""))+IF(AR$356="P6",COUNTIF($F$355:$AI$355,"P6")*ROWS($D$358:$D$381),0)),"")</f>
        <v>1.1763203750000006</v>
      </c>
    </row>
    <row r="362" spans="1:44" ht="14.25" customHeight="1" x14ac:dyDescent="0.35">
      <c r="A362" s="1" t="s">
        <v>7</v>
      </c>
      <c r="B362" s="1" t="s">
        <v>7</v>
      </c>
      <c r="C362" s="1" t="s">
        <v>15</v>
      </c>
      <c r="D362" s="1" t="s">
        <v>7</v>
      </c>
      <c r="E362" s="1" t="s">
        <v>12</v>
      </c>
      <c r="F362" s="1">
        <v>1.2132000000000001</v>
      </c>
      <c r="G362" s="1">
        <v>1.3502799999999999</v>
      </c>
      <c r="H362" s="1">
        <v>1.3832899999999999</v>
      </c>
      <c r="I362" s="1">
        <v>1.35351</v>
      </c>
      <c r="J362" s="1">
        <v>1.2895700000000001</v>
      </c>
      <c r="K362" s="1">
        <v>1.29982</v>
      </c>
      <c r="L362" s="1">
        <v>1.3245899999999999</v>
      </c>
      <c r="M362" s="1">
        <v>1.28626</v>
      </c>
      <c r="N362" s="1">
        <v>1.3502799999999999</v>
      </c>
      <c r="O362" s="1">
        <v>1.3832899999999999</v>
      </c>
      <c r="P362" s="1">
        <v>1.35351</v>
      </c>
      <c r="Q362" s="1">
        <v>1.2895700000000001</v>
      </c>
      <c r="R362" s="1">
        <v>1.29982</v>
      </c>
      <c r="S362" s="1">
        <v>1.3245899999999999</v>
      </c>
      <c r="T362" s="1">
        <v>1.28626</v>
      </c>
      <c r="U362" s="1">
        <v>1.3502799999999999</v>
      </c>
      <c r="V362" s="1">
        <v>1.3832899999999999</v>
      </c>
      <c r="W362" s="1">
        <v>1.35351</v>
      </c>
      <c r="X362" s="1">
        <v>1.2895700000000001</v>
      </c>
      <c r="Y362" s="1">
        <v>1.29982</v>
      </c>
      <c r="Z362" s="1">
        <v>1.3245899999999999</v>
      </c>
      <c r="AA362" s="1">
        <v>1.28626</v>
      </c>
      <c r="AB362" s="1">
        <v>1.3502799999999999</v>
      </c>
      <c r="AC362" s="1">
        <v>1.3832899999999999</v>
      </c>
      <c r="AD362" s="1">
        <v>1.35351</v>
      </c>
      <c r="AE362" s="1">
        <v>1.2895700000000001</v>
      </c>
      <c r="AF362" s="1">
        <v>1.29982</v>
      </c>
      <c r="AG362" s="1">
        <v>1.3245899999999999</v>
      </c>
      <c r="AH362" s="1">
        <v>1.28626</v>
      </c>
      <c r="AI362" s="1">
        <v>1.3502799999999999</v>
      </c>
      <c r="AL362" s="4" t="s">
        <v>29</v>
      </c>
      <c r="AM362" s="6" t="str" cm="1">
        <f t="array" ref="AM362">IFERROR((SUMPRODUCT(($D$358:$D$381=AM$356)*($F$355:$AI$355="")*$F$358:$AI$381)+IF(AM$356="P6",SUMPRODUCT(($F$355:$AI$355="P6")*$F$358:$AI$381),0))/(SUMPRODUCT(($D$358:$D$381=AM$356)*($F$355:$AI$355=""))+IF(AM$356="P6",COUNTIF($F$355:$AI$355,"P6")*ROWS($D$358:$D$381),0)),"")</f>
        <v/>
      </c>
      <c r="AN362" s="6" cm="1">
        <f t="array" ref="AN362">IFERROR((SUMPRODUCT(($D$358:$D$381=AN$356)*($F$355:$AI$355="")*$F$358:$AI$381)+IF(AN$356="P6",SUMPRODUCT(($F$355:$AI$355="P6")*$F$358:$AI$381),0))/(SUMPRODUCT(($D$358:$D$381=AN$356)*($F$355:$AI$355=""))+IF(AN$356="P6",COUNTIF($F$355:$AI$355,"P6")*ROWS($D$358:$D$381),0)),"")</f>
        <v>1.0532333333333332</v>
      </c>
      <c r="AO362" s="5" cm="1">
        <f t="array" ref="AO362">IFERROR((SUMPRODUCT(($D$358:$D$381=AO$356)*($F$355:$AI$355="")*$F$358:$AI$381)+IF(AO$356="P6",SUMPRODUCT(($F$355:$AI$355="P6")*$F$358:$AI$381),0))/(SUMPRODUCT(($D$358:$D$381=AO$356)*($F$355:$AI$355=""))+IF(AO$356="P6",COUNTIF($F$355:$AI$355,"P6")*ROWS($D$358:$D$381),0)),"")</f>
        <v>1.1468408571428568</v>
      </c>
      <c r="AP362" s="5" t="str" cm="1">
        <f t="array" ref="AP362">IFERROR((SUMPRODUCT(($D$358:$D$381=AP$356)*($F$355:$AI$355="")*$F$358:$AI$381)+IF(AP$356="P6",SUMPRODUCT(($F$355:$AI$355="P6")*$F$358:$AI$381),0))/(SUMPRODUCT(($D$358:$D$381=AP$356)*($F$355:$AI$355=""))+IF(AP$356="P6",COUNTIF($F$355:$AI$355,"P6")*ROWS($D$358:$D$381),0)),"")</f>
        <v/>
      </c>
      <c r="AQ362" s="5" t="str" cm="1">
        <f t="array" ref="AQ362">IFERROR((SUMPRODUCT(($D$358:$D$381=AQ$356)*($F$355:$AI$355="")*$F$358:$AI$381)+IF(AQ$356="P6",SUMPRODUCT(($F$355:$AI$355="P6")*$F$358:$AI$381),0))/(SUMPRODUCT(($D$358:$D$381=AQ$356)*($F$355:$AI$355=""))+IF(AQ$356="P6",COUNTIF($F$355:$AI$355,"P6")*ROWS($D$358:$D$381),0)),"")</f>
        <v/>
      </c>
      <c r="AR362" s="6" cm="1">
        <f t="array" ref="AR362">IFERROR((SUMPRODUCT(($D$358:$D$381=AR$356)*($F$355:$AI$355="")*$F$358:$AI$381)+IF(AR$356="P6",SUMPRODUCT(($F$355:$AI$355="P6")*$F$358:$AI$381),0))/(SUMPRODUCT(($D$358:$D$381=AR$356)*($F$355:$AI$355=""))+IF(AR$356="P6",COUNTIF($F$355:$AI$355,"P6")*ROWS($D$358:$D$381),0)),"")</f>
        <v>1.1763203750000006</v>
      </c>
    </row>
    <row r="363" spans="1:44" ht="14.25" customHeight="1" x14ac:dyDescent="0.35">
      <c r="A363" s="1" t="s">
        <v>7</v>
      </c>
      <c r="B363" s="1" t="s">
        <v>7</v>
      </c>
      <c r="C363" s="1" t="s">
        <v>15</v>
      </c>
      <c r="D363" s="1" t="s">
        <v>7</v>
      </c>
      <c r="E363" s="1" t="s">
        <v>18</v>
      </c>
      <c r="F363" s="1">
        <v>1.19462</v>
      </c>
      <c r="G363" s="1">
        <v>1.34798</v>
      </c>
      <c r="H363" s="1">
        <v>1.3728100000000001</v>
      </c>
      <c r="I363" s="1">
        <v>1.29681</v>
      </c>
      <c r="J363" s="1">
        <v>1.27661</v>
      </c>
      <c r="K363" s="1">
        <v>1.26006</v>
      </c>
      <c r="L363" s="1">
        <v>1.2784199999999999</v>
      </c>
      <c r="M363" s="1">
        <v>1.23786</v>
      </c>
      <c r="N363" s="1">
        <v>1.34798</v>
      </c>
      <c r="O363" s="1">
        <v>1.3728100000000001</v>
      </c>
      <c r="P363" s="1">
        <v>1.29681</v>
      </c>
      <c r="Q363" s="1">
        <v>1.27661</v>
      </c>
      <c r="R363" s="1">
        <v>1.26006</v>
      </c>
      <c r="S363" s="1">
        <v>1.2784199999999999</v>
      </c>
      <c r="T363" s="1">
        <v>1.23786</v>
      </c>
      <c r="U363" s="1">
        <v>1.34798</v>
      </c>
      <c r="V363" s="1">
        <v>1.3728100000000001</v>
      </c>
      <c r="W363" s="1">
        <v>1.29681</v>
      </c>
      <c r="X363" s="1">
        <v>1.27661</v>
      </c>
      <c r="Y363" s="1">
        <v>1.26006</v>
      </c>
      <c r="Z363" s="1">
        <v>1.2784199999999999</v>
      </c>
      <c r="AA363" s="1">
        <v>1.23786</v>
      </c>
      <c r="AB363" s="1">
        <v>1.34798</v>
      </c>
      <c r="AC363" s="1">
        <v>1.3728100000000001</v>
      </c>
      <c r="AD363" s="1">
        <v>1.29681</v>
      </c>
      <c r="AE363" s="1">
        <v>1.27661</v>
      </c>
      <c r="AF363" s="1">
        <v>1.26006</v>
      </c>
      <c r="AG363" s="1">
        <v>1.2784199999999999</v>
      </c>
      <c r="AH363" s="1">
        <v>1.23786</v>
      </c>
      <c r="AI363" s="1">
        <v>1.34798</v>
      </c>
      <c r="AL363" s="10"/>
      <c r="AM363" s="10"/>
      <c r="AN363" s="10"/>
      <c r="AO363" s="10"/>
      <c r="AP363" s="10"/>
      <c r="AQ363" s="10"/>
      <c r="AR363" s="10"/>
    </row>
    <row r="364" spans="1:44" ht="14.25" customHeight="1" x14ac:dyDescent="0.35">
      <c r="A364" s="1" t="s">
        <v>7</v>
      </c>
      <c r="B364" s="1" t="s">
        <v>7</v>
      </c>
      <c r="C364" s="1" t="s">
        <v>15</v>
      </c>
      <c r="D364" s="1" t="s">
        <v>7</v>
      </c>
      <c r="E364" s="1" t="s">
        <v>20</v>
      </c>
      <c r="F364" s="1">
        <v>1.17065</v>
      </c>
      <c r="G364" s="1">
        <v>1.2863500000000001</v>
      </c>
      <c r="H364" s="1">
        <v>1.3248500000000001</v>
      </c>
      <c r="I364" s="1">
        <v>1.1630799999999999</v>
      </c>
      <c r="J364" s="1">
        <v>1.15587</v>
      </c>
      <c r="K364" s="1">
        <v>1.1554199999999999</v>
      </c>
      <c r="L364" s="1">
        <v>1.1545300000000001</v>
      </c>
      <c r="M364" s="1">
        <v>1.12565</v>
      </c>
      <c r="N364" s="1">
        <v>1.2863500000000001</v>
      </c>
      <c r="O364" s="1">
        <v>1.3248500000000001</v>
      </c>
      <c r="P364" s="1">
        <v>1.1630799999999999</v>
      </c>
      <c r="Q364" s="1">
        <v>1.15587</v>
      </c>
      <c r="R364" s="1">
        <v>1.1554199999999999</v>
      </c>
      <c r="S364" s="1">
        <v>1.1545300000000001</v>
      </c>
      <c r="T364" s="1">
        <v>1.12565</v>
      </c>
      <c r="U364" s="1">
        <v>1.2863500000000001</v>
      </c>
      <c r="V364" s="1">
        <v>1.3248500000000001</v>
      </c>
      <c r="W364" s="1">
        <v>1.1630799999999999</v>
      </c>
      <c r="X364" s="1">
        <v>1.15587</v>
      </c>
      <c r="Y364" s="1">
        <v>1.1554199999999999</v>
      </c>
      <c r="Z364" s="1">
        <v>1.1545300000000001</v>
      </c>
      <c r="AA364" s="1">
        <v>1.12565</v>
      </c>
      <c r="AB364" s="1">
        <v>1.2863500000000001</v>
      </c>
      <c r="AC364" s="1">
        <v>1.3248500000000001</v>
      </c>
      <c r="AD364" s="1">
        <v>1.1630799999999999</v>
      </c>
      <c r="AE364" s="1">
        <v>1.15587</v>
      </c>
      <c r="AF364" s="1">
        <v>1.1554199999999999</v>
      </c>
      <c r="AG364" s="1">
        <v>1.1545300000000001</v>
      </c>
      <c r="AH364" s="1">
        <v>1.12565</v>
      </c>
      <c r="AI364" s="1">
        <v>1.2863500000000001</v>
      </c>
      <c r="AL364" s="10"/>
      <c r="AM364" s="10"/>
      <c r="AN364" s="10"/>
      <c r="AO364" s="10"/>
      <c r="AP364" s="10"/>
      <c r="AQ364" s="10"/>
      <c r="AR364" s="10"/>
    </row>
    <row r="365" spans="1:44" ht="14.25" customHeight="1" x14ac:dyDescent="0.35">
      <c r="A365" s="1" t="s">
        <v>7</v>
      </c>
      <c r="B365" s="1" t="s">
        <v>7</v>
      </c>
      <c r="C365" s="1" t="s">
        <v>15</v>
      </c>
      <c r="D365" s="1" t="s">
        <v>7</v>
      </c>
      <c r="E365" s="1" t="s">
        <v>22</v>
      </c>
      <c r="F365" s="1">
        <v>1.13141</v>
      </c>
      <c r="G365" s="1">
        <v>1.2345999999999999</v>
      </c>
      <c r="H365" s="1">
        <v>1.2660499999999999</v>
      </c>
      <c r="I365" s="1">
        <v>1.05881</v>
      </c>
      <c r="J365" s="1">
        <v>1.0684499999999999</v>
      </c>
      <c r="K365" s="1">
        <v>1.0482800000000001</v>
      </c>
      <c r="L365" s="1">
        <v>1.0490999999999999</v>
      </c>
      <c r="M365" s="1">
        <v>1.0484</v>
      </c>
      <c r="N365" s="1">
        <v>1.2345999999999999</v>
      </c>
      <c r="O365" s="1">
        <v>1.2660499999999999</v>
      </c>
      <c r="P365" s="1">
        <v>1.05881</v>
      </c>
      <c r="Q365" s="1">
        <v>1.0684499999999999</v>
      </c>
      <c r="R365" s="1">
        <v>1.0482800000000001</v>
      </c>
      <c r="S365" s="1">
        <v>1.0490999999999999</v>
      </c>
      <c r="T365" s="1">
        <v>1.0484</v>
      </c>
      <c r="U365" s="1">
        <v>1.2345999999999999</v>
      </c>
      <c r="V365" s="1">
        <v>1.2660499999999999</v>
      </c>
      <c r="W365" s="1">
        <v>1.05881</v>
      </c>
      <c r="X365" s="1">
        <v>1.0684499999999999</v>
      </c>
      <c r="Y365" s="1">
        <v>1.0482800000000001</v>
      </c>
      <c r="Z365" s="1">
        <v>1.0490999999999999</v>
      </c>
      <c r="AA365" s="1">
        <v>1.0484</v>
      </c>
      <c r="AB365" s="1">
        <v>1.2345999999999999</v>
      </c>
      <c r="AC365" s="1">
        <v>1.2660499999999999</v>
      </c>
      <c r="AD365" s="1">
        <v>1.05881</v>
      </c>
      <c r="AE365" s="1">
        <v>1.0684499999999999</v>
      </c>
      <c r="AF365" s="1">
        <v>1.0482800000000001</v>
      </c>
      <c r="AG365" s="1">
        <v>1.0490999999999999</v>
      </c>
      <c r="AH365" s="1">
        <v>1.0484</v>
      </c>
      <c r="AI365" s="1">
        <v>1.2345999999999999</v>
      </c>
      <c r="AL365" s="14" t="s">
        <v>195</v>
      </c>
      <c r="AM365" s="14"/>
      <c r="AN365" s="14"/>
      <c r="AO365" s="14"/>
      <c r="AP365" s="14"/>
      <c r="AQ365" s="14"/>
      <c r="AR365" s="14"/>
    </row>
    <row r="366" spans="1:44" ht="14.25" customHeight="1" x14ac:dyDescent="0.35">
      <c r="A366" s="1" t="s">
        <v>15</v>
      </c>
      <c r="B366" s="1" t="s">
        <v>17</v>
      </c>
      <c r="C366" s="1" t="s">
        <v>14</v>
      </c>
      <c r="D366" s="1" t="s">
        <v>15</v>
      </c>
      <c r="E366" s="1" t="s">
        <v>24</v>
      </c>
      <c r="F366" s="1">
        <v>1.04745</v>
      </c>
      <c r="G366" s="1">
        <v>1.16421</v>
      </c>
      <c r="H366" s="1">
        <v>1.1995</v>
      </c>
      <c r="I366" s="1">
        <v>1.1243099999999999</v>
      </c>
      <c r="J366" s="1">
        <v>1.1587400000000001</v>
      </c>
      <c r="K366" s="1">
        <v>1.15961</v>
      </c>
      <c r="L366" s="1">
        <v>1.1425000000000001</v>
      </c>
      <c r="M366" s="1">
        <v>1.1271199999999999</v>
      </c>
      <c r="N366" s="1">
        <v>1.16421</v>
      </c>
      <c r="O366" s="1">
        <v>1.1995</v>
      </c>
      <c r="P366" s="1">
        <v>1.1243099999999999</v>
      </c>
      <c r="Q366" s="1">
        <v>1.1587400000000001</v>
      </c>
      <c r="R366" s="1">
        <v>1.15961</v>
      </c>
      <c r="S366" s="1">
        <v>1.1425000000000001</v>
      </c>
      <c r="T366" s="1">
        <v>1.1271199999999999</v>
      </c>
      <c r="U366" s="1">
        <v>1.16421</v>
      </c>
      <c r="V366" s="1">
        <v>1.1995</v>
      </c>
      <c r="W366" s="1">
        <v>1.1243099999999999</v>
      </c>
      <c r="X366" s="1">
        <v>1.1587400000000001</v>
      </c>
      <c r="Y366" s="1">
        <v>1.15961</v>
      </c>
      <c r="Z366" s="1">
        <v>1.1425000000000001</v>
      </c>
      <c r="AA366" s="1">
        <v>1.1271199999999999</v>
      </c>
      <c r="AB366" s="1">
        <v>1.16421</v>
      </c>
      <c r="AC366" s="1">
        <v>1.1995</v>
      </c>
      <c r="AD366" s="1">
        <v>1.1243099999999999</v>
      </c>
      <c r="AE366" s="1">
        <v>1.1587400000000001</v>
      </c>
      <c r="AF366" s="1">
        <v>1.15961</v>
      </c>
      <c r="AG366" s="1">
        <v>1.1425000000000001</v>
      </c>
      <c r="AH366" s="1">
        <v>1.1271199999999999</v>
      </c>
      <c r="AI366" s="1">
        <v>1.16421</v>
      </c>
      <c r="AL366" s="4"/>
      <c r="AM366" s="4" t="s">
        <v>13</v>
      </c>
      <c r="AN366" s="4" t="s">
        <v>14</v>
      </c>
      <c r="AO366" s="4" t="s">
        <v>15</v>
      </c>
      <c r="AP366" s="4" t="s">
        <v>16</v>
      </c>
      <c r="AQ366" s="4" t="s">
        <v>17</v>
      </c>
      <c r="AR366" s="4" t="s">
        <v>7</v>
      </c>
    </row>
    <row r="367" spans="1:44" ht="14.25" customHeight="1" x14ac:dyDescent="0.35">
      <c r="A367" s="1" t="s">
        <v>15</v>
      </c>
      <c r="B367" s="1" t="s">
        <v>17</v>
      </c>
      <c r="C367" s="1" t="s">
        <v>14</v>
      </c>
      <c r="D367" s="1" t="s">
        <v>14</v>
      </c>
      <c r="E367" s="1" t="s">
        <v>26</v>
      </c>
      <c r="F367" s="1">
        <v>0.93979999999999997</v>
      </c>
      <c r="G367" s="1">
        <v>1.04158</v>
      </c>
      <c r="H367" s="1">
        <v>1.0462100000000001</v>
      </c>
      <c r="I367" s="1">
        <v>1.0225</v>
      </c>
      <c r="J367" s="1">
        <v>1.0430900000000001</v>
      </c>
      <c r="K367" s="1">
        <v>1.0646100000000001</v>
      </c>
      <c r="L367" s="1">
        <v>1.04708</v>
      </c>
      <c r="M367" s="1">
        <v>1.0096000000000001</v>
      </c>
      <c r="N367" s="1">
        <v>1.04158</v>
      </c>
      <c r="O367" s="1">
        <v>1.0462100000000001</v>
      </c>
      <c r="P367" s="1">
        <v>1.0225</v>
      </c>
      <c r="Q367" s="1">
        <v>1.0430900000000001</v>
      </c>
      <c r="R367" s="1">
        <v>1.0646100000000001</v>
      </c>
      <c r="S367" s="1">
        <v>1.04708</v>
      </c>
      <c r="T367" s="1">
        <v>1.0096000000000001</v>
      </c>
      <c r="U367" s="1">
        <v>1.04158</v>
      </c>
      <c r="V367" s="1">
        <v>1.0462100000000001</v>
      </c>
      <c r="W367" s="1">
        <v>1.0225</v>
      </c>
      <c r="X367" s="1">
        <v>1.0430900000000001</v>
      </c>
      <c r="Y367" s="1">
        <v>1.0646100000000001</v>
      </c>
      <c r="Z367" s="1">
        <v>1.04708</v>
      </c>
      <c r="AA367" s="1">
        <v>1.0096000000000001</v>
      </c>
      <c r="AB367" s="1">
        <v>1.04158</v>
      </c>
      <c r="AC367" s="1">
        <v>1.0462100000000001</v>
      </c>
      <c r="AD367" s="1">
        <v>1.0225</v>
      </c>
      <c r="AE367" s="1">
        <v>1.0430900000000001</v>
      </c>
      <c r="AF367" s="1">
        <v>1.0646100000000001</v>
      </c>
      <c r="AG367" s="1">
        <v>1.04708</v>
      </c>
      <c r="AH367" s="1">
        <v>1.0096000000000001</v>
      </c>
      <c r="AI367" s="1">
        <v>1.04158</v>
      </c>
      <c r="AL367" s="4" t="s">
        <v>19</v>
      </c>
      <c r="AM367" s="6" cm="1">
        <f t="array" ref="AM367">IFERROR((SUMPRODUCT(($C$358:$C$381=AM$356)*($F$354:$AI$354="")*$F$358:$AI$381)+IF(AM$356="P3",SUMPRODUCT(($F$354:$AI$354="P3")*$F$358:$AI$381),0))/(SUMPRODUCT(($C$358:$C$381=AM$356)*($F$354:$AI$354=""))+IF(AM$356="P3",COUNTIF($F$354:$AI$354,"P3")*ROWS($C$358:$C$381),0)),"")</f>
        <v>1.055215499999999</v>
      </c>
      <c r="AN367" s="6" cm="1">
        <f t="array" ref="AN367">IFERROR((SUMPRODUCT(($C$358:$C$381=AN$356)*($F$354:$AI$354="")*$F$358:$AI$381)+IF(AN$356="P3",SUMPRODUCT(($F$354:$AI$354="P3")*$F$358:$AI$381),0))/(SUMPRODUCT(($C$358:$C$381=AN$356)*($F$354:$AI$354=""))+IF(AN$356="P3",COUNTIF($F$354:$AI$354,"P3")*ROWS($C$358:$C$381),0)),"")</f>
        <v>1.1331577499999992</v>
      </c>
      <c r="AO367" s="6" cm="1">
        <f t="array" ref="AO367">IFERROR((SUMPRODUCT(($C$358:$C$381=AO$356)*($F$354:$AI$354="")*$F$358:$AI$381)+IF(AO$356="P3",SUMPRODUCT(($F$354:$AI$354="P3")*$F$358:$AI$381),0))/(SUMPRODUCT(($C$358:$C$381=AO$356)*($F$354:$AI$354=""))+IF(AO$356="P3",COUNTIF($F$354:$AI$354,"P3")*ROWS($C$358:$C$381),0)),"")</f>
        <v>1.1763203750000006</v>
      </c>
      <c r="AP367" s="6" t="str" cm="1">
        <f t="array" ref="AP367">IFERROR((SUMPRODUCT(($C$358:$C$381=AP$356)*($F$354:$AI$354="")*$F$358:$AI$381)+IF(AP$356="P3",SUMPRODUCT(($F$354:$AI$354="P3")*$F$358:$AI$381),0))/(SUMPRODUCT(($C$358:$C$381=AP$356)*($F$354:$AI$354=""))+IF(AP$356="P3",COUNTIF($F$354:$AI$354,"P3")*ROWS($C$358:$C$381),0)),"")</f>
        <v/>
      </c>
      <c r="AQ367" s="6" t="str" cm="1">
        <f t="array" ref="AQ367">IFERROR((SUMPRODUCT(($C$358:$C$381=AQ$356)*($F$354:$AI$354="")*$F$358:$AI$381)+IF(AQ$356="P3",SUMPRODUCT(($F$354:$AI$354="P3")*$F$358:$AI$381),0))/(SUMPRODUCT(($C$358:$C$381=AQ$356)*($F$354:$AI$354=""))+IF(AQ$356="P3",COUNTIF($F$354:$AI$354,"P3")*ROWS($C$358:$C$381),0)),"")</f>
        <v/>
      </c>
      <c r="AR367" s="6" t="str" cm="1">
        <f t="array" ref="AR367">IFERROR((SUMPRODUCT(($C$358:$C$381=AR$356)*($F$354:$AI$354="")*$F$358:$AI$381)+IF(AR$356="P3",SUMPRODUCT(($F$354:$AI$354="P3")*$F$358:$AI$381),0))/(SUMPRODUCT(($C$358:$C$381=AR$356)*($F$354:$AI$354=""))+IF(AR$356="P3",COUNTIF($F$354:$AI$354,"P3")*ROWS($C$358:$C$381),0)),"")</f>
        <v/>
      </c>
    </row>
    <row r="368" spans="1:44" ht="14.25" customHeight="1" x14ac:dyDescent="0.35">
      <c r="A368" s="1" t="s">
        <v>14</v>
      </c>
      <c r="B368" s="1" t="s">
        <v>16</v>
      </c>
      <c r="C368" s="1" t="s">
        <v>13</v>
      </c>
      <c r="D368" s="1" t="s">
        <v>14</v>
      </c>
      <c r="E368" s="1" t="s">
        <v>28</v>
      </c>
      <c r="F368" s="1">
        <v>0.89127999999999996</v>
      </c>
      <c r="G368" s="1">
        <v>0.98350000000000004</v>
      </c>
      <c r="H368" s="1">
        <v>0.94477</v>
      </c>
      <c r="I368" s="1">
        <v>0.97053999999999996</v>
      </c>
      <c r="J368" s="1">
        <v>0.9889</v>
      </c>
      <c r="K368" s="1">
        <v>1.0155000000000001</v>
      </c>
      <c r="L368" s="1">
        <v>1.0047200000000001</v>
      </c>
      <c r="M368" s="1">
        <v>0.95038999999999996</v>
      </c>
      <c r="N368" s="1">
        <v>0.98350000000000004</v>
      </c>
      <c r="O368" s="1">
        <v>0.94477</v>
      </c>
      <c r="P368" s="1">
        <v>0.97053999999999996</v>
      </c>
      <c r="Q368" s="1">
        <v>0.9889</v>
      </c>
      <c r="R368" s="1">
        <v>1.0155000000000001</v>
      </c>
      <c r="S368" s="1">
        <v>1.0047200000000001</v>
      </c>
      <c r="T368" s="1">
        <v>0.95038999999999996</v>
      </c>
      <c r="U368" s="1">
        <v>0.98350000000000004</v>
      </c>
      <c r="V368" s="1">
        <v>0.94477</v>
      </c>
      <c r="W368" s="1">
        <v>0.97053999999999996</v>
      </c>
      <c r="X368" s="1">
        <v>0.9889</v>
      </c>
      <c r="Y368" s="1">
        <v>1.0155000000000001</v>
      </c>
      <c r="Z368" s="1">
        <v>1.0047200000000001</v>
      </c>
      <c r="AA368" s="1">
        <v>0.95038999999999996</v>
      </c>
      <c r="AB368" s="1">
        <v>0.98350000000000004</v>
      </c>
      <c r="AC368" s="1">
        <v>0.94477</v>
      </c>
      <c r="AD368" s="1">
        <v>0.97053999999999996</v>
      </c>
      <c r="AE368" s="1">
        <v>0.9889</v>
      </c>
      <c r="AF368" s="1">
        <v>1.0155000000000001</v>
      </c>
      <c r="AG368" s="1">
        <v>1.0047200000000001</v>
      </c>
      <c r="AH368" s="1">
        <v>0.95038999999999996</v>
      </c>
      <c r="AI368" s="1">
        <v>0.98350000000000004</v>
      </c>
      <c r="AL368" s="4" t="s">
        <v>21</v>
      </c>
      <c r="AM368" s="6" t="str" cm="1">
        <f t="array" ref="AM368">IFERROR((SUMPRODUCT(($A$358:$A$381=AM$356)*($F$355:$AI$355="")*$F$358:$AI$381)+IF(AM$356="P6",SUMPRODUCT(($F$355:$AI$355="P6")*$F$358:$AI$381),0))/(SUMPRODUCT(($A$358:$A$381=AM$356)*($F$355:$AI$355=""))+IF(AM$356="P6",COUNTIF($F$355:$AI$355,"P6")*ROWS($A$358:$A$381),0)),"")</f>
        <v/>
      </c>
      <c r="AN368" s="6" cm="1">
        <f t="array" ref="AN368">IFERROR((SUMPRODUCT(($A$358:$A$381=AN$356)*($F$355:$AI$355="")*$F$358:$AI$381)+IF(AN$356="P6",SUMPRODUCT(($F$355:$AI$355="P6")*$F$358:$AI$381),0))/(SUMPRODUCT(($A$358:$A$381=AN$356)*($F$355:$AI$355=""))+IF(AN$356="P6",COUNTIF($F$355:$AI$355,"P6")*ROWS($A$358:$A$381),0)),"")</f>
        <v>1.0519379999999998</v>
      </c>
      <c r="AO368" s="6" cm="1">
        <f t="array" ref="AO368">IFERROR((SUMPRODUCT(($A$358:$A$381=AO$356)*($F$355:$AI$355="")*$F$358:$AI$381)+IF(AO$356="P6",SUMPRODUCT(($F$355:$AI$355="P6")*$F$358:$AI$381),0))/(SUMPRODUCT(($A$358:$A$381=AO$356)*($F$355:$AI$355=""))+IF(AO$356="P6",COUNTIF($F$355:$AI$355,"P6")*ROWS($A$358:$A$381),0)),"")</f>
        <v>1.1485062857142854</v>
      </c>
      <c r="AP368" s="6" t="str" cm="1">
        <f t="array" ref="AP368">IFERROR((SUMPRODUCT(($A$358:$A$381=AP$356)*($F$355:$AI$355="")*$F$358:$AI$381)+IF(AP$356="P6",SUMPRODUCT(($F$355:$AI$355="P6")*$F$358:$AI$381),0))/(SUMPRODUCT(($A$358:$A$381=AP$356)*($F$355:$AI$355=""))+IF(AP$356="P6",COUNTIF($F$355:$AI$355,"P6")*ROWS($A$358:$A$381),0)),"")</f>
        <v/>
      </c>
      <c r="AQ368" s="6" t="str" cm="1">
        <f t="array" ref="AQ368">IFERROR((SUMPRODUCT(($A$358:$A$381=AQ$356)*($F$355:$AI$355="")*$F$358:$AI$381)+IF(AQ$356="P6",SUMPRODUCT(($F$355:$AI$355="P6")*$F$358:$AI$381),0))/(SUMPRODUCT(($A$358:$A$381=AQ$356)*($F$355:$AI$355=""))+IF(AQ$356="P6",COUNTIF($F$355:$AI$355,"P6")*ROWS($A$358:$A$381),0)),"")</f>
        <v/>
      </c>
      <c r="AR368" s="6" cm="1">
        <f t="array" ref="AR368">IFERROR((SUMPRODUCT(($A$358:$A$381=AR$356)*($F$355:$AI$355="")*$F$358:$AI$381)+IF(AR$356="P6",SUMPRODUCT(($F$355:$AI$355="P6")*$F$358:$AI$381),0))/(SUMPRODUCT(($A$358:$A$381=AR$356)*($F$355:$AI$355=""))+IF(AR$356="P6",COUNTIF($F$355:$AI$355,"P6")*ROWS($A$358:$A$381),0)),"")</f>
        <v>1.1763203750000006</v>
      </c>
    </row>
    <row r="369" spans="1:44" ht="14.25" customHeight="1" x14ac:dyDescent="0.35">
      <c r="A369" s="1" t="s">
        <v>14</v>
      </c>
      <c r="B369" s="1" t="s">
        <v>16</v>
      </c>
      <c r="C369" s="1" t="s">
        <v>13</v>
      </c>
      <c r="D369" s="1" t="s">
        <v>14</v>
      </c>
      <c r="E369" s="1" t="s">
        <v>30</v>
      </c>
      <c r="F369" s="1">
        <v>0.88300999999999996</v>
      </c>
      <c r="G369" s="1">
        <v>0.96513000000000004</v>
      </c>
      <c r="H369" s="1">
        <v>0.92173000000000005</v>
      </c>
      <c r="I369" s="1">
        <v>0.97926999999999997</v>
      </c>
      <c r="J369" s="1">
        <v>0.98153999999999997</v>
      </c>
      <c r="K369" s="1">
        <v>1.0137799999999999</v>
      </c>
      <c r="L369" s="1">
        <v>0.99399999999999999</v>
      </c>
      <c r="M369" s="1">
        <v>0.95148999999999995</v>
      </c>
      <c r="N369" s="1">
        <v>0.96513000000000004</v>
      </c>
      <c r="O369" s="1">
        <v>0.92173000000000005</v>
      </c>
      <c r="P369" s="1">
        <v>0.97926999999999997</v>
      </c>
      <c r="Q369" s="1">
        <v>0.98153999999999997</v>
      </c>
      <c r="R369" s="1">
        <v>1.0137799999999999</v>
      </c>
      <c r="S369" s="1">
        <v>0.99399999999999999</v>
      </c>
      <c r="T369" s="1">
        <v>0.95148999999999995</v>
      </c>
      <c r="U369" s="1">
        <v>0.96513000000000004</v>
      </c>
      <c r="V369" s="1">
        <v>0.92173000000000005</v>
      </c>
      <c r="W369" s="1">
        <v>0.97926999999999997</v>
      </c>
      <c r="X369" s="1">
        <v>0.98153999999999997</v>
      </c>
      <c r="Y369" s="1">
        <v>1.0137799999999999</v>
      </c>
      <c r="Z369" s="1">
        <v>0.99399999999999999</v>
      </c>
      <c r="AA369" s="1">
        <v>0.95148999999999995</v>
      </c>
      <c r="AB369" s="1">
        <v>0.96513000000000004</v>
      </c>
      <c r="AC369" s="1">
        <v>0.92173000000000005</v>
      </c>
      <c r="AD369" s="1">
        <v>0.97926999999999997</v>
      </c>
      <c r="AE369" s="1">
        <v>0.98153999999999997</v>
      </c>
      <c r="AF369" s="1">
        <v>1.0137799999999999</v>
      </c>
      <c r="AG369" s="1">
        <v>0.99399999999999999</v>
      </c>
      <c r="AH369" s="1">
        <v>0.95148999999999995</v>
      </c>
      <c r="AI369" s="1">
        <v>0.96513000000000004</v>
      </c>
      <c r="AL369" s="4" t="s">
        <v>23</v>
      </c>
      <c r="AM369" s="6" t="str" cm="1">
        <f t="array" ref="AM369">IFERROR((SUMPRODUCT(($A$358:$A$381=AM$356)*($F$355:$AI$355="")*$F$358:$AI$381)+IF(AM$356="P6",SUMPRODUCT(($F$355:$AI$355="P6")*$F$358:$AI$381),0))/(SUMPRODUCT(($A$358:$A$381=AM$356)*($F$355:$AI$355=""))+IF(AM$356="P6",COUNTIF($F$355:$AI$355,"P6")*ROWS($A$358:$A$381),0)),"")</f>
        <v/>
      </c>
      <c r="AN369" s="6" cm="1">
        <f t="array" ref="AN369">IFERROR((SUMPRODUCT(($A$358:$A$381=AN$356)*($F$355:$AI$355="")*$F$358:$AI$381)+IF(AN$356="P6",SUMPRODUCT(($F$355:$AI$355="P6")*$F$358:$AI$381),0))/(SUMPRODUCT(($A$358:$A$381=AN$356)*($F$355:$AI$355=""))+IF(AN$356="P6",COUNTIF($F$355:$AI$355,"P6")*ROWS($A$358:$A$381),0)),"")</f>
        <v>1.0519379999999998</v>
      </c>
      <c r="AO369" s="6" cm="1">
        <f t="array" ref="AO369">IFERROR((SUMPRODUCT(($A$358:$A$381=AO$356)*($F$355:$AI$355="")*$F$358:$AI$381)+IF(AO$356="P6",SUMPRODUCT(($F$355:$AI$355="P6")*$F$358:$AI$381),0))/(SUMPRODUCT(($A$358:$A$381=AO$356)*($F$355:$AI$355=""))+IF(AO$356="P6",COUNTIF($F$355:$AI$355,"P6")*ROWS($A$358:$A$381),0)),"")</f>
        <v>1.1485062857142854</v>
      </c>
      <c r="AP369" s="6" t="str" cm="1">
        <f t="array" ref="AP369">IFERROR((SUMPRODUCT(($A$358:$A$381=AP$356)*($F$355:$AI$355="")*$F$358:$AI$381)+IF(AP$356="P6",SUMPRODUCT(($F$355:$AI$355="P6")*$F$358:$AI$381),0))/(SUMPRODUCT(($A$358:$A$381=AP$356)*($F$355:$AI$355=""))+IF(AP$356="P6",COUNTIF($F$355:$AI$355,"P6")*ROWS($A$358:$A$381),0)),"")</f>
        <v/>
      </c>
      <c r="AQ369" s="6" t="str" cm="1">
        <f t="array" ref="AQ369">IFERROR((SUMPRODUCT(($A$358:$A$381=AQ$356)*($F$355:$AI$355="")*$F$358:$AI$381)+IF(AQ$356="P6",SUMPRODUCT(($F$355:$AI$355="P6")*$F$358:$AI$381),0))/(SUMPRODUCT(($A$358:$A$381=AQ$356)*($F$355:$AI$355=""))+IF(AQ$356="P6",COUNTIF($F$355:$AI$355,"P6")*ROWS($A$358:$A$381),0)),"")</f>
        <v/>
      </c>
      <c r="AR369" s="6" cm="1">
        <f t="array" ref="AR369">IFERROR((SUMPRODUCT(($A$358:$A$381=AR$356)*($F$355:$AI$355="")*$F$358:$AI$381)+IF(AR$356="P6",SUMPRODUCT(($F$355:$AI$355="P6")*$F$358:$AI$381),0))/(SUMPRODUCT(($A$358:$A$381=AR$356)*($F$355:$AI$355=""))+IF(AR$356="P6",COUNTIF($F$355:$AI$355,"P6")*ROWS($A$358:$A$381),0)),"")</f>
        <v>1.1763203750000006</v>
      </c>
    </row>
    <row r="370" spans="1:44" ht="14.25" customHeight="1" x14ac:dyDescent="0.35">
      <c r="A370" s="1" t="s">
        <v>14</v>
      </c>
      <c r="B370" s="1" t="s">
        <v>16</v>
      </c>
      <c r="C370" s="1" t="s">
        <v>13</v>
      </c>
      <c r="D370" s="1" t="s">
        <v>14</v>
      </c>
      <c r="E370" s="1" t="s">
        <v>31</v>
      </c>
      <c r="F370" s="1">
        <v>0.88804000000000005</v>
      </c>
      <c r="G370" s="1">
        <v>0.95757000000000003</v>
      </c>
      <c r="H370" s="1">
        <v>0.90917999999999999</v>
      </c>
      <c r="I370" s="1">
        <v>0.97126999999999997</v>
      </c>
      <c r="J370" s="1">
        <v>0.97387999999999997</v>
      </c>
      <c r="K370" s="1">
        <v>0.99365999999999999</v>
      </c>
      <c r="L370" s="1">
        <v>0.98028999999999999</v>
      </c>
      <c r="M370" s="1">
        <v>0.94764000000000004</v>
      </c>
      <c r="N370" s="1">
        <v>0.95757000000000003</v>
      </c>
      <c r="O370" s="1">
        <v>0.90917999999999999</v>
      </c>
      <c r="P370" s="1">
        <v>0.97126999999999997</v>
      </c>
      <c r="Q370" s="1">
        <v>0.97387999999999997</v>
      </c>
      <c r="R370" s="1">
        <v>0.99365999999999999</v>
      </c>
      <c r="S370" s="1">
        <v>0.98028999999999999</v>
      </c>
      <c r="T370" s="1">
        <v>0.94764000000000004</v>
      </c>
      <c r="U370" s="1">
        <v>0.95757000000000003</v>
      </c>
      <c r="V370" s="1">
        <v>0.90917999999999999</v>
      </c>
      <c r="W370" s="1">
        <v>0.97126999999999997</v>
      </c>
      <c r="X370" s="1">
        <v>0.97387999999999997</v>
      </c>
      <c r="Y370" s="1">
        <v>0.99365999999999999</v>
      </c>
      <c r="Z370" s="1">
        <v>0.98028999999999999</v>
      </c>
      <c r="AA370" s="1">
        <v>0.94764000000000004</v>
      </c>
      <c r="AB370" s="1">
        <v>0.95757000000000003</v>
      </c>
      <c r="AC370" s="1">
        <v>0.90917999999999999</v>
      </c>
      <c r="AD370" s="1">
        <v>0.97126999999999997</v>
      </c>
      <c r="AE370" s="1">
        <v>0.97387999999999997</v>
      </c>
      <c r="AF370" s="1">
        <v>0.99365999999999999</v>
      </c>
      <c r="AG370" s="1">
        <v>0.98028999999999999</v>
      </c>
      <c r="AH370" s="1">
        <v>0.94764000000000004</v>
      </c>
      <c r="AI370" s="1">
        <v>0.95757000000000003</v>
      </c>
      <c r="AL370" s="4" t="s">
        <v>25</v>
      </c>
      <c r="AM370" s="6" t="str" cm="1">
        <f t="array" ref="AM370">IFERROR((SUMPRODUCT(($A$358:$A$381=AM$356)*($F$355:$AI$355="")*$F$358:$AI$381)+IF(AM$356="P6",SUMPRODUCT(($F$355:$AI$355="P6")*$F$358:$AI$381),0))/(SUMPRODUCT(($A$358:$A$381=AM$356)*($F$355:$AI$355=""))+IF(AM$356="P6",COUNTIF($F$355:$AI$355,"P6")*ROWS($A$358:$A$381),0)),"")</f>
        <v/>
      </c>
      <c r="AN370" s="6" cm="1">
        <f t="array" ref="AN370">IFERROR((SUMPRODUCT(($A$358:$A$381=AN$356)*($F$355:$AI$355="")*$F$358:$AI$381)+IF(AN$356="P6",SUMPRODUCT(($F$355:$AI$355="P6")*$F$358:$AI$381),0))/(SUMPRODUCT(($A$358:$A$381=AN$356)*($F$355:$AI$355=""))+IF(AN$356="P6",COUNTIF($F$355:$AI$355,"P6")*ROWS($A$358:$A$381),0)),"")</f>
        <v>1.0519379999999998</v>
      </c>
      <c r="AO370" s="6" cm="1">
        <f t="array" ref="AO370">IFERROR((SUMPRODUCT(($A$358:$A$381=AO$356)*($F$355:$AI$355="")*$F$358:$AI$381)+IF(AO$356="P6",SUMPRODUCT(($F$355:$AI$355="P6")*$F$358:$AI$381),0))/(SUMPRODUCT(($A$358:$A$381=AO$356)*($F$355:$AI$355=""))+IF(AO$356="P6",COUNTIF($F$355:$AI$355,"P6")*ROWS($A$358:$A$381),0)),"")</f>
        <v>1.1485062857142854</v>
      </c>
      <c r="AP370" s="6" t="str" cm="1">
        <f t="array" ref="AP370">IFERROR((SUMPRODUCT(($A$358:$A$381=AP$356)*($F$355:$AI$355="")*$F$358:$AI$381)+IF(AP$356="P6",SUMPRODUCT(($F$355:$AI$355="P6")*$F$358:$AI$381),0))/(SUMPRODUCT(($A$358:$A$381=AP$356)*($F$355:$AI$355=""))+IF(AP$356="P6",COUNTIF($F$355:$AI$355,"P6")*ROWS($A$358:$A$381),0)),"")</f>
        <v/>
      </c>
      <c r="AQ370" s="6" t="str" cm="1">
        <f t="array" ref="AQ370">IFERROR((SUMPRODUCT(($A$358:$A$381=AQ$356)*($F$355:$AI$355="")*$F$358:$AI$381)+IF(AQ$356="P6",SUMPRODUCT(($F$355:$AI$355="P6")*$F$358:$AI$381),0))/(SUMPRODUCT(($A$358:$A$381=AQ$356)*($F$355:$AI$355=""))+IF(AQ$356="P6",COUNTIF($F$355:$AI$355,"P6")*ROWS($A$358:$A$381),0)),"")</f>
        <v/>
      </c>
      <c r="AR370" s="6" cm="1">
        <f t="array" ref="AR370">IFERROR((SUMPRODUCT(($A$358:$A$381=AR$356)*($F$355:$AI$355="")*$F$358:$AI$381)+IF(AR$356="P6",SUMPRODUCT(($F$355:$AI$355="P6")*$F$358:$AI$381),0))/(SUMPRODUCT(($A$358:$A$381=AR$356)*($F$355:$AI$355=""))+IF(AR$356="P6",COUNTIF($F$355:$AI$355,"P6")*ROWS($A$358:$A$381),0)),"")</f>
        <v>1.1763203750000006</v>
      </c>
    </row>
    <row r="371" spans="1:44" ht="14.25" customHeight="1" x14ac:dyDescent="0.35">
      <c r="A371" s="1" t="s">
        <v>14</v>
      </c>
      <c r="B371" s="1" t="s">
        <v>16</v>
      </c>
      <c r="C371" s="1" t="s">
        <v>13</v>
      </c>
      <c r="D371" s="1" t="s">
        <v>14</v>
      </c>
      <c r="E371" s="1" t="s">
        <v>32</v>
      </c>
      <c r="F371" s="1">
        <v>0.88688999999999996</v>
      </c>
      <c r="G371" s="1">
        <v>0.9385</v>
      </c>
      <c r="H371" s="1">
        <v>0.89058000000000004</v>
      </c>
      <c r="I371" s="1">
        <v>0.96667999999999998</v>
      </c>
      <c r="J371" s="1">
        <v>0.96848000000000001</v>
      </c>
      <c r="K371" s="1">
        <v>1.00379</v>
      </c>
      <c r="L371" s="1">
        <v>0.98014999999999997</v>
      </c>
      <c r="M371" s="1">
        <v>0.94782</v>
      </c>
      <c r="N371" s="1">
        <v>0.9385</v>
      </c>
      <c r="O371" s="1">
        <v>0.89058000000000004</v>
      </c>
      <c r="P371" s="1">
        <v>0.96667999999999998</v>
      </c>
      <c r="Q371" s="1">
        <v>0.96848000000000001</v>
      </c>
      <c r="R371" s="1">
        <v>1.00379</v>
      </c>
      <c r="S371" s="1">
        <v>0.98014999999999997</v>
      </c>
      <c r="T371" s="1">
        <v>0.94782</v>
      </c>
      <c r="U371" s="1">
        <v>0.9385</v>
      </c>
      <c r="V371" s="1">
        <v>0.89058000000000004</v>
      </c>
      <c r="W371" s="1">
        <v>0.96667999999999998</v>
      </c>
      <c r="X371" s="1">
        <v>0.96848000000000001</v>
      </c>
      <c r="Y371" s="1">
        <v>1.00379</v>
      </c>
      <c r="Z371" s="1">
        <v>0.98014999999999997</v>
      </c>
      <c r="AA371" s="1">
        <v>0.94782</v>
      </c>
      <c r="AB371" s="1">
        <v>0.9385</v>
      </c>
      <c r="AC371" s="1">
        <v>0.89058000000000004</v>
      </c>
      <c r="AD371" s="1">
        <v>0.96667999999999998</v>
      </c>
      <c r="AE371" s="1">
        <v>0.96848000000000001</v>
      </c>
      <c r="AF371" s="1">
        <v>1.00379</v>
      </c>
      <c r="AG371" s="1">
        <v>0.98014999999999997</v>
      </c>
      <c r="AH371" s="1">
        <v>0.94782</v>
      </c>
      <c r="AI371" s="1">
        <v>0.9385</v>
      </c>
      <c r="AL371" s="4" t="s">
        <v>27</v>
      </c>
      <c r="AM371" s="6" t="str" cm="1">
        <f t="array" ref="AM371">IFERROR((SUMPRODUCT(($A$358:$A$381=AM$356)*($F$355:$AI$355="")*$F$358:$AI$381)+IF(AM$356="P6",SUMPRODUCT(($F$355:$AI$355="P6")*$F$358:$AI$381),0))/(SUMPRODUCT(($A$358:$A$381=AM$356)*($F$355:$AI$355=""))+IF(AM$356="P6",COUNTIF($F$355:$AI$355,"P6")*ROWS($A$358:$A$381),0)),"")</f>
        <v/>
      </c>
      <c r="AN371" s="6" cm="1">
        <f t="array" ref="AN371">IFERROR((SUMPRODUCT(($A$358:$A$381=AN$356)*($F$355:$AI$355="")*$F$358:$AI$381)+IF(AN$356="P6",SUMPRODUCT(($F$355:$AI$355="P6")*$F$358:$AI$381),0))/(SUMPRODUCT(($A$358:$A$381=AN$356)*($F$355:$AI$355=""))+IF(AN$356="P6",COUNTIF($F$355:$AI$355,"P6")*ROWS($A$358:$A$381),0)),"")</f>
        <v>1.0519379999999998</v>
      </c>
      <c r="AO371" s="6" cm="1">
        <f t="array" ref="AO371">IFERROR((SUMPRODUCT(($A$358:$A$381=AO$356)*($F$355:$AI$355="")*$F$358:$AI$381)+IF(AO$356="P6",SUMPRODUCT(($F$355:$AI$355="P6")*$F$358:$AI$381),0))/(SUMPRODUCT(($A$358:$A$381=AO$356)*($F$355:$AI$355=""))+IF(AO$356="P6",COUNTIF($F$355:$AI$355,"P6")*ROWS($A$358:$A$381),0)),"")</f>
        <v>1.1485062857142854</v>
      </c>
      <c r="AP371" s="6" t="str" cm="1">
        <f t="array" ref="AP371">IFERROR((SUMPRODUCT(($A$358:$A$381=AP$356)*($F$355:$AI$355="")*$F$358:$AI$381)+IF(AP$356="P6",SUMPRODUCT(($F$355:$AI$355="P6")*$F$358:$AI$381),0))/(SUMPRODUCT(($A$358:$A$381=AP$356)*($F$355:$AI$355=""))+IF(AP$356="P6",COUNTIF($F$355:$AI$355,"P6")*ROWS($A$358:$A$381),0)),"")</f>
        <v/>
      </c>
      <c r="AQ371" s="6" t="str" cm="1">
        <f t="array" ref="AQ371">IFERROR((SUMPRODUCT(($A$358:$A$381=AQ$356)*($F$355:$AI$355="")*$F$358:$AI$381)+IF(AQ$356="P6",SUMPRODUCT(($F$355:$AI$355="P6")*$F$358:$AI$381),0))/(SUMPRODUCT(($A$358:$A$381=AQ$356)*($F$355:$AI$355=""))+IF(AQ$356="P6",COUNTIF($F$355:$AI$355,"P6")*ROWS($A$358:$A$381),0)),"")</f>
        <v/>
      </c>
      <c r="AR371" s="6" cm="1">
        <f t="array" ref="AR371">IFERROR((SUMPRODUCT(($A$358:$A$381=AR$356)*($F$355:$AI$355="")*$F$358:$AI$381)+IF(AR$356="P6",SUMPRODUCT(($F$355:$AI$355="P6")*$F$358:$AI$381),0))/(SUMPRODUCT(($A$358:$A$381=AR$356)*($F$355:$AI$355=""))+IF(AR$356="P6",COUNTIF($F$355:$AI$355,"P6")*ROWS($A$358:$A$381),0)),"")</f>
        <v>1.1763203750000006</v>
      </c>
    </row>
    <row r="372" spans="1:44" ht="14.25" customHeight="1" x14ac:dyDescent="0.35">
      <c r="A372" s="1" t="s">
        <v>14</v>
      </c>
      <c r="B372" s="1" t="s">
        <v>16</v>
      </c>
      <c r="C372" s="1" t="s">
        <v>14</v>
      </c>
      <c r="D372" s="1" t="s">
        <v>15</v>
      </c>
      <c r="E372" s="1" t="s">
        <v>33</v>
      </c>
      <c r="F372" s="1">
        <v>0.89648000000000005</v>
      </c>
      <c r="G372" s="1">
        <v>0.97421000000000002</v>
      </c>
      <c r="H372" s="1">
        <v>0.91303999999999996</v>
      </c>
      <c r="I372" s="1">
        <v>1.01447</v>
      </c>
      <c r="J372" s="1">
        <v>1.02285</v>
      </c>
      <c r="K372" s="1">
        <v>1.0580799999999999</v>
      </c>
      <c r="L372" s="1">
        <v>1.03562</v>
      </c>
      <c r="M372" s="1">
        <v>0.99756999999999996</v>
      </c>
      <c r="N372" s="1">
        <v>0.97421000000000002</v>
      </c>
      <c r="O372" s="1">
        <v>0.91303999999999996</v>
      </c>
      <c r="P372" s="1">
        <v>1.01447</v>
      </c>
      <c r="Q372" s="1">
        <v>1.02285</v>
      </c>
      <c r="R372" s="1">
        <v>1.0580799999999999</v>
      </c>
      <c r="S372" s="1">
        <v>1.03562</v>
      </c>
      <c r="T372" s="1">
        <v>0.99756999999999996</v>
      </c>
      <c r="U372" s="1">
        <v>0.97421000000000002</v>
      </c>
      <c r="V372" s="1">
        <v>0.91303999999999996</v>
      </c>
      <c r="W372" s="1">
        <v>1.01447</v>
      </c>
      <c r="X372" s="1">
        <v>1.02285</v>
      </c>
      <c r="Y372" s="1">
        <v>1.0580799999999999</v>
      </c>
      <c r="Z372" s="1">
        <v>1.03562</v>
      </c>
      <c r="AA372" s="1">
        <v>0.99756999999999996</v>
      </c>
      <c r="AB372" s="1">
        <v>0.97421000000000002</v>
      </c>
      <c r="AC372" s="1">
        <v>0.91303999999999996</v>
      </c>
      <c r="AD372" s="1">
        <v>1.01447</v>
      </c>
      <c r="AE372" s="1">
        <v>1.02285</v>
      </c>
      <c r="AF372" s="1">
        <v>1.0580799999999999</v>
      </c>
      <c r="AG372" s="1">
        <v>1.03562</v>
      </c>
      <c r="AH372" s="1">
        <v>0.99756999999999996</v>
      </c>
      <c r="AI372" s="1">
        <v>0.97421000000000002</v>
      </c>
      <c r="AL372" s="4" t="s">
        <v>29</v>
      </c>
      <c r="AM372" s="6" t="str" cm="1">
        <f t="array" ref="AM372">IFERROR((SUMPRODUCT(($A$358:$A$381=AM$356)*($F$355:$AI$355="")*$F$358:$AI$381)+IF(AM$356="P6",SUMPRODUCT(($F$355:$AI$355="P6")*$F$358:$AI$381),0))/(SUMPRODUCT(($A$358:$A$381=AM$356)*($F$355:$AI$355=""))+IF(AM$356="P6",COUNTIF($F$355:$AI$355,"P6")*ROWS($A$358:$A$381),0)),"")</f>
        <v/>
      </c>
      <c r="AN372" s="6" cm="1">
        <f t="array" ref="AN372">IFERROR((SUMPRODUCT(($A$358:$A$381=AN$356)*($F$355:$AI$355="")*$F$358:$AI$381)+IF(AN$356="P6",SUMPRODUCT(($F$355:$AI$355="P6")*$F$358:$AI$381),0))/(SUMPRODUCT(($A$358:$A$381=AN$356)*($F$355:$AI$355=""))+IF(AN$356="P6",COUNTIF($F$355:$AI$355,"P6")*ROWS($A$358:$A$381),0)),"")</f>
        <v>1.0519379999999998</v>
      </c>
      <c r="AO372" s="6" cm="1">
        <f t="array" ref="AO372">IFERROR((SUMPRODUCT(($A$358:$A$381=AO$356)*($F$355:$AI$355="")*$F$358:$AI$381)+IF(AO$356="P6",SUMPRODUCT(($F$355:$AI$355="P6")*$F$358:$AI$381),0))/(SUMPRODUCT(($A$358:$A$381=AO$356)*($F$355:$AI$355=""))+IF(AO$356="P6",COUNTIF($F$355:$AI$355,"P6")*ROWS($A$358:$A$381),0)),"")</f>
        <v>1.1485062857142854</v>
      </c>
      <c r="AP372" s="6" t="str" cm="1">
        <f t="array" ref="AP372">IFERROR((SUMPRODUCT(($A$358:$A$381=AP$356)*($F$355:$AI$355="")*$F$358:$AI$381)+IF(AP$356="P6",SUMPRODUCT(($F$355:$AI$355="P6")*$F$358:$AI$381),0))/(SUMPRODUCT(($A$358:$A$381=AP$356)*($F$355:$AI$355=""))+IF(AP$356="P6",COUNTIF($F$355:$AI$355,"P6")*ROWS($A$358:$A$381),0)),"")</f>
        <v/>
      </c>
      <c r="AQ372" s="6" t="str" cm="1">
        <f t="array" ref="AQ372">IFERROR((SUMPRODUCT(($A$358:$A$381=AQ$356)*($F$355:$AI$355="")*$F$358:$AI$381)+IF(AQ$356="P6",SUMPRODUCT(($F$355:$AI$355="P6")*$F$358:$AI$381),0))/(SUMPRODUCT(($A$358:$A$381=AQ$356)*($F$355:$AI$355=""))+IF(AQ$356="P6",COUNTIF($F$355:$AI$355,"P6")*ROWS($A$358:$A$381),0)),"")</f>
        <v/>
      </c>
      <c r="AR372" s="6" cm="1">
        <f t="array" ref="AR372">IFERROR((SUMPRODUCT(($A$358:$A$381=AR$356)*($F$355:$AI$355="")*$F$358:$AI$381)+IF(AR$356="P6",SUMPRODUCT(($F$355:$AI$355="P6")*$F$358:$AI$381),0))/(SUMPRODUCT(($A$358:$A$381=AR$356)*($F$355:$AI$355=""))+IF(AR$356="P6",COUNTIF($F$355:$AI$355,"P6")*ROWS($A$358:$A$381),0)),"")</f>
        <v>1.1763203750000006</v>
      </c>
    </row>
    <row r="373" spans="1:44" ht="14.25" customHeight="1" x14ac:dyDescent="0.35">
      <c r="A373" s="1" t="s">
        <v>15</v>
      </c>
      <c r="B373" s="1" t="s">
        <v>17</v>
      </c>
      <c r="C373" s="1" t="s">
        <v>14</v>
      </c>
      <c r="D373" s="1" t="s">
        <v>15</v>
      </c>
      <c r="E373" s="1" t="s">
        <v>34</v>
      </c>
      <c r="F373" s="1">
        <v>0.93942000000000003</v>
      </c>
      <c r="G373" s="1">
        <v>1.04481</v>
      </c>
      <c r="H373" s="1">
        <v>0.98033999999999999</v>
      </c>
      <c r="I373" s="1">
        <v>1.0452999999999999</v>
      </c>
      <c r="J373" s="1">
        <v>1.06148</v>
      </c>
      <c r="K373" s="1">
        <v>1.1017399999999999</v>
      </c>
      <c r="L373" s="1">
        <v>1.0729599999999999</v>
      </c>
      <c r="M373" s="1">
        <v>1.0510900000000001</v>
      </c>
      <c r="N373" s="1">
        <v>1.04481</v>
      </c>
      <c r="O373" s="1">
        <v>0.98033999999999999</v>
      </c>
      <c r="P373" s="1">
        <v>1.0452999999999999</v>
      </c>
      <c r="Q373" s="1">
        <v>1.06148</v>
      </c>
      <c r="R373" s="1">
        <v>1.1017399999999999</v>
      </c>
      <c r="S373" s="1">
        <v>1.0729599999999999</v>
      </c>
      <c r="T373" s="1">
        <v>1.0510900000000001</v>
      </c>
      <c r="U373" s="1">
        <v>1.04481</v>
      </c>
      <c r="V373" s="1">
        <v>0.98033999999999999</v>
      </c>
      <c r="W373" s="1">
        <v>1.0452999999999999</v>
      </c>
      <c r="X373" s="1">
        <v>1.06148</v>
      </c>
      <c r="Y373" s="1">
        <v>1.1017399999999999</v>
      </c>
      <c r="Z373" s="1">
        <v>1.0729599999999999</v>
      </c>
      <c r="AA373" s="1">
        <v>1.0510900000000001</v>
      </c>
      <c r="AB373" s="1">
        <v>1.04481</v>
      </c>
      <c r="AC373" s="1">
        <v>0.98033999999999999</v>
      </c>
      <c r="AD373" s="1">
        <v>1.0452999999999999</v>
      </c>
      <c r="AE373" s="1">
        <v>1.06148</v>
      </c>
      <c r="AF373" s="1">
        <v>1.1017399999999999</v>
      </c>
      <c r="AG373" s="1">
        <v>1.0729599999999999</v>
      </c>
      <c r="AH373" s="1">
        <v>1.0510900000000001</v>
      </c>
      <c r="AI373" s="1">
        <v>1.04481</v>
      </c>
      <c r="AL373" s="10"/>
      <c r="AM373" s="10"/>
      <c r="AN373" s="10"/>
      <c r="AO373" s="10"/>
      <c r="AP373" s="10"/>
      <c r="AQ373" s="10"/>
      <c r="AR373" s="10"/>
    </row>
    <row r="374" spans="1:44" ht="14.25" customHeight="1" x14ac:dyDescent="0.35">
      <c r="A374" s="1" t="s">
        <v>15</v>
      </c>
      <c r="B374" s="1" t="s">
        <v>17</v>
      </c>
      <c r="C374" s="1" t="s">
        <v>14</v>
      </c>
      <c r="D374" s="1" t="s">
        <v>15</v>
      </c>
      <c r="E374" s="1" t="s">
        <v>35</v>
      </c>
      <c r="F374" s="1">
        <v>0.98562000000000005</v>
      </c>
      <c r="G374" s="1">
        <v>1.08379</v>
      </c>
      <c r="H374" s="1">
        <v>1.0468299999999999</v>
      </c>
      <c r="I374" s="1">
        <v>1.0676399999999999</v>
      </c>
      <c r="J374" s="1">
        <v>1.07613</v>
      </c>
      <c r="K374" s="1">
        <v>1.1396900000000001</v>
      </c>
      <c r="L374" s="1">
        <v>1.0973999999999999</v>
      </c>
      <c r="M374" s="1">
        <v>1.0739399999999999</v>
      </c>
      <c r="N374" s="1">
        <v>1.08379</v>
      </c>
      <c r="O374" s="1">
        <v>1.0468299999999999</v>
      </c>
      <c r="P374" s="1">
        <v>1.0676399999999999</v>
      </c>
      <c r="Q374" s="1">
        <v>1.07613</v>
      </c>
      <c r="R374" s="1">
        <v>1.1396900000000001</v>
      </c>
      <c r="S374" s="1">
        <v>1.0973999999999999</v>
      </c>
      <c r="T374" s="1">
        <v>1.0739399999999999</v>
      </c>
      <c r="U374" s="1">
        <v>1.08379</v>
      </c>
      <c r="V374" s="1">
        <v>1.0468299999999999</v>
      </c>
      <c r="W374" s="1">
        <v>1.0676399999999999</v>
      </c>
      <c r="X374" s="1">
        <v>1.07613</v>
      </c>
      <c r="Y374" s="1">
        <v>1.1396900000000001</v>
      </c>
      <c r="Z374" s="1">
        <v>1.0973999999999999</v>
      </c>
      <c r="AA374" s="1">
        <v>1.0739399999999999</v>
      </c>
      <c r="AB374" s="1">
        <v>1.08379</v>
      </c>
      <c r="AC374" s="1">
        <v>1.0468299999999999</v>
      </c>
      <c r="AD374" s="1">
        <v>1.0676399999999999</v>
      </c>
      <c r="AE374" s="1">
        <v>1.07613</v>
      </c>
      <c r="AF374" s="1">
        <v>1.1396900000000001</v>
      </c>
      <c r="AG374" s="1">
        <v>1.0973999999999999</v>
      </c>
      <c r="AH374" s="1">
        <v>1.0739399999999999</v>
      </c>
      <c r="AI374" s="1">
        <v>1.08379</v>
      </c>
      <c r="AL374" s="10"/>
      <c r="AM374" s="10"/>
      <c r="AN374" s="10"/>
      <c r="AO374" s="10"/>
      <c r="AP374" s="10"/>
      <c r="AQ374" s="10"/>
      <c r="AR374" s="10"/>
    </row>
    <row r="375" spans="1:44" ht="14.25" customHeight="1" x14ac:dyDescent="0.35">
      <c r="A375" s="1" t="s">
        <v>15</v>
      </c>
      <c r="B375" s="1" t="s">
        <v>17</v>
      </c>
      <c r="C375" s="1" t="s">
        <v>14</v>
      </c>
      <c r="D375" s="1" t="s">
        <v>15</v>
      </c>
      <c r="E375" s="1" t="s">
        <v>36</v>
      </c>
      <c r="F375" s="1">
        <v>1.0301499999999999</v>
      </c>
      <c r="G375" s="1">
        <v>1.1119699999999999</v>
      </c>
      <c r="H375" s="1">
        <v>1.1332500000000001</v>
      </c>
      <c r="I375" s="1">
        <v>1.1000700000000001</v>
      </c>
      <c r="J375" s="1">
        <v>1.09656</v>
      </c>
      <c r="K375" s="1">
        <v>1.1857800000000001</v>
      </c>
      <c r="L375" s="1">
        <v>1.1216200000000001</v>
      </c>
      <c r="M375" s="1">
        <v>1.13429</v>
      </c>
      <c r="N375" s="1">
        <v>1.1119699999999999</v>
      </c>
      <c r="O375" s="1">
        <v>1.1332500000000001</v>
      </c>
      <c r="P375" s="1">
        <v>1.1000700000000001</v>
      </c>
      <c r="Q375" s="1">
        <v>1.09656</v>
      </c>
      <c r="R375" s="1">
        <v>1.1857800000000001</v>
      </c>
      <c r="S375" s="1">
        <v>1.1216200000000001</v>
      </c>
      <c r="T375" s="1">
        <v>1.13429</v>
      </c>
      <c r="U375" s="1">
        <v>1.1119699999999999</v>
      </c>
      <c r="V375" s="1">
        <v>1.1332500000000001</v>
      </c>
      <c r="W375" s="1">
        <v>1.1000700000000001</v>
      </c>
      <c r="X375" s="1">
        <v>1.09656</v>
      </c>
      <c r="Y375" s="1">
        <v>1.1857800000000001</v>
      </c>
      <c r="Z375" s="1">
        <v>1.1216200000000001</v>
      </c>
      <c r="AA375" s="1">
        <v>1.13429</v>
      </c>
      <c r="AB375" s="1">
        <v>1.1119699999999999</v>
      </c>
      <c r="AC375" s="1">
        <v>1.1332500000000001</v>
      </c>
      <c r="AD375" s="1">
        <v>1.1000700000000001</v>
      </c>
      <c r="AE375" s="1">
        <v>1.09656</v>
      </c>
      <c r="AF375" s="1">
        <v>1.1857800000000001</v>
      </c>
      <c r="AG375" s="1">
        <v>1.1216200000000001</v>
      </c>
      <c r="AH375" s="1">
        <v>1.13429</v>
      </c>
      <c r="AI375" s="1">
        <v>1.1119699999999999</v>
      </c>
      <c r="AL375" s="14" t="s">
        <v>196</v>
      </c>
      <c r="AM375" s="14"/>
      <c r="AN375" s="14"/>
      <c r="AO375" s="14"/>
      <c r="AP375" s="14"/>
      <c r="AQ375" s="14"/>
      <c r="AR375" s="14"/>
    </row>
    <row r="376" spans="1:44" ht="14.25" customHeight="1" x14ac:dyDescent="0.35">
      <c r="A376" s="1" t="s">
        <v>14</v>
      </c>
      <c r="B376" s="1" t="s">
        <v>16</v>
      </c>
      <c r="C376" s="1" t="s">
        <v>13</v>
      </c>
      <c r="D376" s="1" t="s">
        <v>14</v>
      </c>
      <c r="E376" s="1" t="s">
        <v>37</v>
      </c>
      <c r="F376" s="1">
        <v>1.0316700000000001</v>
      </c>
      <c r="G376" s="1">
        <v>1.1035900000000001</v>
      </c>
      <c r="H376" s="1">
        <v>1.12944</v>
      </c>
      <c r="I376" s="1">
        <v>1.0774900000000001</v>
      </c>
      <c r="J376" s="1">
        <v>1.0739799999999999</v>
      </c>
      <c r="K376" s="1">
        <v>1.1479200000000001</v>
      </c>
      <c r="L376" s="1">
        <v>1.10284</v>
      </c>
      <c r="M376" s="1">
        <v>1.1288800000000001</v>
      </c>
      <c r="N376" s="1">
        <v>1.1035900000000001</v>
      </c>
      <c r="O376" s="1">
        <v>1.12944</v>
      </c>
      <c r="P376" s="1">
        <v>1.0774900000000001</v>
      </c>
      <c r="Q376" s="1">
        <v>1.0739799999999999</v>
      </c>
      <c r="R376" s="1">
        <v>1.1479200000000001</v>
      </c>
      <c r="S376" s="1">
        <v>1.10284</v>
      </c>
      <c r="T376" s="1">
        <v>1.1288800000000001</v>
      </c>
      <c r="U376" s="1">
        <v>1.1035900000000001</v>
      </c>
      <c r="V376" s="1">
        <v>1.12944</v>
      </c>
      <c r="W376" s="1">
        <v>1.0774900000000001</v>
      </c>
      <c r="X376" s="1">
        <v>1.0739799999999999</v>
      </c>
      <c r="Y376" s="1">
        <v>1.1479200000000001</v>
      </c>
      <c r="Z376" s="1">
        <v>1.10284</v>
      </c>
      <c r="AA376" s="1">
        <v>1.1288800000000001</v>
      </c>
      <c r="AB376" s="1">
        <v>1.1035900000000001</v>
      </c>
      <c r="AC376" s="1">
        <v>1.12944</v>
      </c>
      <c r="AD376" s="1">
        <v>1.0774900000000001</v>
      </c>
      <c r="AE376" s="1">
        <v>1.0739799999999999</v>
      </c>
      <c r="AF376" s="1">
        <v>1.1479200000000001</v>
      </c>
      <c r="AG376" s="1">
        <v>1.10284</v>
      </c>
      <c r="AH376" s="1">
        <v>1.1288800000000001</v>
      </c>
      <c r="AI376" s="1">
        <v>1.1035900000000001</v>
      </c>
      <c r="AL376" s="4"/>
      <c r="AM376" s="4" t="s">
        <v>13</v>
      </c>
      <c r="AN376" s="4" t="s">
        <v>14</v>
      </c>
      <c r="AO376" s="4" t="s">
        <v>15</v>
      </c>
      <c r="AP376" s="4" t="s">
        <v>16</v>
      </c>
      <c r="AQ376" s="4" t="s">
        <v>17</v>
      </c>
      <c r="AR376" s="4" t="s">
        <v>7</v>
      </c>
    </row>
    <row r="377" spans="1:44" ht="14.25" customHeight="1" x14ac:dyDescent="0.35">
      <c r="A377" s="1" t="s">
        <v>14</v>
      </c>
      <c r="B377" s="1" t="s">
        <v>16</v>
      </c>
      <c r="C377" s="1" t="s">
        <v>13</v>
      </c>
      <c r="D377" s="1" t="s">
        <v>14</v>
      </c>
      <c r="E377" s="1" t="s">
        <v>38</v>
      </c>
      <c r="F377" s="1">
        <v>1.03966</v>
      </c>
      <c r="G377" s="1">
        <v>1.13557</v>
      </c>
      <c r="H377" s="1">
        <v>1.12886</v>
      </c>
      <c r="I377" s="1">
        <v>1.0795600000000001</v>
      </c>
      <c r="J377" s="1">
        <v>1.09836</v>
      </c>
      <c r="K377" s="1">
        <v>1.16479</v>
      </c>
      <c r="L377" s="1">
        <v>1.12564</v>
      </c>
      <c r="M377" s="1">
        <v>1.14957</v>
      </c>
      <c r="N377" s="1">
        <v>1.13557</v>
      </c>
      <c r="O377" s="1">
        <v>1.12886</v>
      </c>
      <c r="P377" s="1">
        <v>1.0795600000000001</v>
      </c>
      <c r="Q377" s="1">
        <v>1.09836</v>
      </c>
      <c r="R377" s="1">
        <v>1.16479</v>
      </c>
      <c r="S377" s="1">
        <v>1.12564</v>
      </c>
      <c r="T377" s="1">
        <v>1.14957</v>
      </c>
      <c r="U377" s="1">
        <v>1.13557</v>
      </c>
      <c r="V377" s="1">
        <v>1.12886</v>
      </c>
      <c r="W377" s="1">
        <v>1.0795600000000001</v>
      </c>
      <c r="X377" s="1">
        <v>1.09836</v>
      </c>
      <c r="Y377" s="1">
        <v>1.16479</v>
      </c>
      <c r="Z377" s="1">
        <v>1.12564</v>
      </c>
      <c r="AA377" s="1">
        <v>1.14957</v>
      </c>
      <c r="AB377" s="1">
        <v>1.13557</v>
      </c>
      <c r="AC377" s="1">
        <v>1.12886</v>
      </c>
      <c r="AD377" s="1">
        <v>1.0795600000000001</v>
      </c>
      <c r="AE377" s="1">
        <v>1.09836</v>
      </c>
      <c r="AF377" s="1">
        <v>1.16479</v>
      </c>
      <c r="AG377" s="1">
        <v>1.12564</v>
      </c>
      <c r="AH377" s="1">
        <v>1.14957</v>
      </c>
      <c r="AI377" s="1">
        <v>1.13557</v>
      </c>
      <c r="AL377" s="4" t="s">
        <v>19</v>
      </c>
      <c r="AM377" s="6" cm="1">
        <f t="array" ref="AM377">IFERROR((SUMPRODUCT(($C$358:$C$381=AM$356)*($F$354:$AI$354="")*$F$358:$AI$381)+IF(AM$356="P3",SUMPRODUCT(($F$354:$AI$354="P3")*$F$358:$AI$381),0))/(SUMPRODUCT(($C$358:$C$381=AM$356)*($F$354:$AI$354=""))+IF(AM$356="P3",COUNTIF($F$354:$AI$354,"P3")*ROWS($C$358:$C$381),0)),"")</f>
        <v>1.055215499999999</v>
      </c>
      <c r="AN377" s="6" cm="1">
        <f t="array" ref="AN377">IFERROR((SUMPRODUCT(($C$358:$C$381=AN$356)*($F$354:$AI$354="")*$F$358:$AI$381)+IF(AN$356="P3",SUMPRODUCT(($F$354:$AI$354="P3")*$F$358:$AI$381),0))/(SUMPRODUCT(($C$358:$C$381=AN$356)*($F$354:$AI$354=""))+IF(AN$356="P3",COUNTIF($F$354:$AI$354,"P3")*ROWS($C$358:$C$381),0)),"")</f>
        <v>1.1331577499999992</v>
      </c>
      <c r="AO377" s="6" cm="1">
        <f t="array" ref="AO377">IFERROR((SUMPRODUCT(($C$358:$C$381=AO$356)*($F$354:$AI$354="")*$F$358:$AI$381)+IF(AO$356="P3",SUMPRODUCT(($F$354:$AI$354="P3")*$F$358:$AI$381),0))/(SUMPRODUCT(($C$358:$C$381=AO$356)*($F$354:$AI$354=""))+IF(AO$356="P3",COUNTIF($F$354:$AI$354,"P3")*ROWS($C$358:$C$381),0)),"")</f>
        <v>1.1763203750000006</v>
      </c>
      <c r="AP377" s="6" t="str" cm="1">
        <f t="array" ref="AP377">IFERROR((SUMPRODUCT(($C$358:$C$381=AP$356)*($F$354:$AI$354="")*$F$358:$AI$381)+IF(AP$356="P3",SUMPRODUCT(($F$354:$AI$354="P3")*$F$358:$AI$381),0))/(SUMPRODUCT(($C$358:$C$381=AP$356)*($F$354:$AI$354=""))+IF(AP$356="P3",COUNTIF($F$354:$AI$354,"P3")*ROWS($C$358:$C$381),0)),"")</f>
        <v/>
      </c>
      <c r="AQ377" s="6" t="str" cm="1">
        <f t="array" ref="AQ377">IFERROR((SUMPRODUCT(($C$358:$C$381=AQ$356)*($F$354:$AI$354="")*$F$358:$AI$381)+IF(AQ$356="P3",SUMPRODUCT(($F$354:$AI$354="P3")*$F$358:$AI$381),0))/(SUMPRODUCT(($C$358:$C$381=AQ$356)*($F$354:$AI$354=""))+IF(AQ$356="P3",COUNTIF($F$354:$AI$354,"P3")*ROWS($C$358:$C$381),0)),"")</f>
        <v/>
      </c>
      <c r="AR377" s="6" t="str" cm="1">
        <f t="array" ref="AR377">IFERROR((SUMPRODUCT(($C$358:$C$381=AR$356)*($F$354:$AI$354="")*$F$358:$AI$381)+IF(AR$356="P3",SUMPRODUCT(($F$354:$AI$354="P3")*$F$358:$AI$381),0))/(SUMPRODUCT(($C$358:$C$381=AR$356)*($F$354:$AI$354=""))+IF(AR$356="P3",COUNTIF($F$354:$AI$354,"P3")*ROWS($C$358:$C$381),0)),"")</f>
        <v/>
      </c>
    </row>
    <row r="378" spans="1:44" ht="14.25" customHeight="1" x14ac:dyDescent="0.35">
      <c r="A378" s="1" t="s">
        <v>14</v>
      </c>
      <c r="B378" s="1" t="s">
        <v>16</v>
      </c>
      <c r="C378" s="1" t="s">
        <v>13</v>
      </c>
      <c r="D378" s="1" t="s">
        <v>14</v>
      </c>
      <c r="E378" s="1" t="s">
        <v>39</v>
      </c>
      <c r="F378" s="1">
        <v>1.0263800000000001</v>
      </c>
      <c r="G378" s="1">
        <v>1.14229</v>
      </c>
      <c r="H378" s="1">
        <v>1.1265099999999999</v>
      </c>
      <c r="I378" s="1">
        <v>1.0983700000000001</v>
      </c>
      <c r="J378" s="1">
        <v>1.1152599999999999</v>
      </c>
      <c r="K378" s="1">
        <v>1.1658999999999999</v>
      </c>
      <c r="L378" s="1">
        <v>1.1356999999999999</v>
      </c>
      <c r="M378" s="1">
        <v>1.1656299999999999</v>
      </c>
      <c r="N378" s="1">
        <v>1.14229</v>
      </c>
      <c r="O378" s="1">
        <v>1.1265099999999999</v>
      </c>
      <c r="P378" s="1">
        <v>1.0983700000000001</v>
      </c>
      <c r="Q378" s="1">
        <v>1.1152599999999999</v>
      </c>
      <c r="R378" s="1">
        <v>1.1658999999999999</v>
      </c>
      <c r="S378" s="1">
        <v>1.1356999999999999</v>
      </c>
      <c r="T378" s="1">
        <v>1.1656299999999999</v>
      </c>
      <c r="U378" s="1">
        <v>1.14229</v>
      </c>
      <c r="V378" s="1">
        <v>1.1265099999999999</v>
      </c>
      <c r="W378" s="1">
        <v>1.0983700000000001</v>
      </c>
      <c r="X378" s="1">
        <v>1.1152599999999999</v>
      </c>
      <c r="Y378" s="1">
        <v>1.1658999999999999</v>
      </c>
      <c r="Z378" s="1">
        <v>1.1356999999999999</v>
      </c>
      <c r="AA378" s="1">
        <v>1.1656299999999999</v>
      </c>
      <c r="AB378" s="1">
        <v>1.14229</v>
      </c>
      <c r="AC378" s="1">
        <v>1.1265099999999999</v>
      </c>
      <c r="AD378" s="1">
        <v>1.0983700000000001</v>
      </c>
      <c r="AE378" s="1">
        <v>1.1152599999999999</v>
      </c>
      <c r="AF378" s="1">
        <v>1.1658999999999999</v>
      </c>
      <c r="AG378" s="1">
        <v>1.1356999999999999</v>
      </c>
      <c r="AH378" s="1">
        <v>1.1656299999999999</v>
      </c>
      <c r="AI378" s="1">
        <v>1.14229</v>
      </c>
      <c r="AL378" s="4" t="s">
        <v>21</v>
      </c>
      <c r="AM378" s="6" t="str" cm="1">
        <f t="array" ref="AM378">IFERROR((SUMPRODUCT(($B$358:$B$381=AM$356)*($F$355:$AI$355="")*$F$358:$AI$381)+IF(AM$356="P6",SUMPRODUCT(($F$355:$AI$355="P6")*$F$358:$AI$381),0))/(SUMPRODUCT(($B$358:$B$381=AM$356)*($F$355:$AI$355=""))+IF(AM$356="P6",COUNTIF($F$355:$AI$355,"P6")*ROWS($B$358:$B$381),0)),"")</f>
        <v/>
      </c>
      <c r="AN378" s="6" t="str" cm="1">
        <f t="array" ref="AN378">IFERROR((SUMPRODUCT(($B$358:$B$381=AN$356)*($F$355:$AI$355="")*$F$358:$AI$381)+IF(AN$356="P6",SUMPRODUCT(($F$355:$AI$355="P6")*$F$358:$AI$381),0))/(SUMPRODUCT(($B$358:$B$381=AN$356)*($F$355:$AI$355=""))+IF(AN$356="P6",COUNTIF($F$355:$AI$355,"P6")*ROWS($B$358:$B$381),0)),"")</f>
        <v/>
      </c>
      <c r="AO378" s="6" t="str" cm="1">
        <f t="array" ref="AO378">IFERROR((SUMPRODUCT(($B$358:$B$381=AO$356)*($F$355:$AI$355="")*$F$358:$AI$381)+IF(AO$356="P6",SUMPRODUCT(($F$355:$AI$355="P6")*$F$358:$AI$381),0))/(SUMPRODUCT(($B$358:$B$381=AO$356)*($F$355:$AI$355=""))+IF(AO$356="P6",COUNTIF($F$355:$AI$355,"P6")*ROWS($B$358:$B$381),0)),"")</f>
        <v/>
      </c>
      <c r="AP378" s="6" cm="1">
        <f t="array" ref="AP378">IFERROR((SUMPRODUCT(($B$358:$B$381=AP$356)*($F$355:$AI$355="")*$F$358:$AI$381)+IF(AP$356="P6",SUMPRODUCT(($F$355:$AI$355="P6")*$F$358:$AI$381),0))/(SUMPRODUCT(($B$358:$B$381=AP$356)*($F$355:$AI$355=""))+IF(AP$356="P6",COUNTIF($F$355:$AI$355,"P6")*ROWS($B$358:$B$381),0)),"")</f>
        <v>1.0519379999999998</v>
      </c>
      <c r="AQ378" s="6" cm="1">
        <f t="array" ref="AQ378">IFERROR((SUMPRODUCT(($B$358:$B$381=AQ$356)*($F$355:$AI$355="")*$F$358:$AI$381)+IF(AQ$356="P6",SUMPRODUCT(($F$355:$AI$355="P6")*$F$358:$AI$381),0))/(SUMPRODUCT(($B$358:$B$381=AQ$356)*($F$355:$AI$355=""))+IF(AQ$356="P6",COUNTIF($F$355:$AI$355,"P6")*ROWS($B$358:$B$381),0)),"")</f>
        <v>1.1485062857142854</v>
      </c>
      <c r="AR378" s="6" cm="1">
        <f t="array" ref="AR378">IFERROR((SUMPRODUCT(($B$358:$B$381=AR$356)*($F$355:$AI$355="")*$F$358:$AI$381)+IF(AR$356="P6",SUMPRODUCT(($F$355:$AI$355="P6")*$F$358:$AI$381),0))/(SUMPRODUCT(($B$358:$B$381=AR$356)*($F$355:$AI$355=""))+IF(AR$356="P6",COUNTIF($F$355:$AI$355,"P6")*ROWS($B$358:$B$381),0)),"")</f>
        <v>1.1763203750000006</v>
      </c>
    </row>
    <row r="379" spans="1:44" ht="14.25" customHeight="1" x14ac:dyDescent="0.35">
      <c r="A379" s="1" t="s">
        <v>14</v>
      </c>
      <c r="B379" s="1" t="s">
        <v>16</v>
      </c>
      <c r="C379" s="1" t="s">
        <v>13</v>
      </c>
      <c r="D379" s="1" t="s">
        <v>14</v>
      </c>
      <c r="E379" s="1" t="s">
        <v>40</v>
      </c>
      <c r="F379" s="1">
        <v>1.03129</v>
      </c>
      <c r="G379" s="1">
        <v>1.1425799999999999</v>
      </c>
      <c r="H379" s="1">
        <v>1.1231500000000001</v>
      </c>
      <c r="I379" s="1">
        <v>1.12259</v>
      </c>
      <c r="J379" s="1">
        <v>1.14133</v>
      </c>
      <c r="K379" s="1">
        <v>1.1991000000000001</v>
      </c>
      <c r="L379" s="1">
        <v>1.1475500000000001</v>
      </c>
      <c r="M379" s="1">
        <v>1.1843699999999999</v>
      </c>
      <c r="N379" s="1">
        <v>1.1425799999999999</v>
      </c>
      <c r="O379" s="1">
        <v>1.1231500000000001</v>
      </c>
      <c r="P379" s="1">
        <v>1.12259</v>
      </c>
      <c r="Q379" s="1">
        <v>1.14133</v>
      </c>
      <c r="R379" s="1">
        <v>1.1991000000000001</v>
      </c>
      <c r="S379" s="1">
        <v>1.1475500000000001</v>
      </c>
      <c r="T379" s="1">
        <v>1.1843699999999999</v>
      </c>
      <c r="U379" s="1">
        <v>1.1425799999999999</v>
      </c>
      <c r="V379" s="1">
        <v>1.1231500000000001</v>
      </c>
      <c r="W379" s="1">
        <v>1.12259</v>
      </c>
      <c r="X379" s="1">
        <v>1.14133</v>
      </c>
      <c r="Y379" s="1">
        <v>1.1991000000000001</v>
      </c>
      <c r="Z379" s="1">
        <v>1.1475500000000001</v>
      </c>
      <c r="AA379" s="1">
        <v>1.1843699999999999</v>
      </c>
      <c r="AB379" s="1">
        <v>1.1425799999999999</v>
      </c>
      <c r="AC379" s="1">
        <v>1.1231500000000001</v>
      </c>
      <c r="AD379" s="1">
        <v>1.12259</v>
      </c>
      <c r="AE379" s="1">
        <v>1.14133</v>
      </c>
      <c r="AF379" s="1">
        <v>1.1991000000000001</v>
      </c>
      <c r="AG379" s="1">
        <v>1.1475500000000001</v>
      </c>
      <c r="AH379" s="1">
        <v>1.1843699999999999</v>
      </c>
      <c r="AI379" s="1">
        <v>1.1425799999999999</v>
      </c>
      <c r="AL379" s="4" t="s">
        <v>23</v>
      </c>
      <c r="AM379" s="6" t="str" cm="1">
        <f t="array" ref="AM379">IFERROR((SUMPRODUCT(($B$358:$B$381=AM$356)*($F$355:$AI$355="")*$F$358:$AI$381)+IF(AM$356="P6",SUMPRODUCT(($F$355:$AI$355="P6")*$F$358:$AI$381),0))/(SUMPRODUCT(($B$358:$B$381=AM$356)*($F$355:$AI$355=""))+IF(AM$356="P6",COUNTIF($F$355:$AI$355,"P6")*ROWS($B$358:$B$381),0)),"")</f>
        <v/>
      </c>
      <c r="AN379" s="6" t="str" cm="1">
        <f t="array" ref="AN379">IFERROR((SUMPRODUCT(($B$358:$B$381=AN$356)*($F$355:$AI$355="")*$F$358:$AI$381)+IF(AN$356="P6",SUMPRODUCT(($F$355:$AI$355="P6")*$F$358:$AI$381),0))/(SUMPRODUCT(($B$358:$B$381=AN$356)*($F$355:$AI$355=""))+IF(AN$356="P6",COUNTIF($F$355:$AI$355,"P6")*ROWS($B$358:$B$381),0)),"")</f>
        <v/>
      </c>
      <c r="AO379" s="6" t="str" cm="1">
        <f t="array" ref="AO379">IFERROR((SUMPRODUCT(($B$358:$B$381=AO$356)*($F$355:$AI$355="")*$F$358:$AI$381)+IF(AO$356="P6",SUMPRODUCT(($F$355:$AI$355="P6")*$F$358:$AI$381),0))/(SUMPRODUCT(($B$358:$B$381=AO$356)*($F$355:$AI$355=""))+IF(AO$356="P6",COUNTIF($F$355:$AI$355,"P6")*ROWS($B$358:$B$381),0)),"")</f>
        <v/>
      </c>
      <c r="AP379" s="6" cm="1">
        <f t="array" ref="AP379">IFERROR((SUMPRODUCT(($B$358:$B$381=AP$356)*($F$355:$AI$355="")*$F$358:$AI$381)+IF(AP$356="P6",SUMPRODUCT(($F$355:$AI$355="P6")*$F$358:$AI$381),0))/(SUMPRODUCT(($B$358:$B$381=AP$356)*($F$355:$AI$355=""))+IF(AP$356="P6",COUNTIF($F$355:$AI$355,"P6")*ROWS($B$358:$B$381),0)),"")</f>
        <v>1.0519379999999998</v>
      </c>
      <c r="AQ379" s="6" cm="1">
        <f t="array" ref="AQ379">IFERROR((SUMPRODUCT(($B$358:$B$381=AQ$356)*($F$355:$AI$355="")*$F$358:$AI$381)+IF(AQ$356="P6",SUMPRODUCT(($F$355:$AI$355="P6")*$F$358:$AI$381),0))/(SUMPRODUCT(($B$358:$B$381=AQ$356)*($F$355:$AI$355=""))+IF(AQ$356="P6",COUNTIF($F$355:$AI$355,"P6")*ROWS($B$358:$B$381),0)),"")</f>
        <v>1.1485062857142854</v>
      </c>
      <c r="AR379" s="6" cm="1">
        <f t="array" ref="AR379">IFERROR((SUMPRODUCT(($B$358:$B$381=AR$356)*($F$355:$AI$355="")*$F$358:$AI$381)+IF(AR$356="P6",SUMPRODUCT(($F$355:$AI$355="P6")*$F$358:$AI$381),0))/(SUMPRODUCT(($B$358:$B$381=AR$356)*($F$355:$AI$355=""))+IF(AR$356="P6",COUNTIF($F$355:$AI$355,"P6")*ROWS($B$358:$B$381),0)),"")</f>
        <v>1.1763203750000006</v>
      </c>
    </row>
    <row r="380" spans="1:44" ht="14.25" customHeight="1" x14ac:dyDescent="0.35">
      <c r="A380" s="1" t="s">
        <v>15</v>
      </c>
      <c r="B380" s="1" t="s">
        <v>17</v>
      </c>
      <c r="C380" s="1" t="s">
        <v>14</v>
      </c>
      <c r="D380" s="1" t="s">
        <v>15</v>
      </c>
      <c r="E380" s="1" t="s">
        <v>41</v>
      </c>
      <c r="F380" s="1">
        <v>1.0565199999999999</v>
      </c>
      <c r="G380" s="1">
        <v>1.17445</v>
      </c>
      <c r="H380" s="1">
        <v>1.1410199999999999</v>
      </c>
      <c r="I380" s="1">
        <v>1.23034</v>
      </c>
      <c r="J380" s="1">
        <v>1.23421</v>
      </c>
      <c r="K380" s="1">
        <v>1.30342</v>
      </c>
      <c r="L380" s="1">
        <v>1.23376</v>
      </c>
      <c r="M380" s="1">
        <v>1.27921</v>
      </c>
      <c r="N380" s="1">
        <v>1.17445</v>
      </c>
      <c r="O380" s="1">
        <v>1.1410199999999999</v>
      </c>
      <c r="P380" s="1">
        <v>1.23034</v>
      </c>
      <c r="Q380" s="1">
        <v>1.23421</v>
      </c>
      <c r="R380" s="1">
        <v>1.30342</v>
      </c>
      <c r="S380" s="1">
        <v>1.23376</v>
      </c>
      <c r="T380" s="1">
        <v>1.27921</v>
      </c>
      <c r="U380" s="1">
        <v>1.17445</v>
      </c>
      <c r="V380" s="1">
        <v>1.1410199999999999</v>
      </c>
      <c r="W380" s="1">
        <v>1.23034</v>
      </c>
      <c r="X380" s="1">
        <v>1.23421</v>
      </c>
      <c r="Y380" s="1">
        <v>1.30342</v>
      </c>
      <c r="Z380" s="1">
        <v>1.23376</v>
      </c>
      <c r="AA380" s="1">
        <v>1.27921</v>
      </c>
      <c r="AB380" s="1">
        <v>1.17445</v>
      </c>
      <c r="AC380" s="1">
        <v>1.1410199999999999</v>
      </c>
      <c r="AD380" s="1">
        <v>1.23034</v>
      </c>
      <c r="AE380" s="1">
        <v>1.23421</v>
      </c>
      <c r="AF380" s="1">
        <v>1.30342</v>
      </c>
      <c r="AG380" s="1">
        <v>1.23376</v>
      </c>
      <c r="AH380" s="1">
        <v>1.27921</v>
      </c>
      <c r="AI380" s="1">
        <v>1.17445</v>
      </c>
      <c r="AL380" s="4" t="s">
        <v>25</v>
      </c>
      <c r="AM380" s="6" t="str" cm="1">
        <f t="array" ref="AM380">IFERROR((SUMPRODUCT(($B$358:$B$381=AM$356)*($F$355:$AI$355="")*$F$358:$AI$381)+IF(AM$356="P6",SUMPRODUCT(($F$355:$AI$355="P6")*$F$358:$AI$381),0))/(SUMPRODUCT(($B$358:$B$381=AM$356)*($F$355:$AI$355=""))+IF(AM$356="P6",COUNTIF($F$355:$AI$355,"P6")*ROWS($B$358:$B$381),0)),"")</f>
        <v/>
      </c>
      <c r="AN380" s="6" t="str" cm="1">
        <f t="array" ref="AN380">IFERROR((SUMPRODUCT(($B$358:$B$381=AN$356)*($F$355:$AI$355="")*$F$358:$AI$381)+IF(AN$356="P6",SUMPRODUCT(($F$355:$AI$355="P6")*$F$358:$AI$381),0))/(SUMPRODUCT(($B$358:$B$381=AN$356)*($F$355:$AI$355=""))+IF(AN$356="P6",COUNTIF($F$355:$AI$355,"P6")*ROWS($B$358:$B$381),0)),"")</f>
        <v/>
      </c>
      <c r="AO380" s="6" t="str" cm="1">
        <f t="array" ref="AO380">IFERROR((SUMPRODUCT(($B$358:$B$381=AO$356)*($F$355:$AI$355="")*$F$358:$AI$381)+IF(AO$356="P6",SUMPRODUCT(($F$355:$AI$355="P6")*$F$358:$AI$381),0))/(SUMPRODUCT(($B$358:$B$381=AO$356)*($F$355:$AI$355=""))+IF(AO$356="P6",COUNTIF($F$355:$AI$355,"P6")*ROWS($B$358:$B$381),0)),"")</f>
        <v/>
      </c>
      <c r="AP380" s="6" cm="1">
        <f t="array" ref="AP380">IFERROR((SUMPRODUCT(($B$358:$B$381=AP$356)*($F$355:$AI$355="")*$F$358:$AI$381)+IF(AP$356="P6",SUMPRODUCT(($F$355:$AI$355="P6")*$F$358:$AI$381),0))/(SUMPRODUCT(($B$358:$B$381=AP$356)*($F$355:$AI$355=""))+IF(AP$356="P6",COUNTIF($F$355:$AI$355,"P6")*ROWS($B$358:$B$381),0)),"")</f>
        <v>1.0519379999999998</v>
      </c>
      <c r="AQ380" s="6" cm="1">
        <f t="array" ref="AQ380">IFERROR((SUMPRODUCT(($B$358:$B$381=AQ$356)*($F$355:$AI$355="")*$F$358:$AI$381)+IF(AQ$356="P6",SUMPRODUCT(($F$355:$AI$355="P6")*$F$358:$AI$381),0))/(SUMPRODUCT(($B$358:$B$381=AQ$356)*($F$355:$AI$355=""))+IF(AQ$356="P6",COUNTIF($F$355:$AI$355,"P6")*ROWS($B$358:$B$381),0)),"")</f>
        <v>1.1485062857142854</v>
      </c>
      <c r="AR380" s="6" cm="1">
        <f t="array" ref="AR380">IFERROR((SUMPRODUCT(($B$358:$B$381=AR$356)*($F$355:$AI$355="")*$F$358:$AI$381)+IF(AR$356="P6",SUMPRODUCT(($F$355:$AI$355="P6")*$F$358:$AI$381),0))/(SUMPRODUCT(($B$358:$B$381=AR$356)*($F$355:$AI$355=""))+IF(AR$356="P6",COUNTIF($F$355:$AI$355,"P6")*ROWS($B$358:$B$381),0)),"")</f>
        <v>1.1763203750000006</v>
      </c>
    </row>
    <row r="381" spans="1:44" ht="14.25" customHeight="1" x14ac:dyDescent="0.35">
      <c r="A381" s="1" t="s">
        <v>15</v>
      </c>
      <c r="B381" s="1" t="s">
        <v>17</v>
      </c>
      <c r="C381" s="1" t="s">
        <v>14</v>
      </c>
      <c r="D381" s="1" t="s">
        <v>15</v>
      </c>
      <c r="E381" s="1" t="s">
        <v>42</v>
      </c>
      <c r="F381" s="1">
        <v>1.1009</v>
      </c>
      <c r="G381" s="1">
        <v>1.2116199999999999</v>
      </c>
      <c r="H381" s="1">
        <v>1.17953</v>
      </c>
      <c r="I381" s="1">
        <v>1.2957399999999999</v>
      </c>
      <c r="J381" s="1">
        <v>1.30389</v>
      </c>
      <c r="K381" s="1">
        <v>1.3638999999999999</v>
      </c>
      <c r="L381" s="1">
        <v>1.2893300000000001</v>
      </c>
      <c r="M381" s="1">
        <v>1.33907</v>
      </c>
      <c r="N381" s="1">
        <v>1.2116199999999999</v>
      </c>
      <c r="O381" s="1">
        <v>1.17953</v>
      </c>
      <c r="P381" s="1">
        <v>1.2957399999999999</v>
      </c>
      <c r="Q381" s="1">
        <v>1.30389</v>
      </c>
      <c r="R381" s="1">
        <v>1.3638999999999999</v>
      </c>
      <c r="S381" s="1">
        <v>1.2893300000000001</v>
      </c>
      <c r="T381" s="1">
        <v>1.33907</v>
      </c>
      <c r="U381" s="1">
        <v>1.2116199999999999</v>
      </c>
      <c r="V381" s="1">
        <v>1.17953</v>
      </c>
      <c r="W381" s="1">
        <v>1.2957399999999999</v>
      </c>
      <c r="X381" s="1">
        <v>1.30389</v>
      </c>
      <c r="Y381" s="1">
        <v>1.3638999999999999</v>
      </c>
      <c r="Z381" s="1">
        <v>1.2893300000000001</v>
      </c>
      <c r="AA381" s="1">
        <v>1.33907</v>
      </c>
      <c r="AB381" s="1">
        <v>1.2116199999999999</v>
      </c>
      <c r="AC381" s="1">
        <v>1.17953</v>
      </c>
      <c r="AD381" s="1">
        <v>1.2957399999999999</v>
      </c>
      <c r="AE381" s="1">
        <v>1.30389</v>
      </c>
      <c r="AF381" s="1">
        <v>1.3638999999999999</v>
      </c>
      <c r="AG381" s="1">
        <v>1.2893300000000001</v>
      </c>
      <c r="AH381" s="1">
        <v>1.33907</v>
      </c>
      <c r="AI381" s="1">
        <v>1.2116199999999999</v>
      </c>
      <c r="AL381" s="4" t="s">
        <v>27</v>
      </c>
      <c r="AM381" s="6" t="str" cm="1">
        <f t="array" ref="AM381">IFERROR((SUMPRODUCT(($B$358:$B$381=AM$356)*($F$355:$AI$355="")*$F$358:$AI$381)+IF(AM$356="P6",SUMPRODUCT(($F$355:$AI$355="P6")*$F$358:$AI$381),0))/(SUMPRODUCT(($B$358:$B$381=AM$356)*($F$355:$AI$355=""))+IF(AM$356="P6",COUNTIF($F$355:$AI$355,"P6")*ROWS($B$358:$B$381),0)),"")</f>
        <v/>
      </c>
      <c r="AN381" s="6" t="str" cm="1">
        <f t="array" ref="AN381">IFERROR((SUMPRODUCT(($B$358:$B$381=AN$356)*($F$355:$AI$355="")*$F$358:$AI$381)+IF(AN$356="P6",SUMPRODUCT(($F$355:$AI$355="P6")*$F$358:$AI$381),0))/(SUMPRODUCT(($B$358:$B$381=AN$356)*($F$355:$AI$355=""))+IF(AN$356="P6",COUNTIF($F$355:$AI$355,"P6")*ROWS($B$358:$B$381),0)),"")</f>
        <v/>
      </c>
      <c r="AO381" s="6" t="str" cm="1">
        <f t="array" ref="AO381">IFERROR((SUMPRODUCT(($B$358:$B$381=AO$356)*($F$355:$AI$355="")*$F$358:$AI$381)+IF(AO$356="P6",SUMPRODUCT(($F$355:$AI$355="P6")*$F$358:$AI$381),0))/(SUMPRODUCT(($B$358:$B$381=AO$356)*($F$355:$AI$355=""))+IF(AO$356="P6",COUNTIF($F$355:$AI$355,"P6")*ROWS($B$358:$B$381),0)),"")</f>
        <v/>
      </c>
      <c r="AP381" s="6" cm="1">
        <f t="array" ref="AP381">IFERROR((SUMPRODUCT(($B$358:$B$381=AP$356)*($F$355:$AI$355="")*$F$358:$AI$381)+IF(AP$356="P6",SUMPRODUCT(($F$355:$AI$355="P6")*$F$358:$AI$381),0))/(SUMPRODUCT(($B$358:$B$381=AP$356)*($F$355:$AI$355=""))+IF(AP$356="P6",COUNTIF($F$355:$AI$355,"P6")*ROWS($B$358:$B$381),0)),"")</f>
        <v>1.0519379999999998</v>
      </c>
      <c r="AQ381" s="6" cm="1">
        <f t="array" ref="AQ381">IFERROR((SUMPRODUCT(($B$358:$B$381=AQ$356)*($F$355:$AI$355="")*$F$358:$AI$381)+IF(AQ$356="P6",SUMPRODUCT(($F$355:$AI$355="P6")*$F$358:$AI$381),0))/(SUMPRODUCT(($B$358:$B$381=AQ$356)*($F$355:$AI$355=""))+IF(AQ$356="P6",COUNTIF($F$355:$AI$355,"P6")*ROWS($B$358:$B$381),0)),"")</f>
        <v>1.1485062857142854</v>
      </c>
      <c r="AR381" s="6" cm="1">
        <f t="array" ref="AR381">IFERROR((SUMPRODUCT(($B$358:$B$381=AR$356)*($F$355:$AI$355="")*$F$358:$AI$381)+IF(AR$356="P6",SUMPRODUCT(($F$355:$AI$355="P6")*$F$358:$AI$381),0))/(SUMPRODUCT(($B$358:$B$381=AR$356)*($F$355:$AI$355=""))+IF(AR$356="P6",COUNTIF($F$355:$AI$355,"P6")*ROWS($B$358:$B$381),0)),"")</f>
        <v>1.1763203750000006</v>
      </c>
    </row>
    <row r="382" spans="1:44" ht="14.25" customHeight="1" x14ac:dyDescent="0.35">
      <c r="AL382" s="4" t="s">
        <v>29</v>
      </c>
      <c r="AM382" s="6" t="str" cm="1">
        <f t="array" ref="AM382">IFERROR((SUMPRODUCT(($B$358:$B$381=AM$356)*($F$355:$AI$355="")*$F$358:$AI$381)+IF(AM$356="P6",SUMPRODUCT(($F$355:$AI$355="P6")*$F$358:$AI$381),0))/(SUMPRODUCT(($B$358:$B$381=AM$356)*($F$355:$AI$355=""))+IF(AM$356="P6",COUNTIF($F$355:$AI$355,"P6")*ROWS($B$358:$B$381),0)),"")</f>
        <v/>
      </c>
      <c r="AN382" s="6" t="str" cm="1">
        <f t="array" ref="AN382">IFERROR((SUMPRODUCT(($B$358:$B$381=AN$356)*($F$355:$AI$355="")*$F$358:$AI$381)+IF(AN$356="P6",SUMPRODUCT(($F$355:$AI$355="P6")*$F$358:$AI$381),0))/(SUMPRODUCT(($B$358:$B$381=AN$356)*($F$355:$AI$355=""))+IF(AN$356="P6",COUNTIF($F$355:$AI$355,"P6")*ROWS($B$358:$B$381),0)),"")</f>
        <v/>
      </c>
      <c r="AO382" s="6" t="str" cm="1">
        <f t="array" ref="AO382">IFERROR((SUMPRODUCT(($B$358:$B$381=AO$356)*($F$355:$AI$355="")*$F$358:$AI$381)+IF(AO$356="P6",SUMPRODUCT(($F$355:$AI$355="P6")*$F$358:$AI$381),0))/(SUMPRODUCT(($B$358:$B$381=AO$356)*($F$355:$AI$355=""))+IF(AO$356="P6",COUNTIF($F$355:$AI$355,"P6")*ROWS($B$358:$B$381),0)),"")</f>
        <v/>
      </c>
      <c r="AP382" s="6" cm="1">
        <f t="array" ref="AP382">IFERROR((SUMPRODUCT(($B$358:$B$381=AP$356)*($F$355:$AI$355="")*$F$358:$AI$381)+IF(AP$356="P6",SUMPRODUCT(($F$355:$AI$355="P6")*$F$358:$AI$381),0))/(SUMPRODUCT(($B$358:$B$381=AP$356)*($F$355:$AI$355=""))+IF(AP$356="P6",COUNTIF($F$355:$AI$355,"P6")*ROWS($B$358:$B$381),0)),"")</f>
        <v>1.0519379999999998</v>
      </c>
      <c r="AQ382" s="6" cm="1">
        <f t="array" ref="AQ382">IFERROR((SUMPRODUCT(($B$358:$B$381=AQ$356)*($F$355:$AI$355="")*$F$358:$AI$381)+IF(AQ$356="P6",SUMPRODUCT(($F$355:$AI$355="P6")*$F$358:$AI$381),0))/(SUMPRODUCT(($B$358:$B$381=AQ$356)*($F$355:$AI$355=""))+IF(AQ$356="P6",COUNTIF($F$355:$AI$355,"P6")*ROWS($B$358:$B$381),0)),"")</f>
        <v>1.1485062857142854</v>
      </c>
      <c r="AR382" s="6" cm="1">
        <f t="array" ref="AR382">IFERROR((SUMPRODUCT(($B$358:$B$381=AR$356)*($F$355:$AI$355="")*$F$358:$AI$381)+IF(AR$356="P6",SUMPRODUCT(($F$355:$AI$355="P6")*$F$358:$AI$381),0))/(SUMPRODUCT(($B$358:$B$381=AR$356)*($F$355:$AI$355=""))+IF(AR$356="P6",COUNTIF($F$355:$AI$355,"P6")*ROWS($B$358:$B$381),0)),"")</f>
        <v>1.1763203750000006</v>
      </c>
    </row>
    <row r="386" spans="1:44" ht="14.25" customHeight="1" x14ac:dyDescent="0.35">
      <c r="A386" s="15" t="s">
        <v>197</v>
      </c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</row>
    <row r="387" spans="1:44" ht="14.25" customHeight="1" x14ac:dyDescent="0.3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</row>
    <row r="388" spans="1:44" ht="14.25" customHeight="1" x14ac:dyDescent="0.35">
      <c r="AL388" s="10"/>
      <c r="AM388" s="10"/>
      <c r="AN388" s="10"/>
      <c r="AO388" s="10"/>
      <c r="AP388" s="10"/>
      <c r="AQ388" s="10"/>
      <c r="AR388" s="10"/>
    </row>
    <row r="389" spans="1:44" ht="14.25" customHeight="1" x14ac:dyDescent="0.35">
      <c r="F389" s="1" t="str">
        <f>IF(OR(F391="S",F391="D",F392=DATE(2024,12,6),F392=DATE(2024,12,25)),"P3","")</f>
        <v>P3</v>
      </c>
      <c r="G389" s="1" t="str">
        <f t="shared" ref="G389:AJ389" si="39">IF(OR(G391="S",G391="D",G392=DATE(2024,12,6),G392=DATE(2024,12,25)),"P3","")</f>
        <v/>
      </c>
      <c r="H389" s="1" t="str">
        <f t="shared" si="39"/>
        <v/>
      </c>
      <c r="I389" s="1" t="str">
        <f t="shared" si="39"/>
        <v/>
      </c>
      <c r="J389" s="1" t="str">
        <f t="shared" si="39"/>
        <v/>
      </c>
      <c r="K389" s="1" t="str">
        <f t="shared" si="39"/>
        <v>P3</v>
      </c>
      <c r="L389" s="1" t="str">
        <f t="shared" si="39"/>
        <v>P3</v>
      </c>
      <c r="M389" s="1" t="str">
        <f t="shared" si="39"/>
        <v>P3</v>
      </c>
      <c r="N389" s="1" t="str">
        <f t="shared" si="39"/>
        <v/>
      </c>
      <c r="O389" s="1" t="str">
        <f t="shared" si="39"/>
        <v/>
      </c>
      <c r="P389" s="1" t="str">
        <f t="shared" si="39"/>
        <v/>
      </c>
      <c r="Q389" s="1" t="str">
        <f t="shared" si="39"/>
        <v/>
      </c>
      <c r="R389" s="1" t="str">
        <f t="shared" si="39"/>
        <v/>
      </c>
      <c r="S389" s="1" t="str">
        <f t="shared" si="39"/>
        <v>P3</v>
      </c>
      <c r="T389" s="1" t="str">
        <f t="shared" si="39"/>
        <v>P3</v>
      </c>
      <c r="U389" s="1" t="str">
        <f t="shared" si="39"/>
        <v/>
      </c>
      <c r="V389" s="1" t="str">
        <f t="shared" si="39"/>
        <v/>
      </c>
      <c r="W389" s="1" t="str">
        <f t="shared" si="39"/>
        <v/>
      </c>
      <c r="X389" s="1" t="str">
        <f t="shared" si="39"/>
        <v/>
      </c>
      <c r="Y389" s="1" t="str">
        <f t="shared" si="39"/>
        <v/>
      </c>
      <c r="Z389" s="1" t="str">
        <f t="shared" si="39"/>
        <v>P3</v>
      </c>
      <c r="AA389" s="1" t="str">
        <f t="shared" si="39"/>
        <v>P3</v>
      </c>
      <c r="AB389" s="1" t="str">
        <f t="shared" si="39"/>
        <v/>
      </c>
      <c r="AC389" s="1" t="str">
        <f t="shared" si="39"/>
        <v/>
      </c>
      <c r="AD389" s="1" t="str">
        <f t="shared" si="39"/>
        <v>P3</v>
      </c>
      <c r="AE389" s="1" t="str">
        <f t="shared" si="39"/>
        <v/>
      </c>
      <c r="AF389" s="1" t="str">
        <f t="shared" si="39"/>
        <v/>
      </c>
      <c r="AG389" s="1" t="str">
        <f t="shared" si="39"/>
        <v>P3</v>
      </c>
      <c r="AH389" s="1" t="str">
        <f t="shared" si="39"/>
        <v>P3</v>
      </c>
      <c r="AI389" s="1" t="str">
        <f t="shared" si="39"/>
        <v/>
      </c>
      <c r="AJ389" s="1" t="str">
        <f t="shared" si="39"/>
        <v/>
      </c>
      <c r="AL389" s="10"/>
      <c r="AM389" s="10"/>
      <c r="AN389" s="10"/>
      <c r="AO389" s="10"/>
      <c r="AP389" s="10"/>
      <c r="AQ389" s="10"/>
      <c r="AR389" s="10"/>
    </row>
    <row r="390" spans="1:44" ht="14.25" customHeight="1" x14ac:dyDescent="0.35">
      <c r="F390" s="1" t="str">
        <f>IF(OR(F391="S",F391="D",F392=DATE(2024,12,6),F392=DATE(2024,12,25)),"P6","")</f>
        <v>P6</v>
      </c>
      <c r="G390" s="1" t="str">
        <f t="shared" ref="G390:AJ390" si="40">IF(OR(G391="S",G391="D",G392=DATE(2024,12,6),G392=DATE(2024,12,25)),"P6","")</f>
        <v/>
      </c>
      <c r="H390" s="1" t="str">
        <f t="shared" si="40"/>
        <v/>
      </c>
      <c r="I390" s="1" t="str">
        <f t="shared" si="40"/>
        <v/>
      </c>
      <c r="J390" s="1" t="str">
        <f t="shared" si="40"/>
        <v/>
      </c>
      <c r="K390" s="1" t="str">
        <f t="shared" si="40"/>
        <v>P6</v>
      </c>
      <c r="L390" s="1" t="str">
        <f t="shared" si="40"/>
        <v>P6</v>
      </c>
      <c r="M390" s="1" t="str">
        <f t="shared" si="40"/>
        <v>P6</v>
      </c>
      <c r="N390" s="1" t="str">
        <f t="shared" si="40"/>
        <v/>
      </c>
      <c r="O390" s="1" t="str">
        <f t="shared" si="40"/>
        <v/>
      </c>
      <c r="P390" s="1" t="str">
        <f t="shared" si="40"/>
        <v/>
      </c>
      <c r="Q390" s="1" t="str">
        <f t="shared" si="40"/>
        <v/>
      </c>
      <c r="R390" s="1" t="str">
        <f t="shared" si="40"/>
        <v/>
      </c>
      <c r="S390" s="1" t="str">
        <f t="shared" si="40"/>
        <v>P6</v>
      </c>
      <c r="T390" s="1" t="str">
        <f t="shared" si="40"/>
        <v>P6</v>
      </c>
      <c r="U390" s="1" t="str">
        <f t="shared" si="40"/>
        <v/>
      </c>
      <c r="V390" s="1" t="str">
        <f t="shared" si="40"/>
        <v/>
      </c>
      <c r="W390" s="1" t="str">
        <f t="shared" si="40"/>
        <v/>
      </c>
      <c r="X390" s="1" t="str">
        <f t="shared" si="40"/>
        <v/>
      </c>
      <c r="Y390" s="1" t="str">
        <f t="shared" si="40"/>
        <v/>
      </c>
      <c r="Z390" s="1" t="str">
        <f t="shared" si="40"/>
        <v>P6</v>
      </c>
      <c r="AA390" s="1" t="str">
        <f t="shared" si="40"/>
        <v>P6</v>
      </c>
      <c r="AB390" s="1" t="str">
        <f t="shared" si="40"/>
        <v/>
      </c>
      <c r="AC390" s="1" t="str">
        <f t="shared" si="40"/>
        <v/>
      </c>
      <c r="AD390" s="1" t="str">
        <f t="shared" si="40"/>
        <v>P6</v>
      </c>
      <c r="AE390" s="1" t="str">
        <f t="shared" si="40"/>
        <v/>
      </c>
      <c r="AF390" s="1" t="str">
        <f t="shared" si="40"/>
        <v/>
      </c>
      <c r="AG390" s="1" t="str">
        <f t="shared" si="40"/>
        <v>P6</v>
      </c>
      <c r="AH390" s="1" t="str">
        <f t="shared" si="40"/>
        <v>P6</v>
      </c>
      <c r="AI390" s="1" t="str">
        <f t="shared" si="40"/>
        <v/>
      </c>
      <c r="AJ390" s="1" t="str">
        <f t="shared" si="40"/>
        <v/>
      </c>
      <c r="AL390" s="14" t="s">
        <v>198</v>
      </c>
      <c r="AM390" s="14"/>
      <c r="AN390" s="14"/>
      <c r="AO390" s="14"/>
      <c r="AP390" s="14"/>
      <c r="AQ390" s="14"/>
      <c r="AR390" s="14"/>
    </row>
    <row r="391" spans="1:44" ht="14.25" customHeight="1" x14ac:dyDescent="0.35">
      <c r="F391" s="1" t="str">
        <f>CHOOSE(WEEKDAY(F392,2),"L","M","X","J","V","S","D")</f>
        <v>D</v>
      </c>
      <c r="G391" s="1" t="str">
        <f t="shared" ref="G391:AJ391" si="41">CHOOSE(WEEKDAY(G392,2),"L","M","X","J","V","S","D")</f>
        <v>L</v>
      </c>
      <c r="H391" s="1" t="str">
        <f t="shared" si="41"/>
        <v>M</v>
      </c>
      <c r="I391" s="1" t="str">
        <f t="shared" si="41"/>
        <v>X</v>
      </c>
      <c r="J391" s="1" t="str">
        <f t="shared" si="41"/>
        <v>J</v>
      </c>
      <c r="K391" s="1" t="str">
        <f t="shared" si="41"/>
        <v>V</v>
      </c>
      <c r="L391" s="1" t="str">
        <f t="shared" si="41"/>
        <v>S</v>
      </c>
      <c r="M391" s="1" t="str">
        <f t="shared" si="41"/>
        <v>D</v>
      </c>
      <c r="N391" s="1" t="str">
        <f t="shared" si="41"/>
        <v>L</v>
      </c>
      <c r="O391" s="1" t="str">
        <f t="shared" si="41"/>
        <v>M</v>
      </c>
      <c r="P391" s="1" t="str">
        <f t="shared" si="41"/>
        <v>X</v>
      </c>
      <c r="Q391" s="1" t="str">
        <f t="shared" si="41"/>
        <v>J</v>
      </c>
      <c r="R391" s="1" t="str">
        <f t="shared" si="41"/>
        <v>V</v>
      </c>
      <c r="S391" s="1" t="str">
        <f t="shared" si="41"/>
        <v>S</v>
      </c>
      <c r="T391" s="1" t="str">
        <f t="shared" si="41"/>
        <v>D</v>
      </c>
      <c r="U391" s="1" t="str">
        <f t="shared" si="41"/>
        <v>L</v>
      </c>
      <c r="V391" s="1" t="str">
        <f t="shared" si="41"/>
        <v>M</v>
      </c>
      <c r="W391" s="1" t="str">
        <f t="shared" si="41"/>
        <v>X</v>
      </c>
      <c r="X391" s="1" t="str">
        <f t="shared" si="41"/>
        <v>J</v>
      </c>
      <c r="Y391" s="1" t="str">
        <f t="shared" si="41"/>
        <v>V</v>
      </c>
      <c r="Z391" s="1" t="str">
        <f t="shared" si="41"/>
        <v>S</v>
      </c>
      <c r="AA391" s="1" t="str">
        <f t="shared" si="41"/>
        <v>D</v>
      </c>
      <c r="AB391" s="1" t="str">
        <f t="shared" si="41"/>
        <v>L</v>
      </c>
      <c r="AC391" s="1" t="str">
        <f t="shared" si="41"/>
        <v>M</v>
      </c>
      <c r="AD391" s="1" t="str">
        <f t="shared" si="41"/>
        <v>X</v>
      </c>
      <c r="AE391" s="1" t="str">
        <f t="shared" si="41"/>
        <v>J</v>
      </c>
      <c r="AF391" s="1" t="str">
        <f t="shared" si="41"/>
        <v>V</v>
      </c>
      <c r="AG391" s="1" t="str">
        <f t="shared" si="41"/>
        <v>S</v>
      </c>
      <c r="AH391" s="1" t="str">
        <f t="shared" si="41"/>
        <v>D</v>
      </c>
      <c r="AI391" s="1" t="str">
        <f t="shared" si="41"/>
        <v>L</v>
      </c>
      <c r="AJ391" s="1" t="str">
        <f t="shared" si="41"/>
        <v>M</v>
      </c>
      <c r="AL391" s="4"/>
      <c r="AM391" s="4" t="s">
        <v>13</v>
      </c>
      <c r="AN391" s="4" t="s">
        <v>14</v>
      </c>
      <c r="AO391" s="4" t="s">
        <v>15</v>
      </c>
      <c r="AP391" s="4" t="s">
        <v>16</v>
      </c>
      <c r="AQ391" s="4" t="s">
        <v>17</v>
      </c>
      <c r="AR391" s="4" t="s">
        <v>7</v>
      </c>
    </row>
    <row r="392" spans="1:44" ht="14.25" customHeight="1" x14ac:dyDescent="0.35">
      <c r="A392" s="3" t="s">
        <v>76</v>
      </c>
      <c r="B392" s="3" t="s">
        <v>77</v>
      </c>
      <c r="C392" s="3" t="s">
        <v>75</v>
      </c>
      <c r="D392" s="3" t="s">
        <v>74</v>
      </c>
      <c r="F392" s="8">
        <v>45627</v>
      </c>
      <c r="G392" s="8">
        <v>45628</v>
      </c>
      <c r="H392" s="8">
        <v>45629</v>
      </c>
      <c r="I392" s="8">
        <v>45630</v>
      </c>
      <c r="J392" s="8">
        <v>45631</v>
      </c>
      <c r="K392" s="8">
        <v>45632</v>
      </c>
      <c r="L392" s="8">
        <v>45633</v>
      </c>
      <c r="M392" s="8">
        <v>45634</v>
      </c>
      <c r="N392" s="8">
        <v>45635</v>
      </c>
      <c r="O392" s="8">
        <v>45636</v>
      </c>
      <c r="P392" s="8">
        <v>45637</v>
      </c>
      <c r="Q392" s="8">
        <v>45638</v>
      </c>
      <c r="R392" s="8">
        <v>45639</v>
      </c>
      <c r="S392" s="8">
        <v>45640</v>
      </c>
      <c r="T392" s="8">
        <v>45641</v>
      </c>
      <c r="U392" s="8">
        <v>45642</v>
      </c>
      <c r="V392" s="8">
        <v>45643</v>
      </c>
      <c r="W392" s="8">
        <v>45644</v>
      </c>
      <c r="X392" s="8">
        <v>45645</v>
      </c>
      <c r="Y392" s="8">
        <v>45646</v>
      </c>
      <c r="Z392" s="8">
        <v>45647</v>
      </c>
      <c r="AA392" s="8">
        <v>45648</v>
      </c>
      <c r="AB392" s="8">
        <v>45649</v>
      </c>
      <c r="AC392" s="8">
        <v>45650</v>
      </c>
      <c r="AD392" s="8">
        <v>45651</v>
      </c>
      <c r="AE392" s="8">
        <v>45652</v>
      </c>
      <c r="AF392" s="8">
        <v>45653</v>
      </c>
      <c r="AG392" s="8">
        <v>45654</v>
      </c>
      <c r="AH392" s="8">
        <v>45655</v>
      </c>
      <c r="AI392" s="8">
        <v>45656</v>
      </c>
      <c r="AJ392" s="8">
        <v>45657</v>
      </c>
      <c r="AL392" s="4" t="s">
        <v>19</v>
      </c>
      <c r="AM392" s="6" cm="1">
        <f t="array" ref="AM392">IFERROR((SUMPRODUCT(($C$393:$C$416=AM$391)*($F$389:$AJ$389="")*$F$393:$AJ$416)+IF(AM$391="P3",SUMPRODUCT(($F$389:$AJ$389="P3")*$F$393:$AJ$416),0))/(SUMPRODUCT(($C$393:$C$416=AM$391)*($F$389:$AJ$389=""))+IF(AM$391="P3",COUNTIF($F$389:$AJ$389,"P3")*ROWS($C$393:$C$416),0)),"")</f>
        <v>1.1537141249999996</v>
      </c>
      <c r="AN392" s="6" cm="1">
        <f t="array" ref="AN392">IFERROR((SUMPRODUCT(($C$393:$C$416=AN$391)*($F$389:$AJ$389="")*$F$393:$AJ$416)+IF(AN$391="P3",SUMPRODUCT(($F$389:$AJ$389="P3")*$F$393:$AJ$416),0))/(SUMPRODUCT(($C$393:$C$416=AN$391)*($F$389:$AJ$389=""))+IF(AN$391="P3",COUNTIF($F$389:$AJ$389,"P3")*ROWS($C$393:$C$416),0)),"")</f>
        <v>1.1975054374999998</v>
      </c>
      <c r="AO392" s="6" cm="1">
        <f t="array" ref="AO392">IFERROR((SUMPRODUCT(($C$393:$C$416=AO$391)*($F$389:$AJ$389="")*$F$393:$AJ$416)+IF(AO$391="P3",SUMPRODUCT(($F$389:$AJ$389="P3")*$F$393:$AJ$416),0))/(SUMPRODUCT(($C$393:$C$416=AO$391)*($F$389:$AJ$389=""))+IF(AO$391="P3",COUNTIF($F$389:$AJ$389,"P3")*ROWS($C$393:$C$416),0)),"")</f>
        <v>1.2941850471698122</v>
      </c>
      <c r="AP392" s="6" t="str" cm="1">
        <f t="array" ref="AP392">IFERROR((SUMPRODUCT(($C$393:$C$416=AP$391)*($F$389:$AJ$389="")*$F$393:$AJ$416)+IF(AP$391="P3",SUMPRODUCT(($F$389:$AJ$389="P3")*$F$393:$AJ$416),0))/(SUMPRODUCT(($C$393:$C$416=AP$391)*($F$389:$AJ$389=""))+IF(AP$391="P3",COUNTIF($F$389:$AJ$389,"P3")*ROWS($C$393:$C$416),0)),"")</f>
        <v/>
      </c>
      <c r="AQ392" s="6" t="str" cm="1">
        <f t="array" ref="AQ392">IFERROR((SUMPRODUCT(($C$393:$C$416=AQ$391)*($F$389:$AJ$389="")*$F$393:$AJ$416)+IF(AQ$391="P3",SUMPRODUCT(($F$389:$AJ$389="P3")*$F$393:$AJ$416),0))/(SUMPRODUCT(($C$393:$C$416=AQ$391)*($F$389:$AJ$389=""))+IF(AQ$391="P3",COUNTIF($F$389:$AJ$389,"P3")*ROWS($C$393:$C$416),0)),"")</f>
        <v/>
      </c>
      <c r="AR392" s="6" t="str" cm="1">
        <f t="array" ref="AR392">IFERROR((SUMPRODUCT(($C$393:$C$416=AR$391)*($F$389:$AJ$389="")*$F$393:$AJ$416)+IF(AR$391="P3",SUMPRODUCT(($F$389:$AJ$389="P3")*$F$393:$AJ$416),0))/(SUMPRODUCT(($C$393:$C$416=AR$391)*($F$389:$AJ$389=""))+IF(AR$391="P3",COUNTIF($F$389:$AJ$389,"P3")*ROWS($C$393:$C$416),0)),"")</f>
        <v/>
      </c>
    </row>
    <row r="393" spans="1:44" ht="14.25" customHeight="1" x14ac:dyDescent="0.35">
      <c r="A393" s="1" t="s">
        <v>7</v>
      </c>
      <c r="B393" s="1" t="s">
        <v>7</v>
      </c>
      <c r="C393" s="1" t="s">
        <v>15</v>
      </c>
      <c r="D393" s="1" t="s">
        <v>7</v>
      </c>
      <c r="E393" s="1" t="s">
        <v>8</v>
      </c>
      <c r="F393" s="1">
        <v>1.3675600000000001</v>
      </c>
      <c r="G393" s="1">
        <v>1.31938</v>
      </c>
      <c r="H393" s="1">
        <v>1.3113600000000001</v>
      </c>
      <c r="I393" s="1">
        <v>1.34874</v>
      </c>
      <c r="J393" s="1">
        <v>1.3479000000000001</v>
      </c>
      <c r="K393" s="1">
        <v>1.26586</v>
      </c>
      <c r="L393" s="1">
        <v>1.3223499999999999</v>
      </c>
      <c r="M393" s="1">
        <v>1.3075000000000001</v>
      </c>
      <c r="N393" s="1">
        <v>1.31938</v>
      </c>
      <c r="O393" s="1">
        <v>1.3113600000000001</v>
      </c>
      <c r="P393" s="1">
        <v>1.34874</v>
      </c>
      <c r="Q393" s="1">
        <v>1.3479000000000001</v>
      </c>
      <c r="R393" s="1">
        <v>1.3046599999999999</v>
      </c>
      <c r="S393" s="1">
        <v>1.3223499999999999</v>
      </c>
      <c r="T393" s="1">
        <v>1.3675600000000001</v>
      </c>
      <c r="U393" s="1">
        <v>1.31938</v>
      </c>
      <c r="V393" s="1">
        <v>1.3113600000000001</v>
      </c>
      <c r="W393" s="1">
        <v>1.34874</v>
      </c>
      <c r="X393" s="1">
        <v>1.3479000000000001</v>
      </c>
      <c r="Y393" s="1">
        <v>1.3046599999999999</v>
      </c>
      <c r="Z393" s="1">
        <v>1.3223499999999999</v>
      </c>
      <c r="AA393" s="1">
        <v>1.3675600000000001</v>
      </c>
      <c r="AB393" s="1">
        <v>1.31938</v>
      </c>
      <c r="AC393" s="1">
        <v>1.3113600000000001</v>
      </c>
      <c r="AD393" s="1">
        <v>1.36286</v>
      </c>
      <c r="AE393" s="1">
        <v>1.3479000000000001</v>
      </c>
      <c r="AF393" s="1">
        <v>1.3046599999999999</v>
      </c>
      <c r="AG393" s="1">
        <v>1.3223499999999999</v>
      </c>
      <c r="AH393" s="1">
        <v>1.3675600000000001</v>
      </c>
      <c r="AI393" s="1">
        <v>1.31938</v>
      </c>
      <c r="AJ393" s="1">
        <v>1.3113600000000001</v>
      </c>
      <c r="AL393" s="4" t="s">
        <v>21</v>
      </c>
      <c r="AM393" s="6" cm="1">
        <f t="array" ref="AM393">IFERROR((SUMPRODUCT(($D$393:$D$416=AM$391)*($F$390:$AJ$390="")*$F$393:$AJ$416)+IF(AM$391="P6",SUMPRODUCT(($F$390:$AJ$390="P6")*$F$393:$AJ$416),0))/(SUMPRODUCT(($D$393:$D$416=AM$391)*($F$390:$AJ$390=""))+IF(AM$391="P6",COUNTIF($F$390:$AJ$390,"P6")*ROWS($D$393:$D$416),0)),"")</f>
        <v>1.1528336111111102</v>
      </c>
      <c r="AN393" s="6" cm="1">
        <f t="array" ref="AN393">IFERROR((SUMPRODUCT(($D$393:$D$416=AN$391)*($F$390:$AJ$390="")*$F$393:$AJ$416)+IF(AN$391="P6",SUMPRODUCT(($F$390:$AJ$390="P6")*$F$393:$AJ$416),0))/(SUMPRODUCT(($D$393:$D$416=AN$391)*($F$390:$AJ$390=""))+IF(AN$391="P6",COUNTIF($F$390:$AJ$390,"P6")*ROWS($D$393:$D$416),0)),"")</f>
        <v>1.2048934285714283</v>
      </c>
      <c r="AO393" s="6" t="str" cm="1">
        <f t="array" ref="AO393">IFERROR((SUMPRODUCT(($D$393:$D$416=AO$391)*($F$390:$AJ$390="")*$F$393:$AJ$416)+IF(AO$391="P6",SUMPRODUCT(($F$390:$AJ$390="P6")*$F$393:$AJ$416),0))/(SUMPRODUCT(($D$393:$D$416=AO$391)*($F$390:$AJ$390=""))+IF(AO$391="P6",COUNTIF($F$390:$AJ$390,"P6")*ROWS($D$393:$D$416),0)),"")</f>
        <v/>
      </c>
      <c r="AP393" s="6" t="str" cm="1">
        <f t="array" ref="AP393">IFERROR((SUMPRODUCT(($D$393:$D$416=AP$391)*($F$390:$AJ$390="")*$F$393:$AJ$416)+IF(AP$391="P6",SUMPRODUCT(($F$390:$AJ$390="P6")*$F$393:$AJ$416),0))/(SUMPRODUCT(($D$393:$D$416=AP$391)*($F$390:$AJ$390=""))+IF(AP$391="P6",COUNTIF($F$390:$AJ$390,"P6")*ROWS($D$393:$D$416),0)),"")</f>
        <v/>
      </c>
      <c r="AQ393" s="6" t="str" cm="1">
        <f t="array" ref="AQ393">IFERROR((SUMPRODUCT(($D$393:$D$416=AQ$391)*($F$390:$AJ$390="")*$F$393:$AJ$416)+IF(AQ$391="P6",SUMPRODUCT(($F$390:$AJ$390="P6")*$F$393:$AJ$416),0))/(SUMPRODUCT(($D$393:$D$416=AQ$391)*($F$390:$AJ$390=""))+IF(AQ$391="P6",COUNTIF($F$390:$AJ$390,"P6")*ROWS($D$393:$D$416),0)),"")</f>
        <v/>
      </c>
      <c r="AR393" s="6" cm="1">
        <f t="array" ref="AR393">IFERROR((SUMPRODUCT(($D$393:$D$416=AR$391)*($F$390:$AJ$390="")*$F$393:$AJ$416)+IF(AR$391="P6",SUMPRODUCT(($F$390:$AJ$390="P6")*$F$393:$AJ$416),0))/(SUMPRODUCT(($D$393:$D$416=AR$391)*($F$390:$AJ$390=""))+IF(AR$391="P6",COUNTIF($F$390:$AJ$390,"P6")*ROWS($D$393:$D$416),0)),"")</f>
        <v>1.2941850471698122</v>
      </c>
    </row>
    <row r="394" spans="1:44" ht="14.25" customHeight="1" x14ac:dyDescent="0.35">
      <c r="A394" s="1" t="s">
        <v>7</v>
      </c>
      <c r="B394" s="1" t="s">
        <v>7</v>
      </c>
      <c r="C394" s="1" t="s">
        <v>15</v>
      </c>
      <c r="D394" s="1" t="s">
        <v>7</v>
      </c>
      <c r="E394" s="1" t="s">
        <v>9</v>
      </c>
      <c r="F394" s="1">
        <v>1.41892</v>
      </c>
      <c r="G394" s="1">
        <v>1.3851899999999999</v>
      </c>
      <c r="H394" s="1">
        <v>1.36137</v>
      </c>
      <c r="I394" s="1">
        <v>1.4005399999999999</v>
      </c>
      <c r="J394" s="1">
        <v>1.4173</v>
      </c>
      <c r="K394" s="1">
        <v>1.32056</v>
      </c>
      <c r="L394" s="1">
        <v>1.3924700000000001</v>
      </c>
      <c r="M394" s="1">
        <v>1.3622300000000001</v>
      </c>
      <c r="N394" s="1">
        <v>1.3851899999999999</v>
      </c>
      <c r="O394" s="1">
        <v>1.36137</v>
      </c>
      <c r="P394" s="1">
        <v>1.4005399999999999</v>
      </c>
      <c r="Q394" s="1">
        <v>1.4173</v>
      </c>
      <c r="R394" s="1">
        <v>1.35744</v>
      </c>
      <c r="S394" s="1">
        <v>1.3924700000000001</v>
      </c>
      <c r="T394" s="1">
        <v>1.41892</v>
      </c>
      <c r="U394" s="1">
        <v>1.3851899999999999</v>
      </c>
      <c r="V394" s="1">
        <v>1.36137</v>
      </c>
      <c r="W394" s="1">
        <v>1.4005399999999999</v>
      </c>
      <c r="X394" s="1">
        <v>1.4173</v>
      </c>
      <c r="Y394" s="1">
        <v>1.35744</v>
      </c>
      <c r="Z394" s="1">
        <v>1.3924700000000001</v>
      </c>
      <c r="AA394" s="1">
        <v>1.41892</v>
      </c>
      <c r="AB394" s="1">
        <v>1.3851899999999999</v>
      </c>
      <c r="AC394" s="1">
        <v>1.36137</v>
      </c>
      <c r="AD394" s="1">
        <v>1.4172400000000001</v>
      </c>
      <c r="AE394" s="1">
        <v>1.4173</v>
      </c>
      <c r="AF394" s="1">
        <v>1.35744</v>
      </c>
      <c r="AG394" s="1">
        <v>1.3924700000000001</v>
      </c>
      <c r="AH394" s="1">
        <v>1.41892</v>
      </c>
      <c r="AI394" s="1">
        <v>1.3851899999999999</v>
      </c>
      <c r="AJ394" s="1">
        <v>1.36137</v>
      </c>
      <c r="AL394" s="4" t="s">
        <v>23</v>
      </c>
      <c r="AM394" s="6" cm="1">
        <f t="array" ref="AM394">IFERROR((SUMPRODUCT(($D$393:$D$416=AM$391)*($F$390:$AJ$390="")*$F$393:$AJ$416)+IF(AM$391="P6",SUMPRODUCT(($F$390:$AJ$390="P6")*$F$393:$AJ$416),0))/(SUMPRODUCT(($D$393:$D$416=AM$391)*($F$390:$AJ$390=""))+IF(AM$391="P6",COUNTIF($F$390:$AJ$390,"P6")*ROWS($D$393:$D$416),0)),"")</f>
        <v>1.1528336111111102</v>
      </c>
      <c r="AN394" s="6" cm="1">
        <f t="array" ref="AN394">IFERROR((SUMPRODUCT(($D$393:$D$416=AN$391)*($F$390:$AJ$390="")*$F$393:$AJ$416)+IF(AN$391="P6",SUMPRODUCT(($F$390:$AJ$390="P6")*$F$393:$AJ$416),0))/(SUMPRODUCT(($D$393:$D$416=AN$391)*($F$390:$AJ$390=""))+IF(AN$391="P6",COUNTIF($F$390:$AJ$390,"P6")*ROWS($D$393:$D$416),0)),"")</f>
        <v>1.2048934285714283</v>
      </c>
      <c r="AO394" s="5" t="str" cm="1">
        <f t="array" ref="AO394">IFERROR((SUMPRODUCT(($D$393:$D$416=AO$391)*($F$390:$AJ$390="")*$F$393:$AJ$416)+IF(AO$391="P6",SUMPRODUCT(($F$390:$AJ$390="P6")*$F$393:$AJ$416),0))/(SUMPRODUCT(($D$393:$D$416=AO$391)*($F$390:$AJ$390=""))+IF(AO$391="P6",COUNTIF($F$390:$AJ$390,"P6")*ROWS($D$393:$D$416),0)),"")</f>
        <v/>
      </c>
      <c r="AP394" s="5" t="str" cm="1">
        <f t="array" ref="AP394">IFERROR((SUMPRODUCT(($D$393:$D$416=AP$391)*($F$390:$AJ$390="")*$F$393:$AJ$416)+IF(AP$391="P6",SUMPRODUCT(($F$390:$AJ$390="P6")*$F$393:$AJ$416),0))/(SUMPRODUCT(($D$393:$D$416=AP$391)*($F$390:$AJ$390=""))+IF(AP$391="P6",COUNTIF($F$390:$AJ$390,"P6")*ROWS($D$393:$D$416),0)),"")</f>
        <v/>
      </c>
      <c r="AQ394" s="5" t="str" cm="1">
        <f t="array" ref="AQ394">IFERROR((SUMPRODUCT(($D$393:$D$416=AQ$391)*($F$390:$AJ$390="")*$F$393:$AJ$416)+IF(AQ$391="P6",SUMPRODUCT(($F$390:$AJ$390="P6")*$F$393:$AJ$416),0))/(SUMPRODUCT(($D$393:$D$416=AQ$391)*($F$390:$AJ$390=""))+IF(AQ$391="P6",COUNTIF($F$390:$AJ$390,"P6")*ROWS($D$393:$D$416),0)),"")</f>
        <v/>
      </c>
      <c r="AR394" s="6" cm="1">
        <f t="array" ref="AR394">IFERROR((SUMPRODUCT(($D$393:$D$416=AR$391)*($F$390:$AJ$390="")*$F$393:$AJ$416)+IF(AR$391="P6",SUMPRODUCT(($F$390:$AJ$390="P6")*$F$393:$AJ$416),0))/(SUMPRODUCT(($D$393:$D$416=AR$391)*($F$390:$AJ$390=""))+IF(AR$391="P6",COUNTIF($F$390:$AJ$390,"P6")*ROWS($D$393:$D$416),0)),"")</f>
        <v>1.2941850471698122</v>
      </c>
    </row>
    <row r="395" spans="1:44" ht="14.25" customHeight="1" x14ac:dyDescent="0.35">
      <c r="A395" s="1" t="s">
        <v>7</v>
      </c>
      <c r="B395" s="1" t="s">
        <v>7</v>
      </c>
      <c r="C395" s="1" t="s">
        <v>15</v>
      </c>
      <c r="D395" s="1" t="s">
        <v>7</v>
      </c>
      <c r="E395" s="1" t="s">
        <v>10</v>
      </c>
      <c r="F395" s="1">
        <v>1.46997</v>
      </c>
      <c r="G395" s="1">
        <v>1.40892</v>
      </c>
      <c r="H395" s="1">
        <v>1.40686</v>
      </c>
      <c r="I395" s="1">
        <v>1.44459</v>
      </c>
      <c r="J395" s="1">
        <v>1.4676800000000001</v>
      </c>
      <c r="K395" s="1">
        <v>1.3671599999999999</v>
      </c>
      <c r="L395" s="1">
        <v>1.44065</v>
      </c>
      <c r="M395" s="1">
        <v>1.3970800000000001</v>
      </c>
      <c r="N395" s="1">
        <v>1.40892</v>
      </c>
      <c r="O395" s="1">
        <v>1.40686</v>
      </c>
      <c r="P395" s="1">
        <v>1.44459</v>
      </c>
      <c r="Q395" s="1">
        <v>1.4676800000000001</v>
      </c>
      <c r="R395" s="1">
        <v>1.40968</v>
      </c>
      <c r="S395" s="1">
        <v>1.44065</v>
      </c>
      <c r="T395" s="1">
        <v>1.46997</v>
      </c>
      <c r="U395" s="1">
        <v>1.40892</v>
      </c>
      <c r="V395" s="1">
        <v>1.40686</v>
      </c>
      <c r="W395" s="1">
        <v>1.44459</v>
      </c>
      <c r="X395" s="1">
        <v>1.4676800000000001</v>
      </c>
      <c r="Y395" s="1">
        <v>1.40968</v>
      </c>
      <c r="Z395" s="1">
        <v>1.44065</v>
      </c>
      <c r="AA395" s="1">
        <v>1.46997</v>
      </c>
      <c r="AB395" s="1">
        <v>1.40892</v>
      </c>
      <c r="AC395" s="1">
        <v>1.40686</v>
      </c>
      <c r="AD395" s="1">
        <v>1.47576</v>
      </c>
      <c r="AE395" s="1">
        <v>1.4676800000000001</v>
      </c>
      <c r="AF395" s="1">
        <v>1.40968</v>
      </c>
      <c r="AG395" s="1">
        <v>1.44065</v>
      </c>
      <c r="AH395" s="1">
        <v>1.46997</v>
      </c>
      <c r="AI395" s="1">
        <v>1.40892</v>
      </c>
      <c r="AJ395" s="1">
        <v>1.40686</v>
      </c>
      <c r="AL395" s="4" t="s">
        <v>25</v>
      </c>
      <c r="AM395" s="6" cm="1">
        <f t="array" ref="AM395">IFERROR((SUMPRODUCT(($D$393:$D$416=AM$391)*($F$390:$AJ$390="")*$F$393:$AJ$416)+IF(AM$391="P6",SUMPRODUCT(($F$390:$AJ$390="P6")*$F$393:$AJ$416),0))/(SUMPRODUCT(($D$393:$D$416=AM$391)*($F$390:$AJ$390=""))+IF(AM$391="P6",COUNTIF($F$390:$AJ$390,"P6")*ROWS($D$393:$D$416),0)),"")</f>
        <v>1.1528336111111102</v>
      </c>
      <c r="AN395" s="6" cm="1">
        <f t="array" ref="AN395">IFERROR((SUMPRODUCT(($D$393:$D$416=AN$391)*($F$390:$AJ$390="")*$F$393:$AJ$416)+IF(AN$391="P6",SUMPRODUCT(($F$390:$AJ$390="P6")*$F$393:$AJ$416),0))/(SUMPRODUCT(($D$393:$D$416=AN$391)*($F$390:$AJ$390=""))+IF(AN$391="P6",COUNTIF($F$390:$AJ$390,"P6")*ROWS($D$393:$D$416),0)),"")</f>
        <v>1.2048934285714283</v>
      </c>
      <c r="AO395" s="5" t="str" cm="1">
        <f t="array" ref="AO395">IFERROR((SUMPRODUCT(($D$393:$D$416=AO$391)*($F$390:$AJ$390="")*$F$393:$AJ$416)+IF(AO$391="P6",SUMPRODUCT(($F$390:$AJ$390="P6")*$F$393:$AJ$416),0))/(SUMPRODUCT(($D$393:$D$416=AO$391)*($F$390:$AJ$390=""))+IF(AO$391="P6",COUNTIF($F$390:$AJ$390,"P6")*ROWS($D$393:$D$416),0)),"")</f>
        <v/>
      </c>
      <c r="AP395" s="5" t="str" cm="1">
        <f t="array" ref="AP395">IFERROR((SUMPRODUCT(($D$393:$D$416=AP$391)*($F$390:$AJ$390="")*$F$393:$AJ$416)+IF(AP$391="P6",SUMPRODUCT(($F$390:$AJ$390="P6")*$F$393:$AJ$416),0))/(SUMPRODUCT(($D$393:$D$416=AP$391)*($F$390:$AJ$390=""))+IF(AP$391="P6",COUNTIF($F$390:$AJ$390,"P6")*ROWS($D$393:$D$416),0)),"")</f>
        <v/>
      </c>
      <c r="AQ395" s="5" t="str" cm="1">
        <f t="array" ref="AQ395">IFERROR((SUMPRODUCT(($D$393:$D$416=AQ$391)*($F$390:$AJ$390="")*$F$393:$AJ$416)+IF(AQ$391="P6",SUMPRODUCT(($F$390:$AJ$390="P6")*$F$393:$AJ$416),0))/(SUMPRODUCT(($D$393:$D$416=AQ$391)*($F$390:$AJ$390=""))+IF(AQ$391="P6",COUNTIF($F$390:$AJ$390,"P6")*ROWS($D$393:$D$416),0)),"")</f>
        <v/>
      </c>
      <c r="AR395" s="6" cm="1">
        <f t="array" ref="AR395">IFERROR((SUMPRODUCT(($D$393:$D$416=AR$391)*($F$390:$AJ$390="")*$F$393:$AJ$416)+IF(AR$391="P6",SUMPRODUCT(($F$390:$AJ$390="P6")*$F$393:$AJ$416),0))/(SUMPRODUCT(($D$393:$D$416=AR$391)*($F$390:$AJ$390=""))+IF(AR$391="P6",COUNTIF($F$390:$AJ$390,"P6")*ROWS($D$393:$D$416),0)),"")</f>
        <v>1.2941850471698122</v>
      </c>
    </row>
    <row r="396" spans="1:44" ht="14.25" customHeight="1" x14ac:dyDescent="0.35">
      <c r="A396" s="1" t="s">
        <v>7</v>
      </c>
      <c r="B396" s="1" t="s">
        <v>7</v>
      </c>
      <c r="C396" s="1" t="s">
        <v>15</v>
      </c>
      <c r="D396" s="1" t="s">
        <v>7</v>
      </c>
      <c r="E396" s="1" t="s">
        <v>11</v>
      </c>
      <c r="F396" s="1">
        <v>1.4986699999999999</v>
      </c>
      <c r="G396" s="1">
        <v>1.4233899999999999</v>
      </c>
      <c r="H396" s="1">
        <v>1.4196500000000001</v>
      </c>
      <c r="I396" s="1">
        <v>1.4608000000000001</v>
      </c>
      <c r="J396" s="1">
        <v>1.4902200000000001</v>
      </c>
      <c r="K396" s="1">
        <v>1.3839999999999999</v>
      </c>
      <c r="L396" s="1">
        <v>1.4746699999999999</v>
      </c>
      <c r="M396" s="1">
        <v>1.4205399999999999</v>
      </c>
      <c r="N396" s="1">
        <v>1.4233899999999999</v>
      </c>
      <c r="O396" s="1">
        <v>1.4196500000000001</v>
      </c>
      <c r="P396" s="1">
        <v>1.4608000000000001</v>
      </c>
      <c r="Q396" s="1">
        <v>1.4902200000000001</v>
      </c>
      <c r="R396" s="1">
        <v>1.4159999999999999</v>
      </c>
      <c r="S396" s="1">
        <v>1.4746699999999999</v>
      </c>
      <c r="T396" s="1">
        <v>1.4986699999999999</v>
      </c>
      <c r="U396" s="1">
        <v>1.4233899999999999</v>
      </c>
      <c r="V396" s="1">
        <v>1.4196500000000001</v>
      </c>
      <c r="W396" s="1">
        <v>1.4608000000000001</v>
      </c>
      <c r="X396" s="1">
        <v>1.4902200000000001</v>
      </c>
      <c r="Y396" s="1">
        <v>1.4159999999999999</v>
      </c>
      <c r="Z396" s="1">
        <v>1.4746699999999999</v>
      </c>
      <c r="AA396" s="1">
        <v>1.4986699999999999</v>
      </c>
      <c r="AB396" s="1">
        <v>1.4233899999999999</v>
      </c>
      <c r="AC396" s="1">
        <v>1.4196500000000001</v>
      </c>
      <c r="AD396" s="1">
        <v>1.53586</v>
      </c>
      <c r="AE396" s="1">
        <v>1.4902200000000001</v>
      </c>
      <c r="AF396" s="1">
        <v>1.4159999999999999</v>
      </c>
      <c r="AG396" s="1">
        <v>1.4746699999999999</v>
      </c>
      <c r="AH396" s="1">
        <v>1.4986699999999999</v>
      </c>
      <c r="AI396" s="1">
        <v>1.4233899999999999</v>
      </c>
      <c r="AJ396" s="1">
        <v>1.4196500000000001</v>
      </c>
      <c r="AL396" s="4" t="s">
        <v>27</v>
      </c>
      <c r="AM396" s="6" cm="1">
        <f t="array" ref="AM396">IFERROR((SUMPRODUCT(($D$393:$D$416=AM$391)*($F$390:$AJ$390="")*$F$393:$AJ$416)+IF(AM$391="P6",SUMPRODUCT(($F$390:$AJ$390="P6")*$F$393:$AJ$416),0))/(SUMPRODUCT(($D$393:$D$416=AM$391)*($F$390:$AJ$390=""))+IF(AM$391="P6",COUNTIF($F$390:$AJ$390,"P6")*ROWS($D$393:$D$416),0)),"")</f>
        <v>1.1528336111111102</v>
      </c>
      <c r="AN396" s="6" cm="1">
        <f t="array" ref="AN396">IFERROR((SUMPRODUCT(($D$393:$D$416=AN$391)*($F$390:$AJ$390="")*$F$393:$AJ$416)+IF(AN$391="P6",SUMPRODUCT(($F$390:$AJ$390="P6")*$F$393:$AJ$416),0))/(SUMPRODUCT(($D$393:$D$416=AN$391)*($F$390:$AJ$390=""))+IF(AN$391="P6",COUNTIF($F$390:$AJ$390,"P6")*ROWS($D$393:$D$416),0)),"")</f>
        <v>1.2048934285714283</v>
      </c>
      <c r="AO396" s="5" t="str" cm="1">
        <f t="array" ref="AO396">IFERROR((SUMPRODUCT(($D$393:$D$416=AO$391)*($F$390:$AJ$390="")*$F$393:$AJ$416)+IF(AO$391="P6",SUMPRODUCT(($F$390:$AJ$390="P6")*$F$393:$AJ$416),0))/(SUMPRODUCT(($D$393:$D$416=AO$391)*($F$390:$AJ$390=""))+IF(AO$391="P6",COUNTIF($F$390:$AJ$390,"P6")*ROWS($D$393:$D$416),0)),"")</f>
        <v/>
      </c>
      <c r="AP396" s="5" t="str" cm="1">
        <f t="array" ref="AP396">IFERROR((SUMPRODUCT(($D$393:$D$416=AP$391)*($F$390:$AJ$390="")*$F$393:$AJ$416)+IF(AP$391="P6",SUMPRODUCT(($F$390:$AJ$390="P6")*$F$393:$AJ$416),0))/(SUMPRODUCT(($D$393:$D$416=AP$391)*($F$390:$AJ$390=""))+IF(AP$391="P6",COUNTIF($F$390:$AJ$390,"P6")*ROWS($D$393:$D$416),0)),"")</f>
        <v/>
      </c>
      <c r="AQ396" s="5" t="str" cm="1">
        <f t="array" ref="AQ396">IFERROR((SUMPRODUCT(($D$393:$D$416=AQ$391)*($F$390:$AJ$390="")*$F$393:$AJ$416)+IF(AQ$391="P6",SUMPRODUCT(($F$390:$AJ$390="P6")*$F$393:$AJ$416),0))/(SUMPRODUCT(($D$393:$D$416=AQ$391)*($F$390:$AJ$390=""))+IF(AQ$391="P6",COUNTIF($F$390:$AJ$390,"P6")*ROWS($D$393:$D$416),0)),"")</f>
        <v/>
      </c>
      <c r="AR396" s="6" cm="1">
        <f t="array" ref="AR396">IFERROR((SUMPRODUCT(($D$393:$D$416=AR$391)*($F$390:$AJ$390="")*$F$393:$AJ$416)+IF(AR$391="P6",SUMPRODUCT(($F$390:$AJ$390="P6")*$F$393:$AJ$416),0))/(SUMPRODUCT(($D$393:$D$416=AR$391)*($F$390:$AJ$390=""))+IF(AR$391="P6",COUNTIF($F$390:$AJ$390,"P6")*ROWS($D$393:$D$416),0)),"")</f>
        <v>1.2941850471698122</v>
      </c>
    </row>
    <row r="397" spans="1:44" ht="14.25" customHeight="1" x14ac:dyDescent="0.35">
      <c r="A397" s="1" t="s">
        <v>7</v>
      </c>
      <c r="B397" s="1" t="s">
        <v>7</v>
      </c>
      <c r="C397" s="1" t="s">
        <v>15</v>
      </c>
      <c r="D397" s="1" t="s">
        <v>7</v>
      </c>
      <c r="E397" s="1" t="s">
        <v>12</v>
      </c>
      <c r="F397" s="1">
        <v>1.5125200000000001</v>
      </c>
      <c r="G397" s="1">
        <v>1.41422</v>
      </c>
      <c r="H397" s="1">
        <v>1.4252</v>
      </c>
      <c r="I397" s="1">
        <v>1.47245</v>
      </c>
      <c r="J397" s="1">
        <v>1.4834099999999999</v>
      </c>
      <c r="K397" s="1">
        <v>1.4030100000000001</v>
      </c>
      <c r="L397" s="1">
        <v>1.4780599999999999</v>
      </c>
      <c r="M397" s="1">
        <v>1.4278900000000001</v>
      </c>
      <c r="N397" s="1">
        <v>1.41422</v>
      </c>
      <c r="O397" s="1">
        <v>1.4252</v>
      </c>
      <c r="P397" s="1">
        <v>1.47245</v>
      </c>
      <c r="Q397" s="1">
        <v>1.4834099999999999</v>
      </c>
      <c r="R397" s="1">
        <v>1.42089</v>
      </c>
      <c r="S397" s="1">
        <v>1.4780599999999999</v>
      </c>
      <c r="T397" s="1">
        <v>1.5125200000000001</v>
      </c>
      <c r="U397" s="1">
        <v>1.41422</v>
      </c>
      <c r="V397" s="1">
        <v>1.4252</v>
      </c>
      <c r="W397" s="1">
        <v>1.47245</v>
      </c>
      <c r="X397" s="1">
        <v>1.4834099999999999</v>
      </c>
      <c r="Y397" s="1">
        <v>1.42089</v>
      </c>
      <c r="Z397" s="1">
        <v>1.4780599999999999</v>
      </c>
      <c r="AA397" s="1">
        <v>1.5125200000000001</v>
      </c>
      <c r="AB397" s="1">
        <v>1.41422</v>
      </c>
      <c r="AC397" s="1">
        <v>1.4252</v>
      </c>
      <c r="AD397" s="1">
        <v>1.5632200000000001</v>
      </c>
      <c r="AE397" s="1">
        <v>1.4834099999999999</v>
      </c>
      <c r="AF397" s="1">
        <v>1.42089</v>
      </c>
      <c r="AG397" s="1">
        <v>1.4780599999999999</v>
      </c>
      <c r="AH397" s="1">
        <v>1.5125200000000001</v>
      </c>
      <c r="AI397" s="1">
        <v>1.41422</v>
      </c>
      <c r="AJ397" s="1">
        <v>1.4252</v>
      </c>
      <c r="AL397" s="4" t="s">
        <v>29</v>
      </c>
      <c r="AM397" s="6" cm="1">
        <f t="array" ref="AM397">IFERROR((SUMPRODUCT(($D$393:$D$416=AM$391)*($F$390:$AJ$390="")*$F$393:$AJ$416)+IF(AM$391="P6",SUMPRODUCT(($F$390:$AJ$390="P6")*$F$393:$AJ$416),0))/(SUMPRODUCT(($D$393:$D$416=AM$391)*($F$390:$AJ$390=""))+IF(AM$391="P6",COUNTIF($F$390:$AJ$390,"P6")*ROWS($D$393:$D$416),0)),"")</f>
        <v>1.1528336111111102</v>
      </c>
      <c r="AN397" s="6" cm="1">
        <f t="array" ref="AN397">IFERROR((SUMPRODUCT(($D$393:$D$416=AN$391)*($F$390:$AJ$390="")*$F$393:$AJ$416)+IF(AN$391="P6",SUMPRODUCT(($F$390:$AJ$390="P6")*$F$393:$AJ$416),0))/(SUMPRODUCT(($D$393:$D$416=AN$391)*($F$390:$AJ$390=""))+IF(AN$391="P6",COUNTIF($F$390:$AJ$390,"P6")*ROWS($D$393:$D$416),0)),"")</f>
        <v>1.2048934285714283</v>
      </c>
      <c r="AO397" s="5" t="str" cm="1">
        <f t="array" ref="AO397">IFERROR((SUMPRODUCT(($D$393:$D$416=AO$391)*($F$390:$AJ$390="")*$F$393:$AJ$416)+IF(AO$391="P6",SUMPRODUCT(($F$390:$AJ$390="P6")*$F$393:$AJ$416),0))/(SUMPRODUCT(($D$393:$D$416=AO$391)*($F$390:$AJ$390=""))+IF(AO$391="P6",COUNTIF($F$390:$AJ$390,"P6")*ROWS($D$393:$D$416),0)),"")</f>
        <v/>
      </c>
      <c r="AP397" s="5" t="str" cm="1">
        <f t="array" ref="AP397">IFERROR((SUMPRODUCT(($D$393:$D$416=AP$391)*($F$390:$AJ$390="")*$F$393:$AJ$416)+IF(AP$391="P6",SUMPRODUCT(($F$390:$AJ$390="P6")*$F$393:$AJ$416),0))/(SUMPRODUCT(($D$393:$D$416=AP$391)*($F$390:$AJ$390=""))+IF(AP$391="P6",COUNTIF($F$390:$AJ$390,"P6")*ROWS($D$393:$D$416),0)),"")</f>
        <v/>
      </c>
      <c r="AQ397" s="5" t="str" cm="1">
        <f t="array" ref="AQ397">IFERROR((SUMPRODUCT(($D$393:$D$416=AQ$391)*($F$390:$AJ$390="")*$F$393:$AJ$416)+IF(AQ$391="P6",SUMPRODUCT(($F$390:$AJ$390="P6")*$F$393:$AJ$416),0))/(SUMPRODUCT(($D$393:$D$416=AQ$391)*($F$390:$AJ$390=""))+IF(AQ$391="P6",COUNTIF($F$390:$AJ$390,"P6")*ROWS($D$393:$D$416),0)),"")</f>
        <v/>
      </c>
      <c r="AR397" s="6" cm="1">
        <f t="array" ref="AR397">IFERROR((SUMPRODUCT(($D$393:$D$416=AR$391)*($F$390:$AJ$390="")*$F$393:$AJ$416)+IF(AR$391="P6",SUMPRODUCT(($F$390:$AJ$390="P6")*$F$393:$AJ$416),0))/(SUMPRODUCT(($D$393:$D$416=AR$391)*($F$390:$AJ$390=""))+IF(AR$391="P6",COUNTIF($F$390:$AJ$390,"P6")*ROWS($D$393:$D$416),0)),"")</f>
        <v>1.2941850471698122</v>
      </c>
    </row>
    <row r="398" spans="1:44" ht="14.25" customHeight="1" x14ac:dyDescent="0.35">
      <c r="A398" s="1" t="s">
        <v>7</v>
      </c>
      <c r="B398" s="1" t="s">
        <v>7</v>
      </c>
      <c r="C398" s="1" t="s">
        <v>15</v>
      </c>
      <c r="D398" s="1" t="s">
        <v>7</v>
      </c>
      <c r="E398" s="1" t="s">
        <v>18</v>
      </c>
      <c r="F398" s="1">
        <v>1.4953099999999999</v>
      </c>
      <c r="G398" s="1">
        <v>1.3531</v>
      </c>
      <c r="H398" s="1">
        <v>1.38961</v>
      </c>
      <c r="I398" s="1">
        <v>1.42127</v>
      </c>
      <c r="J398" s="1">
        <v>1.43773</v>
      </c>
      <c r="K398" s="1">
        <v>1.39737</v>
      </c>
      <c r="L398" s="1">
        <v>1.46932</v>
      </c>
      <c r="M398" s="1">
        <v>1.4097200000000001</v>
      </c>
      <c r="N398" s="1">
        <v>1.3531</v>
      </c>
      <c r="O398" s="1">
        <v>1.38961</v>
      </c>
      <c r="P398" s="1">
        <v>1.42127</v>
      </c>
      <c r="Q398" s="1">
        <v>1.43773</v>
      </c>
      <c r="R398" s="1">
        <v>1.36693</v>
      </c>
      <c r="S398" s="1">
        <v>1.46932</v>
      </c>
      <c r="T398" s="1">
        <v>1.4953099999999999</v>
      </c>
      <c r="U398" s="1">
        <v>1.3531</v>
      </c>
      <c r="V398" s="1">
        <v>1.38961</v>
      </c>
      <c r="W398" s="1">
        <v>1.42127</v>
      </c>
      <c r="X398" s="1">
        <v>1.43773</v>
      </c>
      <c r="Y398" s="1">
        <v>1.36693</v>
      </c>
      <c r="Z398" s="1">
        <v>1.46932</v>
      </c>
      <c r="AA398" s="1">
        <v>1.4953099999999999</v>
      </c>
      <c r="AB398" s="1">
        <v>1.3531</v>
      </c>
      <c r="AC398" s="1">
        <v>1.38961</v>
      </c>
      <c r="AD398" s="1">
        <v>1.55538</v>
      </c>
      <c r="AE398" s="1">
        <v>1.43773</v>
      </c>
      <c r="AF398" s="1">
        <v>1.36693</v>
      </c>
      <c r="AG398" s="1">
        <v>1.46932</v>
      </c>
      <c r="AH398" s="1">
        <v>1.4953099999999999</v>
      </c>
      <c r="AI398" s="1">
        <v>1.3531</v>
      </c>
      <c r="AJ398" s="1">
        <v>1.38961</v>
      </c>
      <c r="AL398" s="10"/>
      <c r="AM398" s="10"/>
      <c r="AN398" s="10"/>
      <c r="AO398" s="10"/>
      <c r="AP398" s="10"/>
      <c r="AQ398" s="10"/>
      <c r="AR398" s="10"/>
    </row>
    <row r="399" spans="1:44" ht="14.25" customHeight="1" x14ac:dyDescent="0.35">
      <c r="A399" s="1" t="s">
        <v>7</v>
      </c>
      <c r="B399" s="1" t="s">
        <v>7</v>
      </c>
      <c r="C399" s="1" t="s">
        <v>15</v>
      </c>
      <c r="D399" s="1" t="s">
        <v>7</v>
      </c>
      <c r="E399" s="1" t="s">
        <v>20</v>
      </c>
      <c r="F399" s="1">
        <v>1.4530700000000001</v>
      </c>
      <c r="G399" s="1">
        <v>1.2138</v>
      </c>
      <c r="H399" s="1">
        <v>1.26203</v>
      </c>
      <c r="I399" s="1">
        <v>1.2838400000000001</v>
      </c>
      <c r="J399" s="1">
        <v>1.30308</v>
      </c>
      <c r="K399" s="1">
        <v>1.34704</v>
      </c>
      <c r="L399" s="1">
        <v>1.4041300000000001</v>
      </c>
      <c r="M399" s="1">
        <v>1.3576299999999999</v>
      </c>
      <c r="N399" s="1">
        <v>1.2138</v>
      </c>
      <c r="O399" s="1">
        <v>1.26203</v>
      </c>
      <c r="P399" s="1">
        <v>1.2838400000000001</v>
      </c>
      <c r="Q399" s="1">
        <v>1.30308</v>
      </c>
      <c r="R399" s="1">
        <v>1.23421</v>
      </c>
      <c r="S399" s="1">
        <v>1.4041300000000001</v>
      </c>
      <c r="T399" s="1">
        <v>1.4530700000000001</v>
      </c>
      <c r="U399" s="1">
        <v>1.2138</v>
      </c>
      <c r="V399" s="1">
        <v>1.26203</v>
      </c>
      <c r="W399" s="1">
        <v>1.2838400000000001</v>
      </c>
      <c r="X399" s="1">
        <v>1.30308</v>
      </c>
      <c r="Y399" s="1">
        <v>1.23421</v>
      </c>
      <c r="Z399" s="1">
        <v>1.4041300000000001</v>
      </c>
      <c r="AA399" s="1">
        <v>1.4530700000000001</v>
      </c>
      <c r="AB399" s="1">
        <v>1.2138</v>
      </c>
      <c r="AC399" s="1">
        <v>1.26203</v>
      </c>
      <c r="AD399" s="1">
        <v>1.53003</v>
      </c>
      <c r="AE399" s="1">
        <v>1.30308</v>
      </c>
      <c r="AF399" s="1">
        <v>1.23421</v>
      </c>
      <c r="AG399" s="1">
        <v>1.4041300000000001</v>
      </c>
      <c r="AH399" s="1">
        <v>1.4530700000000001</v>
      </c>
      <c r="AI399" s="1">
        <v>1.2138</v>
      </c>
      <c r="AJ399" s="1">
        <v>1.26203</v>
      </c>
      <c r="AL399" s="10"/>
      <c r="AM399" s="10"/>
      <c r="AN399" s="10"/>
      <c r="AO399" s="10"/>
      <c r="AP399" s="10"/>
      <c r="AQ399" s="10"/>
      <c r="AR399" s="10"/>
    </row>
    <row r="400" spans="1:44" ht="14.25" customHeight="1" x14ac:dyDescent="0.35">
      <c r="A400" s="1" t="s">
        <v>7</v>
      </c>
      <c r="B400" s="1" t="s">
        <v>7</v>
      </c>
      <c r="C400" s="1" t="s">
        <v>15</v>
      </c>
      <c r="D400" s="1" t="s">
        <v>7</v>
      </c>
      <c r="E400" s="1" t="s">
        <v>22</v>
      </c>
      <c r="F400" s="1">
        <v>1.38158</v>
      </c>
      <c r="G400" s="1">
        <v>1.1147800000000001</v>
      </c>
      <c r="H400" s="1">
        <v>1.14669</v>
      </c>
      <c r="I400" s="1">
        <v>1.1626300000000001</v>
      </c>
      <c r="J400" s="1">
        <v>1.16866</v>
      </c>
      <c r="K400" s="1">
        <v>1.2984599999999999</v>
      </c>
      <c r="L400" s="1">
        <v>1.31837</v>
      </c>
      <c r="M400" s="1">
        <v>1.28755</v>
      </c>
      <c r="N400" s="1">
        <v>1.1147800000000001</v>
      </c>
      <c r="O400" s="1">
        <v>1.14669</v>
      </c>
      <c r="P400" s="1">
        <v>1.1626300000000001</v>
      </c>
      <c r="Q400" s="1">
        <v>1.16866</v>
      </c>
      <c r="R400" s="1">
        <v>1.12808</v>
      </c>
      <c r="S400" s="1">
        <v>1.31837</v>
      </c>
      <c r="T400" s="1">
        <v>1.38158</v>
      </c>
      <c r="U400" s="1">
        <v>1.1147800000000001</v>
      </c>
      <c r="V400" s="1">
        <v>1.14669</v>
      </c>
      <c r="W400" s="1">
        <v>1.1626300000000001</v>
      </c>
      <c r="X400" s="1">
        <v>1.16866</v>
      </c>
      <c r="Y400" s="1">
        <v>1.12808</v>
      </c>
      <c r="Z400" s="1">
        <v>1.31837</v>
      </c>
      <c r="AA400" s="1">
        <v>1.38158</v>
      </c>
      <c r="AB400" s="1">
        <v>1.1147800000000001</v>
      </c>
      <c r="AC400" s="1">
        <v>1.14669</v>
      </c>
      <c r="AD400" s="1">
        <v>1.46208</v>
      </c>
      <c r="AE400" s="1">
        <v>1.16866</v>
      </c>
      <c r="AF400" s="1">
        <v>1.12808</v>
      </c>
      <c r="AG400" s="1">
        <v>1.31837</v>
      </c>
      <c r="AH400" s="1">
        <v>1.38158</v>
      </c>
      <c r="AI400" s="1">
        <v>1.1147800000000001</v>
      </c>
      <c r="AJ400" s="1">
        <v>1.14669</v>
      </c>
      <c r="AL400" s="14" t="s">
        <v>199</v>
      </c>
      <c r="AM400" s="14"/>
      <c r="AN400" s="14"/>
      <c r="AO400" s="14"/>
      <c r="AP400" s="14"/>
      <c r="AQ400" s="14"/>
      <c r="AR400" s="14"/>
    </row>
    <row r="401" spans="1:44" ht="14.25" customHeight="1" x14ac:dyDescent="0.35">
      <c r="A401" s="1" t="s">
        <v>15</v>
      </c>
      <c r="B401" s="1" t="s">
        <v>16</v>
      </c>
      <c r="C401" s="1" t="s">
        <v>14</v>
      </c>
      <c r="D401" s="1" t="s">
        <v>14</v>
      </c>
      <c r="E401" s="1" t="s">
        <v>24</v>
      </c>
      <c r="F401" s="1">
        <v>1.33921</v>
      </c>
      <c r="G401" s="1">
        <v>1.1753800000000001</v>
      </c>
      <c r="H401" s="1">
        <v>1.1951499999999999</v>
      </c>
      <c r="I401" s="1">
        <v>1.1960299999999999</v>
      </c>
      <c r="J401" s="1">
        <v>1.2145699999999999</v>
      </c>
      <c r="K401" s="1">
        <v>1.2511000000000001</v>
      </c>
      <c r="L401" s="1">
        <v>1.25403</v>
      </c>
      <c r="M401" s="1">
        <v>1.2628200000000001</v>
      </c>
      <c r="N401" s="1">
        <v>1.1753800000000001</v>
      </c>
      <c r="O401" s="1">
        <v>1.1951499999999999</v>
      </c>
      <c r="P401" s="1">
        <v>1.1960299999999999</v>
      </c>
      <c r="Q401" s="1">
        <v>1.2145699999999999</v>
      </c>
      <c r="R401" s="1">
        <v>1.17039</v>
      </c>
      <c r="S401" s="1">
        <v>1.25403</v>
      </c>
      <c r="T401" s="1">
        <v>1.33921</v>
      </c>
      <c r="U401" s="1">
        <v>1.1753800000000001</v>
      </c>
      <c r="V401" s="1">
        <v>1.1951499999999999</v>
      </c>
      <c r="W401" s="1">
        <v>1.1960299999999999</v>
      </c>
      <c r="X401" s="1">
        <v>1.2145699999999999</v>
      </c>
      <c r="Y401" s="1">
        <v>1.17039</v>
      </c>
      <c r="Z401" s="1">
        <v>1.25403</v>
      </c>
      <c r="AA401" s="1">
        <v>1.33921</v>
      </c>
      <c r="AB401" s="1">
        <v>1.1753800000000001</v>
      </c>
      <c r="AC401" s="1">
        <v>1.1951499999999999</v>
      </c>
      <c r="AD401" s="1">
        <v>1.40239</v>
      </c>
      <c r="AE401" s="1">
        <v>1.2145699999999999</v>
      </c>
      <c r="AF401" s="1">
        <v>1.17039</v>
      </c>
      <c r="AG401" s="1">
        <v>1.25403</v>
      </c>
      <c r="AH401" s="1">
        <v>1.33921</v>
      </c>
      <c r="AI401" s="1">
        <v>1.1753800000000001</v>
      </c>
      <c r="AJ401" s="1">
        <v>1.1951499999999999</v>
      </c>
      <c r="AL401" s="4"/>
      <c r="AM401" s="4" t="s">
        <v>13</v>
      </c>
      <c r="AN401" s="4" t="s">
        <v>14</v>
      </c>
      <c r="AO401" s="4" t="s">
        <v>15</v>
      </c>
      <c r="AP401" s="4" t="s">
        <v>16</v>
      </c>
      <c r="AQ401" s="4" t="s">
        <v>17</v>
      </c>
      <c r="AR401" s="4" t="s">
        <v>7</v>
      </c>
    </row>
    <row r="402" spans="1:44" ht="14.25" customHeight="1" x14ac:dyDescent="0.35">
      <c r="A402" s="1" t="s">
        <v>15</v>
      </c>
      <c r="B402" s="1" t="s">
        <v>16</v>
      </c>
      <c r="C402" s="1" t="s">
        <v>14</v>
      </c>
      <c r="D402" s="1" t="s">
        <v>13</v>
      </c>
      <c r="E402" s="1" t="s">
        <v>26</v>
      </c>
      <c r="F402" s="1">
        <v>1.2139500000000001</v>
      </c>
      <c r="G402" s="1">
        <v>1.13598</v>
      </c>
      <c r="H402" s="1">
        <v>1.1361600000000001</v>
      </c>
      <c r="I402" s="1">
        <v>1.1612100000000001</v>
      </c>
      <c r="J402" s="1">
        <v>1.17059</v>
      </c>
      <c r="K402" s="1">
        <v>1.1739200000000001</v>
      </c>
      <c r="L402" s="1">
        <v>1.14618</v>
      </c>
      <c r="M402" s="1">
        <v>1.1931499999999999</v>
      </c>
      <c r="N402" s="1">
        <v>1.13598</v>
      </c>
      <c r="O402" s="1">
        <v>1.1361600000000001</v>
      </c>
      <c r="P402" s="1">
        <v>1.1612100000000001</v>
      </c>
      <c r="Q402" s="1">
        <v>1.17059</v>
      </c>
      <c r="R402" s="1">
        <v>1.1296999999999999</v>
      </c>
      <c r="S402" s="1">
        <v>1.14618</v>
      </c>
      <c r="T402" s="1">
        <v>1.2139500000000001</v>
      </c>
      <c r="U402" s="1">
        <v>1.13598</v>
      </c>
      <c r="V402" s="1">
        <v>1.1361600000000001</v>
      </c>
      <c r="W402" s="1">
        <v>1.1612100000000001</v>
      </c>
      <c r="X402" s="1">
        <v>1.17059</v>
      </c>
      <c r="Y402" s="1">
        <v>1.1296999999999999</v>
      </c>
      <c r="Z402" s="1">
        <v>1.14618</v>
      </c>
      <c r="AA402" s="1">
        <v>1.2139500000000001</v>
      </c>
      <c r="AB402" s="1">
        <v>1.13598</v>
      </c>
      <c r="AC402" s="1">
        <v>1.1361600000000001</v>
      </c>
      <c r="AD402" s="1">
        <v>1.27268</v>
      </c>
      <c r="AE402" s="1">
        <v>1.17059</v>
      </c>
      <c r="AF402" s="1">
        <v>1.1296999999999999</v>
      </c>
      <c r="AG402" s="1">
        <v>1.14618</v>
      </c>
      <c r="AH402" s="1">
        <v>1.2139500000000001</v>
      </c>
      <c r="AI402" s="1">
        <v>1.13598</v>
      </c>
      <c r="AJ402" s="1">
        <v>1.1361600000000001</v>
      </c>
      <c r="AL402" s="4" t="s">
        <v>19</v>
      </c>
      <c r="AM402" s="6" cm="1">
        <f t="array" ref="AM402">IFERROR((SUMPRODUCT(($C$393:$C$416=AM$391)*($F$389:$AJ$389="")*$F$393:$AJ$416)+IF(AM$391="P3",SUMPRODUCT(($F$389:$AJ$389="P3")*$F$393:$AJ$416),0))/(SUMPRODUCT(($C$393:$C$416=AM$391)*($F$389:$AJ$389=""))+IF(AM$391="P3",COUNTIF($F$389:$AJ$389,"P3")*ROWS($C$393:$C$416),0)),"")</f>
        <v>1.1537141249999996</v>
      </c>
      <c r="AN402" s="6" cm="1">
        <f t="array" ref="AN402">IFERROR((SUMPRODUCT(($C$393:$C$416=AN$391)*($F$389:$AJ$389="")*$F$393:$AJ$416)+IF(AN$391="P3",SUMPRODUCT(($F$389:$AJ$389="P3")*$F$393:$AJ$416),0))/(SUMPRODUCT(($C$393:$C$416=AN$391)*($F$389:$AJ$389=""))+IF(AN$391="P3",COUNTIF($F$389:$AJ$389,"P3")*ROWS($C$393:$C$416),0)),"")</f>
        <v>1.1975054374999998</v>
      </c>
      <c r="AO402" s="6" cm="1">
        <f t="array" ref="AO402">IFERROR((SUMPRODUCT(($C$393:$C$416=AO$391)*($F$389:$AJ$389="")*$F$393:$AJ$416)+IF(AO$391="P3",SUMPRODUCT(($F$389:$AJ$389="P3")*$F$393:$AJ$416),0))/(SUMPRODUCT(($C$393:$C$416=AO$391)*($F$389:$AJ$389=""))+IF(AO$391="P3",COUNTIF($F$389:$AJ$389,"P3")*ROWS($C$393:$C$416),0)),"")</f>
        <v>1.2941850471698122</v>
      </c>
      <c r="AP402" s="6" t="str" cm="1">
        <f t="array" ref="AP402">IFERROR((SUMPRODUCT(($C$393:$C$416=AP$391)*($F$389:$AJ$389="")*$F$393:$AJ$416)+IF(AP$391="P3",SUMPRODUCT(($F$389:$AJ$389="P3")*$F$393:$AJ$416),0))/(SUMPRODUCT(($C$393:$C$416=AP$391)*($F$389:$AJ$389=""))+IF(AP$391="P3",COUNTIF($F$389:$AJ$389,"P3")*ROWS($C$393:$C$416),0)),"")</f>
        <v/>
      </c>
      <c r="AQ402" s="6" t="str" cm="1">
        <f t="array" ref="AQ402">IFERROR((SUMPRODUCT(($C$393:$C$416=AQ$391)*($F$389:$AJ$389="")*$F$393:$AJ$416)+IF(AQ$391="P3",SUMPRODUCT(($F$389:$AJ$389="P3")*$F$393:$AJ$416),0))/(SUMPRODUCT(($C$393:$C$416=AQ$391)*($F$389:$AJ$389=""))+IF(AQ$391="P3",COUNTIF($F$389:$AJ$389,"P3")*ROWS($C$393:$C$416),0)),"")</f>
        <v/>
      </c>
      <c r="AR402" s="6" t="str" cm="1">
        <f t="array" ref="AR402">IFERROR((SUMPRODUCT(($C$393:$C$416=AR$391)*($F$389:$AJ$389="")*$F$393:$AJ$416)+IF(AR$391="P3",SUMPRODUCT(($F$389:$AJ$389="P3")*$F$393:$AJ$416),0))/(SUMPRODUCT(($C$393:$C$416=AR$391)*($F$389:$AJ$389=""))+IF(AR$391="P3",COUNTIF($F$389:$AJ$389,"P3")*ROWS($C$393:$C$416),0)),"")</f>
        <v/>
      </c>
    </row>
    <row r="403" spans="1:44" ht="14.25" customHeight="1" x14ac:dyDescent="0.35">
      <c r="A403" s="1" t="s">
        <v>14</v>
      </c>
      <c r="B403" s="1" t="s">
        <v>15</v>
      </c>
      <c r="C403" s="1" t="s">
        <v>13</v>
      </c>
      <c r="D403" s="1" t="s">
        <v>13</v>
      </c>
      <c r="E403" s="1" t="s">
        <v>28</v>
      </c>
      <c r="F403" s="1">
        <v>1.0949</v>
      </c>
      <c r="G403" s="1">
        <v>1.0542899999999999</v>
      </c>
      <c r="H403" s="1">
        <v>1.0598700000000001</v>
      </c>
      <c r="I403" s="1">
        <v>1.0821700000000001</v>
      </c>
      <c r="J403" s="1">
        <v>1.0886100000000001</v>
      </c>
      <c r="K403" s="1">
        <v>1.10025</v>
      </c>
      <c r="L403" s="1">
        <v>1.04728</v>
      </c>
      <c r="M403" s="1">
        <v>1.1202300000000001</v>
      </c>
      <c r="N403" s="1">
        <v>1.0542899999999999</v>
      </c>
      <c r="O403" s="1">
        <v>1.0598700000000001</v>
      </c>
      <c r="P403" s="1">
        <v>1.0821700000000001</v>
      </c>
      <c r="Q403" s="1">
        <v>1.0886100000000001</v>
      </c>
      <c r="R403" s="1">
        <v>1.05376</v>
      </c>
      <c r="S403" s="1">
        <v>1.04728</v>
      </c>
      <c r="T403" s="1">
        <v>1.0949</v>
      </c>
      <c r="U403" s="1">
        <v>1.0542899999999999</v>
      </c>
      <c r="V403" s="1">
        <v>1.0598700000000001</v>
      </c>
      <c r="W403" s="1">
        <v>1.0821700000000001</v>
      </c>
      <c r="X403" s="1">
        <v>1.0886100000000001</v>
      </c>
      <c r="Y403" s="1">
        <v>1.05376</v>
      </c>
      <c r="Z403" s="1">
        <v>1.04728</v>
      </c>
      <c r="AA403" s="1">
        <v>1.0949</v>
      </c>
      <c r="AB403" s="1">
        <v>1.0542899999999999</v>
      </c>
      <c r="AC403" s="1">
        <v>1.0598700000000001</v>
      </c>
      <c r="AD403" s="1">
        <v>1.13626</v>
      </c>
      <c r="AE403" s="1">
        <v>1.0886100000000001</v>
      </c>
      <c r="AF403" s="1">
        <v>1.05376</v>
      </c>
      <c r="AG403" s="1">
        <v>1.04728</v>
      </c>
      <c r="AH403" s="1">
        <v>1.0949</v>
      </c>
      <c r="AI403" s="1">
        <v>1.0542899999999999</v>
      </c>
      <c r="AJ403" s="1">
        <v>1.0598700000000001</v>
      </c>
      <c r="AL403" s="4" t="s">
        <v>21</v>
      </c>
      <c r="AM403" s="6" t="str" cm="1">
        <f t="array" ref="AM403">IFERROR((SUMPRODUCT(($A$393:$A$416=AM$391)*($F$390:$AJ$390="")*$F$393:$AJ$416)+IF(AM$391="P6",SUMPRODUCT(($F$390:$AJ$390="P6")*$F$393:$AJ$416),0))/(SUMPRODUCT(($A$393:$A$416=AM$391)*($F$390:$AJ$390=""))+IF(AM$391="P6",COUNTIF($F$390:$AJ$390,"P6")*ROWS($A$393:$A$416),0)),"")</f>
        <v/>
      </c>
      <c r="AN403" s="6" cm="1">
        <f t="array" ref="AN403">IFERROR((SUMPRODUCT(($A$393:$A$416=AN$391)*($F$390:$AJ$390="")*$F$393:$AJ$416)+IF(AN$391="P6",SUMPRODUCT(($F$390:$AJ$390="P6")*$F$393:$AJ$416),0))/(SUMPRODUCT(($A$393:$A$416=AN$391)*($F$390:$AJ$390=""))+IF(AN$391="P6",COUNTIF($F$390:$AJ$390,"P6")*ROWS($A$393:$A$416),0)),"")</f>
        <v>1.144020499999999</v>
      </c>
      <c r="AO403" s="6" cm="1">
        <f t="array" ref="AO403">IFERROR((SUMPRODUCT(($A$393:$A$416=AO$391)*($F$390:$AJ$390="")*$F$393:$AJ$416)+IF(AO$391="P6",SUMPRODUCT(($F$390:$AJ$390="P6")*$F$393:$AJ$416),0))/(SUMPRODUCT(($A$393:$A$416=AO$391)*($F$390:$AJ$390=""))+IF(AO$391="P6",COUNTIF($F$390:$AJ$390,"P6")*ROWS($A$393:$A$416),0)),"")</f>
        <v>1.2162245714285711</v>
      </c>
      <c r="AP403" s="6" t="str" cm="1">
        <f t="array" ref="AP403">IFERROR((SUMPRODUCT(($A$393:$A$416=AP$391)*($F$390:$AJ$390="")*$F$393:$AJ$416)+IF(AP$391="P6",SUMPRODUCT(($F$390:$AJ$390="P6")*$F$393:$AJ$416),0))/(SUMPRODUCT(($A$393:$A$416=AP$391)*($F$390:$AJ$390=""))+IF(AP$391="P6",COUNTIF($F$390:$AJ$390,"P6")*ROWS($A$393:$A$416),0)),"")</f>
        <v/>
      </c>
      <c r="AQ403" s="6" t="str" cm="1">
        <f t="array" ref="AQ403">IFERROR((SUMPRODUCT(($A$393:$A$416=AQ$391)*($F$390:$AJ$390="")*$F$393:$AJ$416)+IF(AQ$391="P6",SUMPRODUCT(($F$390:$AJ$390="P6")*$F$393:$AJ$416),0))/(SUMPRODUCT(($A$393:$A$416=AQ$391)*($F$390:$AJ$390=""))+IF(AQ$391="P6",COUNTIF($F$390:$AJ$390,"P6")*ROWS($A$393:$A$416),0)),"")</f>
        <v/>
      </c>
      <c r="AR403" s="6" cm="1">
        <f t="array" ref="AR403">IFERROR((SUMPRODUCT(($A$393:$A$416=AR$391)*($F$390:$AJ$390="")*$F$393:$AJ$416)+IF(AR$391="P6",SUMPRODUCT(($F$390:$AJ$390="P6")*$F$393:$AJ$416),0))/(SUMPRODUCT(($A$393:$A$416=AR$391)*($F$390:$AJ$390=""))+IF(AR$391="P6",COUNTIF($F$390:$AJ$390,"P6")*ROWS($A$393:$A$416),0)),"")</f>
        <v>1.2941850471698122</v>
      </c>
    </row>
    <row r="404" spans="1:44" ht="14.25" customHeight="1" x14ac:dyDescent="0.35">
      <c r="A404" s="1" t="s">
        <v>14</v>
      </c>
      <c r="B404" s="1" t="s">
        <v>15</v>
      </c>
      <c r="C404" s="1" t="s">
        <v>13</v>
      </c>
      <c r="D404" s="1" t="s">
        <v>13</v>
      </c>
      <c r="E404" s="1" t="s">
        <v>30</v>
      </c>
      <c r="F404" s="1">
        <v>1.0603199999999999</v>
      </c>
      <c r="G404" s="1">
        <v>1.03525</v>
      </c>
      <c r="H404" s="1">
        <v>1.04413</v>
      </c>
      <c r="I404" s="1">
        <v>1.06778</v>
      </c>
      <c r="J404" s="1">
        <v>1.0690900000000001</v>
      </c>
      <c r="K404" s="1">
        <v>1.07952</v>
      </c>
      <c r="L404" s="1">
        <v>1.0188699999999999</v>
      </c>
      <c r="M404" s="1">
        <v>1.09714</v>
      </c>
      <c r="N404" s="1">
        <v>1.03525</v>
      </c>
      <c r="O404" s="1">
        <v>1.04413</v>
      </c>
      <c r="P404" s="1">
        <v>1.06778</v>
      </c>
      <c r="Q404" s="1">
        <v>1.0690900000000001</v>
      </c>
      <c r="R404" s="1">
        <v>1.0406899999999999</v>
      </c>
      <c r="S404" s="1">
        <v>1.0188699999999999</v>
      </c>
      <c r="T404" s="1">
        <v>1.0603199999999999</v>
      </c>
      <c r="U404" s="1">
        <v>1.03525</v>
      </c>
      <c r="V404" s="1">
        <v>1.04413</v>
      </c>
      <c r="W404" s="1">
        <v>1.06778</v>
      </c>
      <c r="X404" s="1">
        <v>1.0690900000000001</v>
      </c>
      <c r="Y404" s="1">
        <v>1.0406899999999999</v>
      </c>
      <c r="Z404" s="1">
        <v>1.0188699999999999</v>
      </c>
      <c r="AA404" s="1">
        <v>1.0603199999999999</v>
      </c>
      <c r="AB404" s="1">
        <v>1.03525</v>
      </c>
      <c r="AC404" s="1">
        <v>1.04413</v>
      </c>
      <c r="AD404" s="1">
        <v>1.0728500000000001</v>
      </c>
      <c r="AE404" s="1">
        <v>1.0690900000000001</v>
      </c>
      <c r="AF404" s="1">
        <v>1.0406899999999999</v>
      </c>
      <c r="AG404" s="1">
        <v>1.0188699999999999</v>
      </c>
      <c r="AH404" s="1">
        <v>1.0603199999999999</v>
      </c>
      <c r="AI404" s="1">
        <v>1.03525</v>
      </c>
      <c r="AJ404" s="1">
        <v>1.04413</v>
      </c>
      <c r="AL404" s="4" t="s">
        <v>23</v>
      </c>
      <c r="AM404" s="6" t="str" cm="1">
        <f t="array" ref="AM404">IFERROR((SUMPRODUCT(($A$393:$A$416=AM$391)*($F$390:$AJ$390="")*$F$393:$AJ$416)+IF(AM$391="P6",SUMPRODUCT(($F$390:$AJ$390="P6")*$F$393:$AJ$416),0))/(SUMPRODUCT(($A$393:$A$416=AM$391)*($F$390:$AJ$390=""))+IF(AM$391="P6",COUNTIF($F$390:$AJ$390,"P6")*ROWS($A$393:$A$416),0)),"")</f>
        <v/>
      </c>
      <c r="AN404" s="6" cm="1">
        <f t="array" ref="AN404">IFERROR((SUMPRODUCT(($A$393:$A$416=AN$391)*($F$390:$AJ$390="")*$F$393:$AJ$416)+IF(AN$391="P6",SUMPRODUCT(($F$390:$AJ$390="P6")*$F$393:$AJ$416),0))/(SUMPRODUCT(($A$393:$A$416=AN$391)*($F$390:$AJ$390=""))+IF(AN$391="P6",COUNTIF($F$390:$AJ$390,"P6")*ROWS($A$393:$A$416),0)),"")</f>
        <v>1.144020499999999</v>
      </c>
      <c r="AO404" s="6" cm="1">
        <f t="array" ref="AO404">IFERROR((SUMPRODUCT(($A$393:$A$416=AO$391)*($F$390:$AJ$390="")*$F$393:$AJ$416)+IF(AO$391="P6",SUMPRODUCT(($F$390:$AJ$390="P6")*$F$393:$AJ$416),0))/(SUMPRODUCT(($A$393:$A$416=AO$391)*($F$390:$AJ$390=""))+IF(AO$391="P6",COUNTIF($F$390:$AJ$390,"P6")*ROWS($A$393:$A$416),0)),"")</f>
        <v>1.2162245714285711</v>
      </c>
      <c r="AP404" s="6" t="str" cm="1">
        <f t="array" ref="AP404">IFERROR((SUMPRODUCT(($A$393:$A$416=AP$391)*($F$390:$AJ$390="")*$F$393:$AJ$416)+IF(AP$391="P6",SUMPRODUCT(($F$390:$AJ$390="P6")*$F$393:$AJ$416),0))/(SUMPRODUCT(($A$393:$A$416=AP$391)*($F$390:$AJ$390=""))+IF(AP$391="P6",COUNTIF($F$390:$AJ$390,"P6")*ROWS($A$393:$A$416),0)),"")</f>
        <v/>
      </c>
      <c r="AQ404" s="6" t="str" cm="1">
        <f t="array" ref="AQ404">IFERROR((SUMPRODUCT(($A$393:$A$416=AQ$391)*($F$390:$AJ$390="")*$F$393:$AJ$416)+IF(AQ$391="P6",SUMPRODUCT(($F$390:$AJ$390="P6")*$F$393:$AJ$416),0))/(SUMPRODUCT(($A$393:$A$416=AQ$391)*($F$390:$AJ$390=""))+IF(AQ$391="P6",COUNTIF($F$390:$AJ$390,"P6")*ROWS($A$393:$A$416),0)),"")</f>
        <v/>
      </c>
      <c r="AR404" s="6" cm="1">
        <f t="array" ref="AR404">IFERROR((SUMPRODUCT(($A$393:$A$416=AR$391)*($F$390:$AJ$390="")*$F$393:$AJ$416)+IF(AR$391="P6",SUMPRODUCT(($F$390:$AJ$390="P6")*$F$393:$AJ$416),0))/(SUMPRODUCT(($A$393:$A$416=AR$391)*($F$390:$AJ$390=""))+IF(AR$391="P6",COUNTIF($F$390:$AJ$390,"P6")*ROWS($A$393:$A$416),0)),"")</f>
        <v>1.2941850471698122</v>
      </c>
    </row>
    <row r="405" spans="1:44" ht="14.25" customHeight="1" x14ac:dyDescent="0.35">
      <c r="A405" s="1" t="s">
        <v>14</v>
      </c>
      <c r="B405" s="1" t="s">
        <v>15</v>
      </c>
      <c r="C405" s="1" t="s">
        <v>13</v>
      </c>
      <c r="D405" s="1" t="s">
        <v>13</v>
      </c>
      <c r="E405" s="1" t="s">
        <v>31</v>
      </c>
      <c r="F405" s="1">
        <v>1.0434399999999999</v>
      </c>
      <c r="G405" s="1">
        <v>1.03196</v>
      </c>
      <c r="H405" s="1">
        <v>1.03376</v>
      </c>
      <c r="I405" s="1">
        <v>1.0584</v>
      </c>
      <c r="J405" s="1">
        <v>1.06311</v>
      </c>
      <c r="K405" s="1">
        <v>1.0881000000000001</v>
      </c>
      <c r="L405" s="1">
        <v>1.01762</v>
      </c>
      <c r="M405" s="1">
        <v>1.1056299999999999</v>
      </c>
      <c r="N405" s="1">
        <v>1.03196</v>
      </c>
      <c r="O405" s="1">
        <v>1.03376</v>
      </c>
      <c r="P405" s="1">
        <v>1.0584</v>
      </c>
      <c r="Q405" s="1">
        <v>1.06311</v>
      </c>
      <c r="R405" s="1">
        <v>1.0361199999999999</v>
      </c>
      <c r="S405" s="1">
        <v>1.01762</v>
      </c>
      <c r="T405" s="1">
        <v>1.0434399999999999</v>
      </c>
      <c r="U405" s="1">
        <v>1.03196</v>
      </c>
      <c r="V405" s="1">
        <v>1.03376</v>
      </c>
      <c r="W405" s="1">
        <v>1.0584</v>
      </c>
      <c r="X405" s="1">
        <v>1.06311</v>
      </c>
      <c r="Y405" s="1">
        <v>1.0361199999999999</v>
      </c>
      <c r="Z405" s="1">
        <v>1.01762</v>
      </c>
      <c r="AA405" s="1">
        <v>1.0434399999999999</v>
      </c>
      <c r="AB405" s="1">
        <v>1.03196</v>
      </c>
      <c r="AC405" s="1">
        <v>1.03376</v>
      </c>
      <c r="AD405" s="1">
        <v>1.05867</v>
      </c>
      <c r="AE405" s="1">
        <v>1.06311</v>
      </c>
      <c r="AF405" s="1">
        <v>1.0361199999999999</v>
      </c>
      <c r="AG405" s="1">
        <v>1.01762</v>
      </c>
      <c r="AH405" s="1">
        <v>1.0434399999999999</v>
      </c>
      <c r="AI405" s="1">
        <v>1.03196</v>
      </c>
      <c r="AJ405" s="1">
        <v>1.03376</v>
      </c>
      <c r="AL405" s="4" t="s">
        <v>25</v>
      </c>
      <c r="AM405" s="6" t="str" cm="1">
        <f t="array" ref="AM405">IFERROR((SUMPRODUCT(($A$393:$A$416=AM$391)*($F$390:$AJ$390="")*$F$393:$AJ$416)+IF(AM$391="P6",SUMPRODUCT(($F$390:$AJ$390="P6")*$F$393:$AJ$416),0))/(SUMPRODUCT(($A$393:$A$416=AM$391)*($F$390:$AJ$390=""))+IF(AM$391="P6",COUNTIF($F$390:$AJ$390,"P6")*ROWS($A$393:$A$416),0)),"")</f>
        <v/>
      </c>
      <c r="AN405" s="6" cm="1">
        <f t="array" ref="AN405">IFERROR((SUMPRODUCT(($A$393:$A$416=AN$391)*($F$390:$AJ$390="")*$F$393:$AJ$416)+IF(AN$391="P6",SUMPRODUCT(($F$390:$AJ$390="P6")*$F$393:$AJ$416),0))/(SUMPRODUCT(($A$393:$A$416=AN$391)*($F$390:$AJ$390=""))+IF(AN$391="P6",COUNTIF($F$390:$AJ$390,"P6")*ROWS($A$393:$A$416),0)),"")</f>
        <v>1.144020499999999</v>
      </c>
      <c r="AO405" s="6" cm="1">
        <f t="array" ref="AO405">IFERROR((SUMPRODUCT(($A$393:$A$416=AO$391)*($F$390:$AJ$390="")*$F$393:$AJ$416)+IF(AO$391="P6",SUMPRODUCT(($F$390:$AJ$390="P6")*$F$393:$AJ$416),0))/(SUMPRODUCT(($A$393:$A$416=AO$391)*($F$390:$AJ$390=""))+IF(AO$391="P6",COUNTIF($F$390:$AJ$390,"P6")*ROWS($A$393:$A$416),0)),"")</f>
        <v>1.2162245714285711</v>
      </c>
      <c r="AP405" s="6" t="str" cm="1">
        <f t="array" ref="AP405">IFERROR((SUMPRODUCT(($A$393:$A$416=AP$391)*($F$390:$AJ$390="")*$F$393:$AJ$416)+IF(AP$391="P6",SUMPRODUCT(($F$390:$AJ$390="P6")*$F$393:$AJ$416),0))/(SUMPRODUCT(($A$393:$A$416=AP$391)*($F$390:$AJ$390=""))+IF(AP$391="P6",COUNTIF($F$390:$AJ$390,"P6")*ROWS($A$393:$A$416),0)),"")</f>
        <v/>
      </c>
      <c r="AQ405" s="6" t="str" cm="1">
        <f t="array" ref="AQ405">IFERROR((SUMPRODUCT(($A$393:$A$416=AQ$391)*($F$390:$AJ$390="")*$F$393:$AJ$416)+IF(AQ$391="P6",SUMPRODUCT(($F$390:$AJ$390="P6")*$F$393:$AJ$416),0))/(SUMPRODUCT(($A$393:$A$416=AQ$391)*($F$390:$AJ$390=""))+IF(AQ$391="P6",COUNTIF($F$390:$AJ$390,"P6")*ROWS($A$393:$A$416),0)),"")</f>
        <v/>
      </c>
      <c r="AR405" s="6" cm="1">
        <f t="array" ref="AR405">IFERROR((SUMPRODUCT(($A$393:$A$416=AR$391)*($F$390:$AJ$390="")*$F$393:$AJ$416)+IF(AR$391="P6",SUMPRODUCT(($F$390:$AJ$390="P6")*$F$393:$AJ$416),0))/(SUMPRODUCT(($A$393:$A$416=AR$391)*($F$390:$AJ$390=""))+IF(AR$391="P6",COUNTIF($F$390:$AJ$390,"P6")*ROWS($A$393:$A$416),0)),"")</f>
        <v>1.2941850471698122</v>
      </c>
    </row>
    <row r="406" spans="1:44" ht="14.25" customHeight="1" x14ac:dyDescent="0.35">
      <c r="A406" s="1" t="s">
        <v>14</v>
      </c>
      <c r="B406" s="1" t="s">
        <v>15</v>
      </c>
      <c r="C406" s="1" t="s">
        <v>13</v>
      </c>
      <c r="D406" s="1" t="s">
        <v>13</v>
      </c>
      <c r="E406" s="1" t="s">
        <v>32</v>
      </c>
      <c r="F406" s="1">
        <v>1.0218</v>
      </c>
      <c r="G406" s="1">
        <v>1.03508</v>
      </c>
      <c r="H406" s="1">
        <v>1.0379700000000001</v>
      </c>
      <c r="I406" s="1">
        <v>1.0554699999999999</v>
      </c>
      <c r="J406" s="1">
        <v>1.06359</v>
      </c>
      <c r="K406" s="1">
        <v>1.0861000000000001</v>
      </c>
      <c r="L406" s="1">
        <v>1.0110399999999999</v>
      </c>
      <c r="M406" s="1">
        <v>1.1025100000000001</v>
      </c>
      <c r="N406" s="1">
        <v>1.03508</v>
      </c>
      <c r="O406" s="1">
        <v>1.0379700000000001</v>
      </c>
      <c r="P406" s="1">
        <v>1.0554699999999999</v>
      </c>
      <c r="Q406" s="1">
        <v>1.06359</v>
      </c>
      <c r="R406" s="1">
        <v>1.0321400000000001</v>
      </c>
      <c r="S406" s="1">
        <v>1.0110399999999999</v>
      </c>
      <c r="T406" s="1">
        <v>1.0218</v>
      </c>
      <c r="U406" s="1">
        <v>1.03508</v>
      </c>
      <c r="V406" s="1">
        <v>1.0379700000000001</v>
      </c>
      <c r="W406" s="1">
        <v>1.0554699999999999</v>
      </c>
      <c r="X406" s="1">
        <v>1.06359</v>
      </c>
      <c r="Y406" s="1">
        <v>1.0321400000000001</v>
      </c>
      <c r="Z406" s="1">
        <v>1.0110399999999999</v>
      </c>
      <c r="AA406" s="1">
        <v>1.0218</v>
      </c>
      <c r="AB406" s="1">
        <v>1.03508</v>
      </c>
      <c r="AC406" s="1">
        <v>1.0379700000000001</v>
      </c>
      <c r="AD406" s="1">
        <v>1.04623</v>
      </c>
      <c r="AE406" s="1">
        <v>1.06359</v>
      </c>
      <c r="AF406" s="1">
        <v>1.0321400000000001</v>
      </c>
      <c r="AG406" s="1">
        <v>1.0110399999999999</v>
      </c>
      <c r="AH406" s="1">
        <v>1.0218</v>
      </c>
      <c r="AI406" s="1">
        <v>1.03508</v>
      </c>
      <c r="AJ406" s="1">
        <v>1.0379700000000001</v>
      </c>
      <c r="AL406" s="4" t="s">
        <v>27</v>
      </c>
      <c r="AM406" s="6" t="str" cm="1">
        <f t="array" ref="AM406">IFERROR((SUMPRODUCT(($A$393:$A$416=AM$391)*($F$390:$AJ$390="")*$F$393:$AJ$416)+IF(AM$391="P6",SUMPRODUCT(($F$390:$AJ$390="P6")*$F$393:$AJ$416),0))/(SUMPRODUCT(($A$393:$A$416=AM$391)*($F$390:$AJ$390=""))+IF(AM$391="P6",COUNTIF($F$390:$AJ$390,"P6")*ROWS($A$393:$A$416),0)),"")</f>
        <v/>
      </c>
      <c r="AN406" s="6" cm="1">
        <f t="array" ref="AN406">IFERROR((SUMPRODUCT(($A$393:$A$416=AN$391)*($F$390:$AJ$390="")*$F$393:$AJ$416)+IF(AN$391="P6",SUMPRODUCT(($F$390:$AJ$390="P6")*$F$393:$AJ$416),0))/(SUMPRODUCT(($A$393:$A$416=AN$391)*($F$390:$AJ$390=""))+IF(AN$391="P6",COUNTIF($F$390:$AJ$390,"P6")*ROWS($A$393:$A$416),0)),"")</f>
        <v>1.144020499999999</v>
      </c>
      <c r="AO406" s="6" cm="1">
        <f t="array" ref="AO406">IFERROR((SUMPRODUCT(($A$393:$A$416=AO$391)*($F$390:$AJ$390="")*$F$393:$AJ$416)+IF(AO$391="P6",SUMPRODUCT(($F$390:$AJ$390="P6")*$F$393:$AJ$416),0))/(SUMPRODUCT(($A$393:$A$416=AO$391)*($F$390:$AJ$390=""))+IF(AO$391="P6",COUNTIF($F$390:$AJ$390,"P6")*ROWS($A$393:$A$416),0)),"")</f>
        <v>1.2162245714285711</v>
      </c>
      <c r="AP406" s="6" t="str" cm="1">
        <f t="array" ref="AP406">IFERROR((SUMPRODUCT(($A$393:$A$416=AP$391)*($F$390:$AJ$390="")*$F$393:$AJ$416)+IF(AP$391="P6",SUMPRODUCT(($F$390:$AJ$390="P6")*$F$393:$AJ$416),0))/(SUMPRODUCT(($A$393:$A$416=AP$391)*($F$390:$AJ$390=""))+IF(AP$391="P6",COUNTIF($F$390:$AJ$390,"P6")*ROWS($A$393:$A$416),0)),"")</f>
        <v/>
      </c>
      <c r="AQ406" s="6" t="str" cm="1">
        <f t="array" ref="AQ406">IFERROR((SUMPRODUCT(($A$393:$A$416=AQ$391)*($F$390:$AJ$390="")*$F$393:$AJ$416)+IF(AQ$391="P6",SUMPRODUCT(($F$390:$AJ$390="P6")*$F$393:$AJ$416),0))/(SUMPRODUCT(($A$393:$A$416=AQ$391)*($F$390:$AJ$390=""))+IF(AQ$391="P6",COUNTIF($F$390:$AJ$390,"P6")*ROWS($A$393:$A$416),0)),"")</f>
        <v/>
      </c>
      <c r="AR406" s="6" cm="1">
        <f t="array" ref="AR406">IFERROR((SUMPRODUCT(($A$393:$A$416=AR$391)*($F$390:$AJ$390="")*$F$393:$AJ$416)+IF(AR$391="P6",SUMPRODUCT(($F$390:$AJ$390="P6")*$F$393:$AJ$416),0))/(SUMPRODUCT(($A$393:$A$416=AR$391)*($F$390:$AJ$390=""))+IF(AR$391="P6",COUNTIF($F$390:$AJ$390,"P6")*ROWS($A$393:$A$416),0)),"")</f>
        <v>1.2941850471698122</v>
      </c>
    </row>
    <row r="407" spans="1:44" ht="14.25" customHeight="1" x14ac:dyDescent="0.35">
      <c r="A407" s="1" t="s">
        <v>14</v>
      </c>
      <c r="B407" s="1" t="s">
        <v>15</v>
      </c>
      <c r="C407" s="1" t="s">
        <v>14</v>
      </c>
      <c r="D407" s="1" t="s">
        <v>14</v>
      </c>
      <c r="E407" s="1" t="s">
        <v>33</v>
      </c>
      <c r="F407" s="1">
        <v>1.04721</v>
      </c>
      <c r="G407" s="1">
        <v>1.0549299999999999</v>
      </c>
      <c r="H407" s="1">
        <v>1.0646</v>
      </c>
      <c r="I407" s="1">
        <v>1.0788199999999999</v>
      </c>
      <c r="J407" s="1">
        <v>1.08273</v>
      </c>
      <c r="K407" s="1">
        <v>1.1067499999999999</v>
      </c>
      <c r="L407" s="1">
        <v>1.0391699999999999</v>
      </c>
      <c r="M407" s="1">
        <v>1.1213200000000001</v>
      </c>
      <c r="N407" s="1">
        <v>1.0549299999999999</v>
      </c>
      <c r="O407" s="1">
        <v>1.0646</v>
      </c>
      <c r="P407" s="1">
        <v>1.0788199999999999</v>
      </c>
      <c r="Q407" s="1">
        <v>1.08273</v>
      </c>
      <c r="R407" s="1">
        <v>1.0548</v>
      </c>
      <c r="S407" s="1">
        <v>1.0391699999999999</v>
      </c>
      <c r="T407" s="1">
        <v>1.04721</v>
      </c>
      <c r="U407" s="1">
        <v>1.0549299999999999</v>
      </c>
      <c r="V407" s="1">
        <v>1.0646</v>
      </c>
      <c r="W407" s="1">
        <v>1.0788199999999999</v>
      </c>
      <c r="X407" s="1">
        <v>1.08273</v>
      </c>
      <c r="Y407" s="1">
        <v>1.0548</v>
      </c>
      <c r="Z407" s="1">
        <v>1.0391699999999999</v>
      </c>
      <c r="AA407" s="1">
        <v>1.04721</v>
      </c>
      <c r="AB407" s="1">
        <v>1.0549299999999999</v>
      </c>
      <c r="AC407" s="1">
        <v>1.0646</v>
      </c>
      <c r="AD407" s="1">
        <v>1.0677099999999999</v>
      </c>
      <c r="AE407" s="1">
        <v>1.08273</v>
      </c>
      <c r="AF407" s="1">
        <v>1.0548</v>
      </c>
      <c r="AG407" s="1">
        <v>1.0391699999999999</v>
      </c>
      <c r="AH407" s="1">
        <v>1.04721</v>
      </c>
      <c r="AI407" s="1">
        <v>1.0549299999999999</v>
      </c>
      <c r="AJ407" s="1">
        <v>1.0646</v>
      </c>
      <c r="AL407" s="4" t="s">
        <v>29</v>
      </c>
      <c r="AM407" s="6" t="str" cm="1">
        <f t="array" ref="AM407">IFERROR((SUMPRODUCT(($A$393:$A$416=AM$391)*($F$390:$AJ$390="")*$F$393:$AJ$416)+IF(AM$391="P6",SUMPRODUCT(($F$390:$AJ$390="P6")*$F$393:$AJ$416),0))/(SUMPRODUCT(($A$393:$A$416=AM$391)*($F$390:$AJ$390=""))+IF(AM$391="P6",COUNTIF($F$390:$AJ$390,"P6")*ROWS($A$393:$A$416),0)),"")</f>
        <v/>
      </c>
      <c r="AN407" s="6" cm="1">
        <f t="array" ref="AN407">IFERROR((SUMPRODUCT(($A$393:$A$416=AN$391)*($F$390:$AJ$390="")*$F$393:$AJ$416)+IF(AN$391="P6",SUMPRODUCT(($F$390:$AJ$390="P6")*$F$393:$AJ$416),0))/(SUMPRODUCT(($A$393:$A$416=AN$391)*($F$390:$AJ$390=""))+IF(AN$391="P6",COUNTIF($F$390:$AJ$390,"P6")*ROWS($A$393:$A$416),0)),"")</f>
        <v>1.144020499999999</v>
      </c>
      <c r="AO407" s="6" cm="1">
        <f t="array" ref="AO407">IFERROR((SUMPRODUCT(($A$393:$A$416=AO$391)*($F$390:$AJ$390="")*$F$393:$AJ$416)+IF(AO$391="P6",SUMPRODUCT(($F$390:$AJ$390="P6")*$F$393:$AJ$416),0))/(SUMPRODUCT(($A$393:$A$416=AO$391)*($F$390:$AJ$390=""))+IF(AO$391="P6",COUNTIF($F$390:$AJ$390,"P6")*ROWS($A$393:$A$416),0)),"")</f>
        <v>1.2162245714285711</v>
      </c>
      <c r="AP407" s="6" t="str" cm="1">
        <f t="array" ref="AP407">IFERROR((SUMPRODUCT(($A$393:$A$416=AP$391)*($F$390:$AJ$390="")*$F$393:$AJ$416)+IF(AP$391="P6",SUMPRODUCT(($F$390:$AJ$390="P6")*$F$393:$AJ$416),0))/(SUMPRODUCT(($A$393:$A$416=AP$391)*($F$390:$AJ$390=""))+IF(AP$391="P6",COUNTIF($F$390:$AJ$390,"P6")*ROWS($A$393:$A$416),0)),"")</f>
        <v/>
      </c>
      <c r="AQ407" s="6" t="str" cm="1">
        <f t="array" ref="AQ407">IFERROR((SUMPRODUCT(($A$393:$A$416=AQ$391)*($F$390:$AJ$390="")*$F$393:$AJ$416)+IF(AQ$391="P6",SUMPRODUCT(($F$390:$AJ$390="P6")*$F$393:$AJ$416),0))/(SUMPRODUCT(($A$393:$A$416=AQ$391)*($F$390:$AJ$390=""))+IF(AQ$391="P6",COUNTIF($F$390:$AJ$390,"P6")*ROWS($A$393:$A$416),0)),"")</f>
        <v/>
      </c>
      <c r="AR407" s="6" cm="1">
        <f t="array" ref="AR407">IFERROR((SUMPRODUCT(($A$393:$A$416=AR$391)*($F$390:$AJ$390="")*$F$393:$AJ$416)+IF(AR$391="P6",SUMPRODUCT(($F$390:$AJ$390="P6")*$F$393:$AJ$416),0))/(SUMPRODUCT(($A$393:$A$416=AR$391)*($F$390:$AJ$390=""))+IF(AR$391="P6",COUNTIF($F$390:$AJ$390,"P6")*ROWS($A$393:$A$416),0)),"")</f>
        <v>1.2941850471698122</v>
      </c>
    </row>
    <row r="408" spans="1:44" ht="14.25" customHeight="1" x14ac:dyDescent="0.35">
      <c r="A408" s="1" t="s">
        <v>15</v>
      </c>
      <c r="B408" s="1" t="s">
        <v>16</v>
      </c>
      <c r="C408" s="1" t="s">
        <v>14</v>
      </c>
      <c r="D408" s="1" t="s">
        <v>14</v>
      </c>
      <c r="E408" s="1" t="s">
        <v>34</v>
      </c>
      <c r="F408" s="1">
        <v>1.1351899999999999</v>
      </c>
      <c r="G408" s="1">
        <v>1.11443</v>
      </c>
      <c r="H408" s="1">
        <v>1.1069599999999999</v>
      </c>
      <c r="I408" s="1">
        <v>1.11951</v>
      </c>
      <c r="J408" s="1">
        <v>1.13175</v>
      </c>
      <c r="K408" s="1">
        <v>1.16042</v>
      </c>
      <c r="L408" s="1">
        <v>1.1009500000000001</v>
      </c>
      <c r="M408" s="1">
        <v>1.1760699999999999</v>
      </c>
      <c r="N408" s="1">
        <v>1.11443</v>
      </c>
      <c r="O408" s="1">
        <v>1.1069599999999999</v>
      </c>
      <c r="P408" s="1">
        <v>1.11951</v>
      </c>
      <c r="Q408" s="1">
        <v>1.13175</v>
      </c>
      <c r="R408" s="1">
        <v>1.1108499999999999</v>
      </c>
      <c r="S408" s="1">
        <v>1.1009500000000001</v>
      </c>
      <c r="T408" s="1">
        <v>1.1351899999999999</v>
      </c>
      <c r="U408" s="1">
        <v>1.11443</v>
      </c>
      <c r="V408" s="1">
        <v>1.1069599999999999</v>
      </c>
      <c r="W408" s="1">
        <v>1.11951</v>
      </c>
      <c r="X408" s="1">
        <v>1.13175</v>
      </c>
      <c r="Y408" s="1">
        <v>1.1108499999999999</v>
      </c>
      <c r="Z408" s="1">
        <v>1.1009500000000001</v>
      </c>
      <c r="AA408" s="1">
        <v>1.1351899999999999</v>
      </c>
      <c r="AB408" s="1">
        <v>1.11443</v>
      </c>
      <c r="AC408" s="1">
        <v>1.1069599999999999</v>
      </c>
      <c r="AD408" s="1">
        <v>1.14276</v>
      </c>
      <c r="AE408" s="1">
        <v>1.13175</v>
      </c>
      <c r="AF408" s="1">
        <v>1.1108499999999999</v>
      </c>
      <c r="AG408" s="1">
        <v>1.1009500000000001</v>
      </c>
      <c r="AH408" s="1">
        <v>1.1351899999999999</v>
      </c>
      <c r="AI408" s="1">
        <v>1.11443</v>
      </c>
      <c r="AJ408" s="1">
        <v>1.1069599999999999</v>
      </c>
      <c r="AL408" s="10"/>
      <c r="AM408" s="10"/>
      <c r="AN408" s="10"/>
      <c r="AO408" s="10"/>
      <c r="AP408" s="10"/>
      <c r="AQ408" s="10"/>
      <c r="AR408" s="10"/>
    </row>
    <row r="409" spans="1:44" ht="14.25" customHeight="1" x14ac:dyDescent="0.35">
      <c r="A409" s="1" t="s">
        <v>15</v>
      </c>
      <c r="B409" s="1" t="s">
        <v>16</v>
      </c>
      <c r="C409" s="1" t="s">
        <v>14</v>
      </c>
      <c r="D409" s="1" t="s">
        <v>14</v>
      </c>
      <c r="E409" s="1" t="s">
        <v>35</v>
      </c>
      <c r="F409" s="1">
        <v>1.1779599999999999</v>
      </c>
      <c r="G409" s="1">
        <v>1.1222399999999999</v>
      </c>
      <c r="H409" s="1">
        <v>1.14402</v>
      </c>
      <c r="I409" s="1">
        <v>1.1429199999999999</v>
      </c>
      <c r="J409" s="1">
        <v>1.17079</v>
      </c>
      <c r="K409" s="1">
        <v>1.20356</v>
      </c>
      <c r="L409" s="1">
        <v>1.1333599999999999</v>
      </c>
      <c r="M409" s="1">
        <v>1.1955800000000001</v>
      </c>
      <c r="N409" s="1">
        <v>1.1222399999999999</v>
      </c>
      <c r="O409" s="1">
        <v>1.14402</v>
      </c>
      <c r="P409" s="1">
        <v>1.1429199999999999</v>
      </c>
      <c r="Q409" s="1">
        <v>1.17079</v>
      </c>
      <c r="R409" s="1">
        <v>1.1272599999999999</v>
      </c>
      <c r="S409" s="1">
        <v>1.1333599999999999</v>
      </c>
      <c r="T409" s="1">
        <v>1.1779599999999999</v>
      </c>
      <c r="U409" s="1">
        <v>1.1222399999999999</v>
      </c>
      <c r="V409" s="1">
        <v>1.14402</v>
      </c>
      <c r="W409" s="1">
        <v>1.1429199999999999</v>
      </c>
      <c r="X409" s="1">
        <v>1.17079</v>
      </c>
      <c r="Y409" s="1">
        <v>1.1272599999999999</v>
      </c>
      <c r="Z409" s="1">
        <v>1.1333599999999999</v>
      </c>
      <c r="AA409" s="1">
        <v>1.1779599999999999</v>
      </c>
      <c r="AB409" s="1">
        <v>1.1222399999999999</v>
      </c>
      <c r="AC409" s="1">
        <v>1.14402</v>
      </c>
      <c r="AD409" s="1">
        <v>1.2078500000000001</v>
      </c>
      <c r="AE409" s="1">
        <v>1.17079</v>
      </c>
      <c r="AF409" s="1">
        <v>1.1272599999999999</v>
      </c>
      <c r="AG409" s="1">
        <v>1.1333599999999999</v>
      </c>
      <c r="AH409" s="1">
        <v>1.1779599999999999</v>
      </c>
      <c r="AI409" s="1">
        <v>1.1222399999999999</v>
      </c>
      <c r="AJ409" s="1">
        <v>1.14402</v>
      </c>
      <c r="AL409" s="10"/>
      <c r="AM409" s="10"/>
      <c r="AN409" s="10"/>
      <c r="AO409" s="10"/>
      <c r="AP409" s="10"/>
      <c r="AQ409" s="10"/>
      <c r="AR409" s="10"/>
    </row>
    <row r="410" spans="1:44" ht="14.25" customHeight="1" x14ac:dyDescent="0.35">
      <c r="A410" s="1" t="s">
        <v>15</v>
      </c>
      <c r="B410" s="1" t="s">
        <v>16</v>
      </c>
      <c r="C410" s="1" t="s">
        <v>14</v>
      </c>
      <c r="D410" s="1" t="s">
        <v>14</v>
      </c>
      <c r="E410" s="1" t="s">
        <v>36</v>
      </c>
      <c r="F410" s="1">
        <v>1.2267699999999999</v>
      </c>
      <c r="G410" s="1">
        <v>1.1840999999999999</v>
      </c>
      <c r="H410" s="1">
        <v>1.18977</v>
      </c>
      <c r="I410" s="1">
        <v>1.1992100000000001</v>
      </c>
      <c r="J410" s="1">
        <v>1.21587</v>
      </c>
      <c r="K410" s="1">
        <v>1.23332</v>
      </c>
      <c r="L410" s="1">
        <v>1.1820200000000001</v>
      </c>
      <c r="M410" s="1">
        <v>1.2099599999999999</v>
      </c>
      <c r="N410" s="1">
        <v>1.1840999999999999</v>
      </c>
      <c r="O410" s="1">
        <v>1.18977</v>
      </c>
      <c r="P410" s="1">
        <v>1.1992100000000001</v>
      </c>
      <c r="Q410" s="1">
        <v>1.21587</v>
      </c>
      <c r="R410" s="1">
        <v>1.17232</v>
      </c>
      <c r="S410" s="1">
        <v>1.1820200000000001</v>
      </c>
      <c r="T410" s="1">
        <v>1.2267699999999999</v>
      </c>
      <c r="U410" s="1">
        <v>1.1840999999999999</v>
      </c>
      <c r="V410" s="1">
        <v>1.18977</v>
      </c>
      <c r="W410" s="1">
        <v>1.1992100000000001</v>
      </c>
      <c r="X410" s="1">
        <v>1.21587</v>
      </c>
      <c r="Y410" s="1">
        <v>1.17232</v>
      </c>
      <c r="Z410" s="1">
        <v>1.1820200000000001</v>
      </c>
      <c r="AA410" s="1">
        <v>1.2267699999999999</v>
      </c>
      <c r="AB410" s="1">
        <v>1.1840999999999999</v>
      </c>
      <c r="AC410" s="1">
        <v>1.18977</v>
      </c>
      <c r="AD410" s="1">
        <v>1.2560899999999999</v>
      </c>
      <c r="AE410" s="1">
        <v>1.21587</v>
      </c>
      <c r="AF410" s="1">
        <v>1.17232</v>
      </c>
      <c r="AG410" s="1">
        <v>1.1820200000000001</v>
      </c>
      <c r="AH410" s="1">
        <v>1.2267699999999999</v>
      </c>
      <c r="AI410" s="1">
        <v>1.1840999999999999</v>
      </c>
      <c r="AJ410" s="1">
        <v>1.18977</v>
      </c>
      <c r="AL410" s="14" t="s">
        <v>200</v>
      </c>
      <c r="AM410" s="14"/>
      <c r="AN410" s="14"/>
      <c r="AO410" s="14"/>
      <c r="AP410" s="14"/>
      <c r="AQ410" s="14"/>
      <c r="AR410" s="14"/>
    </row>
    <row r="411" spans="1:44" ht="14.25" customHeight="1" x14ac:dyDescent="0.35">
      <c r="A411" s="1" t="s">
        <v>14</v>
      </c>
      <c r="B411" s="1" t="s">
        <v>15</v>
      </c>
      <c r="C411" s="1" t="s">
        <v>13</v>
      </c>
      <c r="D411" s="1" t="s">
        <v>13</v>
      </c>
      <c r="E411" s="1" t="s">
        <v>37</v>
      </c>
      <c r="F411" s="1">
        <v>1.23763</v>
      </c>
      <c r="G411" s="1">
        <v>1.20719</v>
      </c>
      <c r="H411" s="1">
        <v>1.2243900000000001</v>
      </c>
      <c r="I411" s="1">
        <v>1.2277899999999999</v>
      </c>
      <c r="J411" s="1">
        <v>1.2404200000000001</v>
      </c>
      <c r="K411" s="1">
        <v>1.2279199999999999</v>
      </c>
      <c r="L411" s="1">
        <v>1.2044900000000001</v>
      </c>
      <c r="M411" s="1">
        <v>1.19367</v>
      </c>
      <c r="N411" s="1">
        <v>1.20719</v>
      </c>
      <c r="O411" s="1">
        <v>1.2243900000000001</v>
      </c>
      <c r="P411" s="1">
        <v>1.2277899999999999</v>
      </c>
      <c r="Q411" s="1">
        <v>1.2404200000000001</v>
      </c>
      <c r="R411" s="1">
        <v>1.2218</v>
      </c>
      <c r="S411" s="1">
        <v>1.2044900000000001</v>
      </c>
      <c r="T411" s="1">
        <v>1.23763</v>
      </c>
      <c r="U411" s="1">
        <v>1.20719</v>
      </c>
      <c r="V411" s="1">
        <v>1.2243900000000001</v>
      </c>
      <c r="W411" s="1">
        <v>1.2277899999999999</v>
      </c>
      <c r="X411" s="1">
        <v>1.2404200000000001</v>
      </c>
      <c r="Y411" s="1">
        <v>1.2218</v>
      </c>
      <c r="Z411" s="1">
        <v>1.2044900000000001</v>
      </c>
      <c r="AA411" s="1">
        <v>1.23763</v>
      </c>
      <c r="AB411" s="1">
        <v>1.20719</v>
      </c>
      <c r="AC411" s="1">
        <v>1.2243900000000001</v>
      </c>
      <c r="AD411" s="1">
        <v>1.2690399999999999</v>
      </c>
      <c r="AE411" s="1">
        <v>1.2404200000000001</v>
      </c>
      <c r="AF411" s="1">
        <v>1.2218</v>
      </c>
      <c r="AG411" s="1">
        <v>1.2044900000000001</v>
      </c>
      <c r="AH411" s="1">
        <v>1.23763</v>
      </c>
      <c r="AI411" s="1">
        <v>1.20719</v>
      </c>
      <c r="AJ411" s="1">
        <v>1.2243900000000001</v>
      </c>
      <c r="AL411" s="4"/>
      <c r="AM411" s="4" t="s">
        <v>13</v>
      </c>
      <c r="AN411" s="4" t="s">
        <v>14</v>
      </c>
      <c r="AO411" s="4" t="s">
        <v>15</v>
      </c>
      <c r="AP411" s="4" t="s">
        <v>16</v>
      </c>
      <c r="AQ411" s="4" t="s">
        <v>17</v>
      </c>
      <c r="AR411" s="4" t="s">
        <v>7</v>
      </c>
    </row>
    <row r="412" spans="1:44" ht="14.25" customHeight="1" x14ac:dyDescent="0.35">
      <c r="A412" s="1" t="s">
        <v>14</v>
      </c>
      <c r="B412" s="1" t="s">
        <v>15</v>
      </c>
      <c r="C412" s="1" t="s">
        <v>13</v>
      </c>
      <c r="D412" s="1" t="s">
        <v>13</v>
      </c>
      <c r="E412" s="1" t="s">
        <v>38</v>
      </c>
      <c r="F412" s="1">
        <v>1.27122</v>
      </c>
      <c r="G412" s="1">
        <v>1.2188000000000001</v>
      </c>
      <c r="H412" s="1">
        <v>1.25143</v>
      </c>
      <c r="I412" s="1">
        <v>1.2401500000000001</v>
      </c>
      <c r="J412" s="1">
        <v>1.26685</v>
      </c>
      <c r="K412" s="1">
        <v>1.23861</v>
      </c>
      <c r="L412" s="1">
        <v>1.23804</v>
      </c>
      <c r="M412" s="1">
        <v>1.21418</v>
      </c>
      <c r="N412" s="1">
        <v>1.2188000000000001</v>
      </c>
      <c r="O412" s="1">
        <v>1.25143</v>
      </c>
      <c r="P412" s="1">
        <v>1.2401500000000001</v>
      </c>
      <c r="Q412" s="1">
        <v>1.26685</v>
      </c>
      <c r="R412" s="1">
        <v>1.26393</v>
      </c>
      <c r="S412" s="1">
        <v>1.23804</v>
      </c>
      <c r="T412" s="1">
        <v>1.27122</v>
      </c>
      <c r="U412" s="1">
        <v>1.2188000000000001</v>
      </c>
      <c r="V412" s="1">
        <v>1.25143</v>
      </c>
      <c r="W412" s="1">
        <v>1.2401500000000001</v>
      </c>
      <c r="X412" s="1">
        <v>1.26685</v>
      </c>
      <c r="Y412" s="1">
        <v>1.26393</v>
      </c>
      <c r="Z412" s="1">
        <v>1.23804</v>
      </c>
      <c r="AA412" s="1">
        <v>1.27122</v>
      </c>
      <c r="AB412" s="1">
        <v>1.2188000000000001</v>
      </c>
      <c r="AC412" s="1">
        <v>1.25143</v>
      </c>
      <c r="AD412" s="1">
        <v>1.2881800000000001</v>
      </c>
      <c r="AE412" s="1">
        <v>1.26685</v>
      </c>
      <c r="AF412" s="1">
        <v>1.26393</v>
      </c>
      <c r="AG412" s="1">
        <v>1.23804</v>
      </c>
      <c r="AH412" s="1">
        <v>1.27122</v>
      </c>
      <c r="AI412" s="1">
        <v>1.2188000000000001</v>
      </c>
      <c r="AJ412" s="1">
        <v>1.25143</v>
      </c>
      <c r="AL412" s="4" t="s">
        <v>19</v>
      </c>
      <c r="AM412" s="6" cm="1">
        <f t="array" ref="AM412">IFERROR((SUMPRODUCT(($C$393:$C$416=AM$391)*($F$389:$AJ$389="")*$F$393:$AJ$416)+IF(AM$391="P3",SUMPRODUCT(($F$389:$AJ$389="P3")*$F$393:$AJ$416),0))/(SUMPRODUCT(($C$393:$C$416=AM$391)*($F$389:$AJ$389=""))+IF(AM$391="P3",COUNTIF($F$389:$AJ$389,"P3")*ROWS($C$393:$C$416),0)),"")</f>
        <v>1.1537141249999996</v>
      </c>
      <c r="AN412" s="6" cm="1">
        <f t="array" ref="AN412">IFERROR((SUMPRODUCT(($C$393:$C$416=AN$391)*($F$389:$AJ$389="")*$F$393:$AJ$416)+IF(AN$391="P3",SUMPRODUCT(($F$389:$AJ$389="P3")*$F$393:$AJ$416),0))/(SUMPRODUCT(($C$393:$C$416=AN$391)*($F$389:$AJ$389=""))+IF(AN$391="P3",COUNTIF($F$389:$AJ$389,"P3")*ROWS($C$393:$C$416),0)),"")</f>
        <v>1.1975054374999998</v>
      </c>
      <c r="AO412" s="6" cm="1">
        <f t="array" ref="AO412">IFERROR((SUMPRODUCT(($C$393:$C$416=AO$391)*($F$389:$AJ$389="")*$F$393:$AJ$416)+IF(AO$391="P3",SUMPRODUCT(($F$389:$AJ$389="P3")*$F$393:$AJ$416),0))/(SUMPRODUCT(($C$393:$C$416=AO$391)*($F$389:$AJ$389=""))+IF(AO$391="P3",COUNTIF($F$389:$AJ$389,"P3")*ROWS($C$393:$C$416),0)),"")</f>
        <v>1.2941850471698122</v>
      </c>
      <c r="AP412" s="6" t="str" cm="1">
        <f t="array" ref="AP412">IFERROR((SUMPRODUCT(($C$393:$C$416=AP$391)*($F$389:$AJ$389="")*$F$393:$AJ$416)+IF(AP$391="P3",SUMPRODUCT(($F$389:$AJ$389="P3")*$F$393:$AJ$416),0))/(SUMPRODUCT(($C$393:$C$416=AP$391)*($F$389:$AJ$389=""))+IF(AP$391="P3",COUNTIF($F$389:$AJ$389,"P3")*ROWS($C$393:$C$416),0)),"")</f>
        <v/>
      </c>
      <c r="AQ412" s="6" t="str" cm="1">
        <f t="array" ref="AQ412">IFERROR((SUMPRODUCT(($C$393:$C$416=AQ$391)*($F$389:$AJ$389="")*$F$393:$AJ$416)+IF(AQ$391="P3",SUMPRODUCT(($F$389:$AJ$389="P3")*$F$393:$AJ$416),0))/(SUMPRODUCT(($C$393:$C$416=AQ$391)*($F$389:$AJ$389=""))+IF(AQ$391="P3",COUNTIF($F$389:$AJ$389,"P3")*ROWS($C$393:$C$416),0)),"")</f>
        <v/>
      </c>
      <c r="AR412" s="6" t="str" cm="1">
        <f t="array" ref="AR412">IFERROR((SUMPRODUCT(($C$393:$C$416=AR$391)*($F$389:$AJ$389="")*$F$393:$AJ$416)+IF(AR$391="P3",SUMPRODUCT(($F$389:$AJ$389="P3")*$F$393:$AJ$416),0))/(SUMPRODUCT(($C$393:$C$416=AR$391)*($F$389:$AJ$389=""))+IF(AR$391="P3",COUNTIF($F$389:$AJ$389,"P3")*ROWS($C$393:$C$416),0)),"")</f>
        <v/>
      </c>
    </row>
    <row r="413" spans="1:44" ht="14.25" customHeight="1" x14ac:dyDescent="0.35">
      <c r="A413" s="1" t="s">
        <v>14</v>
      </c>
      <c r="B413" s="1" t="s">
        <v>15</v>
      </c>
      <c r="C413" s="1" t="s">
        <v>13</v>
      </c>
      <c r="D413" s="1" t="s">
        <v>13</v>
      </c>
      <c r="E413" s="1" t="s">
        <v>39</v>
      </c>
      <c r="F413" s="1">
        <v>1.2751399999999999</v>
      </c>
      <c r="G413" s="1">
        <v>1.22984</v>
      </c>
      <c r="H413" s="1">
        <v>1.2692000000000001</v>
      </c>
      <c r="I413" s="1">
        <v>1.26393</v>
      </c>
      <c r="J413" s="1">
        <v>1.28433</v>
      </c>
      <c r="K413" s="1">
        <v>1.24295</v>
      </c>
      <c r="L413" s="1">
        <v>1.2397800000000001</v>
      </c>
      <c r="M413" s="1">
        <v>1.2203599999999999</v>
      </c>
      <c r="N413" s="1">
        <v>1.22984</v>
      </c>
      <c r="O413" s="1">
        <v>1.2692000000000001</v>
      </c>
      <c r="P413" s="1">
        <v>1.26393</v>
      </c>
      <c r="Q413" s="1">
        <v>1.28433</v>
      </c>
      <c r="R413" s="1">
        <v>1.28285</v>
      </c>
      <c r="S413" s="1">
        <v>1.2397800000000001</v>
      </c>
      <c r="T413" s="1">
        <v>1.2751399999999999</v>
      </c>
      <c r="U413" s="1">
        <v>1.22984</v>
      </c>
      <c r="V413" s="1">
        <v>1.2692000000000001</v>
      </c>
      <c r="W413" s="1">
        <v>1.26393</v>
      </c>
      <c r="X413" s="1">
        <v>1.28433</v>
      </c>
      <c r="Y413" s="1">
        <v>1.28285</v>
      </c>
      <c r="Z413" s="1">
        <v>1.2397800000000001</v>
      </c>
      <c r="AA413" s="1">
        <v>1.2751399999999999</v>
      </c>
      <c r="AB413" s="1">
        <v>1.22984</v>
      </c>
      <c r="AC413" s="1">
        <v>1.2692000000000001</v>
      </c>
      <c r="AD413" s="1">
        <v>1.30097</v>
      </c>
      <c r="AE413" s="1">
        <v>1.28433</v>
      </c>
      <c r="AF413" s="1">
        <v>1.28285</v>
      </c>
      <c r="AG413" s="1">
        <v>1.2397800000000001</v>
      </c>
      <c r="AH413" s="1">
        <v>1.2751399999999999</v>
      </c>
      <c r="AI413" s="1">
        <v>1.22984</v>
      </c>
      <c r="AJ413" s="1">
        <v>1.2692000000000001</v>
      </c>
      <c r="AL413" s="4" t="s">
        <v>21</v>
      </c>
      <c r="AM413" s="6" t="str" cm="1">
        <f t="array" ref="AM413">IFERROR((SUMPRODUCT(($B$393:$B$416=AM$391)*($F$390:$AJ$390="")*$F$393:$AJ$416)+IF(AM$391="P6",SUMPRODUCT(($F$390:$AJ$390="P6")*$F$393:$AJ$416),0))/(SUMPRODUCT(($B$393:$B$416=AM$391)*($F$390:$AJ$390=""))+IF(AM$391="P6",COUNTIF($F$390:$AJ$390,"P6")*ROWS($B$393:$B$416),0)),"")</f>
        <v/>
      </c>
      <c r="AN413" s="6" t="str" cm="1">
        <f t="array" ref="AN413">IFERROR((SUMPRODUCT(($B$393:$B$416=AN$391)*($F$390:$AJ$390="")*$F$393:$AJ$416)+IF(AN$391="P6",SUMPRODUCT(($F$390:$AJ$390="P6")*$F$393:$AJ$416),0))/(SUMPRODUCT(($B$393:$B$416=AN$391)*($F$390:$AJ$390=""))+IF(AN$391="P6",COUNTIF($F$390:$AJ$390,"P6")*ROWS($B$393:$B$416),0)),"")</f>
        <v/>
      </c>
      <c r="AO413" s="6" cm="1">
        <f t="array" ref="AO413">IFERROR((SUMPRODUCT(($B$393:$B$416=AO$391)*($F$390:$AJ$390="")*$F$393:$AJ$416)+IF(AO$391="P6",SUMPRODUCT(($F$390:$AJ$390="P6")*$F$393:$AJ$416),0))/(SUMPRODUCT(($B$393:$B$416=AO$391)*($F$390:$AJ$390=""))+IF(AO$391="P6",COUNTIF($F$390:$AJ$390,"P6")*ROWS($B$393:$B$416),0)),"")</f>
        <v>1.144020499999999</v>
      </c>
      <c r="AP413" s="6" cm="1">
        <f t="array" ref="AP413">IFERROR((SUMPRODUCT(($B$393:$B$416=AP$391)*($F$390:$AJ$390="")*$F$393:$AJ$416)+IF(AP$391="P6",SUMPRODUCT(($F$390:$AJ$390="P6")*$F$393:$AJ$416),0))/(SUMPRODUCT(($B$393:$B$416=AP$391)*($F$390:$AJ$390=""))+IF(AP$391="P6",COUNTIF($F$390:$AJ$390,"P6")*ROWS($B$393:$B$416),0)),"")</f>
        <v>1.2162245714285711</v>
      </c>
      <c r="AQ413" s="6" t="str" cm="1">
        <f t="array" ref="AQ413">IFERROR((SUMPRODUCT(($B$393:$B$416=AQ$391)*($F$390:$AJ$390="")*$F$393:$AJ$416)+IF(AQ$391="P6",SUMPRODUCT(($F$390:$AJ$390="P6")*$F$393:$AJ$416),0))/(SUMPRODUCT(($B$393:$B$416=AQ$391)*($F$390:$AJ$390=""))+IF(AQ$391="P6",COUNTIF($F$390:$AJ$390,"P6")*ROWS($B$393:$B$416),0)),"")</f>
        <v/>
      </c>
      <c r="AR413" s="6" cm="1">
        <f t="array" ref="AR413">IFERROR((SUMPRODUCT(($B$393:$B$416=AR$391)*($F$390:$AJ$390="")*$F$393:$AJ$416)+IF(AR$391="P6",SUMPRODUCT(($F$390:$AJ$390="P6")*$F$393:$AJ$416),0))/(SUMPRODUCT(($B$393:$B$416=AR$391)*($F$390:$AJ$390=""))+IF(AR$391="P6",COUNTIF($F$390:$AJ$390,"P6")*ROWS($B$393:$B$416),0)),"")</f>
        <v>1.2941850471698122</v>
      </c>
    </row>
    <row r="414" spans="1:44" ht="14.25" customHeight="1" x14ac:dyDescent="0.35">
      <c r="A414" s="1" t="s">
        <v>14</v>
      </c>
      <c r="B414" s="1" t="s">
        <v>15</v>
      </c>
      <c r="C414" s="1" t="s">
        <v>13</v>
      </c>
      <c r="D414" s="1" t="s">
        <v>13</v>
      </c>
      <c r="E414" s="1" t="s">
        <v>40</v>
      </c>
      <c r="F414" s="1">
        <v>1.25909</v>
      </c>
      <c r="G414" s="1">
        <v>1.25454</v>
      </c>
      <c r="H414" s="1">
        <v>1.3005800000000001</v>
      </c>
      <c r="I414" s="1">
        <v>1.2941499999999999</v>
      </c>
      <c r="J414" s="1">
        <v>1.3145500000000001</v>
      </c>
      <c r="K414" s="1">
        <v>1.25214</v>
      </c>
      <c r="L414" s="1">
        <v>1.24803</v>
      </c>
      <c r="M414" s="1">
        <v>1.2191399999999999</v>
      </c>
      <c r="N414" s="1">
        <v>1.25454</v>
      </c>
      <c r="O414" s="1">
        <v>1.3005800000000001</v>
      </c>
      <c r="P414" s="1">
        <v>1.2941499999999999</v>
      </c>
      <c r="Q414" s="1">
        <v>1.3145500000000001</v>
      </c>
      <c r="R414" s="1">
        <v>1.3090900000000001</v>
      </c>
      <c r="S414" s="1">
        <v>1.24803</v>
      </c>
      <c r="T414" s="1">
        <v>1.25909</v>
      </c>
      <c r="U414" s="1">
        <v>1.25454</v>
      </c>
      <c r="V414" s="1">
        <v>1.3005800000000001</v>
      </c>
      <c r="W414" s="1">
        <v>1.2941499999999999</v>
      </c>
      <c r="X414" s="1">
        <v>1.3145500000000001</v>
      </c>
      <c r="Y414" s="1">
        <v>1.3090900000000001</v>
      </c>
      <c r="Z414" s="1">
        <v>1.24803</v>
      </c>
      <c r="AA414" s="1">
        <v>1.25909</v>
      </c>
      <c r="AB414" s="1">
        <v>1.25454</v>
      </c>
      <c r="AC414" s="1">
        <v>1.3005800000000001</v>
      </c>
      <c r="AD414" s="1">
        <v>1.2982100000000001</v>
      </c>
      <c r="AE414" s="1">
        <v>1.3145500000000001</v>
      </c>
      <c r="AF414" s="1">
        <v>1.3090900000000001</v>
      </c>
      <c r="AG414" s="1">
        <v>1.24803</v>
      </c>
      <c r="AH414" s="1">
        <v>1.25909</v>
      </c>
      <c r="AI414" s="1">
        <v>1.25454</v>
      </c>
      <c r="AJ414" s="1">
        <v>1.3005800000000001</v>
      </c>
      <c r="AL414" s="4" t="s">
        <v>23</v>
      </c>
      <c r="AM414" s="6" t="str" cm="1">
        <f t="array" ref="AM414">IFERROR((SUMPRODUCT(($B$393:$B$416=AM$391)*($F$390:$AJ$390="")*$F$393:$AJ$416)+IF(AM$391="P6",SUMPRODUCT(($F$390:$AJ$390="P6")*$F$393:$AJ$416),0))/(SUMPRODUCT(($B$393:$B$416=AM$391)*($F$390:$AJ$390=""))+IF(AM$391="P6",COUNTIF($F$390:$AJ$390,"P6")*ROWS($B$393:$B$416),0)),"")</f>
        <v/>
      </c>
      <c r="AN414" s="6" t="str" cm="1">
        <f t="array" ref="AN414">IFERROR((SUMPRODUCT(($B$393:$B$416=AN$391)*($F$390:$AJ$390="")*$F$393:$AJ$416)+IF(AN$391="P6",SUMPRODUCT(($F$390:$AJ$390="P6")*$F$393:$AJ$416),0))/(SUMPRODUCT(($B$393:$B$416=AN$391)*($F$390:$AJ$390=""))+IF(AN$391="P6",COUNTIF($F$390:$AJ$390,"P6")*ROWS($B$393:$B$416),0)),"")</f>
        <v/>
      </c>
      <c r="AO414" s="6" cm="1">
        <f t="array" ref="AO414">IFERROR((SUMPRODUCT(($B$393:$B$416=AO$391)*($F$390:$AJ$390="")*$F$393:$AJ$416)+IF(AO$391="P6",SUMPRODUCT(($F$390:$AJ$390="P6")*$F$393:$AJ$416),0))/(SUMPRODUCT(($B$393:$B$416=AO$391)*($F$390:$AJ$390=""))+IF(AO$391="P6",COUNTIF($F$390:$AJ$390,"P6")*ROWS($B$393:$B$416),0)),"")</f>
        <v>1.144020499999999</v>
      </c>
      <c r="AP414" s="6" cm="1">
        <f t="array" ref="AP414">IFERROR((SUMPRODUCT(($B$393:$B$416=AP$391)*($F$390:$AJ$390="")*$F$393:$AJ$416)+IF(AP$391="P6",SUMPRODUCT(($F$390:$AJ$390="P6")*$F$393:$AJ$416),0))/(SUMPRODUCT(($B$393:$B$416=AP$391)*($F$390:$AJ$390=""))+IF(AP$391="P6",COUNTIF($F$390:$AJ$390,"P6")*ROWS($B$393:$B$416),0)),"")</f>
        <v>1.2162245714285711</v>
      </c>
      <c r="AQ414" s="6" t="str" cm="1">
        <f t="array" ref="AQ414">IFERROR((SUMPRODUCT(($B$393:$B$416=AQ$391)*($F$390:$AJ$390="")*$F$393:$AJ$416)+IF(AQ$391="P6",SUMPRODUCT(($F$390:$AJ$390="P6")*$F$393:$AJ$416),0))/(SUMPRODUCT(($B$393:$B$416=AQ$391)*($F$390:$AJ$390=""))+IF(AQ$391="P6",COUNTIF($F$390:$AJ$390,"P6")*ROWS($B$393:$B$416),0)),"")</f>
        <v/>
      </c>
      <c r="AR414" s="6" cm="1">
        <f t="array" ref="AR414">IFERROR((SUMPRODUCT(($B$393:$B$416=AR$391)*($F$390:$AJ$390="")*$F$393:$AJ$416)+IF(AR$391="P6",SUMPRODUCT(($F$390:$AJ$390="P6")*$F$393:$AJ$416),0))/(SUMPRODUCT(($B$393:$B$416=AR$391)*($F$390:$AJ$390=""))+IF(AR$391="P6",COUNTIF($F$390:$AJ$390,"P6")*ROWS($B$393:$B$416),0)),"")</f>
        <v>1.2941850471698122</v>
      </c>
    </row>
    <row r="415" spans="1:44" ht="14.25" customHeight="1" x14ac:dyDescent="0.35">
      <c r="A415" s="1" t="s">
        <v>15</v>
      </c>
      <c r="B415" s="1" t="s">
        <v>16</v>
      </c>
      <c r="C415" s="1" t="s">
        <v>14</v>
      </c>
      <c r="D415" s="1" t="s">
        <v>14</v>
      </c>
      <c r="E415" s="1" t="s">
        <v>41</v>
      </c>
      <c r="F415" s="1">
        <v>1.2702</v>
      </c>
      <c r="G415" s="1">
        <v>1.31158</v>
      </c>
      <c r="H415" s="1">
        <v>1.3501700000000001</v>
      </c>
      <c r="I415" s="1">
        <v>1.3564099999999999</v>
      </c>
      <c r="J415" s="1">
        <v>1.3636999999999999</v>
      </c>
      <c r="K415" s="1">
        <v>1.28027</v>
      </c>
      <c r="L415" s="1">
        <v>1.27674</v>
      </c>
      <c r="M415" s="1">
        <v>1.2398400000000001</v>
      </c>
      <c r="N415" s="1">
        <v>1.31158</v>
      </c>
      <c r="O415" s="1">
        <v>1.3501700000000001</v>
      </c>
      <c r="P415" s="1">
        <v>1.3564099999999999</v>
      </c>
      <c r="Q415" s="1">
        <v>1.3636999999999999</v>
      </c>
      <c r="R415" s="1">
        <v>1.34663</v>
      </c>
      <c r="S415" s="1">
        <v>1.27674</v>
      </c>
      <c r="T415" s="1">
        <v>1.2702</v>
      </c>
      <c r="U415" s="1">
        <v>1.31158</v>
      </c>
      <c r="V415" s="1">
        <v>1.3501700000000001</v>
      </c>
      <c r="W415" s="1">
        <v>1.3564099999999999</v>
      </c>
      <c r="X415" s="1">
        <v>1.3636999999999999</v>
      </c>
      <c r="Y415" s="1">
        <v>1.34663</v>
      </c>
      <c r="Z415" s="1">
        <v>1.27674</v>
      </c>
      <c r="AA415" s="1">
        <v>1.2702</v>
      </c>
      <c r="AB415" s="1">
        <v>1.31158</v>
      </c>
      <c r="AC415" s="1">
        <v>1.3501700000000001</v>
      </c>
      <c r="AD415" s="1">
        <v>1.3209200000000001</v>
      </c>
      <c r="AE415" s="1">
        <v>1.3636999999999999</v>
      </c>
      <c r="AF415" s="1">
        <v>1.34663</v>
      </c>
      <c r="AG415" s="1">
        <v>1.27674</v>
      </c>
      <c r="AH415" s="1">
        <v>1.2702</v>
      </c>
      <c r="AI415" s="1">
        <v>1.31158</v>
      </c>
      <c r="AJ415" s="1">
        <v>1.3501700000000001</v>
      </c>
      <c r="AL415" s="4" t="s">
        <v>25</v>
      </c>
      <c r="AM415" s="6" t="str" cm="1">
        <f t="array" ref="AM415">IFERROR((SUMPRODUCT(($B$393:$B$416=AM$391)*($F$390:$AJ$390="")*$F$393:$AJ$416)+IF(AM$391="P6",SUMPRODUCT(($F$390:$AJ$390="P6")*$F$393:$AJ$416),0))/(SUMPRODUCT(($B$393:$B$416=AM$391)*($F$390:$AJ$390=""))+IF(AM$391="P6",COUNTIF($F$390:$AJ$390,"P6")*ROWS($B$393:$B$416),0)),"")</f>
        <v/>
      </c>
      <c r="AN415" s="6" t="str" cm="1">
        <f t="array" ref="AN415">IFERROR((SUMPRODUCT(($B$393:$B$416=AN$391)*($F$390:$AJ$390="")*$F$393:$AJ$416)+IF(AN$391="P6",SUMPRODUCT(($F$390:$AJ$390="P6")*$F$393:$AJ$416),0))/(SUMPRODUCT(($B$393:$B$416=AN$391)*($F$390:$AJ$390=""))+IF(AN$391="P6",COUNTIF($F$390:$AJ$390,"P6")*ROWS($B$393:$B$416),0)),"")</f>
        <v/>
      </c>
      <c r="AO415" s="6" cm="1">
        <f t="array" ref="AO415">IFERROR((SUMPRODUCT(($B$393:$B$416=AO$391)*($F$390:$AJ$390="")*$F$393:$AJ$416)+IF(AO$391="P6",SUMPRODUCT(($F$390:$AJ$390="P6")*$F$393:$AJ$416),0))/(SUMPRODUCT(($B$393:$B$416=AO$391)*($F$390:$AJ$390=""))+IF(AO$391="P6",COUNTIF($F$390:$AJ$390,"P6")*ROWS($B$393:$B$416),0)),"")</f>
        <v>1.144020499999999</v>
      </c>
      <c r="AP415" s="6" cm="1">
        <f t="array" ref="AP415">IFERROR((SUMPRODUCT(($B$393:$B$416=AP$391)*($F$390:$AJ$390="")*$F$393:$AJ$416)+IF(AP$391="P6",SUMPRODUCT(($F$390:$AJ$390="P6")*$F$393:$AJ$416),0))/(SUMPRODUCT(($B$393:$B$416=AP$391)*($F$390:$AJ$390=""))+IF(AP$391="P6",COUNTIF($F$390:$AJ$390,"P6")*ROWS($B$393:$B$416),0)),"")</f>
        <v>1.2162245714285711</v>
      </c>
      <c r="AQ415" s="6" t="str" cm="1">
        <f t="array" ref="AQ415">IFERROR((SUMPRODUCT(($B$393:$B$416=AQ$391)*($F$390:$AJ$390="")*$F$393:$AJ$416)+IF(AQ$391="P6",SUMPRODUCT(($F$390:$AJ$390="P6")*$F$393:$AJ$416),0))/(SUMPRODUCT(($B$393:$B$416=AQ$391)*($F$390:$AJ$390=""))+IF(AQ$391="P6",COUNTIF($F$390:$AJ$390,"P6")*ROWS($B$393:$B$416),0)),"")</f>
        <v/>
      </c>
      <c r="AR415" s="6" cm="1">
        <f t="array" ref="AR415">IFERROR((SUMPRODUCT(($B$393:$B$416=AR$391)*($F$390:$AJ$390="")*$F$393:$AJ$416)+IF(AR$391="P6",SUMPRODUCT(($F$390:$AJ$390="P6")*$F$393:$AJ$416),0))/(SUMPRODUCT(($B$393:$B$416=AR$391)*($F$390:$AJ$390=""))+IF(AR$391="P6",COUNTIF($F$390:$AJ$390,"P6")*ROWS($B$393:$B$416),0)),"")</f>
        <v>1.2941850471698122</v>
      </c>
    </row>
    <row r="416" spans="1:44" ht="14.25" customHeight="1" x14ac:dyDescent="0.35">
      <c r="A416" s="1" t="s">
        <v>15</v>
      </c>
      <c r="B416" s="1" t="s">
        <v>16</v>
      </c>
      <c r="C416" s="1" t="s">
        <v>14</v>
      </c>
      <c r="D416" s="1" t="s">
        <v>14</v>
      </c>
      <c r="E416" s="1" t="s">
        <v>42</v>
      </c>
      <c r="F416" s="1">
        <v>1.3124199999999999</v>
      </c>
      <c r="G416" s="1">
        <v>1.3420300000000001</v>
      </c>
      <c r="H416" s="1">
        <v>1.3872</v>
      </c>
      <c r="I416" s="1">
        <v>1.4112100000000001</v>
      </c>
      <c r="J416" s="1">
        <v>1.40483</v>
      </c>
      <c r="K416" s="1">
        <v>1.30748</v>
      </c>
      <c r="L416" s="1">
        <v>1.32531</v>
      </c>
      <c r="M416" s="1">
        <v>1.27138</v>
      </c>
      <c r="N416" s="1">
        <v>1.3420300000000001</v>
      </c>
      <c r="O416" s="1">
        <v>1.3872</v>
      </c>
      <c r="P416" s="1">
        <v>1.4112100000000001</v>
      </c>
      <c r="Q416" s="1">
        <v>1.40483</v>
      </c>
      <c r="R416" s="1">
        <v>1.39208</v>
      </c>
      <c r="S416" s="1">
        <v>1.32531</v>
      </c>
      <c r="T416" s="1">
        <v>1.3124199999999999</v>
      </c>
      <c r="U416" s="1">
        <v>1.3420300000000001</v>
      </c>
      <c r="V416" s="1">
        <v>1.3872</v>
      </c>
      <c r="W416" s="1">
        <v>1.4112100000000001</v>
      </c>
      <c r="X416" s="1">
        <v>1.40483</v>
      </c>
      <c r="Y416" s="1">
        <v>1.39208</v>
      </c>
      <c r="Z416" s="1">
        <v>1.32531</v>
      </c>
      <c r="AA416" s="1">
        <v>1.3124199999999999</v>
      </c>
      <c r="AB416" s="1">
        <v>1.3420300000000001</v>
      </c>
      <c r="AC416" s="1">
        <v>1.3872</v>
      </c>
      <c r="AD416" s="1">
        <v>1.35439</v>
      </c>
      <c r="AE416" s="1">
        <v>1.40483</v>
      </c>
      <c r="AF416" s="1">
        <v>1.39208</v>
      </c>
      <c r="AG416" s="1">
        <v>1.32531</v>
      </c>
      <c r="AH416" s="1">
        <v>1.3124199999999999</v>
      </c>
      <c r="AI416" s="1">
        <v>1.3420300000000001</v>
      </c>
      <c r="AJ416" s="1">
        <v>1.3872</v>
      </c>
      <c r="AL416" s="4" t="s">
        <v>27</v>
      </c>
      <c r="AM416" s="6" t="str" cm="1">
        <f t="array" ref="AM416">IFERROR((SUMPRODUCT(($B$393:$B$416=AM$391)*($F$390:$AJ$390="")*$F$393:$AJ$416)+IF(AM$391="P6",SUMPRODUCT(($F$390:$AJ$390="P6")*$F$393:$AJ$416),0))/(SUMPRODUCT(($B$393:$B$416=AM$391)*($F$390:$AJ$390=""))+IF(AM$391="P6",COUNTIF($F$390:$AJ$390,"P6")*ROWS($B$393:$B$416),0)),"")</f>
        <v/>
      </c>
      <c r="AN416" s="6" t="str" cm="1">
        <f t="array" ref="AN416">IFERROR((SUMPRODUCT(($B$393:$B$416=AN$391)*($F$390:$AJ$390="")*$F$393:$AJ$416)+IF(AN$391="P6",SUMPRODUCT(($F$390:$AJ$390="P6")*$F$393:$AJ$416),0))/(SUMPRODUCT(($B$393:$B$416=AN$391)*($F$390:$AJ$390=""))+IF(AN$391="P6",COUNTIF($F$390:$AJ$390,"P6")*ROWS($B$393:$B$416),0)),"")</f>
        <v/>
      </c>
      <c r="AO416" s="6" cm="1">
        <f t="array" ref="AO416">IFERROR((SUMPRODUCT(($B$393:$B$416=AO$391)*($F$390:$AJ$390="")*$F$393:$AJ$416)+IF(AO$391="P6",SUMPRODUCT(($F$390:$AJ$390="P6")*$F$393:$AJ$416),0))/(SUMPRODUCT(($B$393:$B$416=AO$391)*($F$390:$AJ$390=""))+IF(AO$391="P6",COUNTIF($F$390:$AJ$390,"P6")*ROWS($B$393:$B$416),0)),"")</f>
        <v>1.144020499999999</v>
      </c>
      <c r="AP416" s="6" cm="1">
        <f t="array" ref="AP416">IFERROR((SUMPRODUCT(($B$393:$B$416=AP$391)*($F$390:$AJ$390="")*$F$393:$AJ$416)+IF(AP$391="P6",SUMPRODUCT(($F$390:$AJ$390="P6")*$F$393:$AJ$416),0))/(SUMPRODUCT(($B$393:$B$416=AP$391)*($F$390:$AJ$390=""))+IF(AP$391="P6",COUNTIF($F$390:$AJ$390,"P6")*ROWS($B$393:$B$416),0)),"")</f>
        <v>1.2162245714285711</v>
      </c>
      <c r="AQ416" s="6" t="str" cm="1">
        <f t="array" ref="AQ416">IFERROR((SUMPRODUCT(($B$393:$B$416=AQ$391)*($F$390:$AJ$390="")*$F$393:$AJ$416)+IF(AQ$391="P6",SUMPRODUCT(($F$390:$AJ$390="P6")*$F$393:$AJ$416),0))/(SUMPRODUCT(($B$393:$B$416=AQ$391)*($F$390:$AJ$390=""))+IF(AQ$391="P6",COUNTIF($F$390:$AJ$390,"P6")*ROWS($B$393:$B$416),0)),"")</f>
        <v/>
      </c>
      <c r="AR416" s="6" cm="1">
        <f t="array" ref="AR416">IFERROR((SUMPRODUCT(($B$393:$B$416=AR$391)*($F$390:$AJ$390="")*$F$393:$AJ$416)+IF(AR$391="P6",SUMPRODUCT(($F$390:$AJ$390="P6")*$F$393:$AJ$416),0))/(SUMPRODUCT(($B$393:$B$416=AR$391)*($F$390:$AJ$390=""))+IF(AR$391="P6",COUNTIF($F$390:$AJ$390,"P6")*ROWS($B$393:$B$416),0)),"")</f>
        <v>1.2941850471698122</v>
      </c>
    </row>
    <row r="417" spans="38:44" ht="14.25" customHeight="1" x14ac:dyDescent="0.35">
      <c r="AL417" s="4" t="s">
        <v>29</v>
      </c>
      <c r="AM417" s="6" t="str" cm="1">
        <f t="array" ref="AM417">IFERROR((SUMPRODUCT(($B$393:$B$416=AM$391)*($F$390:$AJ$390="")*$F$393:$AJ$416)+IF(AM$391="P6",SUMPRODUCT(($F$390:$AJ$390="P6")*$F$393:$AJ$416),0))/(SUMPRODUCT(($B$393:$B$416=AM$391)*($F$390:$AJ$390=""))+IF(AM$391="P6",COUNTIF($F$390:$AJ$390,"P6")*ROWS($B$393:$B$416),0)),"")</f>
        <v/>
      </c>
      <c r="AN417" s="6" t="str" cm="1">
        <f t="array" ref="AN417">IFERROR((SUMPRODUCT(($B$393:$B$416=AN$391)*($F$390:$AJ$390="")*$F$393:$AJ$416)+IF(AN$391="P6",SUMPRODUCT(($F$390:$AJ$390="P6")*$F$393:$AJ$416),0))/(SUMPRODUCT(($B$393:$B$416=AN$391)*($F$390:$AJ$390=""))+IF(AN$391="P6",COUNTIF($F$390:$AJ$390,"P6")*ROWS($B$393:$B$416),0)),"")</f>
        <v/>
      </c>
      <c r="AO417" s="6" cm="1">
        <f t="array" ref="AO417">IFERROR((SUMPRODUCT(($B$393:$B$416=AO$391)*($F$390:$AJ$390="")*$F$393:$AJ$416)+IF(AO$391="P6",SUMPRODUCT(($F$390:$AJ$390="P6")*$F$393:$AJ$416),0))/(SUMPRODUCT(($B$393:$B$416=AO$391)*($F$390:$AJ$390=""))+IF(AO$391="P6",COUNTIF($F$390:$AJ$390,"P6")*ROWS($B$393:$B$416),0)),"")</f>
        <v>1.144020499999999</v>
      </c>
      <c r="AP417" s="6" cm="1">
        <f t="array" ref="AP417">IFERROR((SUMPRODUCT(($B$393:$B$416=AP$391)*($F$390:$AJ$390="")*$F$393:$AJ$416)+IF(AP$391="P6",SUMPRODUCT(($F$390:$AJ$390="P6")*$F$393:$AJ$416),0))/(SUMPRODUCT(($B$393:$B$416=AP$391)*($F$390:$AJ$390=""))+IF(AP$391="P6",COUNTIF($F$390:$AJ$390,"P6")*ROWS($B$393:$B$416),0)),"")</f>
        <v>1.2162245714285711</v>
      </c>
      <c r="AQ417" s="6" t="str" cm="1">
        <f t="array" ref="AQ417">IFERROR((SUMPRODUCT(($B$393:$B$416=AQ$391)*($F$390:$AJ$390="")*$F$393:$AJ$416)+IF(AQ$391="P6",SUMPRODUCT(($F$390:$AJ$390="P6")*$F$393:$AJ$416),0))/(SUMPRODUCT(($B$393:$B$416=AQ$391)*($F$390:$AJ$390=""))+IF(AQ$391="P6",COUNTIF($F$390:$AJ$390,"P6")*ROWS($B$393:$B$416),0)),"")</f>
        <v/>
      </c>
      <c r="AR417" s="6" cm="1">
        <f t="array" ref="AR417">IFERROR((SUMPRODUCT(($B$393:$B$416=AR$391)*($F$390:$AJ$390="")*$F$393:$AJ$416)+IF(AR$391="P6",SUMPRODUCT(($F$390:$AJ$390="P6")*$F$393:$AJ$416),0))/(SUMPRODUCT(($B$393:$B$416=AR$391)*($F$390:$AJ$390=""))+IF(AR$391="P6",COUNTIF($F$390:$AJ$390,"P6")*ROWS($B$393:$B$416),0)),"")</f>
        <v>1.2941850471698122</v>
      </c>
    </row>
  </sheetData>
  <mergeCells count="53">
    <mergeCell ref="AL410:AR410"/>
    <mergeCell ref="A316:AR317"/>
    <mergeCell ref="AL320:AR320"/>
    <mergeCell ref="AL330:AR330"/>
    <mergeCell ref="AL340:AR340"/>
    <mergeCell ref="A351:AR352"/>
    <mergeCell ref="AL355:AR355"/>
    <mergeCell ref="AL365:AR365"/>
    <mergeCell ref="AL375:AR375"/>
    <mergeCell ref="A386:AR387"/>
    <mergeCell ref="AL390:AR390"/>
    <mergeCell ref="AL400:AR400"/>
    <mergeCell ref="AL305:AR305"/>
    <mergeCell ref="A211:AR212"/>
    <mergeCell ref="AL215:AR215"/>
    <mergeCell ref="AL225:AR225"/>
    <mergeCell ref="AL235:AR235"/>
    <mergeCell ref="A246:AR247"/>
    <mergeCell ref="AL250:AR250"/>
    <mergeCell ref="AL260:AR260"/>
    <mergeCell ref="AL270:AR270"/>
    <mergeCell ref="A281:AR282"/>
    <mergeCell ref="AL285:AR285"/>
    <mergeCell ref="AL295:AR295"/>
    <mergeCell ref="AL200:AR200"/>
    <mergeCell ref="A106:AR107"/>
    <mergeCell ref="AL110:AR110"/>
    <mergeCell ref="AL120:AR120"/>
    <mergeCell ref="AL130:AR130"/>
    <mergeCell ref="A141:AR142"/>
    <mergeCell ref="AL145:AR145"/>
    <mergeCell ref="AL155:AR155"/>
    <mergeCell ref="AL165:AR165"/>
    <mergeCell ref="A176:AR177"/>
    <mergeCell ref="AL180:AR180"/>
    <mergeCell ref="AL190:AR190"/>
    <mergeCell ref="AL95:AR95"/>
    <mergeCell ref="AL15:AR15"/>
    <mergeCell ref="AL25:AR25"/>
    <mergeCell ref="BC26:BI26"/>
    <mergeCell ref="A36:AR37"/>
    <mergeCell ref="AL40:AR40"/>
    <mergeCell ref="BC42:BI42"/>
    <mergeCell ref="AL50:AR50"/>
    <mergeCell ref="AL60:AR60"/>
    <mergeCell ref="A71:AR72"/>
    <mergeCell ref="AL75:AR75"/>
    <mergeCell ref="AL85:AR85"/>
    <mergeCell ref="A1:AR2"/>
    <mergeCell ref="AT1:AW1"/>
    <mergeCell ref="AX1:BB1"/>
    <mergeCell ref="AL5:AR5"/>
    <mergeCell ref="BC10:BI10"/>
  </mergeCells>
  <conditionalFormatting sqref="A1 AS1:XFD10 AL3:AR4 A3:AK24 AL5:AL12 AS11:BC11 BJ11:XFD11 AS12:XFD22 AL15:AL22 BB23:BJ26 AS23:BA36 BK23:XFD36 A25:AL35 BB27:BC27 BJ27 BB28:BJ36 A36 AS37:XFD38 AL38:AR39 A38:AK67 BB39:BJ42 AS39:BA52 BK39:XFD52 AL40:AL47 BB43:BC43 BJ43 BB44:BJ52 AL50:AL57 AS53:XFD1048576 AL60:AL67 A68:AL70 A71 AL73:AR74 A73:AK102 AL75:AL82 AL85:AL92 AL95:AL102 A103:AL105 A106 AL108:AR109 A108:AK137 AL110:AL117 AL120:AL127 AL130:AL137 A138:AL140 A141 AL143:AR144 A143:AK172 AL145:AL152 AL155:AL162 AL165:AL172 A173:AL175 A176 AL178:AR179 A178:AK207 AL180:AL187 AL190:AL197 AL200:AL207 A208:AL210 A211 AL213:AR214 A213:AK242 AL215:AL222 AL225:AL232 AL235:AL242 A243:AL245 A246 AL248:AR249 A248:AK277 AL250:AL257 AL260:AL267 AL270:AL277 A278:AL280 A281 AL283:AR284 A283:AK312 AL285:AL292 AL295:AL302 AL305:AL312 A313:AL315 A316 AL318:AR319 A318:AK347 AL320:AL327 AL330:AL337 AL340:AL347 A348:AL350 A351 AL353:AR354 A353:AK382 AL355:AL362 AL365:AL372 AL375:AL382 A383:AL385 A386 AL388:AR389 A388:AK417 AL390:AL397 AL400:AL407 AL410:AL417 A418:AL1048576">
    <cfRule type="cellIs" dxfId="449" priority="149" operator="equal">
      <formula>"P5"</formula>
    </cfRule>
    <cfRule type="cellIs" dxfId="448" priority="148" operator="equal">
      <formula>"P4"</formula>
    </cfRule>
    <cfRule type="cellIs" dxfId="447" priority="147" operator="equal">
      <formula>"P3"</formula>
    </cfRule>
    <cfRule type="cellIs" dxfId="446" priority="146" operator="equal">
      <formula>"P2"</formula>
    </cfRule>
    <cfRule type="cellIs" dxfId="445" priority="145" operator="equal">
      <formula>"P1"</formula>
    </cfRule>
    <cfRule type="cellIs" dxfId="444" priority="150" operator="equal">
      <formula>"P6"</formula>
    </cfRule>
  </conditionalFormatting>
  <conditionalFormatting sqref="AL13:AR14">
    <cfRule type="cellIs" dxfId="443" priority="141" operator="equal">
      <formula>"P3"</formula>
    </cfRule>
    <cfRule type="cellIs" dxfId="442" priority="144" operator="equal">
      <formula>"P6"</formula>
    </cfRule>
    <cfRule type="cellIs" dxfId="441" priority="143" operator="equal">
      <formula>"P5"</formula>
    </cfRule>
    <cfRule type="cellIs" dxfId="440" priority="142" operator="equal">
      <formula>"P4"</formula>
    </cfRule>
    <cfRule type="cellIs" dxfId="439" priority="140" operator="equal">
      <formula>"P2"</formula>
    </cfRule>
    <cfRule type="cellIs" dxfId="438" priority="139" operator="equal">
      <formula>"P1"</formula>
    </cfRule>
  </conditionalFormatting>
  <conditionalFormatting sqref="AL23:AR24">
    <cfRule type="cellIs" dxfId="437" priority="138" operator="equal">
      <formula>"P6"</formula>
    </cfRule>
    <cfRule type="cellIs" dxfId="436" priority="137" operator="equal">
      <formula>"P5"</formula>
    </cfRule>
    <cfRule type="cellIs" dxfId="435" priority="136" operator="equal">
      <formula>"P4"</formula>
    </cfRule>
    <cfRule type="cellIs" dxfId="434" priority="135" operator="equal">
      <formula>"P3"</formula>
    </cfRule>
    <cfRule type="cellIs" dxfId="433" priority="134" operator="equal">
      <formula>"P2"</formula>
    </cfRule>
    <cfRule type="cellIs" dxfId="432" priority="133" operator="equal">
      <formula>"P1"</formula>
    </cfRule>
  </conditionalFormatting>
  <conditionalFormatting sqref="AL48:AR49">
    <cfRule type="cellIs" dxfId="431" priority="132" operator="equal">
      <formula>"P6"</formula>
    </cfRule>
    <cfRule type="cellIs" dxfId="430" priority="131" operator="equal">
      <formula>"P5"</formula>
    </cfRule>
    <cfRule type="cellIs" dxfId="429" priority="130" operator="equal">
      <formula>"P4"</formula>
    </cfRule>
    <cfRule type="cellIs" dxfId="428" priority="129" operator="equal">
      <formula>"P3"</formula>
    </cfRule>
    <cfRule type="cellIs" dxfId="427" priority="128" operator="equal">
      <formula>"P2"</formula>
    </cfRule>
    <cfRule type="cellIs" dxfId="426" priority="127" operator="equal">
      <formula>"P1"</formula>
    </cfRule>
  </conditionalFormatting>
  <conditionalFormatting sqref="AL58:AR59">
    <cfRule type="cellIs" dxfId="425" priority="123" operator="equal">
      <formula>"P3"</formula>
    </cfRule>
    <cfRule type="cellIs" dxfId="424" priority="126" operator="equal">
      <formula>"P6"</formula>
    </cfRule>
    <cfRule type="cellIs" dxfId="423" priority="125" operator="equal">
      <formula>"P5"</formula>
    </cfRule>
    <cfRule type="cellIs" dxfId="422" priority="124" operator="equal">
      <formula>"P4"</formula>
    </cfRule>
    <cfRule type="cellIs" dxfId="421" priority="122" operator="equal">
      <formula>"P2"</formula>
    </cfRule>
    <cfRule type="cellIs" dxfId="420" priority="121" operator="equal">
      <formula>"P1"</formula>
    </cfRule>
  </conditionalFormatting>
  <conditionalFormatting sqref="AL83:AR84">
    <cfRule type="cellIs" dxfId="419" priority="116" operator="equal">
      <formula>"P2"</formula>
    </cfRule>
    <cfRule type="cellIs" dxfId="418" priority="120" operator="equal">
      <formula>"P6"</formula>
    </cfRule>
    <cfRule type="cellIs" dxfId="417" priority="119" operator="equal">
      <formula>"P5"</formula>
    </cfRule>
    <cfRule type="cellIs" dxfId="416" priority="118" operator="equal">
      <formula>"P4"</formula>
    </cfRule>
    <cfRule type="cellIs" dxfId="415" priority="117" operator="equal">
      <formula>"P3"</formula>
    </cfRule>
    <cfRule type="cellIs" dxfId="414" priority="115" operator="equal">
      <formula>"P1"</formula>
    </cfRule>
  </conditionalFormatting>
  <conditionalFormatting sqref="AL93:AR94">
    <cfRule type="cellIs" dxfId="413" priority="114" operator="equal">
      <formula>"P6"</formula>
    </cfRule>
    <cfRule type="cellIs" dxfId="412" priority="113" operator="equal">
      <formula>"P5"</formula>
    </cfRule>
    <cfRule type="cellIs" dxfId="411" priority="112" operator="equal">
      <formula>"P4"</formula>
    </cfRule>
    <cfRule type="cellIs" dxfId="410" priority="111" operator="equal">
      <formula>"P3"</formula>
    </cfRule>
    <cfRule type="cellIs" dxfId="409" priority="110" operator="equal">
      <formula>"P2"</formula>
    </cfRule>
    <cfRule type="cellIs" dxfId="408" priority="109" operator="equal">
      <formula>"P1"</formula>
    </cfRule>
  </conditionalFormatting>
  <conditionalFormatting sqref="AL118:AR119">
    <cfRule type="cellIs" dxfId="407" priority="108" operator="equal">
      <formula>"P6"</formula>
    </cfRule>
    <cfRule type="cellIs" dxfId="406" priority="107" operator="equal">
      <formula>"P5"</formula>
    </cfRule>
    <cfRule type="cellIs" dxfId="405" priority="106" operator="equal">
      <formula>"P4"</formula>
    </cfRule>
    <cfRule type="cellIs" dxfId="404" priority="105" operator="equal">
      <formula>"P3"</formula>
    </cfRule>
    <cfRule type="cellIs" dxfId="403" priority="104" operator="equal">
      <formula>"P2"</formula>
    </cfRule>
    <cfRule type="cellIs" dxfId="402" priority="103" operator="equal">
      <formula>"P1"</formula>
    </cfRule>
  </conditionalFormatting>
  <conditionalFormatting sqref="AL128:AR129">
    <cfRule type="cellIs" dxfId="401" priority="102" operator="equal">
      <formula>"P6"</formula>
    </cfRule>
    <cfRule type="cellIs" dxfId="400" priority="101" operator="equal">
      <formula>"P5"</formula>
    </cfRule>
    <cfRule type="cellIs" dxfId="399" priority="100" operator="equal">
      <formula>"P4"</formula>
    </cfRule>
    <cfRule type="cellIs" dxfId="398" priority="99" operator="equal">
      <formula>"P3"</formula>
    </cfRule>
    <cfRule type="cellIs" dxfId="397" priority="98" operator="equal">
      <formula>"P2"</formula>
    </cfRule>
    <cfRule type="cellIs" dxfId="396" priority="97" operator="equal">
      <formula>"P1"</formula>
    </cfRule>
  </conditionalFormatting>
  <conditionalFormatting sqref="AL153:AR154">
    <cfRule type="cellIs" dxfId="395" priority="96" operator="equal">
      <formula>"P6"</formula>
    </cfRule>
    <cfRule type="cellIs" dxfId="394" priority="95" operator="equal">
      <formula>"P5"</formula>
    </cfRule>
    <cfRule type="cellIs" dxfId="393" priority="93" operator="equal">
      <formula>"P3"</formula>
    </cfRule>
    <cfRule type="cellIs" dxfId="392" priority="94" operator="equal">
      <formula>"P4"</formula>
    </cfRule>
    <cfRule type="cellIs" dxfId="391" priority="92" operator="equal">
      <formula>"P2"</formula>
    </cfRule>
    <cfRule type="cellIs" dxfId="390" priority="91" operator="equal">
      <formula>"P1"</formula>
    </cfRule>
  </conditionalFormatting>
  <conditionalFormatting sqref="AL163:AR164">
    <cfRule type="cellIs" dxfId="389" priority="90" operator="equal">
      <formula>"P6"</formula>
    </cfRule>
    <cfRule type="cellIs" dxfId="388" priority="89" operator="equal">
      <formula>"P5"</formula>
    </cfRule>
    <cfRule type="cellIs" dxfId="387" priority="88" operator="equal">
      <formula>"P4"</formula>
    </cfRule>
    <cfRule type="cellIs" dxfId="386" priority="87" operator="equal">
      <formula>"P3"</formula>
    </cfRule>
    <cfRule type="cellIs" dxfId="385" priority="86" operator="equal">
      <formula>"P2"</formula>
    </cfRule>
    <cfRule type="cellIs" dxfId="384" priority="85" operator="equal">
      <formula>"P1"</formula>
    </cfRule>
  </conditionalFormatting>
  <conditionalFormatting sqref="AL188:AR189">
    <cfRule type="cellIs" dxfId="383" priority="84" operator="equal">
      <formula>"P6"</formula>
    </cfRule>
    <cfRule type="cellIs" dxfId="382" priority="83" operator="equal">
      <formula>"P5"</formula>
    </cfRule>
    <cfRule type="cellIs" dxfId="381" priority="82" operator="equal">
      <formula>"P4"</formula>
    </cfRule>
    <cfRule type="cellIs" dxfId="380" priority="81" operator="equal">
      <formula>"P3"</formula>
    </cfRule>
    <cfRule type="cellIs" dxfId="379" priority="80" operator="equal">
      <formula>"P2"</formula>
    </cfRule>
    <cfRule type="cellIs" dxfId="378" priority="79" operator="equal">
      <formula>"P1"</formula>
    </cfRule>
  </conditionalFormatting>
  <conditionalFormatting sqref="AL198:AR199">
    <cfRule type="cellIs" dxfId="377" priority="73" operator="equal">
      <formula>"P1"</formula>
    </cfRule>
    <cfRule type="cellIs" dxfId="376" priority="74" operator="equal">
      <formula>"P2"</formula>
    </cfRule>
    <cfRule type="cellIs" dxfId="375" priority="75" operator="equal">
      <formula>"P3"</formula>
    </cfRule>
    <cfRule type="cellIs" dxfId="374" priority="76" operator="equal">
      <formula>"P4"</formula>
    </cfRule>
    <cfRule type="cellIs" dxfId="373" priority="77" operator="equal">
      <formula>"P5"</formula>
    </cfRule>
    <cfRule type="cellIs" dxfId="372" priority="78" operator="equal">
      <formula>"P6"</formula>
    </cfRule>
  </conditionalFormatting>
  <conditionalFormatting sqref="AL223:AR224">
    <cfRule type="cellIs" dxfId="371" priority="72" operator="equal">
      <formula>"P6"</formula>
    </cfRule>
    <cfRule type="cellIs" dxfId="370" priority="71" operator="equal">
      <formula>"P5"</formula>
    </cfRule>
    <cfRule type="cellIs" dxfId="369" priority="70" operator="equal">
      <formula>"P4"</formula>
    </cfRule>
    <cfRule type="cellIs" dxfId="368" priority="69" operator="equal">
      <formula>"P3"</formula>
    </cfRule>
    <cfRule type="cellIs" dxfId="367" priority="68" operator="equal">
      <formula>"P2"</formula>
    </cfRule>
    <cfRule type="cellIs" dxfId="366" priority="67" operator="equal">
      <formula>"P1"</formula>
    </cfRule>
  </conditionalFormatting>
  <conditionalFormatting sqref="AL233:AR234">
    <cfRule type="cellIs" dxfId="365" priority="66" operator="equal">
      <formula>"P6"</formula>
    </cfRule>
    <cfRule type="cellIs" dxfId="364" priority="65" operator="equal">
      <formula>"P5"</formula>
    </cfRule>
    <cfRule type="cellIs" dxfId="363" priority="64" operator="equal">
      <formula>"P4"</formula>
    </cfRule>
    <cfRule type="cellIs" dxfId="362" priority="63" operator="equal">
      <formula>"P3"</formula>
    </cfRule>
    <cfRule type="cellIs" dxfId="361" priority="62" operator="equal">
      <formula>"P2"</formula>
    </cfRule>
    <cfRule type="cellIs" dxfId="360" priority="61" operator="equal">
      <formula>"P1"</formula>
    </cfRule>
  </conditionalFormatting>
  <conditionalFormatting sqref="AL258:AR259">
    <cfRule type="cellIs" dxfId="359" priority="60" operator="equal">
      <formula>"P6"</formula>
    </cfRule>
    <cfRule type="cellIs" dxfId="358" priority="59" operator="equal">
      <formula>"P5"</formula>
    </cfRule>
    <cfRule type="cellIs" dxfId="357" priority="57" operator="equal">
      <formula>"P3"</formula>
    </cfRule>
    <cfRule type="cellIs" dxfId="356" priority="58" operator="equal">
      <formula>"P4"</formula>
    </cfRule>
    <cfRule type="cellIs" dxfId="355" priority="56" operator="equal">
      <formula>"P2"</formula>
    </cfRule>
    <cfRule type="cellIs" dxfId="354" priority="55" operator="equal">
      <formula>"P1"</formula>
    </cfRule>
  </conditionalFormatting>
  <conditionalFormatting sqref="AL268:AR269">
    <cfRule type="cellIs" dxfId="353" priority="54" operator="equal">
      <formula>"P6"</formula>
    </cfRule>
    <cfRule type="cellIs" dxfId="352" priority="53" operator="equal">
      <formula>"P5"</formula>
    </cfRule>
    <cfRule type="cellIs" dxfId="351" priority="52" operator="equal">
      <formula>"P4"</formula>
    </cfRule>
    <cfRule type="cellIs" dxfId="350" priority="51" operator="equal">
      <formula>"P3"</formula>
    </cfRule>
    <cfRule type="cellIs" dxfId="349" priority="50" operator="equal">
      <formula>"P2"</formula>
    </cfRule>
    <cfRule type="cellIs" dxfId="348" priority="49" operator="equal">
      <formula>"P1"</formula>
    </cfRule>
  </conditionalFormatting>
  <conditionalFormatting sqref="AL293:AR294">
    <cfRule type="cellIs" dxfId="347" priority="48" operator="equal">
      <formula>"P6"</formula>
    </cfRule>
    <cfRule type="cellIs" dxfId="346" priority="47" operator="equal">
      <formula>"P5"</formula>
    </cfRule>
    <cfRule type="cellIs" dxfId="345" priority="46" operator="equal">
      <formula>"P4"</formula>
    </cfRule>
    <cfRule type="cellIs" dxfId="344" priority="45" operator="equal">
      <formula>"P3"</formula>
    </cfRule>
    <cfRule type="cellIs" dxfId="343" priority="44" operator="equal">
      <formula>"P2"</formula>
    </cfRule>
    <cfRule type="cellIs" dxfId="342" priority="43" operator="equal">
      <formula>"P1"</formula>
    </cfRule>
  </conditionalFormatting>
  <conditionalFormatting sqref="AL303:AR304">
    <cfRule type="cellIs" dxfId="341" priority="42" operator="equal">
      <formula>"P6"</formula>
    </cfRule>
    <cfRule type="cellIs" dxfId="340" priority="41" operator="equal">
      <formula>"P5"</formula>
    </cfRule>
    <cfRule type="cellIs" dxfId="339" priority="40" operator="equal">
      <formula>"P4"</formula>
    </cfRule>
    <cfRule type="cellIs" dxfId="338" priority="39" operator="equal">
      <formula>"P3"</formula>
    </cfRule>
    <cfRule type="cellIs" dxfId="337" priority="38" operator="equal">
      <formula>"P2"</formula>
    </cfRule>
    <cfRule type="cellIs" dxfId="336" priority="37" operator="equal">
      <formula>"P1"</formula>
    </cfRule>
  </conditionalFormatting>
  <conditionalFormatting sqref="AL328:AR329">
    <cfRule type="cellIs" dxfId="335" priority="36" operator="equal">
      <formula>"P6"</formula>
    </cfRule>
    <cfRule type="cellIs" dxfId="334" priority="35" operator="equal">
      <formula>"P5"</formula>
    </cfRule>
    <cfRule type="cellIs" dxfId="333" priority="34" operator="equal">
      <formula>"P4"</formula>
    </cfRule>
    <cfRule type="cellIs" dxfId="332" priority="33" operator="equal">
      <formula>"P3"</formula>
    </cfRule>
    <cfRule type="cellIs" dxfId="331" priority="32" operator="equal">
      <formula>"P2"</formula>
    </cfRule>
    <cfRule type="cellIs" dxfId="330" priority="31" operator="equal">
      <formula>"P1"</formula>
    </cfRule>
  </conditionalFormatting>
  <conditionalFormatting sqref="AL338:AR339">
    <cfRule type="cellIs" dxfId="329" priority="30" operator="equal">
      <formula>"P6"</formula>
    </cfRule>
    <cfRule type="cellIs" dxfId="328" priority="29" operator="equal">
      <formula>"P5"</formula>
    </cfRule>
    <cfRule type="cellIs" dxfId="327" priority="28" operator="equal">
      <formula>"P4"</formula>
    </cfRule>
    <cfRule type="cellIs" dxfId="326" priority="27" operator="equal">
      <formula>"P3"</formula>
    </cfRule>
    <cfRule type="cellIs" dxfId="325" priority="26" operator="equal">
      <formula>"P2"</formula>
    </cfRule>
    <cfRule type="cellIs" dxfId="324" priority="25" operator="equal">
      <formula>"P1"</formula>
    </cfRule>
  </conditionalFormatting>
  <conditionalFormatting sqref="AL363:AR364">
    <cfRule type="cellIs" dxfId="323" priority="24" operator="equal">
      <formula>"P6"</formula>
    </cfRule>
    <cfRule type="cellIs" dxfId="322" priority="23" operator="equal">
      <formula>"P5"</formula>
    </cfRule>
    <cfRule type="cellIs" dxfId="321" priority="22" operator="equal">
      <formula>"P4"</formula>
    </cfRule>
    <cfRule type="cellIs" dxfId="320" priority="21" operator="equal">
      <formula>"P3"</formula>
    </cfRule>
    <cfRule type="cellIs" dxfId="319" priority="20" operator="equal">
      <formula>"P2"</formula>
    </cfRule>
    <cfRule type="cellIs" dxfId="318" priority="19" operator="equal">
      <formula>"P1"</formula>
    </cfRule>
  </conditionalFormatting>
  <conditionalFormatting sqref="AL373:AR374">
    <cfRule type="cellIs" dxfId="317" priority="18" operator="equal">
      <formula>"P6"</formula>
    </cfRule>
    <cfRule type="cellIs" dxfId="316" priority="17" operator="equal">
      <formula>"P5"</formula>
    </cfRule>
    <cfRule type="cellIs" dxfId="315" priority="16" operator="equal">
      <formula>"P4"</formula>
    </cfRule>
    <cfRule type="cellIs" dxfId="314" priority="15" operator="equal">
      <formula>"P3"</formula>
    </cfRule>
    <cfRule type="cellIs" dxfId="313" priority="14" operator="equal">
      <formula>"P2"</formula>
    </cfRule>
    <cfRule type="cellIs" dxfId="312" priority="13" operator="equal">
      <formula>"P1"</formula>
    </cfRule>
  </conditionalFormatting>
  <conditionalFormatting sqref="AL398:AR399">
    <cfRule type="cellIs" dxfId="311" priority="12" operator="equal">
      <formula>"P6"</formula>
    </cfRule>
    <cfRule type="cellIs" dxfId="310" priority="11" operator="equal">
      <formula>"P5"</formula>
    </cfRule>
    <cfRule type="cellIs" dxfId="309" priority="9" operator="equal">
      <formula>"P3"</formula>
    </cfRule>
    <cfRule type="cellIs" dxfId="308" priority="8" operator="equal">
      <formula>"P2"</formula>
    </cfRule>
    <cfRule type="cellIs" dxfId="307" priority="7" operator="equal">
      <formula>"P1"</formula>
    </cfRule>
    <cfRule type="cellIs" dxfId="306" priority="10" operator="equal">
      <formula>"P4"</formula>
    </cfRule>
  </conditionalFormatting>
  <conditionalFormatting sqref="AL408:AR409">
    <cfRule type="cellIs" dxfId="305" priority="1" operator="equal">
      <formula>"P1"</formula>
    </cfRule>
    <cfRule type="cellIs" dxfId="304" priority="6" operator="equal">
      <formula>"P6"</formula>
    </cfRule>
    <cfRule type="cellIs" dxfId="303" priority="5" operator="equal">
      <formula>"P5"</formula>
    </cfRule>
    <cfRule type="cellIs" dxfId="302" priority="4" operator="equal">
      <formula>"P4"</formula>
    </cfRule>
    <cfRule type="cellIs" dxfId="301" priority="3" operator="equal">
      <formula>"P3"</formula>
    </cfRule>
    <cfRule type="cellIs" dxfId="300" priority="2" operator="equal">
      <formula>"P2"</formula>
    </cfRule>
  </conditionalFormatting>
  <hyperlinks>
    <hyperlink ref="AX1" r:id="rId1" display="https://www.esios.ree.es/es/descargas?date_type=datos&amp;start_date=01-04-2026&amp;end_date=30-04-2026" xr:uid="{28433558-0E3C-41C9-AC83-E588F583F479}"/>
  </hyperlinks>
  <pageMargins left="0.7" right="0.7" top="0.75" bottom="0.75" header="0.3" footer="0.3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17"/>
  <sheetViews>
    <sheetView topLeftCell="AT13" zoomScale="58" zoomScaleNormal="48" workbookViewId="0">
      <selection activeCell="BC10" sqref="BC10:BI49"/>
    </sheetView>
  </sheetViews>
  <sheetFormatPr baseColWidth="10" defaultColWidth="10.90625" defaultRowHeight="14.25" customHeight="1" x14ac:dyDescent="0.35"/>
  <cols>
    <col min="1" max="2" width="10.90625" style="1"/>
    <col min="3" max="3" width="3.36328125" style="1" bestFit="1" customWidth="1"/>
    <col min="4" max="4" width="10.26953125" style="1" bestFit="1" customWidth="1"/>
    <col min="5" max="5" width="12.26953125" style="1" bestFit="1" customWidth="1"/>
    <col min="6" max="6" width="11.36328125" style="1" bestFit="1" customWidth="1"/>
    <col min="7" max="7" width="11.36328125" style="1" customWidth="1"/>
    <col min="8" max="36" width="11.36328125" style="1" bestFit="1" customWidth="1"/>
    <col min="37" max="37" width="10.90625" style="1"/>
    <col min="38" max="38" width="6.08984375" style="1" bestFit="1" customWidth="1"/>
    <col min="39" max="44" width="9.36328125" style="1" bestFit="1" customWidth="1"/>
    <col min="45" max="46" width="10.90625" style="1"/>
    <col min="47" max="47" width="4.453125" style="1" bestFit="1" customWidth="1"/>
    <col min="48" max="48" width="11" style="1" bestFit="1" customWidth="1"/>
    <col min="49" max="49" width="11.54296875" style="1" bestFit="1" customWidth="1"/>
    <col min="50" max="16384" width="10.90625" style="1"/>
  </cols>
  <sheetData>
    <row r="1" spans="1:62" ht="14.25" customHeight="1" x14ac:dyDescent="0.35">
      <c r="A1" s="15" t="s">
        <v>43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T1" s="16" t="s">
        <v>57</v>
      </c>
      <c r="AU1" s="16"/>
      <c r="AV1" s="16"/>
      <c r="AW1" s="16"/>
      <c r="AX1" s="17" t="s">
        <v>58</v>
      </c>
      <c r="AY1" s="17"/>
      <c r="AZ1" s="17"/>
      <c r="BA1" s="17"/>
      <c r="BB1" s="17"/>
      <c r="BC1" s="12"/>
    </row>
    <row r="2" spans="1:62" ht="14.25" customHeight="1" x14ac:dyDescent="0.3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62" ht="14.25" customHeight="1" x14ac:dyDescent="0.35">
      <c r="AL3" s="10"/>
      <c r="AM3" s="10"/>
      <c r="AN3" s="10"/>
      <c r="AO3" s="10"/>
      <c r="AP3" s="10"/>
      <c r="AQ3" s="10"/>
      <c r="AR3" s="10"/>
    </row>
    <row r="4" spans="1:62" ht="14.25" customHeight="1" x14ac:dyDescent="0.35">
      <c r="F4" s="1" t="str">
        <f>IF(OR(F6="S",F6="D",F7=DATE(2025,1,1)),"P3","")</f>
        <v>P3</v>
      </c>
      <c r="G4" s="1" t="str">
        <f t="shared" ref="G4:AJ4" si="0">IF(OR(G6="S",G6="D",G7=DATE(2025,1,1)),"P3","")</f>
        <v/>
      </c>
      <c r="H4" s="1" t="str">
        <f t="shared" si="0"/>
        <v/>
      </c>
      <c r="I4" s="1" t="str">
        <f t="shared" si="0"/>
        <v>P3</v>
      </c>
      <c r="J4" s="1" t="str">
        <f t="shared" si="0"/>
        <v>P3</v>
      </c>
      <c r="K4" s="1" t="str">
        <f t="shared" si="0"/>
        <v/>
      </c>
      <c r="L4" s="1" t="str">
        <f t="shared" si="0"/>
        <v/>
      </c>
      <c r="M4" s="1" t="str">
        <f t="shared" si="0"/>
        <v/>
      </c>
      <c r="N4" s="1" t="str">
        <f t="shared" si="0"/>
        <v/>
      </c>
      <c r="O4" s="1" t="str">
        <f t="shared" si="0"/>
        <v/>
      </c>
      <c r="P4" s="1" t="str">
        <f t="shared" si="0"/>
        <v>P3</v>
      </c>
      <c r="Q4" s="1" t="str">
        <f t="shared" si="0"/>
        <v>P3</v>
      </c>
      <c r="R4" s="1" t="str">
        <f t="shared" si="0"/>
        <v/>
      </c>
      <c r="S4" s="1" t="str">
        <f t="shared" si="0"/>
        <v/>
      </c>
      <c r="T4" s="1" t="str">
        <f t="shared" si="0"/>
        <v/>
      </c>
      <c r="U4" s="1" t="str">
        <f t="shared" si="0"/>
        <v/>
      </c>
      <c r="V4" s="1" t="str">
        <f t="shared" si="0"/>
        <v/>
      </c>
      <c r="W4" s="1" t="str">
        <f t="shared" si="0"/>
        <v>P3</v>
      </c>
      <c r="X4" s="1" t="str">
        <f t="shared" si="0"/>
        <v>P3</v>
      </c>
      <c r="Y4" s="1" t="str">
        <f t="shared" si="0"/>
        <v/>
      </c>
      <c r="Z4" s="1" t="str">
        <f t="shared" si="0"/>
        <v/>
      </c>
      <c r="AA4" s="1" t="str">
        <f t="shared" si="0"/>
        <v/>
      </c>
      <c r="AB4" s="1" t="str">
        <f t="shared" si="0"/>
        <v/>
      </c>
      <c r="AC4" s="1" t="str">
        <f t="shared" si="0"/>
        <v/>
      </c>
      <c r="AD4" s="1" t="str">
        <f t="shared" si="0"/>
        <v>P3</v>
      </c>
      <c r="AE4" s="1" t="str">
        <f t="shared" si="0"/>
        <v>P3</v>
      </c>
      <c r="AF4" s="1" t="str">
        <f t="shared" si="0"/>
        <v/>
      </c>
      <c r="AG4" s="1" t="str">
        <f t="shared" si="0"/>
        <v/>
      </c>
      <c r="AH4" s="1" t="str">
        <f t="shared" si="0"/>
        <v/>
      </c>
      <c r="AI4" s="1" t="str">
        <f t="shared" si="0"/>
        <v/>
      </c>
      <c r="AJ4" s="1" t="str">
        <f t="shared" si="0"/>
        <v/>
      </c>
      <c r="AL4" s="10"/>
      <c r="AM4" s="10"/>
      <c r="AN4" s="10"/>
      <c r="AO4" s="10"/>
      <c r="AP4" s="10"/>
      <c r="AQ4" s="10"/>
      <c r="AR4" s="10"/>
    </row>
    <row r="5" spans="1:62" ht="14.5" x14ac:dyDescent="0.35">
      <c r="F5" s="1" t="str">
        <f t="shared" ref="F5:AJ5" si="1">IF(OR(F6="S",F6="D",F7=DATE(2025,1,1)),"P6","")</f>
        <v>P6</v>
      </c>
      <c r="G5" s="1" t="str">
        <f t="shared" si="1"/>
        <v/>
      </c>
      <c r="H5" s="1" t="str">
        <f t="shared" si="1"/>
        <v/>
      </c>
      <c r="I5" s="1" t="str">
        <f t="shared" si="1"/>
        <v>P6</v>
      </c>
      <c r="J5" s="1" t="str">
        <f t="shared" si="1"/>
        <v>P6</v>
      </c>
      <c r="K5" s="1" t="str">
        <f t="shared" si="1"/>
        <v/>
      </c>
      <c r="L5" s="1" t="str">
        <f t="shared" si="1"/>
        <v/>
      </c>
      <c r="M5" s="1" t="str">
        <f t="shared" si="1"/>
        <v/>
      </c>
      <c r="N5" s="1" t="str">
        <f t="shared" si="1"/>
        <v/>
      </c>
      <c r="O5" s="1" t="str">
        <f t="shared" si="1"/>
        <v/>
      </c>
      <c r="P5" s="1" t="str">
        <f t="shared" si="1"/>
        <v>P6</v>
      </c>
      <c r="Q5" s="1" t="str">
        <f t="shared" si="1"/>
        <v>P6</v>
      </c>
      <c r="R5" s="1" t="str">
        <f t="shared" si="1"/>
        <v/>
      </c>
      <c r="S5" s="1" t="str">
        <f t="shared" si="1"/>
        <v/>
      </c>
      <c r="T5" s="1" t="str">
        <f t="shared" si="1"/>
        <v/>
      </c>
      <c r="U5" s="1" t="str">
        <f t="shared" si="1"/>
        <v/>
      </c>
      <c r="V5" s="1" t="str">
        <f t="shared" si="1"/>
        <v/>
      </c>
      <c r="W5" s="1" t="str">
        <f t="shared" si="1"/>
        <v>P6</v>
      </c>
      <c r="X5" s="1" t="str">
        <f t="shared" si="1"/>
        <v>P6</v>
      </c>
      <c r="Y5" s="1" t="str">
        <f t="shared" si="1"/>
        <v/>
      </c>
      <c r="Z5" s="1" t="str">
        <f t="shared" si="1"/>
        <v/>
      </c>
      <c r="AA5" s="1" t="str">
        <f t="shared" si="1"/>
        <v/>
      </c>
      <c r="AB5" s="1" t="str">
        <f t="shared" si="1"/>
        <v/>
      </c>
      <c r="AC5" s="1" t="str">
        <f t="shared" si="1"/>
        <v/>
      </c>
      <c r="AD5" s="1" t="str">
        <f t="shared" si="1"/>
        <v>P6</v>
      </c>
      <c r="AE5" s="1" t="str">
        <f t="shared" si="1"/>
        <v>P6</v>
      </c>
      <c r="AF5" s="1" t="str">
        <f t="shared" si="1"/>
        <v/>
      </c>
      <c r="AG5" s="1" t="str">
        <f t="shared" si="1"/>
        <v/>
      </c>
      <c r="AH5" s="1" t="str">
        <f t="shared" si="1"/>
        <v/>
      </c>
      <c r="AI5" s="1" t="str">
        <f t="shared" si="1"/>
        <v/>
      </c>
      <c r="AJ5" s="1" t="str">
        <f t="shared" si="1"/>
        <v/>
      </c>
      <c r="AL5" s="14" t="s">
        <v>78</v>
      </c>
      <c r="AM5" s="14"/>
      <c r="AN5" s="14"/>
      <c r="AO5" s="14"/>
      <c r="AP5" s="14"/>
      <c r="AQ5" s="14"/>
      <c r="AR5" s="14"/>
    </row>
    <row r="6" spans="1:62" ht="14.5" x14ac:dyDescent="0.35">
      <c r="F6" s="2" t="s">
        <v>0</v>
      </c>
      <c r="G6" s="2" t="s">
        <v>1</v>
      </c>
      <c r="H6" s="2" t="s">
        <v>2</v>
      </c>
      <c r="I6" s="2" t="s">
        <v>3</v>
      </c>
      <c r="J6" s="2" t="s">
        <v>4</v>
      </c>
      <c r="K6" s="2" t="s">
        <v>5</v>
      </c>
      <c r="L6" s="2" t="s">
        <v>6</v>
      </c>
      <c r="M6" s="2" t="s">
        <v>0</v>
      </c>
      <c r="N6" s="2" t="s">
        <v>1</v>
      </c>
      <c r="O6" s="2" t="s">
        <v>2</v>
      </c>
      <c r="P6" s="2" t="s">
        <v>3</v>
      </c>
      <c r="Q6" s="2" t="s">
        <v>4</v>
      </c>
      <c r="R6" s="2" t="s">
        <v>5</v>
      </c>
      <c r="S6" s="2" t="s">
        <v>6</v>
      </c>
      <c r="T6" s="2" t="s">
        <v>0</v>
      </c>
      <c r="U6" s="2" t="s">
        <v>1</v>
      </c>
      <c r="V6" s="2" t="s">
        <v>2</v>
      </c>
      <c r="W6" s="2" t="s">
        <v>3</v>
      </c>
      <c r="X6" s="2" t="s">
        <v>4</v>
      </c>
      <c r="Y6" s="2" t="s">
        <v>5</v>
      </c>
      <c r="Z6" s="2" t="s">
        <v>6</v>
      </c>
      <c r="AA6" s="2" t="s">
        <v>0</v>
      </c>
      <c r="AB6" s="2" t="s">
        <v>1</v>
      </c>
      <c r="AC6" s="2" t="s">
        <v>2</v>
      </c>
      <c r="AD6" s="2" t="s">
        <v>3</v>
      </c>
      <c r="AE6" s="2" t="s">
        <v>4</v>
      </c>
      <c r="AF6" s="2" t="s">
        <v>5</v>
      </c>
      <c r="AG6" s="2" t="s">
        <v>6</v>
      </c>
      <c r="AH6" s="2" t="s">
        <v>0</v>
      </c>
      <c r="AI6" s="2" t="s">
        <v>1</v>
      </c>
      <c r="AJ6" s="2" t="s">
        <v>2</v>
      </c>
      <c r="AL6" s="4"/>
      <c r="AM6" s="4" t="s">
        <v>13</v>
      </c>
      <c r="AN6" s="4" t="s">
        <v>14</v>
      </c>
      <c r="AO6" s="4" t="s">
        <v>15</v>
      </c>
      <c r="AP6" s="4" t="s">
        <v>16</v>
      </c>
      <c r="AQ6" s="4" t="s">
        <v>17</v>
      </c>
      <c r="AR6" s="4" t="s">
        <v>7</v>
      </c>
    </row>
    <row r="7" spans="1:62" s="3" customFormat="1" ht="14.5" x14ac:dyDescent="0.35">
      <c r="A7" s="3" t="s">
        <v>76</v>
      </c>
      <c r="B7" s="3" t="s">
        <v>77</v>
      </c>
      <c r="C7" s="3" t="s">
        <v>75</v>
      </c>
      <c r="D7" s="3" t="s">
        <v>74</v>
      </c>
      <c r="F7" s="3">
        <v>45658</v>
      </c>
      <c r="G7" s="3">
        <v>45659</v>
      </c>
      <c r="H7" s="3">
        <v>45660</v>
      </c>
      <c r="I7" s="3">
        <v>45661</v>
      </c>
      <c r="J7" s="3">
        <v>45662</v>
      </c>
      <c r="K7" s="3">
        <v>45663</v>
      </c>
      <c r="L7" s="3">
        <v>45664</v>
      </c>
      <c r="M7" s="3">
        <v>45665</v>
      </c>
      <c r="N7" s="3">
        <v>45666</v>
      </c>
      <c r="O7" s="3">
        <v>45667</v>
      </c>
      <c r="P7" s="3">
        <v>45668</v>
      </c>
      <c r="Q7" s="3">
        <v>45669</v>
      </c>
      <c r="R7" s="3">
        <v>45670</v>
      </c>
      <c r="S7" s="3">
        <v>45671</v>
      </c>
      <c r="T7" s="3">
        <v>45672</v>
      </c>
      <c r="U7" s="3">
        <v>45673</v>
      </c>
      <c r="V7" s="3">
        <v>45674</v>
      </c>
      <c r="W7" s="3">
        <v>45675</v>
      </c>
      <c r="X7" s="3">
        <v>45676</v>
      </c>
      <c r="Y7" s="3">
        <v>45677</v>
      </c>
      <c r="Z7" s="3">
        <v>45678</v>
      </c>
      <c r="AA7" s="3">
        <v>45679</v>
      </c>
      <c r="AB7" s="3">
        <v>45680</v>
      </c>
      <c r="AC7" s="3">
        <v>45681</v>
      </c>
      <c r="AD7" s="3">
        <v>45682</v>
      </c>
      <c r="AE7" s="3">
        <v>45683</v>
      </c>
      <c r="AF7" s="3">
        <v>45684</v>
      </c>
      <c r="AG7" s="3">
        <v>45685</v>
      </c>
      <c r="AH7" s="3">
        <v>45686</v>
      </c>
      <c r="AI7" s="3">
        <v>45687</v>
      </c>
      <c r="AJ7" s="3">
        <v>45688</v>
      </c>
      <c r="AL7" s="4" t="s">
        <v>19</v>
      </c>
      <c r="AM7" s="6" cm="1">
        <f t="array" ref="AM7">IFERROR((SUMPRODUCT(($C$8:$C$31=AM$6)*($F$4:$AJ$4="")*$F$8:$AJ$31)+IF(AM$6="P3",SUMPRODUCT(($F$4:$AJ$4="P3")*$F$8:$AJ$31),0))/(SUMPRODUCT(($C$8:$C$31=AM$6)*($F$4:$AJ$4=""))+IF(AM$6="P3",COUNTIF($F$4:$AJ$4,"P3")*ROWS($C$8:$C$31),0)),"")</f>
        <v>1.127389318181818</v>
      </c>
      <c r="AN7" s="6" cm="1">
        <f t="array" ref="AN7">IFERROR((SUMPRODUCT(($C$8:$C$31=AN$6)*($F$4:$AJ$4="")*$F$8:$AJ$31)+IF(AN$6="P3",SUMPRODUCT(($F$4:$AJ$4="P3")*$F$8:$AJ$31),0))/(SUMPRODUCT(($C$8:$C$31=AN$6)*($F$4:$AJ$4=""))+IF(AN$6="P3",COUNTIF($F$4:$AJ$4,"P3")*ROWS($C$8:$C$31),0)),"")</f>
        <v>1.1654085795454545</v>
      </c>
      <c r="AO7" s="6" cm="1">
        <f t="array" ref="AO7">IFERROR((SUMPRODUCT(($C$8:$C$31=AO$6)*($F$4:$AJ$4="")*$F$8:$AJ$31)+IF(AO$6="P3",SUMPRODUCT(($F$4:$AJ$4="P3")*$F$8:$AJ$31),0))/(SUMPRODUCT(($C$8:$C$31=AO$6)*($F$4:$AJ$4=""))+IF(AO$6="P3",COUNTIF($F$4:$AJ$4,"P3")*ROWS($C$8:$C$31),0)),"")</f>
        <v>1.2480143877551015</v>
      </c>
      <c r="AP7" s="6" t="str" cm="1">
        <f t="array" ref="AP7">IFERROR((SUMPRODUCT(($C$8:$C$31=AP$6)*($F$4:$AJ$4="")*$F$8:$AJ$31)+IF(AP$6="P3",SUMPRODUCT(($F$4:$AJ$4="P3")*$F$8:$AJ$31),0))/(SUMPRODUCT(($C$8:$C$31=AP$6)*($F$4:$AJ$4=""))+IF(AP$6="P3",COUNTIF($F$4:$AJ$4,"P3")*ROWS($C$8:$C$31),0)),"")</f>
        <v/>
      </c>
      <c r="AQ7" s="6" t="str" cm="1">
        <f t="array" ref="AQ7">IFERROR((SUMPRODUCT(($C$8:$C$31=AQ$6)*($F$4:$AJ$4="")*$F$8:$AJ$31)+IF(AQ$6="P3",SUMPRODUCT(($F$4:$AJ$4="P3")*$F$8:$AJ$31),0))/(SUMPRODUCT(($C$8:$C$31=AQ$6)*($F$4:$AJ$4=""))+IF(AQ$6="P3",COUNTIF($F$4:$AJ$4,"P3")*ROWS($C$8:$C$31),0)),"")</f>
        <v/>
      </c>
      <c r="AR7" s="6" t="str" cm="1">
        <f t="array" ref="AR7">IFERROR((SUMPRODUCT(($C$8:$C$31=AR$6)*($F$4:$AJ$4="")*$F$8:$AJ$31)+IF(AR$6="P3",SUMPRODUCT(($F$4:$AJ$4="P3")*$F$8:$AJ$31),0))/(SUMPRODUCT(($C$8:$C$31=AR$6)*($F$4:$AJ$4=""))+IF(AR$6="P3",COUNTIF($F$4:$AJ$4,"P3")*ROWS($C$8:$C$31),0)),"")</f>
        <v/>
      </c>
      <c r="BB7" s="11"/>
      <c r="BC7" s="11"/>
      <c r="BD7" s="11"/>
      <c r="BE7" s="11"/>
      <c r="BF7" s="11"/>
      <c r="BG7" s="11"/>
      <c r="BH7" s="11"/>
      <c r="BI7" s="11"/>
      <c r="BJ7" s="11"/>
    </row>
    <row r="8" spans="1:62" ht="14.5" x14ac:dyDescent="0.35">
      <c r="A8" s="1" t="s">
        <v>7</v>
      </c>
      <c r="B8" s="1" t="s">
        <v>7</v>
      </c>
      <c r="C8" s="1" t="s">
        <v>15</v>
      </c>
      <c r="D8" s="1" t="s">
        <v>7</v>
      </c>
      <c r="E8" s="1" t="s">
        <v>8</v>
      </c>
      <c r="F8" s="1">
        <v>1.32111</v>
      </c>
      <c r="G8" s="1">
        <v>1.2496799999999999</v>
      </c>
      <c r="H8" s="1">
        <v>1.2156499999999999</v>
      </c>
      <c r="I8" s="1">
        <v>1.2127600000000001</v>
      </c>
      <c r="J8" s="1">
        <v>1.2858400000000001</v>
      </c>
      <c r="K8" s="1">
        <v>1.33569</v>
      </c>
      <c r="L8" s="1">
        <v>1.2693700000000001</v>
      </c>
      <c r="M8" s="1">
        <v>1.2698</v>
      </c>
      <c r="N8" s="1">
        <v>1.2496799999999999</v>
      </c>
      <c r="O8" s="1">
        <v>1.2156499999999999</v>
      </c>
      <c r="P8" s="1">
        <v>1.2127600000000001</v>
      </c>
      <c r="Q8" s="1">
        <v>1.2858400000000001</v>
      </c>
      <c r="R8" s="1">
        <v>1.3127899999999999</v>
      </c>
      <c r="S8" s="1">
        <v>1.2693700000000001</v>
      </c>
      <c r="T8" s="1">
        <v>1.2698</v>
      </c>
      <c r="U8" s="1">
        <v>1.2496799999999999</v>
      </c>
      <c r="V8" s="1">
        <v>1.2156499999999999</v>
      </c>
      <c r="W8" s="1">
        <v>1.2127600000000001</v>
      </c>
      <c r="X8" s="1">
        <v>1.2858400000000001</v>
      </c>
      <c r="Y8" s="1">
        <v>1.3127899999999999</v>
      </c>
      <c r="Z8" s="1">
        <v>1.2693700000000001</v>
      </c>
      <c r="AA8" s="1">
        <v>1.2698</v>
      </c>
      <c r="AB8" s="1">
        <v>1.2496799999999999</v>
      </c>
      <c r="AC8" s="1">
        <v>1.2156499999999999</v>
      </c>
      <c r="AD8" s="1">
        <v>1.2127600000000001</v>
      </c>
      <c r="AE8" s="1">
        <v>1.2858400000000001</v>
      </c>
      <c r="AF8" s="1">
        <v>1.3127899999999999</v>
      </c>
      <c r="AG8" s="1">
        <v>1.2693700000000001</v>
      </c>
      <c r="AH8" s="1">
        <v>1.2698</v>
      </c>
      <c r="AI8" s="1">
        <v>1.2496799999999999</v>
      </c>
      <c r="AJ8" s="1">
        <v>1.2156499999999999</v>
      </c>
      <c r="AL8" s="4" t="s">
        <v>21</v>
      </c>
      <c r="AM8" s="6" cm="1">
        <f t="array" ref="AM8">IFERROR((SUMPRODUCT(($D$8:$D$31=AM$6)*($F$5:$AJ$5="")*$F$8:$AJ$31)+IF(AM$6="P6",SUMPRODUCT(($F$5:$AJ$5="P6")*$F$8:$AJ$31),0))/(SUMPRODUCT(($D$8:$D$31=AM$6)*($F$5:$AJ$5=""))+IF(AM$6="P6",COUNTIF($F$5:$AJ$5,"P6")*ROWS($D$8:$D$31),0)),"")</f>
        <v>1.1256865151515152</v>
      </c>
      <c r="AN8" s="6" cm="1">
        <f t="array" ref="AN8">IFERROR((SUMPRODUCT(($D$8:$D$31=AN$6)*($F$5:$AJ$5="")*$F$8:$AJ$31)+IF(AN$6="P6",SUMPRODUCT(($F$5:$AJ$5="P6")*$F$8:$AJ$31),0))/(SUMPRODUCT(($D$8:$D$31=AN$6)*($F$5:$AJ$5=""))+IF(AN$6="P6",COUNTIF($F$5:$AJ$5,"P6")*ROWS($D$8:$D$31),0)),"")</f>
        <v>1.1730292207792214</v>
      </c>
      <c r="AO8" s="6" t="str">
        <f>IFERROR((SUMPRODUCT(($D$8:$D$31=AO$6)*($F$5:$AJ$5="")*$F$8:$AJ$31)+IF(AO$6="P6",SUMPRODUCT(($F$5:$AJ$5="P6")*$F$8:$AJ$31),0))/(SUMPRODUCT(($D$8:$D$31=AO$6)*($F$5:$AJ$5=""))+IF(AO$6="P6",COUNTIF($F$5:$AJ$5,"P6")*ROWS($D$8:$D$31),0)),"")</f>
        <v/>
      </c>
      <c r="AP8" s="6" t="str">
        <f>IFERROR((SUMPRODUCT(($D$8:$D$31=AP$6)*($F$5:$AJ$5="")*$F$8:$AJ$31)+IF(AP$6="P6",SUMPRODUCT(($F$5:$AJ$5="P6")*$F$8:$AJ$31),0))/(SUMPRODUCT(($D$8:$D$31=AP$6)*($F$5:$AJ$5=""))+IF(AP$6="P6",COUNTIF($F$5:$AJ$5,"P6")*ROWS($D$8:$D$31),0)),"")</f>
        <v/>
      </c>
      <c r="AQ8" s="6" t="str">
        <f>IFERROR((SUMPRODUCT(($D$8:$D$31=AQ$6)*($F$5:$AJ$5="")*$F$8:$AJ$31)+IF(AQ$6="P6",SUMPRODUCT(($F$5:$AJ$5="P6")*$F$8:$AJ$31),0))/(SUMPRODUCT(($D$8:$D$31=AQ$6)*($F$5:$AJ$5=""))+IF(AQ$6="P6",COUNTIF($F$5:$AJ$5,"P6")*ROWS($D$8:$D$31),0)),"")</f>
        <v/>
      </c>
      <c r="AR8" s="6">
        <f>IFERROR((SUMPRODUCT(($D$8:$D$31=AR$6)*($F$5:$AJ$5="")*$F$8:$AJ$31)+IF(AR$6="P6",SUMPRODUCT(($F$5:$AJ$5="P6")*$F$8:$AJ$31),0))/(SUMPRODUCT(($D$8:$D$31=AR$6)*($F$5:$AJ$5=""))+IF(AR$6="P6",COUNTIF($F$5:$AJ$5,"P6")*ROWS($D$8:$D$31),0)),"")</f>
        <v>1.2480143877551015</v>
      </c>
      <c r="BB8" s="10"/>
      <c r="BC8" s="10"/>
      <c r="BD8" s="10"/>
      <c r="BE8" s="10"/>
      <c r="BF8" s="10"/>
      <c r="BG8" s="10"/>
      <c r="BH8" s="10"/>
      <c r="BI8" s="10"/>
      <c r="BJ8" s="10"/>
    </row>
    <row r="9" spans="1:62" ht="14.5" x14ac:dyDescent="0.35">
      <c r="A9" s="1" t="s">
        <v>7</v>
      </c>
      <c r="B9" s="1" t="s">
        <v>7</v>
      </c>
      <c r="C9" s="1" t="s">
        <v>15</v>
      </c>
      <c r="D9" s="1" t="s">
        <v>7</v>
      </c>
      <c r="E9" s="1" t="s">
        <v>9</v>
      </c>
      <c r="F9" s="1">
        <v>1.34711</v>
      </c>
      <c r="G9" s="1">
        <v>1.2941199999999999</v>
      </c>
      <c r="H9" s="1">
        <v>1.2629900000000001</v>
      </c>
      <c r="I9" s="1">
        <v>1.2989900000000001</v>
      </c>
      <c r="J9" s="1">
        <v>1.35558</v>
      </c>
      <c r="K9" s="1">
        <v>1.3840399999999999</v>
      </c>
      <c r="L9" s="1">
        <v>1.3285100000000001</v>
      </c>
      <c r="M9" s="1">
        <v>1.33847</v>
      </c>
      <c r="N9" s="1">
        <v>1.2941199999999999</v>
      </c>
      <c r="O9" s="1">
        <v>1.2629900000000001</v>
      </c>
      <c r="P9" s="1">
        <v>1.2989900000000001</v>
      </c>
      <c r="Q9" s="1">
        <v>1.35558</v>
      </c>
      <c r="R9" s="1">
        <v>1.36233</v>
      </c>
      <c r="S9" s="1">
        <v>1.3285100000000001</v>
      </c>
      <c r="T9" s="1">
        <v>1.33847</v>
      </c>
      <c r="U9" s="1">
        <v>1.2941199999999999</v>
      </c>
      <c r="V9" s="1">
        <v>1.2629900000000001</v>
      </c>
      <c r="W9" s="1">
        <v>1.2989900000000001</v>
      </c>
      <c r="X9" s="1">
        <v>1.35558</v>
      </c>
      <c r="Y9" s="1">
        <v>1.36233</v>
      </c>
      <c r="Z9" s="1">
        <v>1.3285100000000001</v>
      </c>
      <c r="AA9" s="1">
        <v>1.33847</v>
      </c>
      <c r="AB9" s="1">
        <v>1.2941199999999999</v>
      </c>
      <c r="AC9" s="1">
        <v>1.2629900000000001</v>
      </c>
      <c r="AD9" s="1">
        <v>1.2989900000000001</v>
      </c>
      <c r="AE9" s="1">
        <v>1.35558</v>
      </c>
      <c r="AF9" s="1">
        <v>1.36233</v>
      </c>
      <c r="AG9" s="1">
        <v>1.3285100000000001</v>
      </c>
      <c r="AH9" s="1">
        <v>1.33847</v>
      </c>
      <c r="AI9" s="1">
        <v>1.2941199999999999</v>
      </c>
      <c r="AJ9" s="1">
        <v>1.2629900000000001</v>
      </c>
      <c r="AL9" s="4" t="s">
        <v>23</v>
      </c>
      <c r="AM9" s="6" cm="1">
        <f t="array" ref="AM9">IFERROR((SUMPRODUCT(($D$8:$D$31=AM$6)*($F$5:$AJ$5="")*$F$8:$AJ$31)+IF(AM$6="P6",SUMPRODUCT(($F$5:$AJ$5="P6")*$F$8:$AJ$31),0))/(SUMPRODUCT(($D$8:$D$31=AM$6)*($F$5:$AJ$5=""))+IF(AM$6="P6",COUNTIF($F$5:$AJ$5,"P6")*ROWS($D$8:$D$31),0)),"")</f>
        <v>1.1256865151515152</v>
      </c>
      <c r="AN9" s="6">
        <f>IFERROR((SUMPRODUCT(($D$8:$D$31=AN$6)*($F$5:$AJ$5="")*$F$8:$AJ$31)+IF(AN$6="P6",SUMPRODUCT(($F$5:$AJ$5="P6")*$F$8:$AJ$31),0))/(SUMPRODUCT(($D$8:$D$31=AN$6)*($F$5:$AJ$5=""))+IF(AN$6="P6",COUNTIF($F$5:$AJ$5,"P6")*ROWS($D$8:$D$31),0)),"")</f>
        <v>1.1730292207792214</v>
      </c>
      <c r="AO9" s="5"/>
      <c r="AP9" s="5"/>
      <c r="AQ9" s="5"/>
      <c r="AR9" s="6">
        <f>IFERROR((SUMPRODUCT(($D$8:$D$31=AR$6)*($F$5:$AJ$5="")*$F$8:$AJ$31)+IF(AR$6="P6",SUMPRODUCT(($F$5:$AJ$5="P6")*$F$8:$AJ$31),0))/(SUMPRODUCT(($D$8:$D$31=AR$6)*($F$5:$AJ$5=""))+IF(AR$6="P6",COUNTIF($F$5:$AJ$5,"P6")*ROWS($D$8:$D$31),0)),"")</f>
        <v>1.2480143877551015</v>
      </c>
      <c r="BB9" s="10"/>
      <c r="BC9" s="10"/>
      <c r="BD9" s="10"/>
      <c r="BE9" s="10"/>
      <c r="BF9" s="10"/>
      <c r="BG9" s="10"/>
      <c r="BH9" s="10"/>
      <c r="BI9" s="10"/>
      <c r="BJ9" s="10"/>
    </row>
    <row r="10" spans="1:62" ht="14.5" x14ac:dyDescent="0.35">
      <c r="A10" s="1" t="s">
        <v>7</v>
      </c>
      <c r="B10" s="1" t="s">
        <v>7</v>
      </c>
      <c r="C10" s="1" t="s">
        <v>15</v>
      </c>
      <c r="D10" s="1" t="s">
        <v>7</v>
      </c>
      <c r="E10" s="1" t="s">
        <v>10</v>
      </c>
      <c r="F10" s="1">
        <v>1.4201999999999999</v>
      </c>
      <c r="G10" s="1">
        <v>1.3184800000000001</v>
      </c>
      <c r="H10" s="1">
        <v>1.28742</v>
      </c>
      <c r="I10" s="1">
        <v>1.3280400000000001</v>
      </c>
      <c r="J10" s="1">
        <v>1.4109499999999999</v>
      </c>
      <c r="K10" s="1">
        <v>1.44706</v>
      </c>
      <c r="L10" s="1">
        <v>1.3631</v>
      </c>
      <c r="M10" s="1">
        <v>1.3562399999999999</v>
      </c>
      <c r="N10" s="1">
        <v>1.3184800000000001</v>
      </c>
      <c r="O10" s="1">
        <v>1.28742</v>
      </c>
      <c r="P10" s="1">
        <v>1.3280400000000001</v>
      </c>
      <c r="Q10" s="1">
        <v>1.4109499999999999</v>
      </c>
      <c r="R10" s="1">
        <v>1.40232</v>
      </c>
      <c r="S10" s="1">
        <v>1.3631</v>
      </c>
      <c r="T10" s="1">
        <v>1.3562399999999999</v>
      </c>
      <c r="U10" s="1">
        <v>1.3184800000000001</v>
      </c>
      <c r="V10" s="1">
        <v>1.28742</v>
      </c>
      <c r="W10" s="1">
        <v>1.3280400000000001</v>
      </c>
      <c r="X10" s="1">
        <v>1.4109499999999999</v>
      </c>
      <c r="Y10" s="1">
        <v>1.40232</v>
      </c>
      <c r="Z10" s="1">
        <v>1.3631</v>
      </c>
      <c r="AA10" s="1">
        <v>1.3562399999999999</v>
      </c>
      <c r="AB10" s="1">
        <v>1.3184800000000001</v>
      </c>
      <c r="AC10" s="1">
        <v>1.28742</v>
      </c>
      <c r="AD10" s="1">
        <v>1.3280400000000001</v>
      </c>
      <c r="AE10" s="1">
        <v>1.4109499999999999</v>
      </c>
      <c r="AF10" s="1">
        <v>1.40232</v>
      </c>
      <c r="AG10" s="1">
        <v>1.3631</v>
      </c>
      <c r="AH10" s="1">
        <v>1.3562399999999999</v>
      </c>
      <c r="AI10" s="1">
        <v>1.3184800000000001</v>
      </c>
      <c r="AJ10" s="1">
        <v>1.28742</v>
      </c>
      <c r="AL10" s="4" t="s">
        <v>25</v>
      </c>
      <c r="AM10" s="6" cm="1">
        <f t="array" ref="AM10">IFERROR((SUMPRODUCT(($D$8:$D$31=AM$6)*($F$5:$AJ$5="")*$F$8:$AJ$31)+IF(AM$6="P6",SUMPRODUCT(($F$5:$AJ$5="P6")*$F$8:$AJ$31),0))/(SUMPRODUCT(($D$8:$D$31=AM$6)*($F$5:$AJ$5=""))+IF(AM$6="P6",COUNTIF($F$5:$AJ$5,"P6")*ROWS($D$8:$D$31),0)),"")</f>
        <v>1.1256865151515152</v>
      </c>
      <c r="AN10" s="6">
        <f>IFERROR((SUMPRODUCT(($D$8:$D$31=AN$6)*($F$5:$AJ$5="")*$F$8:$AJ$31)+IF(AN$6="P6",SUMPRODUCT(($F$5:$AJ$5="P6")*$F$8:$AJ$31),0))/(SUMPRODUCT(($D$8:$D$31=AN$6)*($F$5:$AJ$5=""))+IF(AN$6="P6",COUNTIF($F$5:$AJ$5,"P6")*ROWS($D$8:$D$31),0)),"")</f>
        <v>1.1730292207792214</v>
      </c>
      <c r="AO10" s="5"/>
      <c r="AP10" s="5"/>
      <c r="AQ10" s="5"/>
      <c r="AR10" s="6">
        <f>IFERROR((SUMPRODUCT(($D$8:$D$31=AR$6)*($F$5:$AJ$5="")*$F$8:$AJ$31)+IF(AR$6="P6",SUMPRODUCT(($F$5:$AJ$5="P6")*$F$8:$AJ$31),0))/(SUMPRODUCT(($D$8:$D$31=AR$6)*($F$5:$AJ$5=""))+IF(AR$6="P6",COUNTIF($F$5:$AJ$5,"P6")*ROWS($D$8:$D$31),0)),"")</f>
        <v>1.2480143877551015</v>
      </c>
      <c r="BB10" s="10"/>
      <c r="BC10" s="13" t="s">
        <v>56</v>
      </c>
      <c r="BD10" s="13"/>
      <c r="BE10" s="13"/>
      <c r="BF10" s="13"/>
      <c r="BG10" s="13"/>
      <c r="BH10" s="13"/>
      <c r="BI10" s="13"/>
      <c r="BJ10" s="10"/>
    </row>
    <row r="11" spans="1:62" ht="14.5" x14ac:dyDescent="0.35">
      <c r="A11" s="1" t="s">
        <v>7</v>
      </c>
      <c r="B11" s="1" t="s">
        <v>7</v>
      </c>
      <c r="C11" s="1" t="s">
        <v>15</v>
      </c>
      <c r="D11" s="1" t="s">
        <v>7</v>
      </c>
      <c r="E11" s="1" t="s">
        <v>11</v>
      </c>
      <c r="F11" s="1">
        <v>1.4864200000000001</v>
      </c>
      <c r="G11" s="1">
        <v>1.3344199999999999</v>
      </c>
      <c r="H11" s="1">
        <v>1.3087800000000001</v>
      </c>
      <c r="I11" s="1">
        <v>1.3330500000000001</v>
      </c>
      <c r="J11" s="1">
        <v>1.44041</v>
      </c>
      <c r="K11" s="1">
        <v>1.4815100000000001</v>
      </c>
      <c r="L11" s="1">
        <v>1.37748</v>
      </c>
      <c r="M11" s="1">
        <v>1.3751199999999999</v>
      </c>
      <c r="N11" s="1">
        <v>1.3344199999999999</v>
      </c>
      <c r="O11" s="1">
        <v>1.3087800000000001</v>
      </c>
      <c r="P11" s="1">
        <v>1.3330500000000001</v>
      </c>
      <c r="Q11" s="1">
        <v>1.44041</v>
      </c>
      <c r="R11" s="1">
        <v>1.41794</v>
      </c>
      <c r="S11" s="1">
        <v>1.37748</v>
      </c>
      <c r="T11" s="1">
        <v>1.3751199999999999</v>
      </c>
      <c r="U11" s="1">
        <v>1.3344199999999999</v>
      </c>
      <c r="V11" s="1">
        <v>1.3087800000000001</v>
      </c>
      <c r="W11" s="1">
        <v>1.3330500000000001</v>
      </c>
      <c r="X11" s="1">
        <v>1.44041</v>
      </c>
      <c r="Y11" s="1">
        <v>1.41794</v>
      </c>
      <c r="Z11" s="1">
        <v>1.37748</v>
      </c>
      <c r="AA11" s="1">
        <v>1.3751199999999999</v>
      </c>
      <c r="AB11" s="1">
        <v>1.3344199999999999</v>
      </c>
      <c r="AC11" s="1">
        <v>1.3087800000000001</v>
      </c>
      <c r="AD11" s="1">
        <v>1.3330500000000001</v>
      </c>
      <c r="AE11" s="1">
        <v>1.44041</v>
      </c>
      <c r="AF11" s="1">
        <v>1.41794</v>
      </c>
      <c r="AG11" s="1">
        <v>1.37748</v>
      </c>
      <c r="AH11" s="1">
        <v>1.3751199999999999</v>
      </c>
      <c r="AI11" s="1">
        <v>1.3344199999999999</v>
      </c>
      <c r="AJ11" s="1">
        <v>1.3087800000000001</v>
      </c>
      <c r="AL11" s="4" t="s">
        <v>27</v>
      </c>
      <c r="AM11" s="6" cm="1">
        <f t="array" ref="AM11">IFERROR((SUMPRODUCT(($D$8:$D$31=AM$6)*($F$5:$AJ$5="")*$F$8:$AJ$31)+IF(AM$6="P6",SUMPRODUCT(($F$5:$AJ$5="P6")*$F$8:$AJ$31),0))/(SUMPRODUCT(($D$8:$D$31=AM$6)*($F$5:$AJ$5=""))+IF(AM$6="P6",COUNTIF($F$5:$AJ$5,"P6")*ROWS($D$8:$D$31),0)),"")</f>
        <v>1.1256865151515152</v>
      </c>
      <c r="AN11" s="6">
        <f>IFERROR((SUMPRODUCT(($D$8:$D$31=AN$6)*($F$5:$AJ$5="")*$F$8:$AJ$31)+IF(AN$6="P6",SUMPRODUCT(($F$5:$AJ$5="P6")*$F$8:$AJ$31),0))/(SUMPRODUCT(($D$8:$D$31=AN$6)*($F$5:$AJ$5=""))+IF(AN$6="P6",COUNTIF($F$5:$AJ$5,"P6")*ROWS($D$8:$D$31),0)),"")</f>
        <v>1.1730292207792214</v>
      </c>
      <c r="AO11" s="5"/>
      <c r="AP11" s="5"/>
      <c r="AQ11" s="5"/>
      <c r="AR11" s="6">
        <f>IFERROR((SUMPRODUCT(($D$8:$D$31=AR$6)*($F$5:$AJ$5="")*$F$8:$AJ$31)+IF(AR$6="P6",SUMPRODUCT(($F$5:$AJ$5="P6")*$F$8:$AJ$31),0))/(SUMPRODUCT(($D$8:$D$31=AR$6)*($F$5:$AJ$5=""))+IF(AR$6="P6",COUNTIF($F$5:$AJ$5,"P6")*ROWS($D$8:$D$31),0)),"")</f>
        <v>1.2480143877551015</v>
      </c>
      <c r="BB11" s="10"/>
      <c r="BC11" s="4"/>
      <c r="BD11" s="4" t="s">
        <v>13</v>
      </c>
      <c r="BE11" s="4" t="s">
        <v>14</v>
      </c>
      <c r="BF11" s="4" t="s">
        <v>15</v>
      </c>
      <c r="BG11" s="4" t="s">
        <v>16</v>
      </c>
      <c r="BH11" s="4" t="s">
        <v>17</v>
      </c>
      <c r="BI11" s="4" t="s">
        <v>7</v>
      </c>
      <c r="BJ11" s="10"/>
    </row>
    <row r="12" spans="1:62" ht="14.5" x14ac:dyDescent="0.35">
      <c r="A12" s="1" t="s">
        <v>7</v>
      </c>
      <c r="B12" s="1" t="s">
        <v>7</v>
      </c>
      <c r="C12" s="1" t="s">
        <v>15</v>
      </c>
      <c r="D12" s="1" t="s">
        <v>7</v>
      </c>
      <c r="E12" s="1" t="s">
        <v>12</v>
      </c>
      <c r="F12" s="1">
        <v>1.532</v>
      </c>
      <c r="G12" s="1">
        <v>1.3333200000000001</v>
      </c>
      <c r="H12" s="1">
        <v>1.3052600000000001</v>
      </c>
      <c r="I12" s="1">
        <v>1.3491</v>
      </c>
      <c r="J12" s="1">
        <v>1.4576499999999999</v>
      </c>
      <c r="K12" s="1">
        <v>1.50386</v>
      </c>
      <c r="L12" s="1">
        <v>1.3762700000000001</v>
      </c>
      <c r="M12" s="1">
        <v>1.3701000000000001</v>
      </c>
      <c r="N12" s="1">
        <v>1.3333200000000001</v>
      </c>
      <c r="O12" s="1">
        <v>1.3052600000000001</v>
      </c>
      <c r="P12" s="1">
        <v>1.3491</v>
      </c>
      <c r="Q12" s="1">
        <v>1.4576499999999999</v>
      </c>
      <c r="R12" s="1">
        <v>1.40669</v>
      </c>
      <c r="S12" s="1">
        <v>1.3762700000000001</v>
      </c>
      <c r="T12" s="1">
        <v>1.3701000000000001</v>
      </c>
      <c r="U12" s="1">
        <v>1.3333200000000001</v>
      </c>
      <c r="V12" s="1">
        <v>1.3052600000000001</v>
      </c>
      <c r="W12" s="1">
        <v>1.3491</v>
      </c>
      <c r="X12" s="1">
        <v>1.4576499999999999</v>
      </c>
      <c r="Y12" s="1">
        <v>1.40669</v>
      </c>
      <c r="Z12" s="1">
        <v>1.3762700000000001</v>
      </c>
      <c r="AA12" s="1">
        <v>1.3701000000000001</v>
      </c>
      <c r="AB12" s="1">
        <v>1.3333200000000001</v>
      </c>
      <c r="AC12" s="1">
        <v>1.3052600000000001</v>
      </c>
      <c r="AD12" s="1">
        <v>1.3491</v>
      </c>
      <c r="AE12" s="1">
        <v>1.4576499999999999</v>
      </c>
      <c r="AF12" s="1">
        <v>1.40669</v>
      </c>
      <c r="AG12" s="1">
        <v>1.3762700000000001</v>
      </c>
      <c r="AH12" s="1">
        <v>1.3701000000000001</v>
      </c>
      <c r="AI12" s="1">
        <v>1.3333200000000001</v>
      </c>
      <c r="AJ12" s="1">
        <v>1.3052600000000001</v>
      </c>
      <c r="AL12" s="4" t="s">
        <v>29</v>
      </c>
      <c r="AM12" s="6" cm="1">
        <f t="array" ref="AM12">IFERROR((SUMPRODUCT(($D$8:$D$31=AM$6)*($F$5:$AJ$5="")*$F$8:$AJ$31)+IF(AM$6="P6",SUMPRODUCT(($F$5:$AJ$5="P6")*$F$8:$AJ$31),0))/(SUMPRODUCT(($D$8:$D$31=AM$6)*($F$5:$AJ$5=""))+IF(AM$6="P6",COUNTIF($F$5:$AJ$5,"P6")*ROWS($D$8:$D$31),0)),"")</f>
        <v>1.1256865151515152</v>
      </c>
      <c r="AN12" s="6">
        <f>IFERROR((SUMPRODUCT(($D$8:$D$31=AN$6)*($F$5:$AJ$5="")*$F$8:$AJ$31)+IF(AN$6="P6",SUMPRODUCT(($F$5:$AJ$5="P6")*$F$8:$AJ$31),0))/(SUMPRODUCT(($D$8:$D$31=AN$6)*($F$5:$AJ$5=""))+IF(AN$6="P6",COUNTIF($F$5:$AJ$5,"P6")*ROWS($D$8:$D$31),0)),"")</f>
        <v>1.1730292207792214</v>
      </c>
      <c r="AO12" s="5"/>
      <c r="AP12" s="5"/>
      <c r="AQ12" s="5"/>
      <c r="AR12" s="6" cm="1">
        <f t="array" ref="AR12">IFERROR((SUMPRODUCT(($D$8:$D$31=AR$6)*($F$5:$AJ$5="")*$F$8:$AJ$31)+IF(AR$6="P6",SUMPRODUCT(($F$5:$AJ$5="P6")*$F$8:$AJ$31),0))/(SUMPRODUCT(($D$8:$D$31=AR$6)*($F$5:$AJ$5=""))+IF(AR$6="P6",COUNTIF($F$5:$AJ$5,"P6")*ROWS($D$8:$D$31),0)),"")</f>
        <v>1.2480143877551015</v>
      </c>
      <c r="BB12" s="10"/>
      <c r="BC12" s="4" t="s">
        <v>19</v>
      </c>
      <c r="BD12" s="6">
        <f>AVERAGE(AM7,AM42,AM77,AM112,AM147,AM182,AM217,AM252,AM287,AM322,AM357,AM392)</f>
        <v>0.97507673629932867</v>
      </c>
      <c r="BE12" s="6">
        <f>AVERAGE(AN7,AN42,AN77,AN112,AN147,AN182,AN217,AN252,AN287,AN322,AN357,AN392)</f>
        <v>1.039602232615362</v>
      </c>
      <c r="BF12" s="6">
        <f>AVERAGE(AO7,AO42,AO77,AO112,AO147,AO182,AO217,AO252,AO287,AO322,AO357,AO392)</f>
        <v>1.0478819413352596</v>
      </c>
      <c r="BG12" s="6"/>
      <c r="BH12" s="6"/>
      <c r="BI12" s="6"/>
      <c r="BJ12" s="10"/>
    </row>
    <row r="13" spans="1:62" ht="14.5" x14ac:dyDescent="0.35">
      <c r="A13" s="1" t="s">
        <v>7</v>
      </c>
      <c r="B13" s="1" t="s">
        <v>7</v>
      </c>
      <c r="C13" s="1" t="s">
        <v>15</v>
      </c>
      <c r="D13" s="1" t="s">
        <v>7</v>
      </c>
      <c r="E13" s="1" t="s">
        <v>18</v>
      </c>
      <c r="F13" s="1">
        <v>1.548</v>
      </c>
      <c r="G13" s="1">
        <v>1.29376</v>
      </c>
      <c r="H13" s="1">
        <v>1.28487</v>
      </c>
      <c r="I13" s="1">
        <v>1.3482400000000001</v>
      </c>
      <c r="J13" s="1">
        <v>1.44699</v>
      </c>
      <c r="K13" s="1">
        <v>1.51471</v>
      </c>
      <c r="L13" s="1">
        <v>1.3391900000000001</v>
      </c>
      <c r="M13" s="1">
        <v>1.3419300000000001</v>
      </c>
      <c r="N13" s="1">
        <v>1.29376</v>
      </c>
      <c r="O13" s="1">
        <v>1.28487</v>
      </c>
      <c r="P13" s="1">
        <v>1.3482400000000001</v>
      </c>
      <c r="Q13" s="1">
        <v>1.44699</v>
      </c>
      <c r="R13" s="1">
        <v>1.3578300000000001</v>
      </c>
      <c r="S13" s="1">
        <v>1.3391900000000001</v>
      </c>
      <c r="T13" s="1">
        <v>1.3419300000000001</v>
      </c>
      <c r="U13" s="1">
        <v>1.29376</v>
      </c>
      <c r="V13" s="1">
        <v>1.28487</v>
      </c>
      <c r="W13" s="1">
        <v>1.3482400000000001</v>
      </c>
      <c r="X13" s="1">
        <v>1.44699</v>
      </c>
      <c r="Y13" s="1">
        <v>1.3578300000000001</v>
      </c>
      <c r="Z13" s="1">
        <v>1.3391900000000001</v>
      </c>
      <c r="AA13" s="1">
        <v>1.3419300000000001</v>
      </c>
      <c r="AB13" s="1">
        <v>1.29376</v>
      </c>
      <c r="AC13" s="1">
        <v>1.28487</v>
      </c>
      <c r="AD13" s="1">
        <v>1.3482400000000001</v>
      </c>
      <c r="AE13" s="1">
        <v>1.44699</v>
      </c>
      <c r="AF13" s="1">
        <v>1.3578300000000001</v>
      </c>
      <c r="AG13" s="1">
        <v>1.3391900000000001</v>
      </c>
      <c r="AH13" s="1">
        <v>1.3419300000000001</v>
      </c>
      <c r="AI13" s="1">
        <v>1.29376</v>
      </c>
      <c r="AJ13" s="1">
        <v>1.28487</v>
      </c>
      <c r="AL13" s="10"/>
      <c r="AM13" s="10"/>
      <c r="AN13" s="10"/>
      <c r="AO13" s="10"/>
      <c r="AP13" s="10"/>
      <c r="AQ13" s="10"/>
      <c r="AR13" s="10"/>
      <c r="BB13" s="10"/>
      <c r="BC13" s="4" t="s">
        <v>21</v>
      </c>
      <c r="BD13" s="6">
        <f>AVERAGE(AM8,AM43,AM78,AM113,AM148,AM183,AM218,AM253,AM288,AM323,AM358,AM393)</f>
        <v>1.0426666022178306</v>
      </c>
      <c r="BE13" s="6">
        <f t="shared" ref="BE13:BI17" si="2">AVERAGE(AN8,AN43,AN113,AN148,AN183,AN218,AN253,AN288,AN323,AN358,AN393)</f>
        <v>1.0589036626710762</v>
      </c>
      <c r="BF13" s="6">
        <f t="shared" si="2"/>
        <v>0.91267039911014902</v>
      </c>
      <c r="BG13" s="6">
        <f t="shared" si="2"/>
        <v>0.93015668716097188</v>
      </c>
      <c r="BH13" s="6">
        <f t="shared" si="2"/>
        <v>1.1322455594095349</v>
      </c>
      <c r="BI13" s="6">
        <f t="shared" si="2"/>
        <v>1.0331308967864152</v>
      </c>
      <c r="BJ13" s="10"/>
    </row>
    <row r="14" spans="1:62" ht="14.5" x14ac:dyDescent="0.35">
      <c r="A14" s="1" t="s">
        <v>7</v>
      </c>
      <c r="B14" s="1" t="s">
        <v>7</v>
      </c>
      <c r="C14" s="1" t="s">
        <v>15</v>
      </c>
      <c r="D14" s="1" t="s">
        <v>7</v>
      </c>
      <c r="E14" s="1" t="s">
        <v>20</v>
      </c>
      <c r="F14" s="1">
        <v>1.51963</v>
      </c>
      <c r="G14" s="1">
        <v>1.1890400000000001</v>
      </c>
      <c r="H14" s="1">
        <v>1.18516</v>
      </c>
      <c r="I14" s="1">
        <v>1.31063</v>
      </c>
      <c r="J14" s="1">
        <v>1.40923</v>
      </c>
      <c r="K14" s="1">
        <v>1.4909399999999999</v>
      </c>
      <c r="L14" s="1">
        <v>1.2097800000000001</v>
      </c>
      <c r="M14" s="1">
        <v>1.2309300000000001</v>
      </c>
      <c r="N14" s="1">
        <v>1.1890400000000001</v>
      </c>
      <c r="O14" s="1">
        <v>1.18516</v>
      </c>
      <c r="P14" s="1">
        <v>1.31063</v>
      </c>
      <c r="Q14" s="1">
        <v>1.40923</v>
      </c>
      <c r="R14" s="1">
        <v>1.1968799999999999</v>
      </c>
      <c r="S14" s="1">
        <v>1.2097800000000001</v>
      </c>
      <c r="T14" s="1">
        <v>1.2309300000000001</v>
      </c>
      <c r="U14" s="1">
        <v>1.1890400000000001</v>
      </c>
      <c r="V14" s="1">
        <v>1.18516</v>
      </c>
      <c r="W14" s="1">
        <v>1.31063</v>
      </c>
      <c r="X14" s="1">
        <v>1.40923</v>
      </c>
      <c r="Y14" s="1">
        <v>1.1968799999999999</v>
      </c>
      <c r="Z14" s="1">
        <v>1.2097800000000001</v>
      </c>
      <c r="AA14" s="1">
        <v>1.2309300000000001</v>
      </c>
      <c r="AB14" s="1">
        <v>1.1890400000000001</v>
      </c>
      <c r="AC14" s="1">
        <v>1.18516</v>
      </c>
      <c r="AD14" s="1">
        <v>1.31063</v>
      </c>
      <c r="AE14" s="1">
        <v>1.40923</v>
      </c>
      <c r="AF14" s="1">
        <v>1.1968799999999999</v>
      </c>
      <c r="AG14" s="1">
        <v>1.2097800000000001</v>
      </c>
      <c r="AH14" s="1">
        <v>1.2309300000000001</v>
      </c>
      <c r="AI14" s="1">
        <v>1.1890400000000001</v>
      </c>
      <c r="AJ14" s="1">
        <v>1.18516</v>
      </c>
      <c r="AL14" s="10"/>
      <c r="AM14" s="10"/>
      <c r="AN14" s="10"/>
      <c r="AO14" s="10"/>
      <c r="AP14" s="10"/>
      <c r="AQ14" s="10"/>
      <c r="AR14" s="10"/>
      <c r="AU14" s="1" cm="1">
        <f t="array" ref="AU14">SUMPRODUCT(($D$8:$D$31=AM$6)*($F$5:$AJ$5=""))+IF(AM$6="P6",COUNTIF($F$5:$AJ$5,"P6")*ROWS($D$8:$D$31),0)</f>
        <v>198</v>
      </c>
      <c r="AV14" s="1" cm="1">
        <f t="array" ref="AV14">SUMPRODUCT(($D$8:$D$31=AM$6)*($F$5:$AJ$5="")*$F$8:$AJ$31)+IF(AM$6="P6",SUMPRODUCT(($F$5:$AJ$5="P6")*$F$8:$AJ$31))</f>
        <v>222.88593</v>
      </c>
      <c r="AW14" s="7">
        <f>AV14/AU14</f>
        <v>1.1256865151515152</v>
      </c>
      <c r="BB14" s="10"/>
      <c r="BC14" s="4" t="s">
        <v>23</v>
      </c>
      <c r="BD14" s="6">
        <f>AVERAGE(AM9,AM44,AM79,AM114,AM149,AM184,AM219,AM254,AM289,AM324,AM359,AM394)</f>
        <v>1.0426666022178306</v>
      </c>
      <c r="BE14" s="6">
        <f t="shared" si="2"/>
        <v>1.0589036626710762</v>
      </c>
      <c r="BF14" s="6">
        <f t="shared" si="2"/>
        <v>0.91267039911014902</v>
      </c>
      <c r="BG14" s="6">
        <f t="shared" si="2"/>
        <v>0.93015668716097188</v>
      </c>
      <c r="BH14" s="6">
        <f t="shared" si="2"/>
        <v>1.1322455594095349</v>
      </c>
      <c r="BI14" s="6">
        <f t="shared" si="2"/>
        <v>1.0331308967864152</v>
      </c>
      <c r="BJ14" s="10"/>
    </row>
    <row r="15" spans="1:62" ht="14.5" x14ac:dyDescent="0.35">
      <c r="A15" s="1" t="s">
        <v>7</v>
      </c>
      <c r="B15" s="1" t="s">
        <v>7</v>
      </c>
      <c r="C15" s="1" t="s">
        <v>15</v>
      </c>
      <c r="D15" s="1" t="s">
        <v>7</v>
      </c>
      <c r="E15" s="1" t="s">
        <v>22</v>
      </c>
      <c r="F15" s="1">
        <v>1.4525999999999999</v>
      </c>
      <c r="G15" s="1">
        <v>1.08412</v>
      </c>
      <c r="H15" s="1">
        <v>1.0734600000000001</v>
      </c>
      <c r="I15" s="1">
        <v>1.24224</v>
      </c>
      <c r="J15" s="1">
        <v>1.35368</v>
      </c>
      <c r="K15" s="1">
        <v>1.4315500000000001</v>
      </c>
      <c r="L15" s="1">
        <v>1.0845100000000001</v>
      </c>
      <c r="M15" s="1">
        <v>1.09521</v>
      </c>
      <c r="N15" s="1">
        <v>1.08412</v>
      </c>
      <c r="O15" s="1">
        <v>1.0734600000000001</v>
      </c>
      <c r="P15" s="1">
        <v>1.24224</v>
      </c>
      <c r="Q15" s="1">
        <v>1.35368</v>
      </c>
      <c r="R15" s="1">
        <v>1.0756399999999999</v>
      </c>
      <c r="S15" s="1">
        <v>1.0845100000000001</v>
      </c>
      <c r="T15" s="1">
        <v>1.09521</v>
      </c>
      <c r="U15" s="1">
        <v>1.08412</v>
      </c>
      <c r="V15" s="1">
        <v>1.0734600000000001</v>
      </c>
      <c r="W15" s="1">
        <v>1.24224</v>
      </c>
      <c r="X15" s="1">
        <v>1.35368</v>
      </c>
      <c r="Y15" s="1">
        <v>1.0756399999999999</v>
      </c>
      <c r="Z15" s="1">
        <v>1.0845100000000001</v>
      </c>
      <c r="AA15" s="1">
        <v>1.09521</v>
      </c>
      <c r="AB15" s="1">
        <v>1.08412</v>
      </c>
      <c r="AC15" s="1">
        <v>1.0734600000000001</v>
      </c>
      <c r="AD15" s="1">
        <v>1.24224</v>
      </c>
      <c r="AE15" s="1">
        <v>1.35368</v>
      </c>
      <c r="AF15" s="1">
        <v>1.0756399999999999</v>
      </c>
      <c r="AG15" s="1">
        <v>1.0845100000000001</v>
      </c>
      <c r="AH15" s="1">
        <v>1.09521</v>
      </c>
      <c r="AI15" s="1">
        <v>1.08412</v>
      </c>
      <c r="AJ15" s="1">
        <v>1.0734600000000001</v>
      </c>
      <c r="AL15" s="14" t="s">
        <v>79</v>
      </c>
      <c r="AM15" s="14"/>
      <c r="AN15" s="14"/>
      <c r="AO15" s="14"/>
      <c r="AP15" s="14"/>
      <c r="AQ15" s="14"/>
      <c r="AR15" s="14"/>
      <c r="AU15" s="1" cm="1">
        <f t="array" ref="AU15">SUMPRODUCT(($D$8:$D$31=AN$6)*($F$5:$AJ$5=""))+IF(AN$6="P6",COUNTIF($F$5:$AJ$5,"P6")*ROWS($D$8:$D$31),0)</f>
        <v>154</v>
      </c>
      <c r="BB15" s="10"/>
      <c r="BC15" s="4" t="s">
        <v>25</v>
      </c>
      <c r="BD15" s="6">
        <f>AVERAGE(AM10,AM45,AM80,AM115,AM150,AM185,AM220,AM255,AM290,AM325,AM360,AM395)</f>
        <v>1.0426666022178306</v>
      </c>
      <c r="BE15" s="6">
        <f t="shared" si="2"/>
        <v>1.0589036626710762</v>
      </c>
      <c r="BF15" s="6">
        <f t="shared" si="2"/>
        <v>0.91267039911014902</v>
      </c>
      <c r="BG15" s="6">
        <f t="shared" si="2"/>
        <v>0.93015668716097188</v>
      </c>
      <c r="BH15" s="6">
        <f t="shared" si="2"/>
        <v>1.1322455594095349</v>
      </c>
      <c r="BI15" s="6">
        <f t="shared" si="2"/>
        <v>1.0331308967864152</v>
      </c>
      <c r="BJ15" s="10"/>
    </row>
    <row r="16" spans="1:62" ht="14.5" x14ac:dyDescent="0.35">
      <c r="A16" s="1" t="s">
        <v>16</v>
      </c>
      <c r="B16" s="1" t="s">
        <v>16</v>
      </c>
      <c r="C16" s="1" t="s">
        <v>14</v>
      </c>
      <c r="D16" s="1" t="s">
        <v>14</v>
      </c>
      <c r="E16" s="1" t="s">
        <v>24</v>
      </c>
      <c r="F16" s="1">
        <v>1.40957</v>
      </c>
      <c r="G16" s="1">
        <v>1.1271</v>
      </c>
      <c r="H16" s="1">
        <v>1.11008</v>
      </c>
      <c r="I16" s="1">
        <v>1.20644</v>
      </c>
      <c r="J16" s="1">
        <v>1.3165</v>
      </c>
      <c r="K16" s="1">
        <v>1.3882300000000001</v>
      </c>
      <c r="L16" s="1">
        <v>1.1250800000000001</v>
      </c>
      <c r="M16" s="1">
        <v>1.1241000000000001</v>
      </c>
      <c r="N16" s="1">
        <v>1.1271</v>
      </c>
      <c r="O16" s="1">
        <v>1.11008</v>
      </c>
      <c r="P16" s="1">
        <v>1.20644</v>
      </c>
      <c r="Q16" s="1">
        <v>1.3165</v>
      </c>
      <c r="R16" s="1">
        <v>1.1312500000000001</v>
      </c>
      <c r="S16" s="1">
        <v>1.1250800000000001</v>
      </c>
      <c r="T16" s="1">
        <v>1.1241000000000001</v>
      </c>
      <c r="U16" s="1">
        <v>1.1271</v>
      </c>
      <c r="V16" s="1">
        <v>1.11008</v>
      </c>
      <c r="W16" s="1">
        <v>1.20644</v>
      </c>
      <c r="X16" s="1">
        <v>1.3165</v>
      </c>
      <c r="Y16" s="1">
        <v>1.1312500000000001</v>
      </c>
      <c r="Z16" s="1">
        <v>1.1250800000000001</v>
      </c>
      <c r="AA16" s="1">
        <v>1.1241000000000001</v>
      </c>
      <c r="AB16" s="1">
        <v>1.1271</v>
      </c>
      <c r="AC16" s="1">
        <v>1.11008</v>
      </c>
      <c r="AD16" s="1">
        <v>1.20644</v>
      </c>
      <c r="AE16" s="1">
        <v>1.3165</v>
      </c>
      <c r="AF16" s="1">
        <v>1.1312500000000001</v>
      </c>
      <c r="AG16" s="1">
        <v>1.1250800000000001</v>
      </c>
      <c r="AH16" s="1">
        <v>1.1241000000000001</v>
      </c>
      <c r="AI16" s="1">
        <v>1.1271</v>
      </c>
      <c r="AJ16" s="1">
        <v>1.11008</v>
      </c>
      <c r="AL16" s="4"/>
      <c r="AM16" s="4" t="s">
        <v>13</v>
      </c>
      <c r="AN16" s="4" t="s">
        <v>14</v>
      </c>
      <c r="AO16" s="4" t="s">
        <v>15</v>
      </c>
      <c r="AP16" s="4" t="s">
        <v>16</v>
      </c>
      <c r="AQ16" s="4" t="s">
        <v>17</v>
      </c>
      <c r="AR16" s="4" t="s">
        <v>7</v>
      </c>
      <c r="AU16" s="1" cm="1">
        <f t="array" ref="AU16">SUMPRODUCT(($D$8:$D$31=AR$6)*($F$5:$AJ$5=""))+IF(AR$6="P6",COUNTIF($F$5:$AJ$5,"P6")*ROWS($D$8:$D$31),0)</f>
        <v>392</v>
      </c>
      <c r="BB16" s="10"/>
      <c r="BC16" s="4" t="s">
        <v>27</v>
      </c>
      <c r="BD16" s="6">
        <f>AVERAGE(AM11,AM46,AM81,AM116,AM151,AM186,AM221,AM256,AM291,AM326,AM361,AM396)</f>
        <v>1.0426666022178306</v>
      </c>
      <c r="BE16" s="6">
        <f t="shared" si="2"/>
        <v>1.0589036626710762</v>
      </c>
      <c r="BF16" s="6">
        <f t="shared" si="2"/>
        <v>0.91267039911014902</v>
      </c>
      <c r="BG16" s="6">
        <f t="shared" si="2"/>
        <v>0.93015668716097188</v>
      </c>
      <c r="BH16" s="6">
        <f t="shared" si="2"/>
        <v>1.1322455594095349</v>
      </c>
      <c r="BI16" s="6">
        <f t="shared" si="2"/>
        <v>1.0331308967864152</v>
      </c>
      <c r="BJ16" s="10"/>
    </row>
    <row r="17" spans="1:62" ht="14.5" x14ac:dyDescent="0.35">
      <c r="A17" s="1" t="s">
        <v>16</v>
      </c>
      <c r="B17" s="1" t="s">
        <v>16</v>
      </c>
      <c r="C17" s="1" t="s">
        <v>14</v>
      </c>
      <c r="D17" s="1" t="s">
        <v>13</v>
      </c>
      <c r="E17" s="1" t="s">
        <v>26</v>
      </c>
      <c r="F17" s="1">
        <v>1.29074</v>
      </c>
      <c r="G17" s="1">
        <v>1.1138399999999999</v>
      </c>
      <c r="H17" s="1">
        <v>1.09978</v>
      </c>
      <c r="I17" s="1">
        <v>1.15143</v>
      </c>
      <c r="J17" s="1">
        <v>1.2283299999999999</v>
      </c>
      <c r="K17" s="1">
        <v>1.2867599999999999</v>
      </c>
      <c r="L17" s="1">
        <v>1.10066</v>
      </c>
      <c r="M17" s="1">
        <v>1.11097</v>
      </c>
      <c r="N17" s="1">
        <v>1.1138399999999999</v>
      </c>
      <c r="O17" s="1">
        <v>1.09978</v>
      </c>
      <c r="P17" s="1">
        <v>1.15143</v>
      </c>
      <c r="Q17" s="1">
        <v>1.2283299999999999</v>
      </c>
      <c r="R17" s="1">
        <v>1.0880099999999999</v>
      </c>
      <c r="S17" s="1">
        <v>1.10066</v>
      </c>
      <c r="T17" s="1">
        <v>1.11097</v>
      </c>
      <c r="U17" s="1">
        <v>1.1138399999999999</v>
      </c>
      <c r="V17" s="1">
        <v>1.09978</v>
      </c>
      <c r="W17" s="1">
        <v>1.15143</v>
      </c>
      <c r="X17" s="1">
        <v>1.2283299999999999</v>
      </c>
      <c r="Y17" s="1">
        <v>1.0880099999999999</v>
      </c>
      <c r="Z17" s="1">
        <v>1.10066</v>
      </c>
      <c r="AA17" s="1">
        <v>1.11097</v>
      </c>
      <c r="AB17" s="1">
        <v>1.1138399999999999</v>
      </c>
      <c r="AC17" s="1">
        <v>1.09978</v>
      </c>
      <c r="AD17" s="1">
        <v>1.15143</v>
      </c>
      <c r="AE17" s="1">
        <v>1.2283299999999999</v>
      </c>
      <c r="AF17" s="1">
        <v>1.0880099999999999</v>
      </c>
      <c r="AG17" s="1">
        <v>1.10066</v>
      </c>
      <c r="AH17" s="1">
        <v>1.11097</v>
      </c>
      <c r="AI17" s="1">
        <v>1.1138399999999999</v>
      </c>
      <c r="AJ17" s="1">
        <v>1.09978</v>
      </c>
      <c r="AL17" s="4" t="s">
        <v>19</v>
      </c>
      <c r="AM17" s="6" cm="1">
        <f t="array" ref="AM17">IFERROR((SUMPRODUCT(($C$8:$C$31=AM$6)*($F$4:$AJ$4="")*$F$8:$AJ$31)+IF(AM$6="P3",SUMPRODUCT(($F$4:$AJ$4="P3")*$F$8:$AJ$31),0))/(SUMPRODUCT(($C$8:$C$31=AM$6)*($F$4:$AJ$4=""))+IF(AM$6="P3",COUNTIF($F$4:$AJ$4,"P3")*ROWS($C$8:$C$31),0)),"")</f>
        <v>1.127389318181818</v>
      </c>
      <c r="AN17" s="6" cm="1">
        <f t="array" ref="AN17">IFERROR((SUMPRODUCT(($C$8:$C$31=AN$6)*($F$4:$AJ$4="")*$F$8:$AJ$31)+IF(AN$6="P3",SUMPRODUCT(($F$4:$AJ$4="P3")*$F$8:$AJ$31),0))/(SUMPRODUCT(($C$8:$C$31=AN$6)*($F$4:$AJ$4=""))+IF(AN$6="P3",COUNTIF($F$4:$AJ$4,"P3")*ROWS($C$8:$C$31),0)),"")</f>
        <v>1.1654085795454545</v>
      </c>
      <c r="AO17" s="6" cm="1">
        <f t="array" ref="AO17">IFERROR((SUMPRODUCT(($C$8:$C$31=AO$6)*($F$4:$AJ$4="")*$F$8:$AJ$31)+IF(AO$6="P3",SUMPRODUCT(($F$4:$AJ$4="P3")*$F$8:$AJ$31),0))/(SUMPRODUCT(($C$8:$C$31=AO$6)*($F$4:$AJ$4=""))+IF(AO$6="P3",COUNTIF($F$4:$AJ$4,"P3")*ROWS($C$8:$C$31),0)),"")</f>
        <v>1.2480143877551015</v>
      </c>
      <c r="AP17" s="6" t="str" cm="1">
        <f t="array" ref="AP17">IFERROR((SUMPRODUCT(($C$8:$C$31=AP$6)*($F$4:$AJ$4="")*$F$8:$AJ$31)+IF(AP$6="P3",SUMPRODUCT(($F$4:$AJ$4="P3")*$F$8:$AJ$31),0))/(SUMPRODUCT(($C$8:$C$31=AP$6)*($F$4:$AJ$4=""))+IF(AP$6="P3",COUNTIF($F$4:$AJ$4,"P3")*ROWS($C$8:$C$31),0)),"")</f>
        <v/>
      </c>
      <c r="AQ17" s="6" t="str" cm="1">
        <f t="array" ref="AQ17">IFERROR((SUMPRODUCT(($C$8:$C$31=AQ$6)*($F$4:$AJ$4="")*$F$8:$AJ$31)+IF(AQ$6="P3",SUMPRODUCT(($F$4:$AJ$4="P3")*$F$8:$AJ$31),0))/(SUMPRODUCT(($C$8:$C$31=AQ$6)*($F$4:$AJ$4=""))+IF(AQ$6="P3",COUNTIF($F$4:$AJ$4,"P3")*ROWS($C$8:$C$31),0)),"")</f>
        <v/>
      </c>
      <c r="AR17" s="6" t="str" cm="1">
        <f t="array" ref="AR17">IFERROR((SUMPRODUCT(($C$8:$C$31=AR$6)*($F$4:$AJ$4="")*$F$8:$AJ$31)+IF(AR$6="P3",SUMPRODUCT(($F$4:$AJ$4="P3")*$F$8:$AJ$31),0))/(SUMPRODUCT(($C$8:$C$31=AR$6)*($F$4:$AJ$4=""))+IF(AR$6="P3",COUNTIF($F$4:$AJ$4,"P3")*ROWS($C$8:$C$31),0)),"")</f>
        <v/>
      </c>
      <c r="BB17" s="10"/>
      <c r="BC17" s="4" t="s">
        <v>29</v>
      </c>
      <c r="BD17" s="6">
        <f>AVERAGE(AM12,AM47,AM82,AM117,AM152,AM187,AM222,AM257,AM292,AM327,AM362,AM397)</f>
        <v>1.0426666022178306</v>
      </c>
      <c r="BE17" s="6">
        <f t="shared" si="2"/>
        <v>1.0589036626710762</v>
      </c>
      <c r="BF17" s="6">
        <f t="shared" si="2"/>
        <v>0.91267039911014902</v>
      </c>
      <c r="BG17" s="6">
        <f t="shared" si="2"/>
        <v>0.93015668716097188</v>
      </c>
      <c r="BH17" s="6">
        <f t="shared" si="2"/>
        <v>1.1322455594095349</v>
      </c>
      <c r="BI17" s="6">
        <f t="shared" si="2"/>
        <v>1.0331308967864152</v>
      </c>
      <c r="BJ17" s="10"/>
    </row>
    <row r="18" spans="1:62" ht="14.5" x14ac:dyDescent="0.35">
      <c r="A18" s="1" t="s">
        <v>14</v>
      </c>
      <c r="B18" s="1" t="s">
        <v>15</v>
      </c>
      <c r="C18" s="1" t="s">
        <v>13</v>
      </c>
      <c r="D18" s="1" t="s">
        <v>13</v>
      </c>
      <c r="E18" s="1" t="s">
        <v>28</v>
      </c>
      <c r="F18" s="1">
        <v>1.13683</v>
      </c>
      <c r="G18" s="1">
        <v>1.04904</v>
      </c>
      <c r="H18" s="1">
        <v>1.0606500000000001</v>
      </c>
      <c r="I18" s="1">
        <v>1.07673</v>
      </c>
      <c r="J18" s="1">
        <v>1.11511</v>
      </c>
      <c r="K18" s="1">
        <v>1.1905600000000001</v>
      </c>
      <c r="L18" s="1">
        <v>1.0510600000000001</v>
      </c>
      <c r="M18" s="1">
        <v>1.05166</v>
      </c>
      <c r="N18" s="1">
        <v>1.04904</v>
      </c>
      <c r="O18" s="1">
        <v>1.0606500000000001</v>
      </c>
      <c r="P18" s="1">
        <v>1.07673</v>
      </c>
      <c r="Q18" s="1">
        <v>1.11511</v>
      </c>
      <c r="R18" s="1">
        <v>1.0354399999999999</v>
      </c>
      <c r="S18" s="1">
        <v>1.0510600000000001</v>
      </c>
      <c r="T18" s="1">
        <v>1.05166</v>
      </c>
      <c r="U18" s="1">
        <v>1.04904</v>
      </c>
      <c r="V18" s="1">
        <v>1.0606500000000001</v>
      </c>
      <c r="W18" s="1">
        <v>1.07673</v>
      </c>
      <c r="X18" s="1">
        <v>1.11511</v>
      </c>
      <c r="Y18" s="1">
        <v>1.0354399999999999</v>
      </c>
      <c r="Z18" s="1">
        <v>1.0510600000000001</v>
      </c>
      <c r="AA18" s="1">
        <v>1.05166</v>
      </c>
      <c r="AB18" s="1">
        <v>1.04904</v>
      </c>
      <c r="AC18" s="1">
        <v>1.0606500000000001</v>
      </c>
      <c r="AD18" s="1">
        <v>1.07673</v>
      </c>
      <c r="AE18" s="1">
        <v>1.11511</v>
      </c>
      <c r="AF18" s="1">
        <v>1.0354399999999999</v>
      </c>
      <c r="AG18" s="1">
        <v>1.0510600000000001</v>
      </c>
      <c r="AH18" s="1">
        <v>1.05166</v>
      </c>
      <c r="AI18" s="1">
        <v>1.04904</v>
      </c>
      <c r="AJ18" s="1">
        <v>1.0606500000000001</v>
      </c>
      <c r="AL18" s="4" t="s">
        <v>21</v>
      </c>
      <c r="AM18" s="6" t="str" cm="1">
        <f t="array" ref="AM18">IFERROR((SUMPRODUCT(($A$8:$A$31=AM$16)*($F$5:$AJ$5="")*$F$8:$AJ$31)+IF(AM$16="P6",SUMPRODUCT(($F$5:$AJ$5="P6")*$F$8:$AJ$31),0))/(SUMPRODUCT(($A$8:$A$31=AM$16)*($F$5:$AJ$5=""))+IF(AM$16="P6",COUNTIF($F$5:$AJ$5,"P6")*ROWS($A$8:$A$31),0)),"")</f>
        <v/>
      </c>
      <c r="AN18" s="6" cm="1">
        <f t="array" ref="AN18">IFERROR((SUMPRODUCT(($A$8:$A$31=AN$16)*($F$5:$AJ$5="")*$F$8:$AJ$31)+IF(AN$16="P6",SUMPRODUCT(($F$5:$AJ$5="P6")*$F$8:$AJ$31),0))/(SUMPRODUCT(($A$8:$A$31=AN$16)*($F$5:$AJ$5=""))+IF(AN$16="P6",COUNTIF($F$5:$AJ$5,"P6")*ROWS($A$8:$A$31),0)),"")</f>
        <v>1.1209681818181814</v>
      </c>
      <c r="AO18" s="6" t="str" cm="1">
        <f t="array" ref="AO18">IFERROR((SUMPRODUCT(($A$8:$A$31=AO$16)*($F$5:$AJ$5="")*$F$8:$AJ$31)+IF(AO$16="P6",SUMPRODUCT(($F$5:$AJ$5="P6")*$F$8:$AJ$31),0))/(SUMPRODUCT(($A$8:$A$31=AO$16)*($F$5:$AJ$5=""))+IF(AO$16="P6",COUNTIF($F$5:$AJ$5,"P6")*ROWS($A$8:$A$31),0)),"")</f>
        <v/>
      </c>
      <c r="AP18" s="6" cm="1">
        <f t="array" ref="AP18">IFERROR((SUMPRODUCT(($A$8:$A$31=AP$16)*($F$5:$AJ$5="")*$F$8:$AJ$31)+IF(AP$16="P6",SUMPRODUCT(($F$5:$AJ$5="P6")*$F$8:$AJ$31),0))/(SUMPRODUCT(($A$8:$A$31=AP$16)*($F$5:$AJ$5=""))+IF(AP$16="P6",COUNTIF($F$5:$AJ$5,"P6")*ROWS($A$8:$A$31),0)),"")</f>
        <v>1.1790956493506499</v>
      </c>
      <c r="AQ18" s="6" t="str" cm="1">
        <f t="array" ref="AQ18">IFERROR((SUMPRODUCT(($A$8:$A$31=AQ$16)*($F$5:$AJ$5="")*$F$8:$AJ$31)+IF(AQ$16="P6",SUMPRODUCT(($F$5:$AJ$5="P6")*$F$8:$AJ$31),0))/(SUMPRODUCT(($A$8:$A$31=AQ$16)*($F$5:$AJ$5=""))+IF(AQ$16="P6",COUNTIF($F$5:$AJ$5,"P6")*ROWS($A$8:$A$31),0)),"")</f>
        <v/>
      </c>
      <c r="AR18" s="6" cm="1">
        <f t="array" ref="AR18">IFERROR((SUMPRODUCT(($A$8:$A$31=AR$16)*($F$5:$AJ$5="")*$F$8:$AJ$31)+IF(AR$16="P6",SUMPRODUCT(($F$5:$AJ$5="P6")*$F$8:$AJ$31),0))/(SUMPRODUCT(($A$8:$A$31=AR$16)*($F$5:$AJ$5=""))+IF(AR$16="P6",COUNTIF($F$5:$AJ$5,"P6")*ROWS($A$8:$A$31),0)),"")</f>
        <v>1.2480143877551015</v>
      </c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 ht="14.5" x14ac:dyDescent="0.35">
      <c r="A19" s="1" t="s">
        <v>14</v>
      </c>
      <c r="B19" s="1" t="s">
        <v>15</v>
      </c>
      <c r="C19" s="1" t="s">
        <v>13</v>
      </c>
      <c r="D19" s="1" t="s">
        <v>13</v>
      </c>
      <c r="E19" s="1" t="s">
        <v>30</v>
      </c>
      <c r="F19" s="1">
        <v>1.0684400000000001</v>
      </c>
      <c r="G19" s="1">
        <v>1.04162</v>
      </c>
      <c r="H19" s="1">
        <v>1.06226</v>
      </c>
      <c r="I19" s="1">
        <v>1.0348599999999999</v>
      </c>
      <c r="J19" s="1">
        <v>1.0766500000000001</v>
      </c>
      <c r="K19" s="1">
        <v>1.1552199999999999</v>
      </c>
      <c r="L19" s="1">
        <v>1.0561199999999999</v>
      </c>
      <c r="M19" s="1">
        <v>1.0589900000000001</v>
      </c>
      <c r="N19" s="1">
        <v>1.04162</v>
      </c>
      <c r="O19" s="1">
        <v>1.06226</v>
      </c>
      <c r="P19" s="1">
        <v>1.0348599999999999</v>
      </c>
      <c r="Q19" s="1">
        <v>1.0766500000000001</v>
      </c>
      <c r="R19" s="1">
        <v>1.02826</v>
      </c>
      <c r="S19" s="1">
        <v>1.0561199999999999</v>
      </c>
      <c r="T19" s="1">
        <v>1.0589900000000001</v>
      </c>
      <c r="U19" s="1">
        <v>1.04162</v>
      </c>
      <c r="V19" s="1">
        <v>1.06226</v>
      </c>
      <c r="W19" s="1">
        <v>1.0348599999999999</v>
      </c>
      <c r="X19" s="1">
        <v>1.0766500000000001</v>
      </c>
      <c r="Y19" s="1">
        <v>1.02826</v>
      </c>
      <c r="Z19" s="1">
        <v>1.0561199999999999</v>
      </c>
      <c r="AA19" s="1">
        <v>1.0589900000000001</v>
      </c>
      <c r="AB19" s="1">
        <v>1.04162</v>
      </c>
      <c r="AC19" s="1">
        <v>1.06226</v>
      </c>
      <c r="AD19" s="1">
        <v>1.0348599999999999</v>
      </c>
      <c r="AE19" s="1">
        <v>1.0766500000000001</v>
      </c>
      <c r="AF19" s="1">
        <v>1.02826</v>
      </c>
      <c r="AG19" s="1">
        <v>1.0561199999999999</v>
      </c>
      <c r="AH19" s="1">
        <v>1.0589900000000001</v>
      </c>
      <c r="AI19" s="1">
        <v>1.04162</v>
      </c>
      <c r="AJ19" s="1">
        <v>1.06226</v>
      </c>
      <c r="AL19" s="4" t="s">
        <v>23</v>
      </c>
      <c r="AM19" s="6" t="str" cm="1">
        <f t="array" ref="AM19">IFERROR((SUMPRODUCT(($A$8:$A$31=AM$16)*($F$5:$AJ$5="")*$F$8:$AJ$31)+IF(AM$16="P6",SUMPRODUCT(($F$5:$AJ$5="P6")*$F$8:$AJ$31),0))/(SUMPRODUCT(($A$8:$A$31=AM$16)*($F$5:$AJ$5=""))+IF(AM$16="P6",COUNTIF($F$5:$AJ$5,"P6")*ROWS($A$8:$A$31),0)),"")</f>
        <v/>
      </c>
      <c r="AN19" s="6" cm="1">
        <f t="array" ref="AN19">IFERROR((SUMPRODUCT(($A$8:$A$31=AN$16)*($F$5:$AJ$5="")*$F$8:$AJ$31)+IF(AN$16="P6",SUMPRODUCT(($F$5:$AJ$5="P6")*$F$8:$AJ$31),0))/(SUMPRODUCT(($A$8:$A$31=AN$16)*($F$5:$AJ$5=""))+IF(AN$16="P6",COUNTIF($F$5:$AJ$5,"P6")*ROWS($A$8:$A$31),0)),"")</f>
        <v>1.1209681818181814</v>
      </c>
      <c r="AO19" s="6" t="str" cm="1">
        <f t="array" ref="AO19">IFERROR((SUMPRODUCT(($A$8:$A$31=AO$16)*($F$5:$AJ$5="")*$F$8:$AJ$31)+IF(AO$16="P6",SUMPRODUCT(($F$5:$AJ$5="P6")*$F$8:$AJ$31),0))/(SUMPRODUCT(($A$8:$A$31=AO$16)*($F$5:$AJ$5=""))+IF(AO$16="P6",COUNTIF($F$5:$AJ$5,"P6")*ROWS($A$8:$A$31),0)),"")</f>
        <v/>
      </c>
      <c r="AP19" s="6" cm="1">
        <f t="array" ref="AP19">IFERROR((SUMPRODUCT(($A$8:$A$31=AP$16)*($F$5:$AJ$5="")*$F$8:$AJ$31)+IF(AP$16="P6",SUMPRODUCT(($F$5:$AJ$5="P6")*$F$8:$AJ$31),0))/(SUMPRODUCT(($A$8:$A$31=AP$16)*($F$5:$AJ$5=""))+IF(AP$16="P6",COUNTIF($F$5:$AJ$5,"P6")*ROWS($A$8:$A$31),0)),"")</f>
        <v>1.1790956493506499</v>
      </c>
      <c r="AQ19" s="6" t="str" cm="1">
        <f t="array" ref="AQ19">IFERROR((SUMPRODUCT(($A$8:$A$31=AQ$16)*($F$5:$AJ$5="")*$F$8:$AJ$31)+IF(AQ$16="P6",SUMPRODUCT(($F$5:$AJ$5="P6")*$F$8:$AJ$31),0))/(SUMPRODUCT(($A$8:$A$31=AQ$16)*($F$5:$AJ$5=""))+IF(AQ$16="P6",COUNTIF($F$5:$AJ$5,"P6")*ROWS($A$8:$A$31),0)),"")</f>
        <v/>
      </c>
      <c r="AR19" s="6" cm="1">
        <f t="array" ref="AR19">IFERROR((SUMPRODUCT(($A$8:$A$31=AR$16)*($F$5:$AJ$5="")*$F$8:$AJ$31)+IF(AR$16="P6",SUMPRODUCT(($F$5:$AJ$5="P6")*$F$8:$AJ$31),0))/(SUMPRODUCT(($A$8:$A$31=AR$16)*($F$5:$AJ$5=""))+IF(AR$16="P6",COUNTIF($F$5:$AJ$5,"P6")*ROWS($A$8:$A$31),0)),"")</f>
        <v>1.2480143877551015</v>
      </c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 ht="14.5" x14ac:dyDescent="0.35">
      <c r="A20" s="1" t="s">
        <v>14</v>
      </c>
      <c r="B20" s="1" t="s">
        <v>15</v>
      </c>
      <c r="C20" s="1" t="s">
        <v>13</v>
      </c>
      <c r="D20" s="1" t="s">
        <v>13</v>
      </c>
      <c r="E20" s="1" t="s">
        <v>31</v>
      </c>
      <c r="F20" s="1">
        <v>1.0404100000000001</v>
      </c>
      <c r="G20" s="1">
        <v>1.0376700000000001</v>
      </c>
      <c r="H20" s="1">
        <v>1.06467</v>
      </c>
      <c r="I20" s="1">
        <v>1.0167999999999999</v>
      </c>
      <c r="J20" s="1">
        <v>1.0522499999999999</v>
      </c>
      <c r="K20" s="1">
        <v>1.1425799999999999</v>
      </c>
      <c r="L20" s="1">
        <v>1.0502499999999999</v>
      </c>
      <c r="M20" s="1">
        <v>1.0535600000000001</v>
      </c>
      <c r="N20" s="1">
        <v>1.0376700000000001</v>
      </c>
      <c r="O20" s="1">
        <v>1.06467</v>
      </c>
      <c r="P20" s="1">
        <v>1.0167999999999999</v>
      </c>
      <c r="Q20" s="1">
        <v>1.0522499999999999</v>
      </c>
      <c r="R20" s="1">
        <v>1.02881</v>
      </c>
      <c r="S20" s="1">
        <v>1.0502499999999999</v>
      </c>
      <c r="T20" s="1">
        <v>1.0535600000000001</v>
      </c>
      <c r="U20" s="1">
        <v>1.0376700000000001</v>
      </c>
      <c r="V20" s="1">
        <v>1.06467</v>
      </c>
      <c r="W20" s="1">
        <v>1.0167999999999999</v>
      </c>
      <c r="X20" s="1">
        <v>1.0522499999999999</v>
      </c>
      <c r="Y20" s="1">
        <v>1.02881</v>
      </c>
      <c r="Z20" s="1">
        <v>1.0502499999999999</v>
      </c>
      <c r="AA20" s="1">
        <v>1.0535600000000001</v>
      </c>
      <c r="AB20" s="1">
        <v>1.0376700000000001</v>
      </c>
      <c r="AC20" s="1">
        <v>1.06467</v>
      </c>
      <c r="AD20" s="1">
        <v>1.0167999999999999</v>
      </c>
      <c r="AE20" s="1">
        <v>1.0522499999999999</v>
      </c>
      <c r="AF20" s="1">
        <v>1.02881</v>
      </c>
      <c r="AG20" s="1">
        <v>1.0502499999999999</v>
      </c>
      <c r="AH20" s="1">
        <v>1.0535600000000001</v>
      </c>
      <c r="AI20" s="1">
        <v>1.0376700000000001</v>
      </c>
      <c r="AJ20" s="1">
        <v>1.06467</v>
      </c>
      <c r="AL20" s="4" t="s">
        <v>25</v>
      </c>
      <c r="AM20" s="6" t="str" cm="1">
        <f t="array" ref="AM20">IFERROR((SUMPRODUCT(($A$8:$A$31=AM$16)*($F$5:$AJ$5="")*$F$8:$AJ$31)+IF(AM$16="P6",SUMPRODUCT(($F$5:$AJ$5="P6")*$F$8:$AJ$31),0))/(SUMPRODUCT(($A$8:$A$31=AM$16)*($F$5:$AJ$5=""))+IF(AM$16="P6",COUNTIF($F$5:$AJ$5,"P6")*ROWS($A$8:$A$31),0)),"")</f>
        <v/>
      </c>
      <c r="AN20" s="6" cm="1">
        <f t="array" ref="AN20">IFERROR((SUMPRODUCT(($A$8:$A$31=AN$16)*($F$5:$AJ$5="")*$F$8:$AJ$31)+IF(AN$16="P6",SUMPRODUCT(($F$5:$AJ$5="P6")*$F$8:$AJ$31),0))/(SUMPRODUCT(($A$8:$A$31=AN$16)*($F$5:$AJ$5=""))+IF(AN$16="P6",COUNTIF($F$5:$AJ$5,"P6")*ROWS($A$8:$A$31),0)),"")</f>
        <v>1.1209681818181814</v>
      </c>
      <c r="AO20" s="6" t="str" cm="1">
        <f t="array" ref="AO20">IFERROR((SUMPRODUCT(($A$8:$A$31=AO$16)*($F$5:$AJ$5="")*$F$8:$AJ$31)+IF(AO$16="P6",SUMPRODUCT(($F$5:$AJ$5="P6")*$F$8:$AJ$31),0))/(SUMPRODUCT(($A$8:$A$31=AO$16)*($F$5:$AJ$5=""))+IF(AO$16="P6",COUNTIF($F$5:$AJ$5,"P6")*ROWS($A$8:$A$31),0)),"")</f>
        <v/>
      </c>
      <c r="AP20" s="6" cm="1">
        <f t="array" ref="AP20">IFERROR((SUMPRODUCT(($A$8:$A$31=AP$16)*($F$5:$AJ$5="")*$F$8:$AJ$31)+IF(AP$16="P6",SUMPRODUCT(($F$5:$AJ$5="P6")*$F$8:$AJ$31),0))/(SUMPRODUCT(($A$8:$A$31=AP$16)*($F$5:$AJ$5=""))+IF(AP$16="P6",COUNTIF($F$5:$AJ$5,"P6")*ROWS($A$8:$A$31),0)),"")</f>
        <v>1.1790956493506499</v>
      </c>
      <c r="AQ20" s="6" t="str" cm="1">
        <f t="array" ref="AQ20">IFERROR((SUMPRODUCT(($A$8:$A$31=AQ$16)*($F$5:$AJ$5="")*$F$8:$AJ$31)+IF(AQ$16="P6",SUMPRODUCT(($F$5:$AJ$5="P6")*$F$8:$AJ$31),0))/(SUMPRODUCT(($A$8:$A$31=AQ$16)*($F$5:$AJ$5=""))+IF(AQ$16="P6",COUNTIF($F$5:$AJ$5,"P6")*ROWS($A$8:$A$31),0)),"")</f>
        <v/>
      </c>
      <c r="AR20" s="6" cm="1">
        <f t="array" ref="AR20">IFERROR((SUMPRODUCT(($A$8:$A$31=AR$16)*($F$5:$AJ$5="")*$F$8:$AJ$31)+IF(AR$16="P6",SUMPRODUCT(($F$5:$AJ$5="P6")*$F$8:$AJ$31),0))/(SUMPRODUCT(($A$8:$A$31=AR$16)*($F$5:$AJ$5=""))+IF(AR$16="P6",COUNTIF($F$5:$AJ$5,"P6")*ROWS($A$8:$A$31),0)),"")</f>
        <v>1.2480143877551015</v>
      </c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 ht="14.5" x14ac:dyDescent="0.35">
      <c r="A21" s="1" t="s">
        <v>14</v>
      </c>
      <c r="B21" s="1" t="s">
        <v>15</v>
      </c>
      <c r="C21" s="1" t="s">
        <v>13</v>
      </c>
      <c r="D21" s="1" t="s">
        <v>13</v>
      </c>
      <c r="E21" s="1" t="s">
        <v>32</v>
      </c>
      <c r="F21" s="1">
        <v>1.0183199999999999</v>
      </c>
      <c r="G21" s="1">
        <v>1.0321199999999999</v>
      </c>
      <c r="H21" s="1">
        <v>1.07121</v>
      </c>
      <c r="I21" s="1">
        <v>0.98673999999999995</v>
      </c>
      <c r="J21" s="1">
        <v>1.0311600000000001</v>
      </c>
      <c r="K21" s="1">
        <v>1.1282799999999999</v>
      </c>
      <c r="L21" s="1">
        <v>1.05443</v>
      </c>
      <c r="M21" s="1">
        <v>1.0560799999999999</v>
      </c>
      <c r="N21" s="1">
        <v>1.0321199999999999</v>
      </c>
      <c r="O21" s="1">
        <v>1.07121</v>
      </c>
      <c r="P21" s="1">
        <v>0.98673999999999995</v>
      </c>
      <c r="Q21" s="1">
        <v>1.0311600000000001</v>
      </c>
      <c r="R21" s="1">
        <v>1.0349699999999999</v>
      </c>
      <c r="S21" s="1">
        <v>1.05443</v>
      </c>
      <c r="T21" s="1">
        <v>1.0560799999999999</v>
      </c>
      <c r="U21" s="1">
        <v>1.0321199999999999</v>
      </c>
      <c r="V21" s="1">
        <v>1.07121</v>
      </c>
      <c r="W21" s="1">
        <v>0.98673999999999995</v>
      </c>
      <c r="X21" s="1">
        <v>1.0311600000000001</v>
      </c>
      <c r="Y21" s="1">
        <v>1.0349699999999999</v>
      </c>
      <c r="Z21" s="1">
        <v>1.05443</v>
      </c>
      <c r="AA21" s="1">
        <v>1.0560799999999999</v>
      </c>
      <c r="AB21" s="1">
        <v>1.0321199999999999</v>
      </c>
      <c r="AC21" s="1">
        <v>1.07121</v>
      </c>
      <c r="AD21" s="1">
        <v>0.98673999999999995</v>
      </c>
      <c r="AE21" s="1">
        <v>1.0311600000000001</v>
      </c>
      <c r="AF21" s="1">
        <v>1.0349699999999999</v>
      </c>
      <c r="AG21" s="1">
        <v>1.05443</v>
      </c>
      <c r="AH21" s="1">
        <v>1.0560799999999999</v>
      </c>
      <c r="AI21" s="1">
        <v>1.0321199999999999</v>
      </c>
      <c r="AJ21" s="1">
        <v>1.07121</v>
      </c>
      <c r="AL21" s="4" t="s">
        <v>27</v>
      </c>
      <c r="AM21" s="6" t="str" cm="1">
        <f t="array" ref="AM21">IFERROR((SUMPRODUCT(($A$8:$A$31=AM$16)*($F$5:$AJ$5="")*$F$8:$AJ$31)+IF(AM$16="P6",SUMPRODUCT(($F$5:$AJ$5="P6")*$F$8:$AJ$31),0))/(SUMPRODUCT(($A$8:$A$31=AM$16)*($F$5:$AJ$5=""))+IF(AM$16="P6",COUNTIF($F$5:$AJ$5,"P6")*ROWS($A$8:$A$31),0)),"")</f>
        <v/>
      </c>
      <c r="AN21" s="6" cm="1">
        <f t="array" ref="AN21">IFERROR((SUMPRODUCT(($A$8:$A$31=AN$16)*($F$5:$AJ$5="")*$F$8:$AJ$31)+IF(AN$16="P6",SUMPRODUCT(($F$5:$AJ$5="P6")*$F$8:$AJ$31),0))/(SUMPRODUCT(($A$8:$A$31=AN$16)*($F$5:$AJ$5=""))+IF(AN$16="P6",COUNTIF($F$5:$AJ$5,"P6")*ROWS($A$8:$A$31),0)),"")</f>
        <v>1.1209681818181814</v>
      </c>
      <c r="AO21" s="6" t="str" cm="1">
        <f t="array" ref="AO21">IFERROR((SUMPRODUCT(($A$8:$A$31=AO$16)*($F$5:$AJ$5="")*$F$8:$AJ$31)+IF(AO$16="P6",SUMPRODUCT(($F$5:$AJ$5="P6")*$F$8:$AJ$31),0))/(SUMPRODUCT(($A$8:$A$31=AO$16)*($F$5:$AJ$5=""))+IF(AO$16="P6",COUNTIF($F$5:$AJ$5,"P6")*ROWS($A$8:$A$31),0)),"")</f>
        <v/>
      </c>
      <c r="AP21" s="6" cm="1">
        <f t="array" ref="AP21">IFERROR((SUMPRODUCT(($A$8:$A$31=AP$16)*($F$5:$AJ$5="")*$F$8:$AJ$31)+IF(AP$16="P6",SUMPRODUCT(($F$5:$AJ$5="P6")*$F$8:$AJ$31),0))/(SUMPRODUCT(($A$8:$A$31=AP$16)*($F$5:$AJ$5=""))+IF(AP$16="P6",COUNTIF($F$5:$AJ$5,"P6")*ROWS($A$8:$A$31),0)),"")</f>
        <v>1.1790956493506499</v>
      </c>
      <c r="AQ21" s="6" t="str" cm="1">
        <f t="array" ref="AQ21">IFERROR((SUMPRODUCT(($A$8:$A$31=AQ$16)*($F$5:$AJ$5="")*$F$8:$AJ$31)+IF(AQ$16="P6",SUMPRODUCT(($F$5:$AJ$5="P6")*$F$8:$AJ$31),0))/(SUMPRODUCT(($A$8:$A$31=AQ$16)*($F$5:$AJ$5=""))+IF(AQ$16="P6",COUNTIF($F$5:$AJ$5,"P6")*ROWS($A$8:$A$31),0)),"")</f>
        <v/>
      </c>
      <c r="AR21" s="6" cm="1">
        <f t="array" ref="AR21">IFERROR((SUMPRODUCT(($A$8:$A$31=AR$16)*($F$5:$AJ$5="")*$F$8:$AJ$31)+IF(AR$16="P6",SUMPRODUCT(($F$5:$AJ$5="P6")*$F$8:$AJ$31),0))/(SUMPRODUCT(($A$8:$A$31=AR$16)*($F$5:$AJ$5=""))+IF(AR$16="P6",COUNTIF($F$5:$AJ$5,"P6")*ROWS($A$8:$A$31),0)),"")</f>
        <v>1.2480143877551015</v>
      </c>
    </row>
    <row r="22" spans="1:62" ht="14.5" x14ac:dyDescent="0.35">
      <c r="A22" s="1" t="s">
        <v>14</v>
      </c>
      <c r="B22" s="1" t="s">
        <v>15</v>
      </c>
      <c r="C22" s="1" t="s">
        <v>14</v>
      </c>
      <c r="D22" s="1" t="s">
        <v>14</v>
      </c>
      <c r="E22" s="1" t="s">
        <v>33</v>
      </c>
      <c r="F22" s="1">
        <v>1.03396</v>
      </c>
      <c r="G22" s="1">
        <v>1.0441</v>
      </c>
      <c r="H22" s="1">
        <v>1.0900799999999999</v>
      </c>
      <c r="I22" s="1">
        <v>1.02651</v>
      </c>
      <c r="J22" s="1">
        <v>0.99102999999999997</v>
      </c>
      <c r="K22" s="1">
        <v>1.1531</v>
      </c>
      <c r="L22" s="1">
        <v>1.06948</v>
      </c>
      <c r="M22" s="1">
        <v>1.06992</v>
      </c>
      <c r="N22" s="1">
        <v>1.0441</v>
      </c>
      <c r="O22" s="1">
        <v>1.0900799999999999</v>
      </c>
      <c r="P22" s="1">
        <v>1.02651</v>
      </c>
      <c r="Q22" s="1">
        <v>0.99102999999999997</v>
      </c>
      <c r="R22" s="1">
        <v>1.04986</v>
      </c>
      <c r="S22" s="1">
        <v>1.06948</v>
      </c>
      <c r="T22" s="1">
        <v>1.06992</v>
      </c>
      <c r="U22" s="1">
        <v>1.0441</v>
      </c>
      <c r="V22" s="1">
        <v>1.0900799999999999</v>
      </c>
      <c r="W22" s="1">
        <v>1.02651</v>
      </c>
      <c r="X22" s="1">
        <v>0.99102999999999997</v>
      </c>
      <c r="Y22" s="1">
        <v>1.04986</v>
      </c>
      <c r="Z22" s="1">
        <v>1.06948</v>
      </c>
      <c r="AA22" s="1">
        <v>1.06992</v>
      </c>
      <c r="AB22" s="1">
        <v>1.0441</v>
      </c>
      <c r="AC22" s="1">
        <v>1.0900799999999999</v>
      </c>
      <c r="AD22" s="1">
        <v>1.02651</v>
      </c>
      <c r="AE22" s="1">
        <v>0.99102999999999997</v>
      </c>
      <c r="AF22" s="1">
        <v>1.04986</v>
      </c>
      <c r="AG22" s="1">
        <v>1.06948</v>
      </c>
      <c r="AH22" s="1">
        <v>1.06992</v>
      </c>
      <c r="AI22" s="1">
        <v>1.0441</v>
      </c>
      <c r="AJ22" s="1">
        <v>1.0900799999999999</v>
      </c>
      <c r="AL22" s="4" t="s">
        <v>29</v>
      </c>
      <c r="AM22" s="6" t="str" cm="1">
        <f t="array" ref="AM22">IFERROR((SUMPRODUCT(($A$8:$A$31=AM$16)*($F$5:$AJ$5="")*$F$8:$AJ$31)+IF(AM$16="P6",SUMPRODUCT(($F$5:$AJ$5="P6")*$F$8:$AJ$31),0))/(SUMPRODUCT(($A$8:$A$31=AM$16)*($F$5:$AJ$5=""))+IF(AM$16="P6",COUNTIF($F$5:$AJ$5,"P6")*ROWS($A$8:$A$31),0)),"")</f>
        <v/>
      </c>
      <c r="AN22" s="6" cm="1">
        <f t="array" ref="AN22">IFERROR((SUMPRODUCT(($A$8:$A$31=AN$16)*($F$5:$AJ$5="")*$F$8:$AJ$31)+IF(AN$16="P6",SUMPRODUCT(($F$5:$AJ$5="P6")*$F$8:$AJ$31),0))/(SUMPRODUCT(($A$8:$A$31=AN$16)*($F$5:$AJ$5=""))+IF(AN$16="P6",COUNTIF($F$5:$AJ$5,"P6")*ROWS($A$8:$A$31),0)),"")</f>
        <v>1.1209681818181814</v>
      </c>
      <c r="AO22" s="6" t="str" cm="1">
        <f t="array" ref="AO22">IFERROR((SUMPRODUCT(($A$8:$A$31=AO$16)*($F$5:$AJ$5="")*$F$8:$AJ$31)+IF(AO$16="P6",SUMPRODUCT(($F$5:$AJ$5="P6")*$F$8:$AJ$31),0))/(SUMPRODUCT(($A$8:$A$31=AO$16)*($F$5:$AJ$5=""))+IF(AO$16="P6",COUNTIF($F$5:$AJ$5,"P6")*ROWS($A$8:$A$31),0)),"")</f>
        <v/>
      </c>
      <c r="AP22" s="6" cm="1">
        <f t="array" ref="AP22">IFERROR((SUMPRODUCT(($A$8:$A$31=AP$16)*($F$5:$AJ$5="")*$F$8:$AJ$31)+IF(AP$16="P6",SUMPRODUCT(($F$5:$AJ$5="P6")*$F$8:$AJ$31),0))/(SUMPRODUCT(($A$8:$A$31=AP$16)*($F$5:$AJ$5=""))+IF(AP$16="P6",COUNTIF($F$5:$AJ$5,"P6")*ROWS($A$8:$A$31),0)),"")</f>
        <v>1.1790956493506499</v>
      </c>
      <c r="AQ22" s="6" t="str" cm="1">
        <f t="array" ref="AQ22">IFERROR((SUMPRODUCT(($A$8:$A$31=AQ$16)*($F$5:$AJ$5="")*$F$8:$AJ$31)+IF(AQ$16="P6",SUMPRODUCT(($F$5:$AJ$5="P6")*$F$8:$AJ$31),0))/(SUMPRODUCT(($A$8:$A$31=AQ$16)*($F$5:$AJ$5=""))+IF(AQ$16="P6",COUNTIF($F$5:$AJ$5,"P6")*ROWS($A$8:$A$31),0)),"")</f>
        <v/>
      </c>
      <c r="AR22" s="6" cm="1">
        <f t="array" ref="AR22">IFERROR((SUMPRODUCT(($A$8:$A$31=AR$16)*($F$5:$AJ$5="")*$F$8:$AJ$31)+IF(AR$16="P6",SUMPRODUCT(($F$5:$AJ$5="P6")*$F$8:$AJ$31),0))/(SUMPRODUCT(($A$8:$A$31=AR$16)*($F$5:$AJ$5=""))+IF(AR$16="P6",COUNTIF($F$5:$AJ$5,"P6")*ROWS($A$8:$A$31),0)),"")</f>
        <v>1.2480143877551015</v>
      </c>
    </row>
    <row r="23" spans="1:62" ht="14.5" x14ac:dyDescent="0.35">
      <c r="A23" s="1" t="s">
        <v>16</v>
      </c>
      <c r="B23" s="1" t="s">
        <v>16</v>
      </c>
      <c r="C23" s="1" t="s">
        <v>14</v>
      </c>
      <c r="D23" s="1" t="s">
        <v>14</v>
      </c>
      <c r="E23" s="1" t="s">
        <v>34</v>
      </c>
      <c r="F23" s="1">
        <v>1.1236600000000001</v>
      </c>
      <c r="G23" s="1">
        <v>1.0929</v>
      </c>
      <c r="H23" s="1">
        <v>1.1387400000000001</v>
      </c>
      <c r="I23" s="1">
        <v>1.1047199999999999</v>
      </c>
      <c r="J23" s="1">
        <v>1.09409</v>
      </c>
      <c r="K23" s="1">
        <v>1.2188600000000001</v>
      </c>
      <c r="L23" s="1">
        <v>1.1086800000000001</v>
      </c>
      <c r="M23" s="1">
        <v>1.08935</v>
      </c>
      <c r="N23" s="1">
        <v>1.0929</v>
      </c>
      <c r="O23" s="1">
        <v>1.1387400000000001</v>
      </c>
      <c r="P23" s="1">
        <v>1.1047199999999999</v>
      </c>
      <c r="Q23" s="1">
        <v>1.09409</v>
      </c>
      <c r="R23" s="1">
        <v>1.0960000000000001</v>
      </c>
      <c r="S23" s="1">
        <v>1.1086800000000001</v>
      </c>
      <c r="T23" s="1">
        <v>1.08935</v>
      </c>
      <c r="U23" s="1">
        <v>1.0929</v>
      </c>
      <c r="V23" s="1">
        <v>1.1387400000000001</v>
      </c>
      <c r="W23" s="1">
        <v>1.1047199999999999</v>
      </c>
      <c r="X23" s="1">
        <v>1.09409</v>
      </c>
      <c r="Y23" s="1">
        <v>1.0960000000000001</v>
      </c>
      <c r="Z23" s="1">
        <v>1.1086800000000001</v>
      </c>
      <c r="AA23" s="1">
        <v>1.08935</v>
      </c>
      <c r="AB23" s="1">
        <v>1.0929</v>
      </c>
      <c r="AC23" s="1">
        <v>1.1387400000000001</v>
      </c>
      <c r="AD23" s="1">
        <v>1.1047199999999999</v>
      </c>
      <c r="AE23" s="1">
        <v>1.09409</v>
      </c>
      <c r="AF23" s="1">
        <v>1.0960000000000001</v>
      </c>
      <c r="AG23" s="1">
        <v>1.1086800000000001</v>
      </c>
      <c r="AH23" s="1">
        <v>1.08935</v>
      </c>
      <c r="AI23" s="1">
        <v>1.0929</v>
      </c>
      <c r="AJ23" s="1">
        <v>1.1387400000000001</v>
      </c>
      <c r="AL23" s="10"/>
      <c r="AM23" s="10"/>
      <c r="AN23" s="10"/>
      <c r="AO23" s="10"/>
      <c r="AP23" s="10"/>
      <c r="AQ23" s="10"/>
      <c r="AR23" s="10"/>
      <c r="BB23" s="11"/>
      <c r="BC23" s="11"/>
      <c r="BD23" s="11"/>
      <c r="BE23" s="11"/>
      <c r="BF23" s="11"/>
      <c r="BG23" s="11"/>
      <c r="BH23" s="11"/>
      <c r="BI23" s="11"/>
      <c r="BJ23" s="11"/>
    </row>
    <row r="24" spans="1:62" ht="14.5" x14ac:dyDescent="0.35">
      <c r="A24" s="1" t="s">
        <v>16</v>
      </c>
      <c r="B24" s="1" t="s">
        <v>16</v>
      </c>
      <c r="C24" s="1" t="s">
        <v>14</v>
      </c>
      <c r="D24" s="1" t="s">
        <v>14</v>
      </c>
      <c r="E24" s="1" t="s">
        <v>35</v>
      </c>
      <c r="F24" s="1">
        <v>1.17919</v>
      </c>
      <c r="G24" s="1">
        <v>1.11608</v>
      </c>
      <c r="H24" s="1">
        <v>1.165</v>
      </c>
      <c r="I24" s="1">
        <v>1.16021</v>
      </c>
      <c r="J24" s="1">
        <v>1.15116</v>
      </c>
      <c r="K24" s="1">
        <v>1.25495</v>
      </c>
      <c r="L24" s="1">
        <v>1.14497</v>
      </c>
      <c r="M24" s="1">
        <v>1.1368499999999999</v>
      </c>
      <c r="N24" s="1">
        <v>1.11608</v>
      </c>
      <c r="O24" s="1">
        <v>1.165</v>
      </c>
      <c r="P24" s="1">
        <v>1.16021</v>
      </c>
      <c r="Q24" s="1">
        <v>1.15116</v>
      </c>
      <c r="R24" s="1">
        <v>1.11364</v>
      </c>
      <c r="S24" s="1">
        <v>1.14497</v>
      </c>
      <c r="T24" s="1">
        <v>1.1368499999999999</v>
      </c>
      <c r="U24" s="1">
        <v>1.11608</v>
      </c>
      <c r="V24" s="1">
        <v>1.165</v>
      </c>
      <c r="W24" s="1">
        <v>1.16021</v>
      </c>
      <c r="X24" s="1">
        <v>1.15116</v>
      </c>
      <c r="Y24" s="1">
        <v>1.11364</v>
      </c>
      <c r="Z24" s="1">
        <v>1.14497</v>
      </c>
      <c r="AA24" s="1">
        <v>1.1368499999999999</v>
      </c>
      <c r="AB24" s="1">
        <v>1.11608</v>
      </c>
      <c r="AC24" s="1">
        <v>1.165</v>
      </c>
      <c r="AD24" s="1">
        <v>1.16021</v>
      </c>
      <c r="AE24" s="1">
        <v>1.15116</v>
      </c>
      <c r="AF24" s="1">
        <v>1.11364</v>
      </c>
      <c r="AG24" s="1">
        <v>1.14497</v>
      </c>
      <c r="AH24" s="1">
        <v>1.1368499999999999</v>
      </c>
      <c r="AI24" s="1">
        <v>1.11608</v>
      </c>
      <c r="AJ24" s="1">
        <v>1.165</v>
      </c>
      <c r="AL24" s="10"/>
      <c r="AM24" s="10"/>
      <c r="AN24" s="10"/>
      <c r="AO24" s="10"/>
      <c r="AP24" s="10"/>
      <c r="AQ24" s="10"/>
      <c r="AR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14.5" x14ac:dyDescent="0.35">
      <c r="A25" s="1" t="s">
        <v>16</v>
      </c>
      <c r="B25" s="1" t="s">
        <v>16</v>
      </c>
      <c r="C25" s="1" t="s">
        <v>14</v>
      </c>
      <c r="D25" s="1" t="s">
        <v>14</v>
      </c>
      <c r="E25" s="1" t="s">
        <v>36</v>
      </c>
      <c r="F25" s="1">
        <v>1.2442899999999999</v>
      </c>
      <c r="G25" s="1">
        <v>1.1086</v>
      </c>
      <c r="H25" s="1">
        <v>1.1709799999999999</v>
      </c>
      <c r="I25" s="1">
        <v>1.1780200000000001</v>
      </c>
      <c r="J25" s="1">
        <v>1.2031499999999999</v>
      </c>
      <c r="K25" s="1">
        <v>1.2943199999999999</v>
      </c>
      <c r="L25" s="1">
        <v>1.1514200000000001</v>
      </c>
      <c r="M25" s="1">
        <v>1.13028</v>
      </c>
      <c r="N25" s="1">
        <v>1.1086</v>
      </c>
      <c r="O25" s="1">
        <v>1.1709799999999999</v>
      </c>
      <c r="P25" s="1">
        <v>1.1780200000000001</v>
      </c>
      <c r="Q25" s="1">
        <v>1.2031499999999999</v>
      </c>
      <c r="R25" s="1">
        <v>1.11717</v>
      </c>
      <c r="S25" s="1">
        <v>1.1514200000000001</v>
      </c>
      <c r="T25" s="1">
        <v>1.13028</v>
      </c>
      <c r="U25" s="1">
        <v>1.1086</v>
      </c>
      <c r="V25" s="1">
        <v>1.1709799999999999</v>
      </c>
      <c r="W25" s="1">
        <v>1.1780200000000001</v>
      </c>
      <c r="X25" s="1">
        <v>1.2031499999999999</v>
      </c>
      <c r="Y25" s="1">
        <v>1.11717</v>
      </c>
      <c r="Z25" s="1">
        <v>1.1514200000000001</v>
      </c>
      <c r="AA25" s="1">
        <v>1.13028</v>
      </c>
      <c r="AB25" s="1">
        <v>1.1086</v>
      </c>
      <c r="AC25" s="1">
        <v>1.1709799999999999</v>
      </c>
      <c r="AD25" s="1">
        <v>1.1780200000000001</v>
      </c>
      <c r="AE25" s="1">
        <v>1.2031499999999999</v>
      </c>
      <c r="AF25" s="1">
        <v>1.11717</v>
      </c>
      <c r="AG25" s="1">
        <v>1.1514200000000001</v>
      </c>
      <c r="AH25" s="1">
        <v>1.13028</v>
      </c>
      <c r="AI25" s="1">
        <v>1.1086</v>
      </c>
      <c r="AJ25" s="1">
        <v>1.1709799999999999</v>
      </c>
      <c r="AL25" s="14" t="s">
        <v>80</v>
      </c>
      <c r="AM25" s="14"/>
      <c r="AN25" s="14"/>
      <c r="AO25" s="14"/>
      <c r="AP25" s="14"/>
      <c r="AQ25" s="14"/>
      <c r="AR25" s="14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14.5" x14ac:dyDescent="0.35">
      <c r="A26" s="1" t="s">
        <v>14</v>
      </c>
      <c r="B26" s="1" t="s">
        <v>15</v>
      </c>
      <c r="C26" s="1" t="s">
        <v>13</v>
      </c>
      <c r="D26" s="1" t="s">
        <v>13</v>
      </c>
      <c r="E26" s="1" t="s">
        <v>37</v>
      </c>
      <c r="F26" s="1">
        <v>1.2659</v>
      </c>
      <c r="G26" s="1">
        <v>1.1315299999999999</v>
      </c>
      <c r="H26" s="1">
        <v>1.1938200000000001</v>
      </c>
      <c r="I26" s="1">
        <v>1.12605</v>
      </c>
      <c r="J26" s="1">
        <v>1.18899</v>
      </c>
      <c r="K26" s="1">
        <v>1.2794300000000001</v>
      </c>
      <c r="L26" s="1">
        <v>1.1788400000000001</v>
      </c>
      <c r="M26" s="1">
        <v>1.14595</v>
      </c>
      <c r="N26" s="1">
        <v>1.1315299999999999</v>
      </c>
      <c r="O26" s="1">
        <v>1.1938200000000001</v>
      </c>
      <c r="P26" s="1">
        <v>1.12605</v>
      </c>
      <c r="Q26" s="1">
        <v>1.18899</v>
      </c>
      <c r="R26" s="1">
        <v>1.1485399999999999</v>
      </c>
      <c r="S26" s="1">
        <v>1.1788400000000001</v>
      </c>
      <c r="T26" s="1">
        <v>1.14595</v>
      </c>
      <c r="U26" s="1">
        <v>1.1315299999999999</v>
      </c>
      <c r="V26" s="1">
        <v>1.1938200000000001</v>
      </c>
      <c r="W26" s="1">
        <v>1.12605</v>
      </c>
      <c r="X26" s="1">
        <v>1.18899</v>
      </c>
      <c r="Y26" s="1">
        <v>1.1485399999999999</v>
      </c>
      <c r="Z26" s="1">
        <v>1.1788400000000001</v>
      </c>
      <c r="AA26" s="1">
        <v>1.14595</v>
      </c>
      <c r="AB26" s="1">
        <v>1.1315299999999999</v>
      </c>
      <c r="AC26" s="1">
        <v>1.1938200000000001</v>
      </c>
      <c r="AD26" s="1">
        <v>1.12605</v>
      </c>
      <c r="AE26" s="1">
        <v>1.18899</v>
      </c>
      <c r="AF26" s="1">
        <v>1.1485399999999999</v>
      </c>
      <c r="AG26" s="1">
        <v>1.1788400000000001</v>
      </c>
      <c r="AH26" s="1">
        <v>1.14595</v>
      </c>
      <c r="AI26" s="1">
        <v>1.1315299999999999</v>
      </c>
      <c r="AJ26" s="1">
        <v>1.1938200000000001</v>
      </c>
      <c r="AL26" s="4"/>
      <c r="AM26" s="4" t="s">
        <v>13</v>
      </c>
      <c r="AN26" s="4" t="s">
        <v>14</v>
      </c>
      <c r="AO26" s="4" t="s">
        <v>15</v>
      </c>
      <c r="AP26" s="4" t="s">
        <v>16</v>
      </c>
      <c r="AQ26" s="4" t="s">
        <v>17</v>
      </c>
      <c r="AR26" s="4" t="s">
        <v>7</v>
      </c>
      <c r="BB26" s="10"/>
      <c r="BC26" s="13" t="s">
        <v>114</v>
      </c>
      <c r="BD26" s="13"/>
      <c r="BE26" s="13"/>
      <c r="BF26" s="13"/>
      <c r="BG26" s="13"/>
      <c r="BH26" s="13"/>
      <c r="BI26" s="13"/>
      <c r="BJ26" s="10"/>
    </row>
    <row r="27" spans="1:62" ht="14.5" x14ac:dyDescent="0.35">
      <c r="A27" s="1" t="s">
        <v>14</v>
      </c>
      <c r="B27" s="1" t="s">
        <v>15</v>
      </c>
      <c r="C27" s="1" t="s">
        <v>13</v>
      </c>
      <c r="D27" s="1" t="s">
        <v>13</v>
      </c>
      <c r="E27" s="1" t="s">
        <v>38</v>
      </c>
      <c r="F27" s="1">
        <v>1.2894399999999999</v>
      </c>
      <c r="G27" s="1">
        <v>1.16377</v>
      </c>
      <c r="H27" s="1">
        <v>1.2079800000000001</v>
      </c>
      <c r="I27" s="1">
        <v>1.1351</v>
      </c>
      <c r="J27" s="1">
        <v>1.1851700000000001</v>
      </c>
      <c r="K27" s="1">
        <v>1.2883899999999999</v>
      </c>
      <c r="L27" s="1">
        <v>1.1806300000000001</v>
      </c>
      <c r="M27" s="1">
        <v>1.16588</v>
      </c>
      <c r="N27" s="1">
        <v>1.16377</v>
      </c>
      <c r="O27" s="1">
        <v>1.2079800000000001</v>
      </c>
      <c r="P27" s="1">
        <v>1.1351</v>
      </c>
      <c r="Q27" s="1">
        <v>1.1851700000000001</v>
      </c>
      <c r="R27" s="1">
        <v>1.16862</v>
      </c>
      <c r="S27" s="1">
        <v>1.1806300000000001</v>
      </c>
      <c r="T27" s="1">
        <v>1.16588</v>
      </c>
      <c r="U27" s="1">
        <v>1.16377</v>
      </c>
      <c r="V27" s="1">
        <v>1.2079800000000001</v>
      </c>
      <c r="W27" s="1">
        <v>1.1351</v>
      </c>
      <c r="X27" s="1">
        <v>1.1851700000000001</v>
      </c>
      <c r="Y27" s="1">
        <v>1.16862</v>
      </c>
      <c r="Z27" s="1">
        <v>1.1806300000000001</v>
      </c>
      <c r="AA27" s="1">
        <v>1.16588</v>
      </c>
      <c r="AB27" s="1">
        <v>1.16377</v>
      </c>
      <c r="AC27" s="1">
        <v>1.2079800000000001</v>
      </c>
      <c r="AD27" s="1">
        <v>1.1351</v>
      </c>
      <c r="AE27" s="1">
        <v>1.1851700000000001</v>
      </c>
      <c r="AF27" s="1">
        <v>1.16862</v>
      </c>
      <c r="AG27" s="1">
        <v>1.1806300000000001</v>
      </c>
      <c r="AH27" s="1">
        <v>1.16588</v>
      </c>
      <c r="AI27" s="1">
        <v>1.16377</v>
      </c>
      <c r="AJ27" s="1">
        <v>1.2079800000000001</v>
      </c>
      <c r="AL27" s="4" t="s">
        <v>19</v>
      </c>
      <c r="AM27" s="6" cm="1">
        <f t="array" ref="AM27">IFERROR((SUMPRODUCT(($C$8:$C$31=AM$6)*($F$4:$AJ$4="")*$F$8:$AJ$31)+IF(AM$6="P3",SUMPRODUCT(($F$4:$AJ$4="P3")*$F$8:$AJ$31),0))/(SUMPRODUCT(($C$8:$C$31=AM$6)*($F$4:$AJ$4=""))+IF(AM$6="P3",COUNTIF($F$4:$AJ$4,"P3")*ROWS($C$8:$C$31),0)),"")</f>
        <v>1.127389318181818</v>
      </c>
      <c r="AN27" s="6" cm="1">
        <f t="array" ref="AN27">IFERROR((SUMPRODUCT(($C$8:$C$31=AN$6)*($F$4:$AJ$4="")*$F$8:$AJ$31)+IF(AN$6="P3",SUMPRODUCT(($F$4:$AJ$4="P3")*$F$8:$AJ$31),0))/(SUMPRODUCT(($C$8:$C$31=AN$6)*($F$4:$AJ$4=""))+IF(AN$6="P3",COUNTIF($F$4:$AJ$4,"P3")*ROWS($C$8:$C$31),0)),"")</f>
        <v>1.1654085795454545</v>
      </c>
      <c r="AO27" s="6" cm="1">
        <f t="array" ref="AO27">IFERROR((SUMPRODUCT(($C$8:$C$31=AO$6)*($F$4:$AJ$4="")*$F$8:$AJ$31)+IF(AO$6="P3",SUMPRODUCT(($F$4:$AJ$4="P3")*$F$8:$AJ$31),0))/(SUMPRODUCT(($C$8:$C$31=AO$6)*($F$4:$AJ$4=""))+IF(AO$6="P3",COUNTIF($F$4:$AJ$4,"P3")*ROWS($C$8:$C$31),0)),"")</f>
        <v>1.2480143877551015</v>
      </c>
      <c r="AP27" s="6" t="str" cm="1">
        <f t="array" ref="AP27">IFERROR((SUMPRODUCT(($C$8:$C$31=AP$6)*($F$4:$AJ$4="")*$F$8:$AJ$31)+IF(AP$6="P3",SUMPRODUCT(($F$4:$AJ$4="P3")*$F$8:$AJ$31),0))/(SUMPRODUCT(($C$8:$C$31=AP$6)*($F$4:$AJ$4=""))+IF(AP$6="P3",COUNTIF($F$4:$AJ$4,"P3")*ROWS($C$8:$C$31),0)),"")</f>
        <v/>
      </c>
      <c r="AQ27" s="6" t="str" cm="1">
        <f t="array" ref="AQ27">IFERROR((SUMPRODUCT(($C$8:$C$31=AQ$6)*($F$4:$AJ$4="")*$F$8:$AJ$31)+IF(AQ$6="P3",SUMPRODUCT(($F$4:$AJ$4="P3")*$F$8:$AJ$31),0))/(SUMPRODUCT(($C$8:$C$31=AQ$6)*($F$4:$AJ$4=""))+IF(AQ$6="P3",COUNTIF($F$4:$AJ$4,"P3")*ROWS($C$8:$C$31),0)),"")</f>
        <v/>
      </c>
      <c r="AR27" s="6" t="str" cm="1">
        <f t="array" ref="AR27">IFERROR((SUMPRODUCT(($C$8:$C$31=AR$6)*($F$4:$AJ$4="")*$F$8:$AJ$31)+IF(AR$6="P3",SUMPRODUCT(($F$4:$AJ$4="P3")*$F$8:$AJ$31),0))/(SUMPRODUCT(($C$8:$C$31=AR$6)*($F$4:$AJ$4=""))+IF(AR$6="P3",COUNTIF($F$4:$AJ$4,"P3")*ROWS($C$8:$C$31),0)),"")</f>
        <v/>
      </c>
      <c r="BB27" s="10"/>
      <c r="BC27" s="4"/>
      <c r="BD27" s="4" t="s">
        <v>13</v>
      </c>
      <c r="BE27" s="4" t="s">
        <v>14</v>
      </c>
      <c r="BF27" s="4" t="s">
        <v>15</v>
      </c>
      <c r="BG27" s="4" t="s">
        <v>16</v>
      </c>
      <c r="BH27" s="4" t="s">
        <v>17</v>
      </c>
      <c r="BI27" s="4" t="s">
        <v>7</v>
      </c>
      <c r="BJ27" s="10"/>
    </row>
    <row r="28" spans="1:62" ht="14.5" x14ac:dyDescent="0.35">
      <c r="A28" s="1" t="s">
        <v>14</v>
      </c>
      <c r="B28" s="1" t="s">
        <v>15</v>
      </c>
      <c r="C28" s="1" t="s">
        <v>13</v>
      </c>
      <c r="D28" s="1" t="s">
        <v>13</v>
      </c>
      <c r="E28" s="1" t="s">
        <v>39</v>
      </c>
      <c r="F28" s="1">
        <v>1.29243</v>
      </c>
      <c r="G28" s="1">
        <v>1.1887700000000001</v>
      </c>
      <c r="H28" s="1">
        <v>1.2195400000000001</v>
      </c>
      <c r="I28" s="1">
        <v>1.1397299999999999</v>
      </c>
      <c r="J28" s="1">
        <v>1.1949399999999999</v>
      </c>
      <c r="K28" s="1">
        <v>1.29112</v>
      </c>
      <c r="L28" s="1">
        <v>1.2211799999999999</v>
      </c>
      <c r="M28" s="1">
        <v>1.1921299999999999</v>
      </c>
      <c r="N28" s="1">
        <v>1.1887700000000001</v>
      </c>
      <c r="O28" s="1">
        <v>1.2195400000000001</v>
      </c>
      <c r="P28" s="1">
        <v>1.1397299999999999</v>
      </c>
      <c r="Q28" s="1">
        <v>1.1949399999999999</v>
      </c>
      <c r="R28" s="1">
        <v>1.196</v>
      </c>
      <c r="S28" s="1">
        <v>1.2211799999999999</v>
      </c>
      <c r="T28" s="1">
        <v>1.1921299999999999</v>
      </c>
      <c r="U28" s="1">
        <v>1.1887700000000001</v>
      </c>
      <c r="V28" s="1">
        <v>1.2195400000000001</v>
      </c>
      <c r="W28" s="1">
        <v>1.1397299999999999</v>
      </c>
      <c r="X28" s="1">
        <v>1.1949399999999999</v>
      </c>
      <c r="Y28" s="1">
        <v>1.196</v>
      </c>
      <c r="Z28" s="1">
        <v>1.2211799999999999</v>
      </c>
      <c r="AA28" s="1">
        <v>1.1921299999999999</v>
      </c>
      <c r="AB28" s="1">
        <v>1.1887700000000001</v>
      </c>
      <c r="AC28" s="1">
        <v>1.2195400000000001</v>
      </c>
      <c r="AD28" s="1">
        <v>1.1397299999999999</v>
      </c>
      <c r="AE28" s="1">
        <v>1.1949399999999999</v>
      </c>
      <c r="AF28" s="1">
        <v>1.196</v>
      </c>
      <c r="AG28" s="1">
        <v>1.2211799999999999</v>
      </c>
      <c r="AH28" s="1">
        <v>1.1921299999999999</v>
      </c>
      <c r="AI28" s="1">
        <v>1.1887700000000001</v>
      </c>
      <c r="AJ28" s="1">
        <v>1.2195400000000001</v>
      </c>
      <c r="AL28" s="4" t="s">
        <v>21</v>
      </c>
      <c r="AM28" s="6" t="str" cm="1">
        <f t="array" ref="AM28">IFERROR((SUMPRODUCT(($B$8:$B$31=AM$26)*($F$5:$AJ$5="")*$F$8:$AJ$31)+IF(AM$26="P6",SUMPRODUCT(($F$5:$AJ$5="P6")*$F$8:$AJ$31),0))/(SUMPRODUCT(($B$8:$B$31=AM$26)*($F$5:$AJ$5=""))+IF(AM$26="P6",COUNTIF($F$5:$AJ$5,"P6")*ROWS($B$8:$B$31),0)),"")</f>
        <v/>
      </c>
      <c r="AN28" s="6" t="str" cm="1">
        <f t="array" ref="AN28">IFERROR((SUMPRODUCT(($B$8:$B$31=AN$26)*($F$5:$AJ$5="")*$F$8:$AJ$31)+IF(AN$26="P6",SUMPRODUCT(($F$5:$AJ$5="P6")*$F$8:$AJ$31),0))/(SUMPRODUCT(($B$8:$B$31=AN$26)*($F$5:$AJ$5=""))+IF(AN$26="P6",COUNTIF($F$5:$AJ$5,"P6")*ROWS($B$8:$B$31),0)),"")</f>
        <v/>
      </c>
      <c r="AO28" s="6" cm="1">
        <f t="array" ref="AO28">IFERROR((SUMPRODUCT(($B$8:$B$31=AO$26)*($F$5:$AJ$5="")*$F$8:$AJ$31)+IF(AO$26="P6",SUMPRODUCT(($F$5:$AJ$5="P6")*$F$8:$AJ$31),0))/(SUMPRODUCT(($B$8:$B$31=AO$26)*($F$5:$AJ$5=""))+IF(AO$26="P6",COUNTIF($F$5:$AJ$5,"P6")*ROWS($B$8:$B$31),0)),"")</f>
        <v>1.1209681818181814</v>
      </c>
      <c r="AP28" s="6" cm="1">
        <f t="array" ref="AP28">IFERROR((SUMPRODUCT(($B$8:$B$31=AP$26)*($F$5:$AJ$5="")*$F$8:$AJ$31)+IF(AP$26="P6",SUMPRODUCT(($F$5:$AJ$5="P6")*$F$8:$AJ$31),0))/(SUMPRODUCT(($B$8:$B$31=AP$26)*($F$5:$AJ$5=""))+IF(AP$26="P6",COUNTIF($F$5:$AJ$5,"P6")*ROWS($B$8:$B$31),0)),"")</f>
        <v>1.1790956493506499</v>
      </c>
      <c r="AQ28" s="6" t="str" cm="1">
        <f t="array" ref="AQ28">IFERROR((SUMPRODUCT(($B$8:$B$31=AQ$26)*($F$5:$AJ$5="")*$F$8:$AJ$31)+IF(AQ$26="P6",SUMPRODUCT(($F$5:$AJ$5="P6")*$F$8:$AJ$31),0))/(SUMPRODUCT(($B$8:$B$31=AQ$26)*($F$5:$AJ$5=""))+IF(AQ$26="P6",COUNTIF($F$5:$AJ$5,"P6")*ROWS($B$8:$B$31),0)),"")</f>
        <v/>
      </c>
      <c r="AR28" s="6" cm="1">
        <f t="array" ref="AR28">IFERROR((SUMPRODUCT(($B$8:$B$31=AR$26)*($F$5:$AJ$5="")*$F$8:$AJ$31)+IF(AR$26="P6",SUMPRODUCT(($F$5:$AJ$5="P6")*$F$8:$AJ$31),0))/(SUMPRODUCT(($B$8:$B$31=AR$26)*($F$5:$AJ$5=""))+IF(AR$26="P6",COUNTIF($F$5:$AJ$5,"P6")*ROWS($B$8:$B$31),0)),"")</f>
        <v>1.2480143877551015</v>
      </c>
      <c r="BB28" s="10"/>
      <c r="BC28" s="4" t="s">
        <v>19</v>
      </c>
      <c r="BD28" s="6">
        <f>AVERAGE(AM17,AM52,AM87,AM122,AM157,AM192,AM227,AM262,AM297,AM332,AM367,AM402)</f>
        <v>0.97507673629932867</v>
      </c>
      <c r="BE28" s="6">
        <f t="shared" ref="BE28:BI33" si="3">AVERAGE(AN17,AN52,AN87,AN122,AN157,AN192,AN227,AN262,AN297,AN332,AN367,AN402)</f>
        <v>1.039602232615362</v>
      </c>
      <c r="BF28" s="6">
        <f t="shared" si="3"/>
        <v>1.0478819413352596</v>
      </c>
      <c r="BG28" s="6"/>
      <c r="BH28" s="6"/>
      <c r="BI28" s="6"/>
      <c r="BJ28" s="10"/>
    </row>
    <row r="29" spans="1:62" ht="14.5" x14ac:dyDescent="0.35">
      <c r="A29" s="1" t="s">
        <v>14</v>
      </c>
      <c r="B29" s="1" t="s">
        <v>15</v>
      </c>
      <c r="C29" s="1" t="s">
        <v>13</v>
      </c>
      <c r="D29" s="1" t="s">
        <v>13</v>
      </c>
      <c r="E29" s="1" t="s">
        <v>40</v>
      </c>
      <c r="F29" s="1">
        <v>1.2909299999999999</v>
      </c>
      <c r="G29" s="1">
        <v>1.2303500000000001</v>
      </c>
      <c r="H29" s="1">
        <v>1.25054</v>
      </c>
      <c r="I29" s="1">
        <v>1.1509400000000001</v>
      </c>
      <c r="J29" s="1">
        <v>1.20519</v>
      </c>
      <c r="K29" s="1">
        <v>1.30508</v>
      </c>
      <c r="L29" s="1">
        <v>1.2488699999999999</v>
      </c>
      <c r="M29" s="1">
        <v>1.2344599999999999</v>
      </c>
      <c r="N29" s="1">
        <v>1.2303500000000001</v>
      </c>
      <c r="O29" s="1">
        <v>1.25054</v>
      </c>
      <c r="P29" s="1">
        <v>1.1509400000000001</v>
      </c>
      <c r="Q29" s="1">
        <v>1.20519</v>
      </c>
      <c r="R29" s="1">
        <v>1.2299599999999999</v>
      </c>
      <c r="S29" s="1">
        <v>1.2488699999999999</v>
      </c>
      <c r="T29" s="1">
        <v>1.2344599999999999</v>
      </c>
      <c r="U29" s="1">
        <v>1.2303500000000001</v>
      </c>
      <c r="V29" s="1">
        <v>1.25054</v>
      </c>
      <c r="W29" s="1">
        <v>1.1509400000000001</v>
      </c>
      <c r="X29" s="1">
        <v>1.20519</v>
      </c>
      <c r="Y29" s="1">
        <v>1.2299599999999999</v>
      </c>
      <c r="Z29" s="1">
        <v>1.2488699999999999</v>
      </c>
      <c r="AA29" s="1">
        <v>1.2344599999999999</v>
      </c>
      <c r="AB29" s="1">
        <v>1.2303500000000001</v>
      </c>
      <c r="AC29" s="1">
        <v>1.25054</v>
      </c>
      <c r="AD29" s="1">
        <v>1.1509400000000001</v>
      </c>
      <c r="AE29" s="1">
        <v>1.20519</v>
      </c>
      <c r="AF29" s="1">
        <v>1.2299599999999999</v>
      </c>
      <c r="AG29" s="1">
        <v>1.2488699999999999</v>
      </c>
      <c r="AH29" s="1">
        <v>1.2344599999999999</v>
      </c>
      <c r="AI29" s="1">
        <v>1.2303500000000001</v>
      </c>
      <c r="AJ29" s="1">
        <v>1.25054</v>
      </c>
      <c r="AL29" s="4" t="s">
        <v>23</v>
      </c>
      <c r="AM29" s="6" t="str" cm="1">
        <f t="array" ref="AM29">IFERROR((SUMPRODUCT(($B$8:$B$31=AM$26)*($F$5:$AJ$5="")*$F$8:$AJ$31)+IF(AM$26="P6",SUMPRODUCT(($F$5:$AJ$5="P6")*$F$8:$AJ$31),0))/(SUMPRODUCT(($B$8:$B$31=AM$26)*($F$5:$AJ$5=""))+IF(AM$26="P6",COUNTIF($F$5:$AJ$5,"P6")*ROWS($B$8:$B$31),0)),"")</f>
        <v/>
      </c>
      <c r="AN29" s="6" t="str" cm="1">
        <f t="array" ref="AN29">IFERROR((SUMPRODUCT(($B$8:$B$31=AN$26)*($F$5:$AJ$5="")*$F$8:$AJ$31)+IF(AN$26="P6",SUMPRODUCT(($F$5:$AJ$5="P6")*$F$8:$AJ$31),0))/(SUMPRODUCT(($B$8:$B$31=AN$26)*($F$5:$AJ$5=""))+IF(AN$26="P6",COUNTIF($F$5:$AJ$5,"P6")*ROWS($B$8:$B$31),0)),"")</f>
        <v/>
      </c>
      <c r="AO29" s="6" cm="1">
        <f t="array" ref="AO29">IFERROR((SUMPRODUCT(($B$8:$B$31=AO$26)*($F$5:$AJ$5="")*$F$8:$AJ$31)+IF(AO$26="P6",SUMPRODUCT(($F$5:$AJ$5="P6")*$F$8:$AJ$31),0))/(SUMPRODUCT(($B$8:$B$31=AO$26)*($F$5:$AJ$5=""))+IF(AO$26="P6",COUNTIF($F$5:$AJ$5,"P6")*ROWS($B$8:$B$31),0)),"")</f>
        <v>1.1209681818181814</v>
      </c>
      <c r="AP29" s="6" cm="1">
        <f t="array" ref="AP29">IFERROR((SUMPRODUCT(($B$8:$B$31=AP$26)*($F$5:$AJ$5="")*$F$8:$AJ$31)+IF(AP$26="P6",SUMPRODUCT(($F$5:$AJ$5="P6")*$F$8:$AJ$31),0))/(SUMPRODUCT(($B$8:$B$31=AP$26)*($F$5:$AJ$5=""))+IF(AP$26="P6",COUNTIF($F$5:$AJ$5,"P6")*ROWS($B$8:$B$31),0)),"")</f>
        <v>1.1790956493506499</v>
      </c>
      <c r="AQ29" s="6" t="str" cm="1">
        <f t="array" ref="AQ29">IFERROR((SUMPRODUCT(($B$8:$B$31=AQ$26)*($F$5:$AJ$5="")*$F$8:$AJ$31)+IF(AQ$26="P6",SUMPRODUCT(($F$5:$AJ$5="P6")*$F$8:$AJ$31),0))/(SUMPRODUCT(($B$8:$B$31=AQ$26)*($F$5:$AJ$5=""))+IF(AQ$26="P6",COUNTIF($F$5:$AJ$5,"P6")*ROWS($B$8:$B$31),0)),"")</f>
        <v/>
      </c>
      <c r="AR29" s="6" cm="1">
        <f t="array" ref="AR29">IFERROR((SUMPRODUCT(($B$8:$B$31=AR$26)*($F$5:$AJ$5="")*$F$8:$AJ$31)+IF(AR$26="P6",SUMPRODUCT(($F$5:$AJ$5="P6")*$F$8:$AJ$31),0))/(SUMPRODUCT(($B$8:$B$31=AR$26)*($F$5:$AJ$5=""))+IF(AR$26="P6",COUNTIF($F$5:$AJ$5,"P6")*ROWS($B$8:$B$31),0)),"")</f>
        <v>1.2480143877551015</v>
      </c>
      <c r="BB29" s="10"/>
      <c r="BC29" s="4" t="s">
        <v>21</v>
      </c>
      <c r="BD29" s="6">
        <f t="shared" ref="BD29:BD33" si="4">AVERAGE(AM18,AM53,AM88,AM123,AM158,AM193,AM228,AM263,AM298,AM333,AM368,AM403)</f>
        <v>0.88967844949494945</v>
      </c>
      <c r="BE29" s="6">
        <f t="shared" si="3"/>
        <v>1.0613901929773928</v>
      </c>
      <c r="BF29" s="6">
        <f>AVERAGE(AO18,AO53,AO88,AO123,AO158,AO193,AO228,AO263,AO298,AO333,AO368,AO403)</f>
        <v>0.99593008953330997</v>
      </c>
      <c r="BG29" s="6">
        <f t="shared" si="3"/>
        <v>1.0474577157172635</v>
      </c>
      <c r="BH29" s="6">
        <f t="shared" si="3"/>
        <v>1.0573768697175845</v>
      </c>
      <c r="BI29" s="6">
        <f t="shared" si="3"/>
        <v>1.0478819413352596</v>
      </c>
      <c r="BJ29" s="10"/>
    </row>
    <row r="30" spans="1:62" ht="14.5" x14ac:dyDescent="0.35">
      <c r="A30" s="1" t="s">
        <v>16</v>
      </c>
      <c r="B30" s="1" t="s">
        <v>16</v>
      </c>
      <c r="C30" s="1" t="s">
        <v>14</v>
      </c>
      <c r="D30" s="1" t="s">
        <v>14</v>
      </c>
      <c r="E30" s="1" t="s">
        <v>41</v>
      </c>
      <c r="F30" s="1">
        <v>1.3284899999999999</v>
      </c>
      <c r="G30" s="1">
        <v>1.2698100000000001</v>
      </c>
      <c r="H30" s="1">
        <v>1.30853</v>
      </c>
      <c r="I30" s="1">
        <v>1.18781</v>
      </c>
      <c r="J30" s="1">
        <v>1.2193799999999999</v>
      </c>
      <c r="K30" s="1">
        <v>1.33182</v>
      </c>
      <c r="L30" s="1">
        <v>1.2810600000000001</v>
      </c>
      <c r="M30" s="1">
        <v>1.2787599999999999</v>
      </c>
      <c r="N30" s="1">
        <v>1.2698100000000001</v>
      </c>
      <c r="O30" s="1">
        <v>1.30853</v>
      </c>
      <c r="P30" s="1">
        <v>1.18781</v>
      </c>
      <c r="Q30" s="1">
        <v>1.2193799999999999</v>
      </c>
      <c r="R30" s="1">
        <v>1.2656700000000001</v>
      </c>
      <c r="S30" s="1">
        <v>1.2810600000000001</v>
      </c>
      <c r="T30" s="1">
        <v>1.2787599999999999</v>
      </c>
      <c r="U30" s="1">
        <v>1.2698100000000001</v>
      </c>
      <c r="V30" s="1">
        <v>1.30853</v>
      </c>
      <c r="W30" s="1">
        <v>1.18781</v>
      </c>
      <c r="X30" s="1">
        <v>1.2193799999999999</v>
      </c>
      <c r="Y30" s="1">
        <v>1.2656700000000001</v>
      </c>
      <c r="Z30" s="1">
        <v>1.2810600000000001</v>
      </c>
      <c r="AA30" s="1">
        <v>1.2787599999999999</v>
      </c>
      <c r="AB30" s="1">
        <v>1.2698100000000001</v>
      </c>
      <c r="AC30" s="1">
        <v>1.30853</v>
      </c>
      <c r="AD30" s="1">
        <v>1.18781</v>
      </c>
      <c r="AE30" s="1">
        <v>1.2193799999999999</v>
      </c>
      <c r="AF30" s="1">
        <v>1.2656700000000001</v>
      </c>
      <c r="AG30" s="1">
        <v>1.2810600000000001</v>
      </c>
      <c r="AH30" s="1">
        <v>1.2787599999999999</v>
      </c>
      <c r="AI30" s="1">
        <v>1.2698100000000001</v>
      </c>
      <c r="AJ30" s="1">
        <v>1.30853</v>
      </c>
      <c r="AL30" s="4" t="s">
        <v>25</v>
      </c>
      <c r="AM30" s="6" t="str" cm="1">
        <f t="array" ref="AM30">IFERROR((SUMPRODUCT(($B$8:$B$31=AM$26)*($F$5:$AJ$5="")*$F$8:$AJ$31)+IF(AM$26="P6",SUMPRODUCT(($F$5:$AJ$5="P6")*$F$8:$AJ$31),0))/(SUMPRODUCT(($B$8:$B$31=AM$26)*($F$5:$AJ$5=""))+IF(AM$26="P6",COUNTIF($F$5:$AJ$5,"P6")*ROWS($B$8:$B$31),0)),"")</f>
        <v/>
      </c>
      <c r="AN30" s="6" t="str" cm="1">
        <f t="array" ref="AN30">IFERROR((SUMPRODUCT(($B$8:$B$31=AN$26)*($F$5:$AJ$5="")*$F$8:$AJ$31)+IF(AN$26="P6",SUMPRODUCT(($F$5:$AJ$5="P6")*$F$8:$AJ$31),0))/(SUMPRODUCT(($B$8:$B$31=AN$26)*($F$5:$AJ$5=""))+IF(AN$26="P6",COUNTIF($F$5:$AJ$5,"P6")*ROWS($B$8:$B$31),0)),"")</f>
        <v/>
      </c>
      <c r="AO30" s="6" cm="1">
        <f t="array" ref="AO30">IFERROR((SUMPRODUCT(($B$8:$B$31=AO$26)*($F$5:$AJ$5="")*$F$8:$AJ$31)+IF(AO$26="P6",SUMPRODUCT(($F$5:$AJ$5="P6")*$F$8:$AJ$31),0))/(SUMPRODUCT(($B$8:$B$31=AO$26)*($F$5:$AJ$5=""))+IF(AO$26="P6",COUNTIF($F$5:$AJ$5,"P6")*ROWS($B$8:$B$31),0)),"")</f>
        <v>1.1209681818181814</v>
      </c>
      <c r="AP30" s="6" cm="1">
        <f t="array" ref="AP30">IFERROR((SUMPRODUCT(($B$8:$B$31=AP$26)*($F$5:$AJ$5="")*$F$8:$AJ$31)+IF(AP$26="P6",SUMPRODUCT(($F$5:$AJ$5="P6")*$F$8:$AJ$31),0))/(SUMPRODUCT(($B$8:$B$31=AP$26)*($F$5:$AJ$5=""))+IF(AP$26="P6",COUNTIF($F$5:$AJ$5,"P6")*ROWS($B$8:$B$31),0)),"")</f>
        <v>1.1790956493506499</v>
      </c>
      <c r="AQ30" s="6" t="str" cm="1">
        <f t="array" ref="AQ30">IFERROR((SUMPRODUCT(($B$8:$B$31=AQ$26)*($F$5:$AJ$5="")*$F$8:$AJ$31)+IF(AQ$26="P6",SUMPRODUCT(($F$5:$AJ$5="P6")*$F$8:$AJ$31),0))/(SUMPRODUCT(($B$8:$B$31=AQ$26)*($F$5:$AJ$5=""))+IF(AQ$26="P6",COUNTIF($F$5:$AJ$5,"P6")*ROWS($B$8:$B$31),0)),"")</f>
        <v/>
      </c>
      <c r="AR30" s="6" cm="1">
        <f t="array" ref="AR30">IFERROR((SUMPRODUCT(($B$8:$B$31=AR$26)*($F$5:$AJ$5="")*$F$8:$AJ$31)+IF(AR$26="P6",SUMPRODUCT(($F$5:$AJ$5="P6")*$F$8:$AJ$31),0))/(SUMPRODUCT(($B$8:$B$31=AR$26)*($F$5:$AJ$5=""))+IF(AR$26="P6",COUNTIF($F$5:$AJ$5,"P6")*ROWS($B$8:$B$31),0)),"")</f>
        <v>1.2480143877551015</v>
      </c>
      <c r="BB30" s="10"/>
      <c r="BC30" s="4" t="s">
        <v>23</v>
      </c>
      <c r="BD30" s="6">
        <f t="shared" si="4"/>
        <v>0.88967844949494945</v>
      </c>
      <c r="BE30" s="6">
        <f t="shared" si="3"/>
        <v>1.0613901929773928</v>
      </c>
      <c r="BF30" s="6">
        <f t="shared" si="3"/>
        <v>0.99593008953330997</v>
      </c>
      <c r="BG30" s="6">
        <f t="shared" si="3"/>
        <v>1.0474577157172635</v>
      </c>
      <c r="BH30" s="6">
        <f t="shared" si="3"/>
        <v>1.0573768697175845</v>
      </c>
      <c r="BI30" s="6">
        <f t="shared" si="3"/>
        <v>1.0478819413352596</v>
      </c>
      <c r="BJ30" s="10"/>
    </row>
    <row r="31" spans="1:62" ht="14.5" x14ac:dyDescent="0.35">
      <c r="A31" s="1" t="s">
        <v>16</v>
      </c>
      <c r="B31" s="1" t="s">
        <v>16</v>
      </c>
      <c r="C31" s="1" t="s">
        <v>14</v>
      </c>
      <c r="D31" s="1" t="s">
        <v>14</v>
      </c>
      <c r="E31" s="1" t="s">
        <v>42</v>
      </c>
      <c r="F31" s="1">
        <v>1.3872199999999999</v>
      </c>
      <c r="G31" s="1">
        <v>1.3066800000000001</v>
      </c>
      <c r="H31" s="1">
        <v>1.33819</v>
      </c>
      <c r="I31" s="1">
        <v>1.22655</v>
      </c>
      <c r="J31" s="1">
        <v>1.2552399999999999</v>
      </c>
      <c r="K31" s="1">
        <v>1.36842</v>
      </c>
      <c r="L31" s="1">
        <v>1.3232900000000001</v>
      </c>
      <c r="M31" s="1">
        <v>1.32551</v>
      </c>
      <c r="N31" s="1">
        <v>1.3066800000000001</v>
      </c>
      <c r="O31" s="1">
        <v>1.33819</v>
      </c>
      <c r="P31" s="1">
        <v>1.22655</v>
      </c>
      <c r="Q31" s="1">
        <v>1.2552399999999999</v>
      </c>
      <c r="R31" s="1">
        <v>1.3155600000000001</v>
      </c>
      <c r="S31" s="1">
        <v>1.3232900000000001</v>
      </c>
      <c r="T31" s="1">
        <v>1.32551</v>
      </c>
      <c r="U31" s="1">
        <v>1.3066800000000001</v>
      </c>
      <c r="V31" s="1">
        <v>1.33819</v>
      </c>
      <c r="W31" s="1">
        <v>1.22655</v>
      </c>
      <c r="X31" s="1">
        <v>1.2552399999999999</v>
      </c>
      <c r="Y31" s="1">
        <v>1.3155600000000001</v>
      </c>
      <c r="Z31" s="1">
        <v>1.3232900000000001</v>
      </c>
      <c r="AA31" s="1">
        <v>1.32551</v>
      </c>
      <c r="AB31" s="1">
        <v>1.3066800000000001</v>
      </c>
      <c r="AC31" s="1">
        <v>1.33819</v>
      </c>
      <c r="AD31" s="1">
        <v>1.22655</v>
      </c>
      <c r="AE31" s="1">
        <v>1.2552399999999999</v>
      </c>
      <c r="AF31" s="1">
        <v>1.3155600000000001</v>
      </c>
      <c r="AG31" s="1">
        <v>1.3232900000000001</v>
      </c>
      <c r="AH31" s="1">
        <v>1.32551</v>
      </c>
      <c r="AI31" s="1">
        <v>1.3066800000000001</v>
      </c>
      <c r="AJ31" s="1">
        <v>1.33819</v>
      </c>
      <c r="AL31" s="4" t="s">
        <v>27</v>
      </c>
      <c r="AM31" s="6" t="str" cm="1">
        <f t="array" ref="AM31">IFERROR((SUMPRODUCT(($B$8:$B$31=AM$26)*($F$5:$AJ$5="")*$F$8:$AJ$31)+IF(AM$26="P6",SUMPRODUCT(($F$5:$AJ$5="P6")*$F$8:$AJ$31),0))/(SUMPRODUCT(($B$8:$B$31=AM$26)*($F$5:$AJ$5=""))+IF(AM$26="P6",COUNTIF($F$5:$AJ$5,"P6")*ROWS($B$8:$B$31),0)),"")</f>
        <v/>
      </c>
      <c r="AN31" s="6" t="str" cm="1">
        <f t="array" ref="AN31">IFERROR((SUMPRODUCT(($B$8:$B$31=AN$26)*($F$5:$AJ$5="")*$F$8:$AJ$31)+IF(AN$26="P6",SUMPRODUCT(($F$5:$AJ$5="P6")*$F$8:$AJ$31),0))/(SUMPRODUCT(($B$8:$B$31=AN$26)*($F$5:$AJ$5=""))+IF(AN$26="P6",COUNTIF($F$5:$AJ$5,"P6")*ROWS($B$8:$B$31),0)),"")</f>
        <v/>
      </c>
      <c r="AO31" s="6" cm="1">
        <f t="array" ref="AO31">IFERROR((SUMPRODUCT(($B$8:$B$31=AO$26)*($F$5:$AJ$5="")*$F$8:$AJ$31)+IF(AO$26="P6",SUMPRODUCT(($F$5:$AJ$5="P6")*$F$8:$AJ$31),0))/(SUMPRODUCT(($B$8:$B$31=AO$26)*($F$5:$AJ$5=""))+IF(AO$26="P6",COUNTIF($F$5:$AJ$5,"P6")*ROWS($B$8:$B$31),0)),"")</f>
        <v>1.1209681818181814</v>
      </c>
      <c r="AP31" s="6" cm="1">
        <f t="array" ref="AP31">IFERROR((SUMPRODUCT(($B$8:$B$31=AP$26)*($F$5:$AJ$5="")*$F$8:$AJ$31)+IF(AP$26="P6",SUMPRODUCT(($F$5:$AJ$5="P6")*$F$8:$AJ$31),0))/(SUMPRODUCT(($B$8:$B$31=AP$26)*($F$5:$AJ$5=""))+IF(AP$26="P6",COUNTIF($F$5:$AJ$5,"P6")*ROWS($B$8:$B$31),0)),"")</f>
        <v>1.1790956493506499</v>
      </c>
      <c r="AQ31" s="6" t="str" cm="1">
        <f t="array" ref="AQ31">IFERROR((SUMPRODUCT(($B$8:$B$31=AQ$26)*($F$5:$AJ$5="")*$F$8:$AJ$31)+IF(AQ$26="P6",SUMPRODUCT(($F$5:$AJ$5="P6")*$F$8:$AJ$31),0))/(SUMPRODUCT(($B$8:$B$31=AQ$26)*($F$5:$AJ$5=""))+IF(AQ$26="P6",COUNTIF($F$5:$AJ$5,"P6")*ROWS($B$8:$B$31),0)),"")</f>
        <v/>
      </c>
      <c r="AR31" s="6" cm="1">
        <f t="array" ref="AR31">IFERROR((SUMPRODUCT(($B$8:$B$31=AR$26)*($F$5:$AJ$5="")*$F$8:$AJ$31)+IF(AR$26="P6",SUMPRODUCT(($F$5:$AJ$5="P6")*$F$8:$AJ$31),0))/(SUMPRODUCT(($B$8:$B$31=AR$26)*($F$5:$AJ$5=""))+IF(AR$26="P6",COUNTIF($F$5:$AJ$5,"P6")*ROWS($B$8:$B$31),0)),"")</f>
        <v>1.2480143877551015</v>
      </c>
      <c r="BB31" s="10"/>
      <c r="BC31" s="4" t="s">
        <v>25</v>
      </c>
      <c r="BD31" s="6">
        <f t="shared" si="4"/>
        <v>0.88967844949494945</v>
      </c>
      <c r="BE31" s="6">
        <f t="shared" si="3"/>
        <v>1.0613901929773928</v>
      </c>
      <c r="BF31" s="6">
        <f t="shared" si="3"/>
        <v>0.99593008953330997</v>
      </c>
      <c r="BG31" s="6">
        <f t="shared" si="3"/>
        <v>1.0474577157172635</v>
      </c>
      <c r="BH31" s="6">
        <f t="shared" si="3"/>
        <v>1.0573768697175845</v>
      </c>
      <c r="BI31" s="6">
        <f t="shared" si="3"/>
        <v>1.0478819413352596</v>
      </c>
      <c r="BJ31" s="10"/>
    </row>
    <row r="32" spans="1:62" ht="14.25" customHeight="1" x14ac:dyDescent="0.35">
      <c r="AL32" s="4" t="s">
        <v>29</v>
      </c>
      <c r="AM32" s="6" t="str" cm="1">
        <f t="array" ref="AM32">IFERROR((SUMPRODUCT(($B$8:$B$31=AM$26)*($F$5:$AJ$5="")*$F$8:$AJ$31)+IF(AM$26="P6",SUMPRODUCT(($F$5:$AJ$5="P6")*$F$8:$AJ$31),0))/(SUMPRODUCT(($B$8:$B$31=AM$26)*($F$5:$AJ$5=""))+IF(AM$26="P6",COUNTIF($F$5:$AJ$5,"P6")*ROWS($B$8:$B$31),0)),"")</f>
        <v/>
      </c>
      <c r="AN32" s="6" t="str" cm="1">
        <f t="array" ref="AN32">IFERROR((SUMPRODUCT(($B$8:$B$31=AN$26)*($F$5:$AJ$5="")*$F$8:$AJ$31)+IF(AN$26="P6",SUMPRODUCT(($F$5:$AJ$5="P6")*$F$8:$AJ$31),0))/(SUMPRODUCT(($B$8:$B$31=AN$26)*($F$5:$AJ$5=""))+IF(AN$26="P6",COUNTIF($F$5:$AJ$5,"P6")*ROWS($B$8:$B$31),0)),"")</f>
        <v/>
      </c>
      <c r="AO32" s="6" cm="1">
        <f t="array" ref="AO32">IFERROR((SUMPRODUCT(($B$8:$B$31=AO$26)*($F$5:$AJ$5="")*$F$8:$AJ$31)+IF(AO$26="P6",SUMPRODUCT(($F$5:$AJ$5="P6")*$F$8:$AJ$31),0))/(SUMPRODUCT(($B$8:$B$31=AO$26)*($F$5:$AJ$5=""))+IF(AO$26="P6",COUNTIF($F$5:$AJ$5,"P6")*ROWS($B$8:$B$31),0)),"")</f>
        <v>1.1209681818181814</v>
      </c>
      <c r="AP32" s="6" cm="1">
        <f t="array" ref="AP32">IFERROR((SUMPRODUCT(($B$8:$B$31=AP$26)*($F$5:$AJ$5="")*$F$8:$AJ$31)+IF(AP$26="P6",SUMPRODUCT(($F$5:$AJ$5="P6")*$F$8:$AJ$31),0))/(SUMPRODUCT(($B$8:$B$31=AP$26)*($F$5:$AJ$5=""))+IF(AP$26="P6",COUNTIF($F$5:$AJ$5,"P6")*ROWS($B$8:$B$31),0)),"")</f>
        <v>1.1790956493506499</v>
      </c>
      <c r="AQ32" s="6" t="str" cm="1">
        <f t="array" ref="AQ32">IFERROR((SUMPRODUCT(($B$8:$B$31=AQ$26)*($F$5:$AJ$5="")*$F$8:$AJ$31)+IF(AQ$26="P6",SUMPRODUCT(($F$5:$AJ$5="P6")*$F$8:$AJ$31),0))/(SUMPRODUCT(($B$8:$B$31=AQ$26)*($F$5:$AJ$5=""))+IF(AQ$26="P6",COUNTIF($F$5:$AJ$5,"P6")*ROWS($B$8:$B$31),0)),"")</f>
        <v/>
      </c>
      <c r="AR32" s="6" cm="1">
        <f t="array" ref="AR32">IFERROR((SUMPRODUCT(($B$8:$B$31=AR$26)*($F$5:$AJ$5="")*$F$8:$AJ$31)+IF(AR$26="P6",SUMPRODUCT(($F$5:$AJ$5="P6")*$F$8:$AJ$31),0))/(SUMPRODUCT(($B$8:$B$31=AR$26)*($F$5:$AJ$5=""))+IF(AR$26="P6",COUNTIF($F$5:$AJ$5,"P6")*ROWS($B$8:$B$31),0)),"")</f>
        <v>1.2480143877551015</v>
      </c>
      <c r="BB32" s="10"/>
      <c r="BC32" s="4" t="s">
        <v>27</v>
      </c>
      <c r="BD32" s="6">
        <f t="shared" si="4"/>
        <v>0.88967844949494945</v>
      </c>
      <c r="BE32" s="6">
        <f t="shared" si="3"/>
        <v>1.0613901929773928</v>
      </c>
      <c r="BF32" s="6">
        <f t="shared" si="3"/>
        <v>0.99593008953330997</v>
      </c>
      <c r="BG32" s="6">
        <f t="shared" si="3"/>
        <v>1.0474577157172635</v>
      </c>
      <c r="BH32" s="6">
        <f t="shared" si="3"/>
        <v>1.0573768697175845</v>
      </c>
      <c r="BI32" s="6">
        <f t="shared" si="3"/>
        <v>1.0478819413352596</v>
      </c>
      <c r="BJ32" s="10"/>
    </row>
    <row r="33" spans="1:62" ht="14.25" customHeight="1" x14ac:dyDescent="0.35">
      <c r="BB33" s="10"/>
      <c r="BC33" s="4" t="s">
        <v>29</v>
      </c>
      <c r="BD33" s="6">
        <f t="shared" si="4"/>
        <v>0.88967844949494945</v>
      </c>
      <c r="BE33" s="6">
        <f t="shared" si="3"/>
        <v>1.0613901929773928</v>
      </c>
      <c r="BF33" s="6">
        <f t="shared" si="3"/>
        <v>0.99593008953330997</v>
      </c>
      <c r="BG33" s="6">
        <f t="shared" si="3"/>
        <v>1.0474577157172635</v>
      </c>
      <c r="BH33" s="6">
        <f t="shared" si="3"/>
        <v>1.0573768697175845</v>
      </c>
      <c r="BI33" s="6">
        <f t="shared" si="3"/>
        <v>1.0478819413352596</v>
      </c>
      <c r="BJ33" s="10"/>
    </row>
    <row r="34" spans="1:62" ht="14.25" customHeight="1" x14ac:dyDescent="0.35"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ht="14.25" customHeight="1" x14ac:dyDescent="0.35"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 ht="14.25" customHeight="1" x14ac:dyDescent="0.35">
      <c r="A36" s="15" t="s">
        <v>44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 ht="14.25" customHeight="1" x14ac:dyDescent="0.3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</row>
    <row r="38" spans="1:62" ht="14.25" customHeight="1" x14ac:dyDescent="0.35">
      <c r="AL38" s="10"/>
      <c r="AM38" s="10"/>
      <c r="AN38" s="10"/>
      <c r="AO38" s="10"/>
      <c r="AP38" s="10"/>
      <c r="AQ38" s="10"/>
      <c r="AR38" s="10"/>
    </row>
    <row r="39" spans="1:62" ht="14.25" customHeight="1" x14ac:dyDescent="0.35">
      <c r="F39" s="1" t="str">
        <f>IF(OR(F41="S",F41="D"),"P3","")</f>
        <v>P3</v>
      </c>
      <c r="G39" s="1" t="str">
        <f t="shared" ref="G39:AG39" si="5">IF(OR(G41="S",G41="D"),"P3","")</f>
        <v>P3</v>
      </c>
      <c r="H39" s="1" t="str">
        <f t="shared" si="5"/>
        <v/>
      </c>
      <c r="I39" s="1" t="str">
        <f t="shared" si="5"/>
        <v/>
      </c>
      <c r="J39" s="1" t="str">
        <f t="shared" si="5"/>
        <v/>
      </c>
      <c r="K39" s="1" t="str">
        <f t="shared" si="5"/>
        <v/>
      </c>
      <c r="L39" s="1" t="str">
        <f t="shared" si="5"/>
        <v/>
      </c>
      <c r="M39" s="1" t="str">
        <f t="shared" si="5"/>
        <v>P3</v>
      </c>
      <c r="N39" s="1" t="str">
        <f t="shared" si="5"/>
        <v>P3</v>
      </c>
      <c r="O39" s="1" t="str">
        <f t="shared" si="5"/>
        <v/>
      </c>
      <c r="P39" s="1" t="str">
        <f t="shared" si="5"/>
        <v/>
      </c>
      <c r="Q39" s="1" t="str">
        <f t="shared" si="5"/>
        <v/>
      </c>
      <c r="R39" s="1" t="str">
        <f t="shared" si="5"/>
        <v/>
      </c>
      <c r="S39" s="1" t="str">
        <f t="shared" si="5"/>
        <v/>
      </c>
      <c r="T39" s="1" t="str">
        <f t="shared" si="5"/>
        <v>P3</v>
      </c>
      <c r="U39" s="1" t="str">
        <f t="shared" si="5"/>
        <v>P3</v>
      </c>
      <c r="V39" s="1" t="str">
        <f t="shared" si="5"/>
        <v/>
      </c>
      <c r="W39" s="1" t="str">
        <f t="shared" si="5"/>
        <v/>
      </c>
      <c r="X39" s="1" t="str">
        <f t="shared" si="5"/>
        <v/>
      </c>
      <c r="Y39" s="1" t="str">
        <f t="shared" si="5"/>
        <v/>
      </c>
      <c r="Z39" s="1" t="str">
        <f t="shared" si="5"/>
        <v/>
      </c>
      <c r="AA39" s="1" t="str">
        <f t="shared" si="5"/>
        <v>P3</v>
      </c>
      <c r="AB39" s="1" t="str">
        <f t="shared" si="5"/>
        <v>P3</v>
      </c>
      <c r="AC39" s="1" t="str">
        <f t="shared" si="5"/>
        <v/>
      </c>
      <c r="AD39" s="1" t="str">
        <f t="shared" si="5"/>
        <v/>
      </c>
      <c r="AE39" s="1" t="str">
        <f t="shared" si="5"/>
        <v/>
      </c>
      <c r="AF39" s="1" t="str">
        <f t="shared" si="5"/>
        <v/>
      </c>
      <c r="AG39" s="1" t="str">
        <f t="shared" si="5"/>
        <v/>
      </c>
      <c r="AL39" s="10"/>
      <c r="AM39" s="10"/>
      <c r="AN39" s="10"/>
      <c r="AO39" s="10"/>
      <c r="AP39" s="10"/>
      <c r="AQ39" s="10"/>
      <c r="AR39" s="10"/>
      <c r="BB39" s="11"/>
      <c r="BC39" s="11"/>
      <c r="BD39" s="11"/>
      <c r="BE39" s="11"/>
      <c r="BF39" s="11"/>
      <c r="BG39" s="11"/>
      <c r="BH39" s="11"/>
      <c r="BI39" s="11"/>
      <c r="BJ39" s="11"/>
    </row>
    <row r="40" spans="1:62" ht="14.25" customHeight="1" x14ac:dyDescent="0.35">
      <c r="F40" s="1" t="str">
        <f>IF(OR(F41="S",F41="D"),"P6","")</f>
        <v>P6</v>
      </c>
      <c r="G40" s="1" t="str">
        <f t="shared" ref="G40:AG40" si="6">IF(OR(G41="S",G41="D"),"P6","")</f>
        <v>P6</v>
      </c>
      <c r="H40" s="1" t="str">
        <f t="shared" si="6"/>
        <v/>
      </c>
      <c r="I40" s="1" t="str">
        <f t="shared" si="6"/>
        <v/>
      </c>
      <c r="J40" s="1" t="str">
        <f t="shared" si="6"/>
        <v/>
      </c>
      <c r="K40" s="1" t="str">
        <f t="shared" si="6"/>
        <v/>
      </c>
      <c r="L40" s="1" t="str">
        <f t="shared" si="6"/>
        <v/>
      </c>
      <c r="M40" s="1" t="str">
        <f t="shared" si="6"/>
        <v>P6</v>
      </c>
      <c r="N40" s="1" t="str">
        <f t="shared" si="6"/>
        <v>P6</v>
      </c>
      <c r="O40" s="1" t="str">
        <f t="shared" si="6"/>
        <v/>
      </c>
      <c r="P40" s="1" t="str">
        <f t="shared" si="6"/>
        <v/>
      </c>
      <c r="Q40" s="1" t="str">
        <f t="shared" si="6"/>
        <v/>
      </c>
      <c r="R40" s="1" t="str">
        <f t="shared" si="6"/>
        <v/>
      </c>
      <c r="S40" s="1" t="str">
        <f t="shared" si="6"/>
        <v/>
      </c>
      <c r="T40" s="1" t="str">
        <f t="shared" si="6"/>
        <v>P6</v>
      </c>
      <c r="U40" s="1" t="str">
        <f t="shared" si="6"/>
        <v>P6</v>
      </c>
      <c r="V40" s="1" t="str">
        <f t="shared" si="6"/>
        <v/>
      </c>
      <c r="W40" s="1" t="str">
        <f t="shared" si="6"/>
        <v/>
      </c>
      <c r="X40" s="1" t="str">
        <f t="shared" si="6"/>
        <v/>
      </c>
      <c r="Y40" s="1" t="str">
        <f t="shared" si="6"/>
        <v/>
      </c>
      <c r="Z40" s="1" t="str">
        <f t="shared" si="6"/>
        <v/>
      </c>
      <c r="AA40" s="1" t="str">
        <f t="shared" si="6"/>
        <v>P6</v>
      </c>
      <c r="AB40" s="1" t="str">
        <f t="shared" si="6"/>
        <v>P6</v>
      </c>
      <c r="AC40" s="1" t="str">
        <f t="shared" si="6"/>
        <v/>
      </c>
      <c r="AD40" s="1" t="str">
        <f t="shared" si="6"/>
        <v/>
      </c>
      <c r="AE40" s="1" t="str">
        <f t="shared" si="6"/>
        <v/>
      </c>
      <c r="AF40" s="1" t="str">
        <f t="shared" si="6"/>
        <v/>
      </c>
      <c r="AG40" s="1" t="str">
        <f t="shared" si="6"/>
        <v/>
      </c>
      <c r="AL40" s="14" t="s">
        <v>81</v>
      </c>
      <c r="AM40" s="14"/>
      <c r="AN40" s="14"/>
      <c r="AO40" s="14"/>
      <c r="AP40" s="14"/>
      <c r="AQ40" s="14"/>
      <c r="AR40" s="14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4.25" customHeight="1" x14ac:dyDescent="0.35">
      <c r="F41" s="1" t="str">
        <f>CHOOSE(WEEKDAY(F42,2),"L","M","X","J","V","S","D")</f>
        <v>S</v>
      </c>
      <c r="G41" s="1" t="str">
        <f t="shared" ref="G41:AG41" si="7">CHOOSE(WEEKDAY(G42,2),"L","M","X","J","V","S","D")</f>
        <v>D</v>
      </c>
      <c r="H41" s="1" t="str">
        <f t="shared" si="7"/>
        <v>L</v>
      </c>
      <c r="I41" s="1" t="str">
        <f t="shared" si="7"/>
        <v>M</v>
      </c>
      <c r="J41" s="1" t="str">
        <f t="shared" si="7"/>
        <v>X</v>
      </c>
      <c r="K41" s="1" t="str">
        <f t="shared" si="7"/>
        <v>J</v>
      </c>
      <c r="L41" s="1" t="str">
        <f t="shared" si="7"/>
        <v>V</v>
      </c>
      <c r="M41" s="1" t="str">
        <f t="shared" si="7"/>
        <v>S</v>
      </c>
      <c r="N41" s="1" t="str">
        <f t="shared" si="7"/>
        <v>D</v>
      </c>
      <c r="O41" s="1" t="str">
        <f t="shared" si="7"/>
        <v>L</v>
      </c>
      <c r="P41" s="1" t="str">
        <f t="shared" si="7"/>
        <v>M</v>
      </c>
      <c r="Q41" s="1" t="str">
        <f t="shared" si="7"/>
        <v>X</v>
      </c>
      <c r="R41" s="1" t="str">
        <f t="shared" si="7"/>
        <v>J</v>
      </c>
      <c r="S41" s="1" t="str">
        <f t="shared" si="7"/>
        <v>V</v>
      </c>
      <c r="T41" s="1" t="str">
        <f t="shared" si="7"/>
        <v>S</v>
      </c>
      <c r="U41" s="1" t="str">
        <f t="shared" si="7"/>
        <v>D</v>
      </c>
      <c r="V41" s="1" t="str">
        <f t="shared" si="7"/>
        <v>L</v>
      </c>
      <c r="W41" s="1" t="str">
        <f t="shared" si="7"/>
        <v>M</v>
      </c>
      <c r="X41" s="1" t="str">
        <f t="shared" si="7"/>
        <v>X</v>
      </c>
      <c r="Y41" s="1" t="str">
        <f t="shared" si="7"/>
        <v>J</v>
      </c>
      <c r="Z41" s="1" t="str">
        <f t="shared" si="7"/>
        <v>V</v>
      </c>
      <c r="AA41" s="1" t="str">
        <f t="shared" si="7"/>
        <v>S</v>
      </c>
      <c r="AB41" s="1" t="str">
        <f t="shared" si="7"/>
        <v>D</v>
      </c>
      <c r="AC41" s="1" t="str">
        <f t="shared" si="7"/>
        <v>L</v>
      </c>
      <c r="AD41" s="1" t="str">
        <f t="shared" si="7"/>
        <v>M</v>
      </c>
      <c r="AE41" s="1" t="str">
        <f t="shared" si="7"/>
        <v>X</v>
      </c>
      <c r="AF41" s="1" t="str">
        <f t="shared" si="7"/>
        <v>J</v>
      </c>
      <c r="AG41" s="1" t="str">
        <f t="shared" si="7"/>
        <v>V</v>
      </c>
      <c r="AL41" s="4"/>
      <c r="AM41" s="4" t="s">
        <v>13</v>
      </c>
      <c r="AN41" s="4" t="s">
        <v>14</v>
      </c>
      <c r="AO41" s="4" t="s">
        <v>15</v>
      </c>
      <c r="AP41" s="4" t="s">
        <v>16</v>
      </c>
      <c r="AQ41" s="4" t="s">
        <v>17</v>
      </c>
      <c r="AR41" s="4" t="s">
        <v>7</v>
      </c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 ht="14.25" customHeight="1" x14ac:dyDescent="0.35">
      <c r="A42" s="3" t="s">
        <v>76</v>
      </c>
      <c r="B42" s="3" t="s">
        <v>77</v>
      </c>
      <c r="C42" s="3" t="s">
        <v>75</v>
      </c>
      <c r="D42" s="3" t="s">
        <v>74</v>
      </c>
      <c r="F42" s="8">
        <v>45689</v>
      </c>
      <c r="G42" s="8">
        <v>45690</v>
      </c>
      <c r="H42" s="8">
        <v>45691</v>
      </c>
      <c r="I42" s="8">
        <v>45692</v>
      </c>
      <c r="J42" s="8">
        <v>45693</v>
      </c>
      <c r="K42" s="8">
        <v>45694</v>
      </c>
      <c r="L42" s="8">
        <v>45695</v>
      </c>
      <c r="M42" s="8">
        <v>45696</v>
      </c>
      <c r="N42" s="8">
        <v>45697</v>
      </c>
      <c r="O42" s="8">
        <v>45698</v>
      </c>
      <c r="P42" s="8">
        <v>45699</v>
      </c>
      <c r="Q42" s="8">
        <v>45700</v>
      </c>
      <c r="R42" s="8">
        <v>45701</v>
      </c>
      <c r="S42" s="8">
        <v>45702</v>
      </c>
      <c r="T42" s="8">
        <v>45703</v>
      </c>
      <c r="U42" s="8">
        <v>45704</v>
      </c>
      <c r="V42" s="8">
        <v>45705</v>
      </c>
      <c r="W42" s="8">
        <v>45706</v>
      </c>
      <c r="X42" s="8">
        <v>45707</v>
      </c>
      <c r="Y42" s="8">
        <v>45708</v>
      </c>
      <c r="Z42" s="8">
        <v>45709</v>
      </c>
      <c r="AA42" s="8">
        <v>45710</v>
      </c>
      <c r="AB42" s="8">
        <v>45711</v>
      </c>
      <c r="AC42" s="8">
        <v>45712</v>
      </c>
      <c r="AD42" s="8">
        <v>45713</v>
      </c>
      <c r="AE42" s="8">
        <v>45714</v>
      </c>
      <c r="AF42" s="8">
        <v>45715</v>
      </c>
      <c r="AG42" s="8">
        <v>45716</v>
      </c>
      <c r="AL42" s="4" t="s">
        <v>19</v>
      </c>
      <c r="AM42" s="6" cm="1">
        <f t="array" ref="AM42">IFERROR((SUMPRODUCT(($C$43:$C$66=AM$41)*($F$39:$AG$39="")*$F$43:$AG$66)+IF(AM$41="P3",SUMPRODUCT(($F$39:$AG$39="P3")*$F$43:$AG$66),0))/(SUMPRODUCT(($C$43:$C$66=AM$41)*($F$39:$AG$39=""))+IF(AM$41="P3",COUNTIF($F$39:$AG$39,"P3")*ROWS($C$43:$C$66),0)),"")</f>
        <v>1.107348</v>
      </c>
      <c r="AN42" s="6" cm="1">
        <f t="array" ref="AN42">IFERROR((SUMPRODUCT(($C$43:$C$66=AN$41)*($F$39:$AG$39="")*$F$43:$AG$66)+IF(AN$41="P3",SUMPRODUCT(($F$39:$AG$39="P3")*$F$43:$AG$66),0))/(SUMPRODUCT(($C$43:$C$66=AN$41)*($F$39:$AG$39=""))+IF(AN$41="P3",COUNTIF($F$39:$AG$39,"P3")*ROWS($C$43:$C$66),0)),"")</f>
        <v>1.1419265000000003</v>
      </c>
      <c r="AO42" s="6" cm="1">
        <f t="array" ref="AO42">IFERROR((SUMPRODUCT(($C$43:$C$66=AO$41)*($F$39:$AG$39="")*$F$43:$AG$66)+IF(AO$41="P3",SUMPRODUCT(($F$39:$AG$39="P3")*$F$43:$AG$66),0))/(SUMPRODUCT(($C$43:$C$66=AO$41)*($F$39:$AG$39=""))+IF(AO$41="P3",COUNTIF($F$39:$AG$39,"P3")*ROWS($C$43:$C$66),0)),"")</f>
        <v>1.224928068181818</v>
      </c>
      <c r="AP42" s="6" t="str" cm="1">
        <f t="array" ref="AP42">IFERROR((SUMPRODUCT(($C$43:$C$66=AP$41)*($F$39:$AG$39="")*$F$43:$AG$66)+IF(AP$41="P3",SUMPRODUCT(($F$39:$AG$39="P3")*$F$43:$AG$66),0))/(SUMPRODUCT(($C$43:$C$66=AP$41)*($F$39:$AG$39=""))+IF(AP$41="P3",COUNTIF($F$39:$AG$39,"P3")*ROWS($C$43:$C$66),0)),"")</f>
        <v/>
      </c>
      <c r="AQ42" s="6" t="str" cm="1">
        <f t="array" ref="AQ42">IFERROR((SUMPRODUCT(($C$43:$C$66=AQ$41)*($F$39:$AG$39="")*$F$43:$AG$66)+IF(AQ$41="P3",SUMPRODUCT(($F$39:$AG$39="P3")*$F$43:$AG$66),0))/(SUMPRODUCT(($C$43:$C$66=AQ$41)*($F$39:$AG$39=""))+IF(AQ$41="P3",COUNTIF($F$39:$AG$39,"P3")*ROWS($C$43:$C$66),0)),"")</f>
        <v/>
      </c>
      <c r="AR42" s="6" t="str" cm="1">
        <f t="array" ref="AR42">IFERROR((SUMPRODUCT(($C$43:$C$66=AR$41)*($F$39:$AG$39="")*$F$43:$AG$66)+IF(AR$41="P3",SUMPRODUCT(($F$39:$AG$39="P3")*$F$43:$AG$66),0))/(SUMPRODUCT(($C$43:$C$66=AR$41)*($F$39:$AG$39=""))+IF(AR$41="P3",COUNTIF($F$39:$AG$39,"P3")*ROWS($C$43:$C$66),0)),"")</f>
        <v/>
      </c>
      <c r="BB42" s="10"/>
      <c r="BC42" s="13" t="s">
        <v>115</v>
      </c>
      <c r="BD42" s="13"/>
      <c r="BE42" s="13"/>
      <c r="BF42" s="13"/>
      <c r="BG42" s="13"/>
      <c r="BH42" s="13"/>
      <c r="BI42" s="13"/>
      <c r="BJ42" s="10"/>
    </row>
    <row r="43" spans="1:62" ht="14.25" customHeight="1" x14ac:dyDescent="0.35">
      <c r="A43" s="1" t="s">
        <v>7</v>
      </c>
      <c r="B43" s="1" t="s">
        <v>7</v>
      </c>
      <c r="C43" s="1" t="s">
        <v>15</v>
      </c>
      <c r="D43" s="1" t="s">
        <v>7</v>
      </c>
      <c r="E43" s="1" t="s">
        <v>8</v>
      </c>
      <c r="F43" s="1">
        <v>1.26054</v>
      </c>
      <c r="G43" s="1">
        <v>1.26667</v>
      </c>
      <c r="H43" s="1">
        <v>1.30843</v>
      </c>
      <c r="I43" s="1">
        <v>1.2532300000000001</v>
      </c>
      <c r="J43" s="1">
        <v>1.2382899999999999</v>
      </c>
      <c r="K43" s="1">
        <v>1.2561500000000001</v>
      </c>
      <c r="L43" s="1">
        <v>1.23621</v>
      </c>
      <c r="M43" s="1">
        <v>1.26054</v>
      </c>
      <c r="N43" s="1">
        <v>1.26667</v>
      </c>
      <c r="O43" s="1">
        <v>1.30843</v>
      </c>
      <c r="P43" s="1">
        <v>1.2532300000000001</v>
      </c>
      <c r="Q43" s="1">
        <v>1.2382899999999999</v>
      </c>
      <c r="R43" s="1">
        <v>1.2561500000000001</v>
      </c>
      <c r="S43" s="1">
        <v>1.23621</v>
      </c>
      <c r="T43" s="1">
        <v>1.26054</v>
      </c>
      <c r="U43" s="1">
        <v>1.26667</v>
      </c>
      <c r="V43" s="1">
        <v>1.30843</v>
      </c>
      <c r="W43" s="1">
        <v>1.2532300000000001</v>
      </c>
      <c r="X43" s="1">
        <v>1.2382899999999999</v>
      </c>
      <c r="Y43" s="1">
        <v>1.2561500000000001</v>
      </c>
      <c r="Z43" s="1">
        <v>1.23621</v>
      </c>
      <c r="AA43" s="1">
        <v>1.26054</v>
      </c>
      <c r="AB43" s="1">
        <v>1.26667</v>
      </c>
      <c r="AC43" s="1">
        <v>1.30843</v>
      </c>
      <c r="AD43" s="1">
        <v>1.2532300000000001</v>
      </c>
      <c r="AE43" s="1">
        <v>1.2382899999999999</v>
      </c>
      <c r="AF43" s="1">
        <v>1.2561500000000001</v>
      </c>
      <c r="AG43" s="1">
        <v>1.23621</v>
      </c>
      <c r="AL43" s="4" t="s">
        <v>21</v>
      </c>
      <c r="AM43" s="6" cm="1">
        <f t="array" ref="AM43">IFERROR((SUMPRODUCT(($D$43:$D$66=AM$41)*($F$40:$AG$40="")*$F$43:$AG$66)+IF(AM$41="P6",SUMPRODUCT(($F$40:$AG$40="P6")*$F$43:$AG$66),0))/(SUMPRODUCT(($D$43:$D$66=AM$41)*($F$40:$AG$40=""))+IF(AM$41="P6",COUNTIF($F$40:$AG$40,"P6")*ROWS($D$43:$D$66),0)),"")</f>
        <v>1.103248444444445</v>
      </c>
      <c r="AN43" s="6" cm="1">
        <f t="array" ref="AN43">IFERROR((SUMPRODUCT(($D$43:$D$66=AN$41)*($F$40:$AG$40="")*$F$43:$AG$66)+IF(AN$41="P6",SUMPRODUCT(($F$40:$AG$40="P6")*$F$43:$AG$66),0))/(SUMPRODUCT(($D$43:$D$66=AN$41)*($F$40:$AG$40=""))+IF(AN$41="P6",COUNTIF($F$40:$AG$40,"P6")*ROWS($D$43:$D$66),0)),"")</f>
        <v>1.1521371428571427</v>
      </c>
      <c r="AO43" s="6" t="str" cm="1">
        <f t="array" ref="AO43">IFERROR((SUMPRODUCT(($D$43:$D$66=AO$41)*($F$40:$AG$40="")*$F$43:$AG$66)+IF(AO$41="P6",SUMPRODUCT(($F$40:$AG$40="P6")*$F$43:$AG$66),0))/(SUMPRODUCT(($D$43:$D$66=AO$41)*($F$40:$AG$40=""))+IF(AO$41="P6",COUNTIF($F$40:$AG$40,"P6")*ROWS($D$43:$D$66),0)),"")</f>
        <v/>
      </c>
      <c r="AP43" s="6" t="str" cm="1">
        <f t="array" ref="AP43">IFERROR((SUMPRODUCT(($D$43:$D$66=AP$41)*($F$40:$AG$40="")*$F$43:$AG$66)+IF(AP$41="P6",SUMPRODUCT(($F$40:$AG$40="P6")*$F$43:$AG$66),0))/(SUMPRODUCT(($D$43:$D$66=AP$41)*($F$40:$AG$40=""))+IF(AP$41="P6",COUNTIF($F$40:$AG$40,"P6")*ROWS($D$43:$D$66),0)),"")</f>
        <v/>
      </c>
      <c r="AQ43" s="6" t="str" cm="1">
        <f t="array" ref="AQ43">IFERROR((SUMPRODUCT(($D$43:$D$66=AQ$41)*($F$40:$AG$40="")*$F$43:$AG$66)+IF(AQ$41="P6",SUMPRODUCT(($F$40:$AG$40="P6")*$F$43:$AG$66),0))/(SUMPRODUCT(($D$43:$D$66=AQ$41)*($F$40:$AG$40=""))+IF(AQ$41="P6",COUNTIF($F$40:$AG$40,"P6")*ROWS($D$43:$D$66),0)),"")</f>
        <v/>
      </c>
      <c r="AR43" s="6" cm="1">
        <f t="array" ref="AR43">IFERROR((SUMPRODUCT(($D$43:$D$66=AR$41)*($F$40:$AG$40="")*$F$43:$AG$66)+IF(AR$41="P6",SUMPRODUCT(($F$40:$AG$40="P6")*$F$43:$AG$66),0))/(SUMPRODUCT(($D$43:$D$66=AR$41)*($F$40:$AG$40=""))+IF(AR$41="P6",COUNTIF($F$40:$AG$40,"P6")*ROWS($D$43:$D$66),0)),"")</f>
        <v>1.224928068181818</v>
      </c>
      <c r="BB43" s="10"/>
      <c r="BC43" s="4"/>
      <c r="BD43" s="4" t="s">
        <v>13</v>
      </c>
      <c r="BE43" s="4" t="s">
        <v>14</v>
      </c>
      <c r="BF43" s="4" t="s">
        <v>15</v>
      </c>
      <c r="BG43" s="4" t="s">
        <v>16</v>
      </c>
      <c r="BH43" s="4" t="s">
        <v>17</v>
      </c>
      <c r="BI43" s="4" t="s">
        <v>7</v>
      </c>
      <c r="BJ43" s="10"/>
    </row>
    <row r="44" spans="1:62" ht="14.25" customHeight="1" x14ac:dyDescent="0.35">
      <c r="A44" s="1" t="s">
        <v>7</v>
      </c>
      <c r="B44" s="1" t="s">
        <v>7</v>
      </c>
      <c r="C44" s="1" t="s">
        <v>15</v>
      </c>
      <c r="D44" s="1" t="s">
        <v>7</v>
      </c>
      <c r="E44" s="1" t="s">
        <v>9</v>
      </c>
      <c r="F44" s="1">
        <v>1.3072900000000001</v>
      </c>
      <c r="G44" s="1">
        <v>1.3302099999999999</v>
      </c>
      <c r="H44" s="1">
        <v>1.3439099999999999</v>
      </c>
      <c r="I44" s="1">
        <v>1.2900499999999999</v>
      </c>
      <c r="J44" s="1">
        <v>1.3066899999999999</v>
      </c>
      <c r="K44" s="1">
        <v>1.30023</v>
      </c>
      <c r="L44" s="1">
        <v>1.2588299999999999</v>
      </c>
      <c r="M44" s="1">
        <v>1.3072900000000001</v>
      </c>
      <c r="N44" s="1">
        <v>1.3302099999999999</v>
      </c>
      <c r="O44" s="1">
        <v>1.3439099999999999</v>
      </c>
      <c r="P44" s="1">
        <v>1.2900499999999999</v>
      </c>
      <c r="Q44" s="1">
        <v>1.3066899999999999</v>
      </c>
      <c r="R44" s="1">
        <v>1.30023</v>
      </c>
      <c r="S44" s="1">
        <v>1.2588299999999999</v>
      </c>
      <c r="T44" s="1">
        <v>1.3072900000000001</v>
      </c>
      <c r="U44" s="1">
        <v>1.3302099999999999</v>
      </c>
      <c r="V44" s="1">
        <v>1.3439099999999999</v>
      </c>
      <c r="W44" s="1">
        <v>1.2900499999999999</v>
      </c>
      <c r="X44" s="1">
        <v>1.3066899999999999</v>
      </c>
      <c r="Y44" s="1">
        <v>1.30023</v>
      </c>
      <c r="Z44" s="1">
        <v>1.2588299999999999</v>
      </c>
      <c r="AA44" s="1">
        <v>1.3072900000000001</v>
      </c>
      <c r="AB44" s="1">
        <v>1.3302099999999999</v>
      </c>
      <c r="AC44" s="1">
        <v>1.3439099999999999</v>
      </c>
      <c r="AD44" s="1">
        <v>1.2900499999999999</v>
      </c>
      <c r="AE44" s="1">
        <v>1.3066899999999999</v>
      </c>
      <c r="AF44" s="1">
        <v>1.30023</v>
      </c>
      <c r="AG44" s="1">
        <v>1.2588299999999999</v>
      </c>
      <c r="AL44" s="4" t="s">
        <v>23</v>
      </c>
      <c r="AM44" s="6" cm="1">
        <f t="array" ref="AM44">IFERROR((SUMPRODUCT(($D$43:$D$66=AM$41)*($F$40:$AG$40="")*$F$43:$AG$66)+IF(AM$41="P6",SUMPRODUCT(($F$40:$AG$40="P6")*$F$43:$AG$66),0))/(SUMPRODUCT(($D$43:$D$66=AM$41)*($F$40:$AG$40=""))+IF(AM$41="P6",COUNTIF($F$40:$AG$40,"P6")*ROWS($D$43:$D$66),0)),"")</f>
        <v>1.103248444444445</v>
      </c>
      <c r="AN44" s="6" cm="1">
        <f t="array" ref="AN44">IFERROR((SUMPRODUCT(($D$43:$D$66=AN$41)*($F$40:$AG$40="")*$F$43:$AG$66)+IF(AN$41="P6",SUMPRODUCT(($F$40:$AG$40="P6")*$F$43:$AG$66),0))/(SUMPRODUCT(($D$43:$D$66=AN$41)*($F$40:$AG$40=""))+IF(AN$41="P6",COUNTIF($F$40:$AG$40,"P6")*ROWS($D$43:$D$66),0)),"")</f>
        <v>1.1521371428571427</v>
      </c>
      <c r="AO44" s="5" t="str" cm="1">
        <f t="array" ref="AO44">IFERROR((SUMPRODUCT(($D$43:$D$66=AO$41)*($F$40:$AG$40="")*$F$43:$AG$66)+IF(AO$41="P6",SUMPRODUCT(($F$40:$AG$40="P6")*$F$43:$AG$66),0))/(SUMPRODUCT(($D$43:$D$66=AO$41)*($F$40:$AG$40=""))+IF(AO$41="P6",COUNTIF($F$40:$AG$40,"P6")*ROWS($D$43:$D$66),0)),"")</f>
        <v/>
      </c>
      <c r="AP44" s="5" t="str" cm="1">
        <f t="array" ref="AP44">IFERROR((SUMPRODUCT(($D$43:$D$66=AP$41)*($F$40:$AG$40="")*$F$43:$AG$66)+IF(AP$41="P6",SUMPRODUCT(($F$40:$AG$40="P6")*$F$43:$AG$66),0))/(SUMPRODUCT(($D$43:$D$66=AP$41)*($F$40:$AG$40=""))+IF(AP$41="P6",COUNTIF($F$40:$AG$40,"P6")*ROWS($D$43:$D$66),0)),"")</f>
        <v/>
      </c>
      <c r="AQ44" s="5" t="str" cm="1">
        <f t="array" ref="AQ44">IFERROR((SUMPRODUCT(($D$43:$D$66=AQ$41)*($F$40:$AG$40="")*$F$43:$AG$66)+IF(AQ$41="P6",SUMPRODUCT(($F$40:$AG$40="P6")*$F$43:$AG$66),0))/(SUMPRODUCT(($D$43:$D$66=AQ$41)*($F$40:$AG$40=""))+IF(AQ$41="P6",COUNTIF($F$40:$AG$40,"P6")*ROWS($D$43:$D$66),0)),"")</f>
        <v/>
      </c>
      <c r="AR44" s="6" cm="1">
        <f t="array" ref="AR44">IFERROR((SUMPRODUCT(($D$43:$D$66=AR$41)*($F$40:$AG$40="")*$F$43:$AG$66)+IF(AR$41="P6",SUMPRODUCT(($F$40:$AG$40="P6")*$F$43:$AG$66),0))/(SUMPRODUCT(($D$43:$D$66=AR$41)*($F$40:$AG$40=""))+IF(AR$41="P6",COUNTIF($F$40:$AG$40,"P6")*ROWS($D$43:$D$66),0)),"")</f>
        <v>1.224928068181818</v>
      </c>
      <c r="BB44" s="10"/>
      <c r="BC44" s="4" t="s">
        <v>19</v>
      </c>
      <c r="BD44" s="6">
        <f>AVERAGE(AM27,AM62,AM97,AM132,AM167,AM202,AM237,AM272,AM307,AM342,AM377,AM412)</f>
        <v>0.97507673629932867</v>
      </c>
      <c r="BE44" s="6">
        <f t="shared" ref="BE44:BF44" si="8">AVERAGE(AN27,AN62,AN97,AN132,AN167,AN202,AN237,AN272,AN307,AN342,AN377,AN412)</f>
        <v>1.039602232615362</v>
      </c>
      <c r="BF44" s="6">
        <f t="shared" si="8"/>
        <v>1.0478819413352596</v>
      </c>
      <c r="BG44" s="6"/>
      <c r="BH44" s="6"/>
      <c r="BI44" s="6"/>
      <c r="BJ44" s="10"/>
    </row>
    <row r="45" spans="1:62" ht="14.25" customHeight="1" x14ac:dyDescent="0.35">
      <c r="A45" s="1" t="s">
        <v>7</v>
      </c>
      <c r="B45" s="1" t="s">
        <v>7</v>
      </c>
      <c r="C45" s="1" t="s">
        <v>15</v>
      </c>
      <c r="D45" s="1" t="s">
        <v>7</v>
      </c>
      <c r="E45" s="1" t="s">
        <v>10</v>
      </c>
      <c r="F45" s="1">
        <v>1.3370200000000001</v>
      </c>
      <c r="G45" s="1">
        <v>1.3672800000000001</v>
      </c>
      <c r="H45" s="1">
        <v>1.39401</v>
      </c>
      <c r="I45" s="1">
        <v>1.32884</v>
      </c>
      <c r="J45" s="1">
        <v>1.33833</v>
      </c>
      <c r="K45" s="1">
        <v>1.32514</v>
      </c>
      <c r="L45" s="1">
        <v>1.28823</v>
      </c>
      <c r="M45" s="1">
        <v>1.3370200000000001</v>
      </c>
      <c r="N45" s="1">
        <v>1.3672800000000001</v>
      </c>
      <c r="O45" s="1">
        <v>1.39401</v>
      </c>
      <c r="P45" s="1">
        <v>1.32884</v>
      </c>
      <c r="Q45" s="1">
        <v>1.33833</v>
      </c>
      <c r="R45" s="1">
        <v>1.32514</v>
      </c>
      <c r="S45" s="1">
        <v>1.28823</v>
      </c>
      <c r="T45" s="1">
        <v>1.3370200000000001</v>
      </c>
      <c r="U45" s="1">
        <v>1.3672800000000001</v>
      </c>
      <c r="V45" s="1">
        <v>1.39401</v>
      </c>
      <c r="W45" s="1">
        <v>1.32884</v>
      </c>
      <c r="X45" s="1">
        <v>1.33833</v>
      </c>
      <c r="Y45" s="1">
        <v>1.32514</v>
      </c>
      <c r="Z45" s="1">
        <v>1.28823</v>
      </c>
      <c r="AA45" s="1">
        <v>1.3370200000000001</v>
      </c>
      <c r="AB45" s="1">
        <v>1.3672800000000001</v>
      </c>
      <c r="AC45" s="1">
        <v>1.39401</v>
      </c>
      <c r="AD45" s="1">
        <v>1.32884</v>
      </c>
      <c r="AE45" s="1">
        <v>1.33833</v>
      </c>
      <c r="AF45" s="1">
        <v>1.32514</v>
      </c>
      <c r="AG45" s="1">
        <v>1.28823</v>
      </c>
      <c r="AL45" s="4" t="s">
        <v>25</v>
      </c>
      <c r="AM45" s="6" cm="1">
        <f t="array" ref="AM45">IFERROR((SUMPRODUCT(($D$43:$D$66=AM$41)*($F$40:$AG$40="")*$F$43:$AG$66)+IF(AM$41="P6",SUMPRODUCT(($F$40:$AG$40="P6")*$F$43:$AG$66),0))/(SUMPRODUCT(($D$43:$D$66=AM$41)*($F$40:$AG$40=""))+IF(AM$41="P6",COUNTIF($F$40:$AG$40,"P6")*ROWS($D$43:$D$66),0)),"")</f>
        <v>1.103248444444445</v>
      </c>
      <c r="AN45" s="6" cm="1">
        <f t="array" ref="AN45">IFERROR((SUMPRODUCT(($D$43:$D$66=AN$41)*($F$40:$AG$40="")*$F$43:$AG$66)+IF(AN$41="P6",SUMPRODUCT(($F$40:$AG$40="P6")*$F$43:$AG$66),0))/(SUMPRODUCT(($D$43:$D$66=AN$41)*($F$40:$AG$40=""))+IF(AN$41="P6",COUNTIF($F$40:$AG$40,"P6")*ROWS($D$43:$D$66),0)),"")</f>
        <v>1.1521371428571427</v>
      </c>
      <c r="AO45" s="5" t="str" cm="1">
        <f t="array" ref="AO45">IFERROR((SUMPRODUCT(($D$43:$D$66=AO$41)*($F$40:$AG$40="")*$F$43:$AG$66)+IF(AO$41="P6",SUMPRODUCT(($F$40:$AG$40="P6")*$F$43:$AG$66),0))/(SUMPRODUCT(($D$43:$D$66=AO$41)*($F$40:$AG$40=""))+IF(AO$41="P6",COUNTIF($F$40:$AG$40,"P6")*ROWS($D$43:$D$66),0)),"")</f>
        <v/>
      </c>
      <c r="AP45" s="5" t="str" cm="1">
        <f t="array" ref="AP45">IFERROR((SUMPRODUCT(($D$43:$D$66=AP$41)*($F$40:$AG$40="")*$F$43:$AG$66)+IF(AP$41="P6",SUMPRODUCT(($F$40:$AG$40="P6")*$F$43:$AG$66),0))/(SUMPRODUCT(($D$43:$D$66=AP$41)*($F$40:$AG$40=""))+IF(AP$41="P6",COUNTIF($F$40:$AG$40,"P6")*ROWS($D$43:$D$66),0)),"")</f>
        <v/>
      </c>
      <c r="AQ45" s="5" t="str" cm="1">
        <f t="array" ref="AQ45">IFERROR((SUMPRODUCT(($D$43:$D$66=AQ$41)*($F$40:$AG$40="")*$F$43:$AG$66)+IF(AQ$41="P6",SUMPRODUCT(($F$40:$AG$40="P6")*$F$43:$AG$66),0))/(SUMPRODUCT(($D$43:$D$66=AQ$41)*($F$40:$AG$40=""))+IF(AQ$41="P6",COUNTIF($F$40:$AG$40,"P6")*ROWS($D$43:$D$66),0)),"")</f>
        <v/>
      </c>
      <c r="AR45" s="6" cm="1">
        <f t="array" ref="AR45">IFERROR((SUMPRODUCT(($D$43:$D$66=AR$41)*($F$40:$AG$40="")*$F$43:$AG$66)+IF(AR$41="P6",SUMPRODUCT(($F$40:$AG$40="P6")*$F$43:$AG$66),0))/(SUMPRODUCT(($D$43:$D$66=AR$41)*($F$40:$AG$40=""))+IF(AR$41="P6",COUNTIF($F$40:$AG$40,"P6")*ROWS($D$43:$D$66),0)),"")</f>
        <v>1.224928068181818</v>
      </c>
      <c r="BB45" s="10"/>
      <c r="BC45" s="4" t="s">
        <v>21</v>
      </c>
      <c r="BD45" s="6">
        <f t="shared" ref="BD45:BD49" si="9">AVERAGE(AM28,AM63,AM98,AM133,AM168,AM203,AM238,AM273,AM308,AM343,AM378,AM413)</f>
        <v>0.87141842706568784</v>
      </c>
      <c r="BE45" s="6">
        <f t="shared" ref="BE45:BE49" si="10">AVERAGE(AN28,AN63,AN98,AN133,AN168,AN203,AN238,AN273,AN308,AN343,AN378,AN413)</f>
        <v>0.91340619960374736</v>
      </c>
      <c r="BF45" s="6">
        <f t="shared" ref="BF45:BF49" si="11">AVERAGE(AO28,AO63,AO98,AO133,AO168,AO203,AO238,AO273,AO308,AO343,AO378,AO413)</f>
        <v>1.0929833281182126</v>
      </c>
      <c r="BG45" s="6">
        <f t="shared" ref="BG45:BG49" si="12">AVERAGE(AP28,AP63,AP98,AP133,AP168,AP203,AP238,AP273,AP308,AP343,AP378,AP413)</f>
        <v>1.0808437585492108</v>
      </c>
      <c r="BH45" s="6">
        <f t="shared" ref="BH45:BH49" si="13">AVERAGE(AQ28,AQ63,AQ98,AQ133,AQ168,AQ203,AQ238,AQ273,AQ308,AQ343,AQ378,AQ413)</f>
        <v>1.127344035250464</v>
      </c>
      <c r="BI45" s="6">
        <f t="shared" ref="BI45:BI49" si="14">AVERAGE(AR28,AR63,AR98,AR133,AR168,AR203,AR238,AR273,AR308,AR343,AR378,AR413)</f>
        <v>1.0478819413352596</v>
      </c>
      <c r="BJ45" s="10"/>
    </row>
    <row r="46" spans="1:62" ht="14.25" customHeight="1" x14ac:dyDescent="0.35">
      <c r="A46" s="1" t="s">
        <v>7</v>
      </c>
      <c r="B46" s="1" t="s">
        <v>7</v>
      </c>
      <c r="C46" s="1" t="s">
        <v>15</v>
      </c>
      <c r="D46" s="1" t="s">
        <v>7</v>
      </c>
      <c r="E46" s="1" t="s">
        <v>11</v>
      </c>
      <c r="F46" s="1">
        <v>1.36311</v>
      </c>
      <c r="G46" s="1">
        <v>1.4055299999999999</v>
      </c>
      <c r="H46" s="1">
        <v>1.4020900000000001</v>
      </c>
      <c r="I46" s="1">
        <v>1.33918</v>
      </c>
      <c r="J46" s="1">
        <v>1.3280700000000001</v>
      </c>
      <c r="K46" s="1">
        <v>1.3335900000000001</v>
      </c>
      <c r="L46" s="1">
        <v>1.2939099999999999</v>
      </c>
      <c r="M46" s="1">
        <v>1.36311</v>
      </c>
      <c r="N46" s="1">
        <v>1.4055299999999999</v>
      </c>
      <c r="O46" s="1">
        <v>1.4020900000000001</v>
      </c>
      <c r="P46" s="1">
        <v>1.33918</v>
      </c>
      <c r="Q46" s="1">
        <v>1.3280700000000001</v>
      </c>
      <c r="R46" s="1">
        <v>1.3335900000000001</v>
      </c>
      <c r="S46" s="1">
        <v>1.2939099999999999</v>
      </c>
      <c r="T46" s="1">
        <v>1.36311</v>
      </c>
      <c r="U46" s="1">
        <v>1.4055299999999999</v>
      </c>
      <c r="V46" s="1">
        <v>1.4020900000000001</v>
      </c>
      <c r="W46" s="1">
        <v>1.33918</v>
      </c>
      <c r="X46" s="1">
        <v>1.3280700000000001</v>
      </c>
      <c r="Y46" s="1">
        <v>1.3335900000000001</v>
      </c>
      <c r="Z46" s="1">
        <v>1.2939099999999999</v>
      </c>
      <c r="AA46" s="1">
        <v>1.36311</v>
      </c>
      <c r="AB46" s="1">
        <v>1.4055299999999999</v>
      </c>
      <c r="AC46" s="1">
        <v>1.4020900000000001</v>
      </c>
      <c r="AD46" s="1">
        <v>1.33918</v>
      </c>
      <c r="AE46" s="1">
        <v>1.3280700000000001</v>
      </c>
      <c r="AF46" s="1">
        <v>1.3335900000000001</v>
      </c>
      <c r="AG46" s="1">
        <v>1.2939099999999999</v>
      </c>
      <c r="AL46" s="4" t="s">
        <v>27</v>
      </c>
      <c r="AM46" s="6" cm="1">
        <f t="array" ref="AM46">IFERROR((SUMPRODUCT(($D$43:$D$66=AM$41)*($F$40:$AG$40="")*$F$43:$AG$66)+IF(AM$41="P6",SUMPRODUCT(($F$40:$AG$40="P6")*$F$43:$AG$66),0))/(SUMPRODUCT(($D$43:$D$66=AM$41)*($F$40:$AG$40=""))+IF(AM$41="P6",COUNTIF($F$40:$AG$40,"P6")*ROWS($D$43:$D$66),0)),"")</f>
        <v>1.103248444444445</v>
      </c>
      <c r="AN46" s="6" cm="1">
        <f t="array" ref="AN46">IFERROR((SUMPRODUCT(($D$43:$D$66=AN$41)*($F$40:$AG$40="")*$F$43:$AG$66)+IF(AN$41="P6",SUMPRODUCT(($F$40:$AG$40="P6")*$F$43:$AG$66),0))/(SUMPRODUCT(($D$43:$D$66=AN$41)*($F$40:$AG$40=""))+IF(AN$41="P6",COUNTIF($F$40:$AG$40,"P6")*ROWS($D$43:$D$66),0)),"")</f>
        <v>1.1521371428571427</v>
      </c>
      <c r="AO46" s="5" t="str" cm="1">
        <f t="array" ref="AO46">IFERROR((SUMPRODUCT(($D$43:$D$66=AO$41)*($F$40:$AG$40="")*$F$43:$AG$66)+IF(AO$41="P6",SUMPRODUCT(($F$40:$AG$40="P6")*$F$43:$AG$66),0))/(SUMPRODUCT(($D$43:$D$66=AO$41)*($F$40:$AG$40=""))+IF(AO$41="P6",COUNTIF($F$40:$AG$40,"P6")*ROWS($D$43:$D$66),0)),"")</f>
        <v/>
      </c>
      <c r="AP46" s="5" t="str" cm="1">
        <f t="array" ref="AP46">IFERROR((SUMPRODUCT(($D$43:$D$66=AP$41)*($F$40:$AG$40="")*$F$43:$AG$66)+IF(AP$41="P6",SUMPRODUCT(($F$40:$AG$40="P6")*$F$43:$AG$66),0))/(SUMPRODUCT(($D$43:$D$66=AP$41)*($F$40:$AG$40=""))+IF(AP$41="P6",COUNTIF($F$40:$AG$40,"P6")*ROWS($D$43:$D$66),0)),"")</f>
        <v/>
      </c>
      <c r="AQ46" s="5" t="str" cm="1">
        <f t="array" ref="AQ46">IFERROR((SUMPRODUCT(($D$43:$D$66=AQ$41)*($F$40:$AG$40="")*$F$43:$AG$66)+IF(AQ$41="P6",SUMPRODUCT(($F$40:$AG$40="P6")*$F$43:$AG$66),0))/(SUMPRODUCT(($D$43:$D$66=AQ$41)*($F$40:$AG$40=""))+IF(AQ$41="P6",COUNTIF($F$40:$AG$40,"P6")*ROWS($D$43:$D$66),0)),"")</f>
        <v/>
      </c>
      <c r="AR46" s="6" cm="1">
        <f t="array" ref="AR46">IFERROR((SUMPRODUCT(($D$43:$D$66=AR$41)*($F$40:$AG$40="")*$F$43:$AG$66)+IF(AR$41="P6",SUMPRODUCT(($F$40:$AG$40="P6")*$F$43:$AG$66),0))/(SUMPRODUCT(($D$43:$D$66=AR$41)*($F$40:$AG$40=""))+IF(AR$41="P6",COUNTIF($F$40:$AG$40,"P6")*ROWS($D$43:$D$66),0)),"")</f>
        <v>1.224928068181818</v>
      </c>
      <c r="BB46" s="10"/>
      <c r="BC46" s="4" t="s">
        <v>23</v>
      </c>
      <c r="BD46" s="6">
        <f t="shared" si="9"/>
        <v>0.87141842706568784</v>
      </c>
      <c r="BE46" s="6">
        <f t="shared" si="10"/>
        <v>0.91340619960374736</v>
      </c>
      <c r="BF46" s="6">
        <f t="shared" si="11"/>
        <v>1.0929833281182126</v>
      </c>
      <c r="BG46" s="6">
        <f t="shared" si="12"/>
        <v>1.0808437585492108</v>
      </c>
      <c r="BH46" s="6">
        <f t="shared" si="13"/>
        <v>1.127344035250464</v>
      </c>
      <c r="BI46" s="6">
        <f t="shared" si="14"/>
        <v>1.0478819413352596</v>
      </c>
      <c r="BJ46" s="10"/>
    </row>
    <row r="47" spans="1:62" ht="14.25" customHeight="1" x14ac:dyDescent="0.35">
      <c r="A47" s="1" t="s">
        <v>7</v>
      </c>
      <c r="B47" s="1" t="s">
        <v>7</v>
      </c>
      <c r="C47" s="1" t="s">
        <v>15</v>
      </c>
      <c r="D47" s="1" t="s">
        <v>7</v>
      </c>
      <c r="E47" s="1" t="s">
        <v>12</v>
      </c>
      <c r="F47" s="1">
        <v>1.3692200000000001</v>
      </c>
      <c r="G47" s="1">
        <v>1.4032100000000001</v>
      </c>
      <c r="H47" s="1">
        <v>1.38717</v>
      </c>
      <c r="I47" s="1">
        <v>1.34091</v>
      </c>
      <c r="J47" s="1">
        <v>1.34226</v>
      </c>
      <c r="K47" s="1">
        <v>1.3220000000000001</v>
      </c>
      <c r="L47" s="1">
        <v>1.3020400000000001</v>
      </c>
      <c r="M47" s="1">
        <v>1.3692200000000001</v>
      </c>
      <c r="N47" s="1">
        <v>1.4032100000000001</v>
      </c>
      <c r="O47" s="1">
        <v>1.38717</v>
      </c>
      <c r="P47" s="1">
        <v>1.34091</v>
      </c>
      <c r="Q47" s="1">
        <v>1.34226</v>
      </c>
      <c r="R47" s="1">
        <v>1.3220000000000001</v>
      </c>
      <c r="S47" s="1">
        <v>1.3020400000000001</v>
      </c>
      <c r="T47" s="1">
        <v>1.3692200000000001</v>
      </c>
      <c r="U47" s="1">
        <v>1.4032100000000001</v>
      </c>
      <c r="V47" s="1">
        <v>1.38717</v>
      </c>
      <c r="W47" s="1">
        <v>1.34091</v>
      </c>
      <c r="X47" s="1">
        <v>1.34226</v>
      </c>
      <c r="Y47" s="1">
        <v>1.3220000000000001</v>
      </c>
      <c r="Z47" s="1">
        <v>1.3020400000000001</v>
      </c>
      <c r="AA47" s="1">
        <v>1.3692200000000001</v>
      </c>
      <c r="AB47" s="1">
        <v>1.4032100000000001</v>
      </c>
      <c r="AC47" s="1">
        <v>1.38717</v>
      </c>
      <c r="AD47" s="1">
        <v>1.34091</v>
      </c>
      <c r="AE47" s="1">
        <v>1.34226</v>
      </c>
      <c r="AF47" s="1">
        <v>1.3220000000000001</v>
      </c>
      <c r="AG47" s="1">
        <v>1.3020400000000001</v>
      </c>
      <c r="AL47" s="4" t="s">
        <v>29</v>
      </c>
      <c r="AM47" s="6" cm="1">
        <f t="array" ref="AM47">IFERROR((SUMPRODUCT(($D$43:$D$66=AM$41)*($F$40:$AG$40="")*$F$43:$AG$66)+IF(AM$41="P6",SUMPRODUCT(($F$40:$AG$40="P6")*$F$43:$AG$66),0))/(SUMPRODUCT(($D$43:$D$66=AM$41)*($F$40:$AG$40=""))+IF(AM$41="P6",COUNTIF($F$40:$AG$40,"P6")*ROWS($D$43:$D$66),0)),"")</f>
        <v>1.103248444444445</v>
      </c>
      <c r="AN47" s="6" cm="1">
        <f t="array" ref="AN47">IFERROR((SUMPRODUCT(($D$43:$D$66=AN$41)*($F$40:$AG$40="")*$F$43:$AG$66)+IF(AN$41="P6",SUMPRODUCT(($F$40:$AG$40="P6")*$F$43:$AG$66),0))/(SUMPRODUCT(($D$43:$D$66=AN$41)*($F$40:$AG$40=""))+IF(AN$41="P6",COUNTIF($F$40:$AG$40,"P6")*ROWS($D$43:$D$66),0)),"")</f>
        <v>1.1521371428571427</v>
      </c>
      <c r="AO47" s="5" t="str" cm="1">
        <f t="array" ref="AO47">IFERROR((SUMPRODUCT(($D$43:$D$66=AO$41)*($F$40:$AG$40="")*$F$43:$AG$66)+IF(AO$41="P6",SUMPRODUCT(($F$40:$AG$40="P6")*$F$43:$AG$66),0))/(SUMPRODUCT(($D$43:$D$66=AO$41)*($F$40:$AG$40=""))+IF(AO$41="P6",COUNTIF($F$40:$AG$40,"P6")*ROWS($D$43:$D$66),0)),"")</f>
        <v/>
      </c>
      <c r="AP47" s="5" t="str" cm="1">
        <f t="array" ref="AP47">IFERROR((SUMPRODUCT(($D$43:$D$66=AP$41)*($F$40:$AG$40="")*$F$43:$AG$66)+IF(AP$41="P6",SUMPRODUCT(($F$40:$AG$40="P6")*$F$43:$AG$66),0))/(SUMPRODUCT(($D$43:$D$66=AP$41)*($F$40:$AG$40=""))+IF(AP$41="P6",COUNTIF($F$40:$AG$40,"P6")*ROWS($D$43:$D$66),0)),"")</f>
        <v/>
      </c>
      <c r="AQ47" s="5" t="str" cm="1">
        <f t="array" ref="AQ47">IFERROR((SUMPRODUCT(($D$43:$D$66=AQ$41)*($F$40:$AG$40="")*$F$43:$AG$66)+IF(AQ$41="P6",SUMPRODUCT(($F$40:$AG$40="P6")*$F$43:$AG$66),0))/(SUMPRODUCT(($D$43:$D$66=AQ$41)*($F$40:$AG$40=""))+IF(AQ$41="P6",COUNTIF($F$40:$AG$40,"P6")*ROWS($D$43:$D$66),0)),"")</f>
        <v/>
      </c>
      <c r="AR47" s="6" cm="1">
        <f t="array" ref="AR47">IFERROR((SUMPRODUCT(($D$43:$D$66=AR$41)*($F$40:$AG$40="")*$F$43:$AG$66)+IF(AR$41="P6",SUMPRODUCT(($F$40:$AG$40="P6")*$F$43:$AG$66),0))/(SUMPRODUCT(($D$43:$D$66=AR$41)*($F$40:$AG$40=""))+IF(AR$41="P6",COUNTIF($F$40:$AG$40,"P6")*ROWS($D$43:$D$66),0)),"")</f>
        <v>1.224928068181818</v>
      </c>
      <c r="BB47" s="10"/>
      <c r="BC47" s="4" t="s">
        <v>25</v>
      </c>
      <c r="BD47" s="6">
        <f t="shared" si="9"/>
        <v>0.87141842706568784</v>
      </c>
      <c r="BE47" s="6">
        <f t="shared" si="10"/>
        <v>0.91340619960374736</v>
      </c>
      <c r="BF47" s="6">
        <f t="shared" si="11"/>
        <v>1.0929833281182126</v>
      </c>
      <c r="BG47" s="6">
        <f t="shared" si="12"/>
        <v>1.0808437585492108</v>
      </c>
      <c r="BH47" s="6">
        <f t="shared" si="13"/>
        <v>1.127344035250464</v>
      </c>
      <c r="BI47" s="6">
        <f t="shared" si="14"/>
        <v>1.0478819413352596</v>
      </c>
      <c r="BJ47" s="10"/>
    </row>
    <row r="48" spans="1:62" ht="14.25" customHeight="1" x14ac:dyDescent="0.35">
      <c r="A48" s="1" t="s">
        <v>7</v>
      </c>
      <c r="B48" s="1" t="s">
        <v>7</v>
      </c>
      <c r="C48" s="1" t="s">
        <v>15</v>
      </c>
      <c r="D48" s="1" t="s">
        <v>7</v>
      </c>
      <c r="E48" s="1" t="s">
        <v>18</v>
      </c>
      <c r="F48" s="1">
        <v>1.3604099999999999</v>
      </c>
      <c r="G48" s="1">
        <v>1.40571</v>
      </c>
      <c r="H48" s="1">
        <v>1.3366199999999999</v>
      </c>
      <c r="I48" s="1">
        <v>1.2917400000000001</v>
      </c>
      <c r="J48" s="1">
        <v>1.30568</v>
      </c>
      <c r="K48" s="1">
        <v>1.28444</v>
      </c>
      <c r="L48" s="1">
        <v>1.2799499999999999</v>
      </c>
      <c r="M48" s="1">
        <v>1.3604099999999999</v>
      </c>
      <c r="N48" s="1">
        <v>1.40571</v>
      </c>
      <c r="O48" s="1">
        <v>1.3366199999999999</v>
      </c>
      <c r="P48" s="1">
        <v>1.2917400000000001</v>
      </c>
      <c r="Q48" s="1">
        <v>1.30568</v>
      </c>
      <c r="R48" s="1">
        <v>1.28444</v>
      </c>
      <c r="S48" s="1">
        <v>1.2799499999999999</v>
      </c>
      <c r="T48" s="1">
        <v>1.3604099999999999</v>
      </c>
      <c r="U48" s="1">
        <v>1.40571</v>
      </c>
      <c r="V48" s="1">
        <v>1.3366199999999999</v>
      </c>
      <c r="W48" s="1">
        <v>1.2917400000000001</v>
      </c>
      <c r="X48" s="1">
        <v>1.30568</v>
      </c>
      <c r="Y48" s="1">
        <v>1.28444</v>
      </c>
      <c r="Z48" s="1">
        <v>1.2799499999999999</v>
      </c>
      <c r="AA48" s="1">
        <v>1.3604099999999999</v>
      </c>
      <c r="AB48" s="1">
        <v>1.40571</v>
      </c>
      <c r="AC48" s="1">
        <v>1.3366199999999999</v>
      </c>
      <c r="AD48" s="1">
        <v>1.2917400000000001</v>
      </c>
      <c r="AE48" s="1">
        <v>1.30568</v>
      </c>
      <c r="AF48" s="1">
        <v>1.28444</v>
      </c>
      <c r="AG48" s="1">
        <v>1.2799499999999999</v>
      </c>
      <c r="AL48" s="10"/>
      <c r="AM48" s="10"/>
      <c r="AN48" s="10"/>
      <c r="AO48" s="10"/>
      <c r="AP48" s="10"/>
      <c r="AQ48" s="10"/>
      <c r="AR48" s="10"/>
      <c r="BB48" s="10"/>
      <c r="BC48" s="4" t="s">
        <v>27</v>
      </c>
      <c r="BD48" s="6">
        <f t="shared" si="9"/>
        <v>0.87141842706568784</v>
      </c>
      <c r="BE48" s="6">
        <f t="shared" si="10"/>
        <v>0.91340619960374736</v>
      </c>
      <c r="BF48" s="6">
        <f t="shared" si="11"/>
        <v>1.0929833281182126</v>
      </c>
      <c r="BG48" s="6">
        <f t="shared" si="12"/>
        <v>1.0808437585492108</v>
      </c>
      <c r="BH48" s="6">
        <f t="shared" si="13"/>
        <v>1.127344035250464</v>
      </c>
      <c r="BI48" s="6">
        <f t="shared" si="14"/>
        <v>1.0478819413352596</v>
      </c>
      <c r="BJ48" s="10"/>
    </row>
    <row r="49" spans="1:62" ht="14.25" customHeight="1" x14ac:dyDescent="0.35">
      <c r="A49" s="1" t="s">
        <v>7</v>
      </c>
      <c r="B49" s="1" t="s">
        <v>7</v>
      </c>
      <c r="C49" s="1" t="s">
        <v>15</v>
      </c>
      <c r="D49" s="1" t="s">
        <v>7</v>
      </c>
      <c r="E49" s="1" t="s">
        <v>20</v>
      </c>
      <c r="F49" s="1">
        <v>1.31304</v>
      </c>
      <c r="G49" s="1">
        <v>1.3703700000000001</v>
      </c>
      <c r="H49" s="1">
        <v>1.16916</v>
      </c>
      <c r="I49" s="1">
        <v>1.1625000000000001</v>
      </c>
      <c r="J49" s="1">
        <v>1.18659</v>
      </c>
      <c r="K49" s="1">
        <v>1.18692</v>
      </c>
      <c r="L49" s="1">
        <v>1.175</v>
      </c>
      <c r="M49" s="1">
        <v>1.31304</v>
      </c>
      <c r="N49" s="1">
        <v>1.3703700000000001</v>
      </c>
      <c r="O49" s="1">
        <v>1.16916</v>
      </c>
      <c r="P49" s="1">
        <v>1.1625000000000001</v>
      </c>
      <c r="Q49" s="1">
        <v>1.18659</v>
      </c>
      <c r="R49" s="1">
        <v>1.18692</v>
      </c>
      <c r="S49" s="1">
        <v>1.175</v>
      </c>
      <c r="T49" s="1">
        <v>1.31304</v>
      </c>
      <c r="U49" s="1">
        <v>1.3703700000000001</v>
      </c>
      <c r="V49" s="1">
        <v>1.16916</v>
      </c>
      <c r="W49" s="1">
        <v>1.1625000000000001</v>
      </c>
      <c r="X49" s="1">
        <v>1.18659</v>
      </c>
      <c r="Y49" s="1">
        <v>1.18692</v>
      </c>
      <c r="Z49" s="1">
        <v>1.175</v>
      </c>
      <c r="AA49" s="1">
        <v>1.31304</v>
      </c>
      <c r="AB49" s="1">
        <v>1.3703700000000001</v>
      </c>
      <c r="AC49" s="1">
        <v>1.16916</v>
      </c>
      <c r="AD49" s="1">
        <v>1.1625000000000001</v>
      </c>
      <c r="AE49" s="1">
        <v>1.18659</v>
      </c>
      <c r="AF49" s="1">
        <v>1.18692</v>
      </c>
      <c r="AG49" s="1">
        <v>1.175</v>
      </c>
      <c r="AL49" s="10"/>
      <c r="AM49" s="10"/>
      <c r="AN49" s="10"/>
      <c r="AO49" s="10"/>
      <c r="AP49" s="10"/>
      <c r="AQ49" s="10"/>
      <c r="AR49" s="10"/>
      <c r="BB49" s="10"/>
      <c r="BC49" s="4" t="s">
        <v>29</v>
      </c>
      <c r="BD49" s="6">
        <f t="shared" si="9"/>
        <v>0.87141842706568784</v>
      </c>
      <c r="BE49" s="6">
        <f t="shared" si="10"/>
        <v>0.91340619960374736</v>
      </c>
      <c r="BF49" s="6">
        <f t="shared" si="11"/>
        <v>1.0929833281182126</v>
      </c>
      <c r="BG49" s="6">
        <f t="shared" si="12"/>
        <v>1.0808437585492108</v>
      </c>
      <c r="BH49" s="6">
        <f t="shared" si="13"/>
        <v>1.127344035250464</v>
      </c>
      <c r="BI49" s="6">
        <f t="shared" si="14"/>
        <v>1.0478819413352596</v>
      </c>
      <c r="BJ49" s="10"/>
    </row>
    <row r="50" spans="1:62" ht="14.25" customHeight="1" x14ac:dyDescent="0.35">
      <c r="A50" s="1" t="s">
        <v>7</v>
      </c>
      <c r="B50" s="1" t="s">
        <v>7</v>
      </c>
      <c r="C50" s="1" t="s">
        <v>15</v>
      </c>
      <c r="D50" s="1" t="s">
        <v>7</v>
      </c>
      <c r="E50" s="1" t="s">
        <v>22</v>
      </c>
      <c r="F50" s="1">
        <v>1.2351300000000001</v>
      </c>
      <c r="G50" s="1">
        <v>1.3004899999999999</v>
      </c>
      <c r="H50" s="1">
        <v>1.04877</v>
      </c>
      <c r="I50" s="1">
        <v>1.03749</v>
      </c>
      <c r="J50" s="1">
        <v>1.0567599999999999</v>
      </c>
      <c r="K50" s="1">
        <v>1.06864</v>
      </c>
      <c r="L50" s="1">
        <v>1.0578700000000001</v>
      </c>
      <c r="M50" s="1">
        <v>1.2351300000000001</v>
      </c>
      <c r="N50" s="1">
        <v>1.3004899999999999</v>
      </c>
      <c r="O50" s="1">
        <v>1.04877</v>
      </c>
      <c r="P50" s="1">
        <v>1.03749</v>
      </c>
      <c r="Q50" s="1">
        <v>1.0567599999999999</v>
      </c>
      <c r="R50" s="1">
        <v>1.06864</v>
      </c>
      <c r="S50" s="1">
        <v>1.0578700000000001</v>
      </c>
      <c r="T50" s="1">
        <v>1.2351300000000001</v>
      </c>
      <c r="U50" s="1">
        <v>1.3004899999999999</v>
      </c>
      <c r="V50" s="1">
        <v>1.04877</v>
      </c>
      <c r="W50" s="1">
        <v>1.03749</v>
      </c>
      <c r="X50" s="1">
        <v>1.0567599999999999</v>
      </c>
      <c r="Y50" s="1">
        <v>1.06864</v>
      </c>
      <c r="Z50" s="1">
        <v>1.0578700000000001</v>
      </c>
      <c r="AA50" s="1">
        <v>1.2351300000000001</v>
      </c>
      <c r="AB50" s="1">
        <v>1.3004899999999999</v>
      </c>
      <c r="AC50" s="1">
        <v>1.04877</v>
      </c>
      <c r="AD50" s="1">
        <v>1.03749</v>
      </c>
      <c r="AE50" s="1">
        <v>1.0567599999999999</v>
      </c>
      <c r="AF50" s="1">
        <v>1.06864</v>
      </c>
      <c r="AG50" s="1">
        <v>1.0578700000000001</v>
      </c>
      <c r="AL50" s="14" t="s">
        <v>82</v>
      </c>
      <c r="AM50" s="14"/>
      <c r="AN50" s="14"/>
      <c r="AO50" s="14"/>
      <c r="AP50" s="14"/>
      <c r="AQ50" s="14"/>
      <c r="AR50" s="14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 ht="14.25" customHeight="1" x14ac:dyDescent="0.35">
      <c r="A51" s="1" t="s">
        <v>16</v>
      </c>
      <c r="B51" s="1" t="s">
        <v>16</v>
      </c>
      <c r="C51" s="1" t="s">
        <v>14</v>
      </c>
      <c r="D51" s="1" t="s">
        <v>14</v>
      </c>
      <c r="E51" s="1" t="s">
        <v>24</v>
      </c>
      <c r="F51" s="1">
        <v>1.1795199999999999</v>
      </c>
      <c r="G51" s="1">
        <v>1.2560199999999999</v>
      </c>
      <c r="H51" s="1">
        <v>1.0906400000000001</v>
      </c>
      <c r="I51" s="1">
        <v>1.09914</v>
      </c>
      <c r="J51" s="1">
        <v>1.10924</v>
      </c>
      <c r="K51" s="1">
        <v>1.1167499999999999</v>
      </c>
      <c r="L51" s="1">
        <v>1.1241699999999999</v>
      </c>
      <c r="M51" s="1">
        <v>1.1795199999999999</v>
      </c>
      <c r="N51" s="1">
        <v>1.2560199999999999</v>
      </c>
      <c r="O51" s="1">
        <v>1.0906400000000001</v>
      </c>
      <c r="P51" s="1">
        <v>1.09914</v>
      </c>
      <c r="Q51" s="1">
        <v>1.10924</v>
      </c>
      <c r="R51" s="1">
        <v>1.1167499999999999</v>
      </c>
      <c r="S51" s="1">
        <v>1.1241699999999999</v>
      </c>
      <c r="T51" s="1">
        <v>1.1795199999999999</v>
      </c>
      <c r="U51" s="1">
        <v>1.2560199999999999</v>
      </c>
      <c r="V51" s="1">
        <v>1.0906400000000001</v>
      </c>
      <c r="W51" s="1">
        <v>1.09914</v>
      </c>
      <c r="X51" s="1">
        <v>1.10924</v>
      </c>
      <c r="Y51" s="1">
        <v>1.1167499999999999</v>
      </c>
      <c r="Z51" s="1">
        <v>1.1241699999999999</v>
      </c>
      <c r="AA51" s="1">
        <v>1.1795199999999999</v>
      </c>
      <c r="AB51" s="1">
        <v>1.2560199999999999</v>
      </c>
      <c r="AC51" s="1">
        <v>1.0906400000000001</v>
      </c>
      <c r="AD51" s="1">
        <v>1.09914</v>
      </c>
      <c r="AE51" s="1">
        <v>1.10924</v>
      </c>
      <c r="AF51" s="1">
        <v>1.1167499999999999</v>
      </c>
      <c r="AG51" s="1">
        <v>1.1241699999999999</v>
      </c>
      <c r="AL51" s="4"/>
      <c r="AM51" s="4" t="s">
        <v>13</v>
      </c>
      <c r="AN51" s="4" t="s">
        <v>14</v>
      </c>
      <c r="AO51" s="4" t="s">
        <v>15</v>
      </c>
      <c r="AP51" s="4" t="s">
        <v>16</v>
      </c>
      <c r="AQ51" s="4" t="s">
        <v>17</v>
      </c>
      <c r="AR51" s="4" t="s">
        <v>7</v>
      </c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 ht="14.25" customHeight="1" x14ac:dyDescent="0.35">
      <c r="A52" s="1" t="s">
        <v>16</v>
      </c>
      <c r="B52" s="1" t="s">
        <v>16</v>
      </c>
      <c r="C52" s="1" t="s">
        <v>14</v>
      </c>
      <c r="D52" s="1" t="s">
        <v>13</v>
      </c>
      <c r="E52" s="1" t="s">
        <v>26</v>
      </c>
      <c r="F52" s="1">
        <v>1.0654399999999999</v>
      </c>
      <c r="G52" s="1">
        <v>1.1537999999999999</v>
      </c>
      <c r="H52" s="1">
        <v>1.0474600000000001</v>
      </c>
      <c r="I52" s="1">
        <v>1.0414300000000001</v>
      </c>
      <c r="J52" s="1">
        <v>1.07911</v>
      </c>
      <c r="K52" s="1">
        <v>1.08622</v>
      </c>
      <c r="L52" s="1">
        <v>1.0980399999999999</v>
      </c>
      <c r="M52" s="1">
        <v>1.0654399999999999</v>
      </c>
      <c r="N52" s="1">
        <v>1.1537999999999999</v>
      </c>
      <c r="O52" s="1">
        <v>1.0474600000000001</v>
      </c>
      <c r="P52" s="1">
        <v>1.0414300000000001</v>
      </c>
      <c r="Q52" s="1">
        <v>1.07911</v>
      </c>
      <c r="R52" s="1">
        <v>1.08622</v>
      </c>
      <c r="S52" s="1">
        <v>1.0980399999999999</v>
      </c>
      <c r="T52" s="1">
        <v>1.0654399999999999</v>
      </c>
      <c r="U52" s="1">
        <v>1.1537999999999999</v>
      </c>
      <c r="V52" s="1">
        <v>1.0474600000000001</v>
      </c>
      <c r="W52" s="1">
        <v>1.0414300000000001</v>
      </c>
      <c r="X52" s="1">
        <v>1.07911</v>
      </c>
      <c r="Y52" s="1">
        <v>1.08622</v>
      </c>
      <c r="Z52" s="1">
        <v>1.0980399999999999</v>
      </c>
      <c r="AA52" s="1">
        <v>1.0654399999999999</v>
      </c>
      <c r="AB52" s="1">
        <v>1.1537999999999999</v>
      </c>
      <c r="AC52" s="1">
        <v>1.0474600000000001</v>
      </c>
      <c r="AD52" s="1">
        <v>1.0414300000000001</v>
      </c>
      <c r="AE52" s="1">
        <v>1.07911</v>
      </c>
      <c r="AF52" s="1">
        <v>1.08622</v>
      </c>
      <c r="AG52" s="1">
        <v>1.0980399999999999</v>
      </c>
      <c r="AL52" s="4" t="s">
        <v>19</v>
      </c>
      <c r="AM52" s="6" cm="1">
        <f t="array" ref="AM52">IFERROR((SUMPRODUCT(($C$43:$C$66=AM$41)*($F$39:$AG$39="")*$F$43:$AG$66)+IF(AM$41="P3",SUMPRODUCT(($F$39:$AG$39="P3")*$F$43:$AG$66),0))/(SUMPRODUCT(($C$43:$C$66=AM$41)*($F$39:$AG$39=""))+IF(AM$41="P3",COUNTIF($F$39:$AG$39,"P3")*ROWS($C$43:$C$66),0)),"")</f>
        <v>1.107348</v>
      </c>
      <c r="AN52" s="6" cm="1">
        <f t="array" ref="AN52">IFERROR((SUMPRODUCT(($C$43:$C$66=AN$41)*($F$39:$AG$39="")*$F$43:$AG$66)+IF(AN$41="P3",SUMPRODUCT(($F$39:$AG$39="P3")*$F$43:$AG$66),0))/(SUMPRODUCT(($C$43:$C$66=AN$41)*($F$39:$AG$39=""))+IF(AN$41="P3",COUNTIF($F$39:$AG$39,"P3")*ROWS($C$43:$C$66),0)),"")</f>
        <v>1.1419265000000003</v>
      </c>
      <c r="AO52" s="6" cm="1">
        <f t="array" ref="AO52">IFERROR((SUMPRODUCT(($C$43:$C$66=AO$41)*($F$39:$AG$39="")*$F$43:$AG$66)+IF(AO$41="P3",SUMPRODUCT(($F$39:$AG$39="P3")*$F$43:$AG$66),0))/(SUMPRODUCT(($C$43:$C$66=AO$41)*($F$39:$AG$39=""))+IF(AO$41="P3",COUNTIF($F$39:$AG$39,"P3")*ROWS($C$43:$C$66),0)),"")</f>
        <v>1.224928068181818</v>
      </c>
      <c r="AP52" s="6" t="str" cm="1">
        <f t="array" ref="AP52">IFERROR((SUMPRODUCT(($C$43:$C$66=AP$41)*($F$39:$AG$39="")*$F$43:$AG$66)+IF(AP$41="P3",SUMPRODUCT(($F$39:$AG$39="P3")*$F$43:$AG$66),0))/(SUMPRODUCT(($C$43:$C$66=AP$41)*($F$39:$AG$39=""))+IF(AP$41="P3",COUNTIF($F$39:$AG$39,"P3")*ROWS($C$43:$C$66),0)),"")</f>
        <v/>
      </c>
      <c r="AQ52" s="6" t="str" cm="1">
        <f t="array" ref="AQ52">IFERROR((SUMPRODUCT(($C$43:$C$66=AQ$41)*($F$39:$AG$39="")*$F$43:$AG$66)+IF(AQ$41="P3",SUMPRODUCT(($F$39:$AG$39="P3")*$F$43:$AG$66),0))/(SUMPRODUCT(($C$43:$C$66=AQ$41)*($F$39:$AG$39=""))+IF(AQ$41="P3",COUNTIF($F$39:$AG$39,"P3")*ROWS($C$43:$C$66),0)),"")</f>
        <v/>
      </c>
      <c r="AR52" s="6" t="str" cm="1">
        <f t="array" ref="AR52">IFERROR((SUMPRODUCT(($C$43:$C$66=AR$41)*($F$39:$AG$39="")*$F$43:$AG$66)+IF(AR$41="P3",SUMPRODUCT(($F$39:$AG$39="P3")*$F$43:$AG$66),0))/(SUMPRODUCT(($C$43:$C$66=AR$41)*($F$39:$AG$39=""))+IF(AR$41="P3",COUNTIF($F$39:$AG$39,"P3")*ROWS($C$43:$C$66),0)),"")</f>
        <v/>
      </c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 ht="14.25" customHeight="1" x14ac:dyDescent="0.35">
      <c r="A53" s="1" t="s">
        <v>14</v>
      </c>
      <c r="B53" s="1" t="s">
        <v>15</v>
      </c>
      <c r="C53" s="1" t="s">
        <v>13</v>
      </c>
      <c r="D53" s="1" t="s">
        <v>13</v>
      </c>
      <c r="E53" s="1" t="s">
        <v>28</v>
      </c>
      <c r="F53" s="1">
        <v>1.01549</v>
      </c>
      <c r="G53" s="1">
        <v>1.08449</v>
      </c>
      <c r="H53" s="1">
        <v>1.0164599999999999</v>
      </c>
      <c r="I53" s="1">
        <v>1.01702</v>
      </c>
      <c r="J53" s="1">
        <v>1.0506200000000001</v>
      </c>
      <c r="K53" s="1">
        <v>1.01532</v>
      </c>
      <c r="L53" s="1">
        <v>1.04714</v>
      </c>
      <c r="M53" s="1">
        <v>1.01549</v>
      </c>
      <c r="N53" s="1">
        <v>1.08449</v>
      </c>
      <c r="O53" s="1">
        <v>1.0164599999999999</v>
      </c>
      <c r="P53" s="1">
        <v>1.01702</v>
      </c>
      <c r="Q53" s="1">
        <v>1.0506200000000001</v>
      </c>
      <c r="R53" s="1">
        <v>1.01532</v>
      </c>
      <c r="S53" s="1">
        <v>1.04714</v>
      </c>
      <c r="T53" s="1">
        <v>1.01549</v>
      </c>
      <c r="U53" s="1">
        <v>1.08449</v>
      </c>
      <c r="V53" s="1">
        <v>1.0164599999999999</v>
      </c>
      <c r="W53" s="1">
        <v>1.01702</v>
      </c>
      <c r="X53" s="1">
        <v>1.0506200000000001</v>
      </c>
      <c r="Y53" s="1">
        <v>1.01532</v>
      </c>
      <c r="Z53" s="1">
        <v>1.04714</v>
      </c>
      <c r="AA53" s="1">
        <v>1.01549</v>
      </c>
      <c r="AB53" s="1">
        <v>1.08449</v>
      </c>
      <c r="AC53" s="1">
        <v>1.0164599999999999</v>
      </c>
      <c r="AD53" s="1">
        <v>1.01702</v>
      </c>
      <c r="AE53" s="1">
        <v>1.0506200000000001</v>
      </c>
      <c r="AF53" s="1">
        <v>1.01532</v>
      </c>
      <c r="AG53" s="1">
        <v>1.04714</v>
      </c>
      <c r="AL53" s="4" t="s">
        <v>21</v>
      </c>
      <c r="AM53" s="6" t="str" cm="1">
        <f t="array" ref="AM53">IFERROR((SUMPRODUCT(($A$43:$A$66=AM$41)*($F$40:$AG$40="")*$F$43:$AG$66)+IF(AM$41="P6",SUMPRODUCT(($F$40:$AG$40="P6")*$F$43:$AG$66),0))/(SUMPRODUCT(($A$43:$A$66=AM$41)*($F$40:$AG$40=""))+IF(AM$41="P6",COUNTIF($F$40:$AG$40,"P6")*ROWS($A$43:$A$66),0)),"")</f>
        <v/>
      </c>
      <c r="AN53" s="6" cm="1">
        <f t="array" ref="AN53">IFERROR((SUMPRODUCT(($A$43:$A$66=AN$41)*($F$40:$AG$40="")*$F$43:$AG$66)+IF(AN$41="P6",SUMPRODUCT(($F$40:$AG$40="P6")*$F$43:$AG$66),0))/(SUMPRODUCT(($A$43:$A$66=AN$41)*($F$40:$AG$40=""))+IF(AN$41="P6",COUNTIF($F$40:$AG$40,"P6")*ROWS($A$43:$A$66),0)),"")</f>
        <v>1.0992824444444445</v>
      </c>
      <c r="AO53" s="6" t="str" cm="1">
        <f t="array" ref="AO53">IFERROR((SUMPRODUCT(($A$43:$A$66=AO$41)*($F$40:$AG$40="")*$F$43:$AG$66)+IF(AO$41="P6",SUMPRODUCT(($F$40:$AG$40="P6")*$F$43:$AG$66),0))/(SUMPRODUCT(($A$43:$A$66=AO$41)*($F$40:$AG$40=""))+IF(AO$41="P6",COUNTIF($F$40:$AG$40,"P6")*ROWS($A$43:$A$66),0)),"")</f>
        <v/>
      </c>
      <c r="AP53" s="6" cm="1">
        <f t="array" ref="AP53">IFERROR((SUMPRODUCT(($A$43:$A$66=AP$41)*($F$40:$AG$40="")*$F$43:$AG$66)+IF(AP$41="P6",SUMPRODUCT(($F$40:$AG$40="P6")*$F$43:$AG$66),0))/(SUMPRODUCT(($A$43:$A$66=AP$41)*($F$40:$AG$40=""))+IF(AP$41="P6",COUNTIF($F$40:$AG$40,"P6")*ROWS($A$43:$A$66),0)),"")</f>
        <v>1.1572362857142857</v>
      </c>
      <c r="AQ53" s="6" t="str" cm="1">
        <f t="array" ref="AQ53">IFERROR((SUMPRODUCT(($A$43:$A$66=AQ$41)*($F$40:$AG$40="")*$F$43:$AG$66)+IF(AQ$41="P6",SUMPRODUCT(($F$40:$AG$40="P6")*$F$43:$AG$66),0))/(SUMPRODUCT(($A$43:$A$66=AQ$41)*($F$40:$AG$40=""))+IF(AQ$41="P6",COUNTIF($F$40:$AG$40,"P6")*ROWS($A$43:$A$66),0)),"")</f>
        <v/>
      </c>
      <c r="AR53" s="6" cm="1">
        <f t="array" ref="AR53">IFERROR((SUMPRODUCT(($A$43:$A$66=AR$41)*($F$40:$AG$40="")*$F$43:$AG$66)+IF(AR$41="P6",SUMPRODUCT(($F$40:$AG$40="P6")*$F$43:$AG$66),0))/(SUMPRODUCT(($A$43:$A$66=AR$41)*($F$40:$AG$40=""))+IF(AR$41="P6",COUNTIF($F$40:$AG$40,"P6")*ROWS($A$43:$A$66),0)),"")</f>
        <v>1.224928068181818</v>
      </c>
    </row>
    <row r="54" spans="1:62" ht="14.25" customHeight="1" x14ac:dyDescent="0.35">
      <c r="A54" s="1" t="s">
        <v>14</v>
      </c>
      <c r="B54" s="1" t="s">
        <v>15</v>
      </c>
      <c r="C54" s="1" t="s">
        <v>13</v>
      </c>
      <c r="D54" s="1" t="s">
        <v>13</v>
      </c>
      <c r="E54" s="1" t="s">
        <v>30</v>
      </c>
      <c r="F54" s="1">
        <v>1.01014</v>
      </c>
      <c r="G54" s="1">
        <v>1.07491</v>
      </c>
      <c r="H54" s="1">
        <v>1.0135400000000001</v>
      </c>
      <c r="I54" s="1">
        <v>1.00119</v>
      </c>
      <c r="J54" s="1">
        <v>1.0652200000000001</v>
      </c>
      <c r="K54" s="1">
        <v>1.0231399999999999</v>
      </c>
      <c r="L54" s="1">
        <v>1.0402499999999999</v>
      </c>
      <c r="M54" s="1">
        <v>1.01014</v>
      </c>
      <c r="N54" s="1">
        <v>1.07491</v>
      </c>
      <c r="O54" s="1">
        <v>1.0135400000000001</v>
      </c>
      <c r="P54" s="1">
        <v>1.00119</v>
      </c>
      <c r="Q54" s="1">
        <v>1.0652200000000001</v>
      </c>
      <c r="R54" s="1">
        <v>1.0231399999999999</v>
      </c>
      <c r="S54" s="1">
        <v>1.0402499999999999</v>
      </c>
      <c r="T54" s="1">
        <v>1.01014</v>
      </c>
      <c r="U54" s="1">
        <v>1.07491</v>
      </c>
      <c r="V54" s="1">
        <v>1.0135400000000001</v>
      </c>
      <c r="W54" s="1">
        <v>1.00119</v>
      </c>
      <c r="X54" s="1">
        <v>1.0652200000000001</v>
      </c>
      <c r="Y54" s="1">
        <v>1.0231399999999999</v>
      </c>
      <c r="Z54" s="1">
        <v>1.0402499999999999</v>
      </c>
      <c r="AA54" s="1">
        <v>1.01014</v>
      </c>
      <c r="AB54" s="1">
        <v>1.07491</v>
      </c>
      <c r="AC54" s="1">
        <v>1.0135400000000001</v>
      </c>
      <c r="AD54" s="1">
        <v>1.00119</v>
      </c>
      <c r="AE54" s="1">
        <v>1.0652200000000001</v>
      </c>
      <c r="AF54" s="1">
        <v>1.0231399999999999</v>
      </c>
      <c r="AG54" s="1">
        <v>1.0402499999999999</v>
      </c>
      <c r="AL54" s="4" t="s">
        <v>23</v>
      </c>
      <c r="AM54" s="6" t="str" cm="1">
        <f t="array" ref="AM54">IFERROR((SUMPRODUCT(($A$43:$A$66=AM$41)*($F$40:$AG$40="")*$F$43:$AG$66)+IF(AM$41="P6",SUMPRODUCT(($F$40:$AG$40="P6")*$F$43:$AG$66),0))/(SUMPRODUCT(($A$43:$A$66=AM$41)*($F$40:$AG$40=""))+IF(AM$41="P6",COUNTIF($F$40:$AG$40,"P6")*ROWS($A$43:$A$66),0)),"")</f>
        <v/>
      </c>
      <c r="AN54" s="6" cm="1">
        <f t="array" ref="AN54">IFERROR((SUMPRODUCT(($A$43:$A$66=AN$41)*($F$40:$AG$40="")*$F$43:$AG$66)+IF(AN$41="P6",SUMPRODUCT(($F$40:$AG$40="P6")*$F$43:$AG$66),0))/(SUMPRODUCT(($A$43:$A$66=AN$41)*($F$40:$AG$40=""))+IF(AN$41="P6",COUNTIF($F$40:$AG$40,"P6")*ROWS($A$43:$A$66),0)),"")</f>
        <v>1.0992824444444445</v>
      </c>
      <c r="AO54" s="6" t="str" cm="1">
        <f t="array" ref="AO54">IFERROR((SUMPRODUCT(($A$43:$A$66=AO$41)*($F$40:$AG$40="")*$F$43:$AG$66)+IF(AO$41="P6",SUMPRODUCT(($F$40:$AG$40="P6")*$F$43:$AG$66),0))/(SUMPRODUCT(($A$43:$A$66=AO$41)*($F$40:$AG$40=""))+IF(AO$41="P6",COUNTIF($F$40:$AG$40,"P6")*ROWS($A$43:$A$66),0)),"")</f>
        <v/>
      </c>
      <c r="AP54" s="6" cm="1">
        <f t="array" ref="AP54">IFERROR((SUMPRODUCT(($A$43:$A$66=AP$41)*($F$40:$AG$40="")*$F$43:$AG$66)+IF(AP$41="P6",SUMPRODUCT(($F$40:$AG$40="P6")*$F$43:$AG$66),0))/(SUMPRODUCT(($A$43:$A$66=AP$41)*($F$40:$AG$40=""))+IF(AP$41="P6",COUNTIF($F$40:$AG$40,"P6")*ROWS($A$43:$A$66),0)),"")</f>
        <v>1.1572362857142857</v>
      </c>
      <c r="AQ54" s="6" t="str" cm="1">
        <f t="array" ref="AQ54">IFERROR((SUMPRODUCT(($A$43:$A$66=AQ$41)*($F$40:$AG$40="")*$F$43:$AG$66)+IF(AQ$41="P6",SUMPRODUCT(($F$40:$AG$40="P6")*$F$43:$AG$66),0))/(SUMPRODUCT(($A$43:$A$66=AQ$41)*($F$40:$AG$40=""))+IF(AQ$41="P6",COUNTIF($F$40:$AG$40,"P6")*ROWS($A$43:$A$66),0)),"")</f>
        <v/>
      </c>
      <c r="AR54" s="6" cm="1">
        <f t="array" ref="AR54">IFERROR((SUMPRODUCT(($A$43:$A$66=AR$41)*($F$40:$AG$40="")*$F$43:$AG$66)+IF(AR$41="P6",SUMPRODUCT(($F$40:$AG$40="P6")*$F$43:$AG$66),0))/(SUMPRODUCT(($A$43:$A$66=AR$41)*($F$40:$AG$40=""))+IF(AR$41="P6",COUNTIF($F$40:$AG$40,"P6")*ROWS($A$43:$A$66),0)),"")</f>
        <v>1.224928068181818</v>
      </c>
    </row>
    <row r="55" spans="1:62" ht="14.25" customHeight="1" x14ac:dyDescent="0.35">
      <c r="A55" s="1" t="s">
        <v>14</v>
      </c>
      <c r="B55" s="1" t="s">
        <v>15</v>
      </c>
      <c r="C55" s="1" t="s">
        <v>13</v>
      </c>
      <c r="D55" s="1" t="s">
        <v>13</v>
      </c>
      <c r="E55" s="1" t="s">
        <v>31</v>
      </c>
      <c r="F55" s="1">
        <v>0.99492000000000003</v>
      </c>
      <c r="G55" s="1">
        <v>1.0493300000000001</v>
      </c>
      <c r="H55" s="1">
        <v>1.00196</v>
      </c>
      <c r="I55" s="1">
        <v>0.98289000000000004</v>
      </c>
      <c r="J55" s="1">
        <v>1.0686899999999999</v>
      </c>
      <c r="K55" s="1">
        <v>1.0191300000000001</v>
      </c>
      <c r="L55" s="1">
        <v>1.0360400000000001</v>
      </c>
      <c r="M55" s="1">
        <v>0.99492000000000003</v>
      </c>
      <c r="N55" s="1">
        <v>1.0493300000000001</v>
      </c>
      <c r="O55" s="1">
        <v>1.00196</v>
      </c>
      <c r="P55" s="1">
        <v>0.98289000000000004</v>
      </c>
      <c r="Q55" s="1">
        <v>1.0686899999999999</v>
      </c>
      <c r="R55" s="1">
        <v>1.0191300000000001</v>
      </c>
      <c r="S55" s="1">
        <v>1.0360400000000001</v>
      </c>
      <c r="T55" s="1">
        <v>0.99492000000000003</v>
      </c>
      <c r="U55" s="1">
        <v>1.0493300000000001</v>
      </c>
      <c r="V55" s="1">
        <v>1.00196</v>
      </c>
      <c r="W55" s="1">
        <v>0.98289000000000004</v>
      </c>
      <c r="X55" s="1">
        <v>1.0686899999999999</v>
      </c>
      <c r="Y55" s="1">
        <v>1.0191300000000001</v>
      </c>
      <c r="Z55" s="1">
        <v>1.0360400000000001</v>
      </c>
      <c r="AA55" s="1">
        <v>0.99492000000000003</v>
      </c>
      <c r="AB55" s="1">
        <v>1.0493300000000001</v>
      </c>
      <c r="AC55" s="1">
        <v>1.00196</v>
      </c>
      <c r="AD55" s="1">
        <v>0.98289000000000004</v>
      </c>
      <c r="AE55" s="1">
        <v>1.0686899999999999</v>
      </c>
      <c r="AF55" s="1">
        <v>1.0191300000000001</v>
      </c>
      <c r="AG55" s="1">
        <v>1.0360400000000001</v>
      </c>
      <c r="AL55" s="4" t="s">
        <v>25</v>
      </c>
      <c r="AM55" s="6" t="str" cm="1">
        <f t="array" ref="AM55">IFERROR((SUMPRODUCT(($A$43:$A$66=AM$41)*($F$40:$AG$40="")*$F$43:$AG$66)+IF(AM$41="P6",SUMPRODUCT(($F$40:$AG$40="P6")*$F$43:$AG$66),0))/(SUMPRODUCT(($A$43:$A$66=AM$41)*($F$40:$AG$40=""))+IF(AM$41="P6",COUNTIF($F$40:$AG$40,"P6")*ROWS($A$43:$A$66),0)),"")</f>
        <v/>
      </c>
      <c r="AN55" s="6" cm="1">
        <f t="array" ref="AN55">IFERROR((SUMPRODUCT(($A$43:$A$66=AN$41)*($F$40:$AG$40="")*$F$43:$AG$66)+IF(AN$41="P6",SUMPRODUCT(($F$40:$AG$40="P6")*$F$43:$AG$66),0))/(SUMPRODUCT(($A$43:$A$66=AN$41)*($F$40:$AG$40=""))+IF(AN$41="P6",COUNTIF($F$40:$AG$40,"P6")*ROWS($A$43:$A$66),0)),"")</f>
        <v>1.0992824444444445</v>
      </c>
      <c r="AO55" s="6" t="str" cm="1">
        <f t="array" ref="AO55">IFERROR((SUMPRODUCT(($A$43:$A$66=AO$41)*($F$40:$AG$40="")*$F$43:$AG$66)+IF(AO$41="P6",SUMPRODUCT(($F$40:$AG$40="P6")*$F$43:$AG$66),0))/(SUMPRODUCT(($A$43:$A$66=AO$41)*($F$40:$AG$40=""))+IF(AO$41="P6",COUNTIF($F$40:$AG$40,"P6")*ROWS($A$43:$A$66),0)),"")</f>
        <v/>
      </c>
      <c r="AP55" s="6" cm="1">
        <f t="array" ref="AP55">IFERROR((SUMPRODUCT(($A$43:$A$66=AP$41)*($F$40:$AG$40="")*$F$43:$AG$66)+IF(AP$41="P6",SUMPRODUCT(($F$40:$AG$40="P6")*$F$43:$AG$66),0))/(SUMPRODUCT(($A$43:$A$66=AP$41)*($F$40:$AG$40=""))+IF(AP$41="P6",COUNTIF($F$40:$AG$40,"P6")*ROWS($A$43:$A$66),0)),"")</f>
        <v>1.1572362857142857</v>
      </c>
      <c r="AQ55" s="6" t="str" cm="1">
        <f t="array" ref="AQ55">IFERROR((SUMPRODUCT(($A$43:$A$66=AQ$41)*($F$40:$AG$40="")*$F$43:$AG$66)+IF(AQ$41="P6",SUMPRODUCT(($F$40:$AG$40="P6")*$F$43:$AG$66),0))/(SUMPRODUCT(($A$43:$A$66=AQ$41)*($F$40:$AG$40=""))+IF(AQ$41="P6",COUNTIF($F$40:$AG$40,"P6")*ROWS($A$43:$A$66),0)),"")</f>
        <v/>
      </c>
      <c r="AR55" s="6" cm="1">
        <f t="array" ref="AR55">IFERROR((SUMPRODUCT(($A$43:$A$66=AR$41)*($F$40:$AG$40="")*$F$43:$AG$66)+IF(AR$41="P6",SUMPRODUCT(($F$40:$AG$40="P6")*$F$43:$AG$66),0))/(SUMPRODUCT(($A$43:$A$66=AR$41)*($F$40:$AG$40=""))+IF(AR$41="P6",COUNTIF($F$40:$AG$40,"P6")*ROWS($A$43:$A$66),0)),"")</f>
        <v>1.224928068181818</v>
      </c>
    </row>
    <row r="56" spans="1:62" ht="14.25" customHeight="1" x14ac:dyDescent="0.35">
      <c r="A56" s="1" t="s">
        <v>14</v>
      </c>
      <c r="B56" s="1" t="s">
        <v>15</v>
      </c>
      <c r="C56" s="1" t="s">
        <v>13</v>
      </c>
      <c r="D56" s="1" t="s">
        <v>13</v>
      </c>
      <c r="E56" s="1" t="s">
        <v>32</v>
      </c>
      <c r="F56" s="1">
        <v>0.96614</v>
      </c>
      <c r="G56" s="1">
        <v>1.03685</v>
      </c>
      <c r="H56" s="1">
        <v>1.00274</v>
      </c>
      <c r="I56" s="1">
        <v>0.96645999999999999</v>
      </c>
      <c r="J56" s="1">
        <v>1.0470600000000001</v>
      </c>
      <c r="K56" s="1">
        <v>1.0278499999999999</v>
      </c>
      <c r="L56" s="1">
        <v>1.04826</v>
      </c>
      <c r="M56" s="1">
        <v>0.96614</v>
      </c>
      <c r="N56" s="1">
        <v>1.03685</v>
      </c>
      <c r="O56" s="1">
        <v>1.00274</v>
      </c>
      <c r="P56" s="1">
        <v>0.96645999999999999</v>
      </c>
      <c r="Q56" s="1">
        <v>1.0470600000000001</v>
      </c>
      <c r="R56" s="1">
        <v>1.0278499999999999</v>
      </c>
      <c r="S56" s="1">
        <v>1.04826</v>
      </c>
      <c r="T56" s="1">
        <v>0.96614</v>
      </c>
      <c r="U56" s="1">
        <v>1.03685</v>
      </c>
      <c r="V56" s="1">
        <v>1.00274</v>
      </c>
      <c r="W56" s="1">
        <v>0.96645999999999999</v>
      </c>
      <c r="X56" s="1">
        <v>1.0470600000000001</v>
      </c>
      <c r="Y56" s="1">
        <v>1.0278499999999999</v>
      </c>
      <c r="Z56" s="1">
        <v>1.04826</v>
      </c>
      <c r="AA56" s="1">
        <v>0.96614</v>
      </c>
      <c r="AB56" s="1">
        <v>1.03685</v>
      </c>
      <c r="AC56" s="1">
        <v>1.00274</v>
      </c>
      <c r="AD56" s="1">
        <v>0.96645999999999999</v>
      </c>
      <c r="AE56" s="1">
        <v>1.0470600000000001</v>
      </c>
      <c r="AF56" s="1">
        <v>1.0278499999999999</v>
      </c>
      <c r="AG56" s="1">
        <v>1.04826</v>
      </c>
      <c r="AL56" s="4" t="s">
        <v>27</v>
      </c>
      <c r="AM56" s="6" t="str" cm="1">
        <f t="array" ref="AM56">IFERROR((SUMPRODUCT(($A$43:$A$66=AM$41)*($F$40:$AG$40="")*$F$43:$AG$66)+IF(AM$41="P6",SUMPRODUCT(($F$40:$AG$40="P6")*$F$43:$AG$66),0))/(SUMPRODUCT(($A$43:$A$66=AM$41)*($F$40:$AG$40=""))+IF(AM$41="P6",COUNTIF($F$40:$AG$40,"P6")*ROWS($A$43:$A$66),0)),"")</f>
        <v/>
      </c>
      <c r="AN56" s="6" cm="1">
        <f t="array" ref="AN56">IFERROR((SUMPRODUCT(($A$43:$A$66=AN$41)*($F$40:$AG$40="")*$F$43:$AG$66)+IF(AN$41="P6",SUMPRODUCT(($F$40:$AG$40="P6")*$F$43:$AG$66),0))/(SUMPRODUCT(($A$43:$A$66=AN$41)*($F$40:$AG$40=""))+IF(AN$41="P6",COUNTIF($F$40:$AG$40,"P6")*ROWS($A$43:$A$66),0)),"")</f>
        <v>1.0992824444444445</v>
      </c>
      <c r="AO56" s="6" t="str" cm="1">
        <f t="array" ref="AO56">IFERROR((SUMPRODUCT(($A$43:$A$66=AO$41)*($F$40:$AG$40="")*$F$43:$AG$66)+IF(AO$41="P6",SUMPRODUCT(($F$40:$AG$40="P6")*$F$43:$AG$66),0))/(SUMPRODUCT(($A$43:$A$66=AO$41)*($F$40:$AG$40=""))+IF(AO$41="P6",COUNTIF($F$40:$AG$40,"P6")*ROWS($A$43:$A$66),0)),"")</f>
        <v/>
      </c>
      <c r="AP56" s="6" cm="1">
        <f t="array" ref="AP56">IFERROR((SUMPRODUCT(($A$43:$A$66=AP$41)*($F$40:$AG$40="")*$F$43:$AG$66)+IF(AP$41="P6",SUMPRODUCT(($F$40:$AG$40="P6")*$F$43:$AG$66),0))/(SUMPRODUCT(($A$43:$A$66=AP$41)*($F$40:$AG$40=""))+IF(AP$41="P6",COUNTIF($F$40:$AG$40,"P6")*ROWS($A$43:$A$66),0)),"")</f>
        <v>1.1572362857142857</v>
      </c>
      <c r="AQ56" s="6" t="str" cm="1">
        <f t="array" ref="AQ56">IFERROR((SUMPRODUCT(($A$43:$A$66=AQ$41)*($F$40:$AG$40="")*$F$43:$AG$66)+IF(AQ$41="P6",SUMPRODUCT(($F$40:$AG$40="P6")*$F$43:$AG$66),0))/(SUMPRODUCT(($A$43:$A$66=AQ$41)*($F$40:$AG$40=""))+IF(AQ$41="P6",COUNTIF($F$40:$AG$40,"P6")*ROWS($A$43:$A$66),0)),"")</f>
        <v/>
      </c>
      <c r="AR56" s="6" cm="1">
        <f t="array" ref="AR56">IFERROR((SUMPRODUCT(($A$43:$A$66=AR$41)*($F$40:$AG$40="")*$F$43:$AG$66)+IF(AR$41="P6",SUMPRODUCT(($F$40:$AG$40="P6")*$F$43:$AG$66),0))/(SUMPRODUCT(($A$43:$A$66=AR$41)*($F$40:$AG$40=""))+IF(AR$41="P6",COUNTIF($F$40:$AG$40,"P6")*ROWS($A$43:$A$66),0)),"")</f>
        <v>1.224928068181818</v>
      </c>
    </row>
    <row r="57" spans="1:62" ht="14.25" customHeight="1" x14ac:dyDescent="0.35">
      <c r="A57" s="1" t="s">
        <v>14</v>
      </c>
      <c r="B57" s="1" t="s">
        <v>15</v>
      </c>
      <c r="C57" s="1" t="s">
        <v>14</v>
      </c>
      <c r="D57" s="1" t="s">
        <v>14</v>
      </c>
      <c r="E57" s="1" t="s">
        <v>33</v>
      </c>
      <c r="F57" s="1">
        <v>0.98543999999999998</v>
      </c>
      <c r="G57" s="1">
        <v>1.0430699999999999</v>
      </c>
      <c r="H57" s="1">
        <v>1.0116099999999999</v>
      </c>
      <c r="I57" s="1">
        <v>0.98524999999999996</v>
      </c>
      <c r="J57" s="1">
        <v>1.0658099999999999</v>
      </c>
      <c r="K57" s="1">
        <v>1.0472399999999999</v>
      </c>
      <c r="L57" s="1">
        <v>1.0638799999999999</v>
      </c>
      <c r="M57" s="1">
        <v>0.98543999999999998</v>
      </c>
      <c r="N57" s="1">
        <v>1.0430699999999999</v>
      </c>
      <c r="O57" s="1">
        <v>1.0116099999999999</v>
      </c>
      <c r="P57" s="1">
        <v>0.98524999999999996</v>
      </c>
      <c r="Q57" s="1">
        <v>1.0658099999999999</v>
      </c>
      <c r="R57" s="1">
        <v>1.0472399999999999</v>
      </c>
      <c r="S57" s="1">
        <v>1.0638799999999999</v>
      </c>
      <c r="T57" s="1">
        <v>0.98543999999999998</v>
      </c>
      <c r="U57" s="1">
        <v>1.0430699999999999</v>
      </c>
      <c r="V57" s="1">
        <v>1.0116099999999999</v>
      </c>
      <c r="W57" s="1">
        <v>0.98524999999999996</v>
      </c>
      <c r="X57" s="1">
        <v>1.0658099999999999</v>
      </c>
      <c r="Y57" s="1">
        <v>1.0472399999999999</v>
      </c>
      <c r="Z57" s="1">
        <v>1.0638799999999999</v>
      </c>
      <c r="AA57" s="1">
        <v>0.98543999999999998</v>
      </c>
      <c r="AB57" s="1">
        <v>1.0430699999999999</v>
      </c>
      <c r="AC57" s="1">
        <v>1.0116099999999999</v>
      </c>
      <c r="AD57" s="1">
        <v>0.98524999999999996</v>
      </c>
      <c r="AE57" s="1">
        <v>1.0658099999999999</v>
      </c>
      <c r="AF57" s="1">
        <v>1.0472399999999999</v>
      </c>
      <c r="AG57" s="1">
        <v>1.0638799999999999</v>
      </c>
      <c r="AL57" s="4" t="s">
        <v>29</v>
      </c>
      <c r="AM57" s="6" t="str" cm="1">
        <f t="array" ref="AM57">IFERROR((SUMPRODUCT(($A$43:$A$66=AM$41)*($F$40:$AG$40="")*$F$43:$AG$66)+IF(AM$41="P6",SUMPRODUCT(($F$40:$AG$40="P6")*$F$43:$AG$66),0))/(SUMPRODUCT(($A$43:$A$66=AM$41)*($F$40:$AG$40=""))+IF(AM$41="P6",COUNTIF($F$40:$AG$40,"P6")*ROWS($A$43:$A$66),0)),"")</f>
        <v/>
      </c>
      <c r="AN57" s="6" cm="1">
        <f t="array" ref="AN57">IFERROR((SUMPRODUCT(($A$43:$A$66=AN$41)*($F$40:$AG$40="")*$F$43:$AG$66)+IF(AN$41="P6",SUMPRODUCT(($F$40:$AG$40="P6")*$F$43:$AG$66),0))/(SUMPRODUCT(($A$43:$A$66=AN$41)*($F$40:$AG$40=""))+IF(AN$41="P6",COUNTIF($F$40:$AG$40,"P6")*ROWS($A$43:$A$66),0)),"")</f>
        <v>1.0992824444444445</v>
      </c>
      <c r="AO57" s="6" t="str" cm="1">
        <f t="array" ref="AO57">IFERROR((SUMPRODUCT(($A$43:$A$66=AO$41)*($F$40:$AG$40="")*$F$43:$AG$66)+IF(AO$41="P6",SUMPRODUCT(($F$40:$AG$40="P6")*$F$43:$AG$66),0))/(SUMPRODUCT(($A$43:$A$66=AO$41)*($F$40:$AG$40=""))+IF(AO$41="P6",COUNTIF($F$40:$AG$40,"P6")*ROWS($A$43:$A$66),0)),"")</f>
        <v/>
      </c>
      <c r="AP57" s="6" cm="1">
        <f t="array" ref="AP57">IFERROR((SUMPRODUCT(($A$43:$A$66=AP$41)*($F$40:$AG$40="")*$F$43:$AG$66)+IF(AP$41="P6",SUMPRODUCT(($F$40:$AG$40="P6")*$F$43:$AG$66),0))/(SUMPRODUCT(($A$43:$A$66=AP$41)*($F$40:$AG$40=""))+IF(AP$41="P6",COUNTIF($F$40:$AG$40,"P6")*ROWS($A$43:$A$66),0)),"")</f>
        <v>1.1572362857142857</v>
      </c>
      <c r="AQ57" s="6" t="str" cm="1">
        <f t="array" ref="AQ57">IFERROR((SUMPRODUCT(($A$43:$A$66=AQ$41)*($F$40:$AG$40="")*$F$43:$AG$66)+IF(AQ$41="P6",SUMPRODUCT(($F$40:$AG$40="P6")*$F$43:$AG$66),0))/(SUMPRODUCT(($A$43:$A$66=AQ$41)*($F$40:$AG$40=""))+IF(AQ$41="P6",COUNTIF($F$40:$AG$40,"P6")*ROWS($A$43:$A$66),0)),"")</f>
        <v/>
      </c>
      <c r="AR57" s="6" cm="1">
        <f t="array" ref="AR57">IFERROR((SUMPRODUCT(($A$43:$A$66=AR$41)*($F$40:$AG$40="")*$F$43:$AG$66)+IF(AR$41="P6",SUMPRODUCT(($F$40:$AG$40="P6")*$F$43:$AG$66),0))/(SUMPRODUCT(($A$43:$A$66=AR$41)*($F$40:$AG$40=""))+IF(AR$41="P6",COUNTIF($F$40:$AG$40,"P6")*ROWS($A$43:$A$66),0)),"")</f>
        <v>1.224928068181818</v>
      </c>
    </row>
    <row r="58" spans="1:62" ht="14.25" customHeight="1" x14ac:dyDescent="0.35">
      <c r="A58" s="1" t="s">
        <v>16</v>
      </c>
      <c r="B58" s="1" t="s">
        <v>16</v>
      </c>
      <c r="C58" s="1" t="s">
        <v>14</v>
      </c>
      <c r="D58" s="1" t="s">
        <v>14</v>
      </c>
      <c r="E58" s="1" t="s">
        <v>34</v>
      </c>
      <c r="F58" s="1">
        <v>1.0663499999999999</v>
      </c>
      <c r="G58" s="1">
        <v>1.1086199999999999</v>
      </c>
      <c r="H58" s="1">
        <v>1.06993</v>
      </c>
      <c r="I58" s="1">
        <v>1.03928</v>
      </c>
      <c r="J58" s="1">
        <v>1.1027400000000001</v>
      </c>
      <c r="K58" s="1">
        <v>1.0952900000000001</v>
      </c>
      <c r="L58" s="1">
        <v>1.1212599999999999</v>
      </c>
      <c r="M58" s="1">
        <v>1.0663499999999999</v>
      </c>
      <c r="N58" s="1">
        <v>1.1086199999999999</v>
      </c>
      <c r="O58" s="1">
        <v>1.06993</v>
      </c>
      <c r="P58" s="1">
        <v>1.03928</v>
      </c>
      <c r="Q58" s="1">
        <v>1.1027400000000001</v>
      </c>
      <c r="R58" s="1">
        <v>1.0952900000000001</v>
      </c>
      <c r="S58" s="1">
        <v>1.1212599999999999</v>
      </c>
      <c r="T58" s="1">
        <v>1.0663499999999999</v>
      </c>
      <c r="U58" s="1">
        <v>1.1086199999999999</v>
      </c>
      <c r="V58" s="1">
        <v>1.06993</v>
      </c>
      <c r="W58" s="1">
        <v>1.03928</v>
      </c>
      <c r="X58" s="1">
        <v>1.1027400000000001</v>
      </c>
      <c r="Y58" s="1">
        <v>1.0952900000000001</v>
      </c>
      <c r="Z58" s="1">
        <v>1.1212599999999999</v>
      </c>
      <c r="AA58" s="1">
        <v>1.0663499999999999</v>
      </c>
      <c r="AB58" s="1">
        <v>1.1086199999999999</v>
      </c>
      <c r="AC58" s="1">
        <v>1.06993</v>
      </c>
      <c r="AD58" s="1">
        <v>1.03928</v>
      </c>
      <c r="AE58" s="1">
        <v>1.1027400000000001</v>
      </c>
      <c r="AF58" s="1">
        <v>1.0952900000000001</v>
      </c>
      <c r="AG58" s="1">
        <v>1.1212599999999999</v>
      </c>
      <c r="AL58" s="10"/>
      <c r="AM58" s="10"/>
      <c r="AN58" s="10"/>
      <c r="AO58" s="10"/>
      <c r="AP58" s="10"/>
      <c r="AQ58" s="10"/>
      <c r="AR58" s="10"/>
    </row>
    <row r="59" spans="1:62" ht="14.25" customHeight="1" x14ac:dyDescent="0.35">
      <c r="A59" s="1" t="s">
        <v>16</v>
      </c>
      <c r="B59" s="1" t="s">
        <v>16</v>
      </c>
      <c r="C59" s="1" t="s">
        <v>14</v>
      </c>
      <c r="D59" s="1" t="s">
        <v>14</v>
      </c>
      <c r="E59" s="1" t="s">
        <v>35</v>
      </c>
      <c r="F59" s="1">
        <v>1.11321</v>
      </c>
      <c r="G59" s="1">
        <v>1.1469</v>
      </c>
      <c r="H59" s="1">
        <v>1.08985</v>
      </c>
      <c r="I59" s="1">
        <v>1.0578099999999999</v>
      </c>
      <c r="J59" s="1">
        <v>1.12216</v>
      </c>
      <c r="K59" s="1">
        <v>1.12713</v>
      </c>
      <c r="L59" s="1">
        <v>1.13547</v>
      </c>
      <c r="M59" s="1">
        <v>1.11321</v>
      </c>
      <c r="N59" s="1">
        <v>1.1469</v>
      </c>
      <c r="O59" s="1">
        <v>1.08985</v>
      </c>
      <c r="P59" s="1">
        <v>1.0578099999999999</v>
      </c>
      <c r="Q59" s="1">
        <v>1.12216</v>
      </c>
      <c r="R59" s="1">
        <v>1.12713</v>
      </c>
      <c r="S59" s="1">
        <v>1.13547</v>
      </c>
      <c r="T59" s="1">
        <v>1.11321</v>
      </c>
      <c r="U59" s="1">
        <v>1.1469</v>
      </c>
      <c r="V59" s="1">
        <v>1.08985</v>
      </c>
      <c r="W59" s="1">
        <v>1.0578099999999999</v>
      </c>
      <c r="X59" s="1">
        <v>1.12216</v>
      </c>
      <c r="Y59" s="1">
        <v>1.12713</v>
      </c>
      <c r="Z59" s="1">
        <v>1.13547</v>
      </c>
      <c r="AA59" s="1">
        <v>1.11321</v>
      </c>
      <c r="AB59" s="1">
        <v>1.1469</v>
      </c>
      <c r="AC59" s="1">
        <v>1.08985</v>
      </c>
      <c r="AD59" s="1">
        <v>1.0578099999999999</v>
      </c>
      <c r="AE59" s="1">
        <v>1.12216</v>
      </c>
      <c r="AF59" s="1">
        <v>1.12713</v>
      </c>
      <c r="AG59" s="1">
        <v>1.13547</v>
      </c>
      <c r="AL59" s="10"/>
      <c r="AM59" s="10"/>
      <c r="AN59" s="10"/>
      <c r="AO59" s="10"/>
      <c r="AP59" s="10"/>
      <c r="AQ59" s="10"/>
      <c r="AR59" s="10"/>
    </row>
    <row r="60" spans="1:62" ht="14.25" customHeight="1" x14ac:dyDescent="0.35">
      <c r="A60" s="1" t="s">
        <v>16</v>
      </c>
      <c r="B60" s="1" t="s">
        <v>16</v>
      </c>
      <c r="C60" s="1" t="s">
        <v>14</v>
      </c>
      <c r="D60" s="1" t="s">
        <v>14</v>
      </c>
      <c r="E60" s="1" t="s">
        <v>36</v>
      </c>
      <c r="F60" s="1">
        <v>1.09798</v>
      </c>
      <c r="G60" s="1">
        <v>1.1707700000000001</v>
      </c>
      <c r="H60" s="1">
        <v>1.0823799999999999</v>
      </c>
      <c r="I60" s="1">
        <v>1.0734999999999999</v>
      </c>
      <c r="J60" s="1">
        <v>1.14849</v>
      </c>
      <c r="K60" s="1">
        <v>1.1363000000000001</v>
      </c>
      <c r="L60" s="1">
        <v>1.1372800000000001</v>
      </c>
      <c r="M60" s="1">
        <v>1.09798</v>
      </c>
      <c r="N60" s="1">
        <v>1.1707700000000001</v>
      </c>
      <c r="O60" s="1">
        <v>1.0823799999999999</v>
      </c>
      <c r="P60" s="1">
        <v>1.0734999999999999</v>
      </c>
      <c r="Q60" s="1">
        <v>1.14849</v>
      </c>
      <c r="R60" s="1">
        <v>1.1363000000000001</v>
      </c>
      <c r="S60" s="1">
        <v>1.1372800000000001</v>
      </c>
      <c r="T60" s="1">
        <v>1.09798</v>
      </c>
      <c r="U60" s="1">
        <v>1.1707700000000001</v>
      </c>
      <c r="V60" s="1">
        <v>1.0823799999999999</v>
      </c>
      <c r="W60" s="1">
        <v>1.0734999999999999</v>
      </c>
      <c r="X60" s="1">
        <v>1.14849</v>
      </c>
      <c r="Y60" s="1">
        <v>1.1363000000000001</v>
      </c>
      <c r="Z60" s="1">
        <v>1.1372800000000001</v>
      </c>
      <c r="AA60" s="1">
        <v>1.09798</v>
      </c>
      <c r="AB60" s="1">
        <v>1.1707700000000001</v>
      </c>
      <c r="AC60" s="1">
        <v>1.0823799999999999</v>
      </c>
      <c r="AD60" s="1">
        <v>1.0734999999999999</v>
      </c>
      <c r="AE60" s="1">
        <v>1.14849</v>
      </c>
      <c r="AF60" s="1">
        <v>1.1363000000000001</v>
      </c>
      <c r="AG60" s="1">
        <v>1.1372800000000001</v>
      </c>
      <c r="AL60" s="14" t="s">
        <v>83</v>
      </c>
      <c r="AM60" s="14"/>
      <c r="AN60" s="14"/>
      <c r="AO60" s="14"/>
      <c r="AP60" s="14"/>
      <c r="AQ60" s="14"/>
      <c r="AR60" s="14"/>
    </row>
    <row r="61" spans="1:62" ht="14.25" customHeight="1" x14ac:dyDescent="0.35">
      <c r="A61" s="1" t="s">
        <v>14</v>
      </c>
      <c r="B61" s="1" t="s">
        <v>15</v>
      </c>
      <c r="C61" s="1" t="s">
        <v>13</v>
      </c>
      <c r="D61" s="1" t="s">
        <v>13</v>
      </c>
      <c r="E61" s="1" t="s">
        <v>37</v>
      </c>
      <c r="F61" s="1">
        <v>1.1382399999999999</v>
      </c>
      <c r="G61" s="1">
        <v>1.19126</v>
      </c>
      <c r="H61" s="1">
        <v>1.1240000000000001</v>
      </c>
      <c r="I61" s="1">
        <v>1.1296299999999999</v>
      </c>
      <c r="J61" s="1">
        <v>1.1834499999999999</v>
      </c>
      <c r="K61" s="1">
        <v>1.1633800000000001</v>
      </c>
      <c r="L61" s="1">
        <v>1.1638900000000001</v>
      </c>
      <c r="M61" s="1">
        <v>1.1382399999999999</v>
      </c>
      <c r="N61" s="1">
        <v>1.19126</v>
      </c>
      <c r="O61" s="1">
        <v>1.1240000000000001</v>
      </c>
      <c r="P61" s="1">
        <v>1.1296299999999999</v>
      </c>
      <c r="Q61" s="1">
        <v>1.1834499999999999</v>
      </c>
      <c r="R61" s="1">
        <v>1.1633800000000001</v>
      </c>
      <c r="S61" s="1">
        <v>1.1638900000000001</v>
      </c>
      <c r="T61" s="1">
        <v>1.1382399999999999</v>
      </c>
      <c r="U61" s="1">
        <v>1.19126</v>
      </c>
      <c r="V61" s="1">
        <v>1.1240000000000001</v>
      </c>
      <c r="W61" s="1">
        <v>1.1296299999999999</v>
      </c>
      <c r="X61" s="1">
        <v>1.1834499999999999</v>
      </c>
      <c r="Y61" s="1">
        <v>1.1633800000000001</v>
      </c>
      <c r="Z61" s="1">
        <v>1.1638900000000001</v>
      </c>
      <c r="AA61" s="1">
        <v>1.1382399999999999</v>
      </c>
      <c r="AB61" s="1">
        <v>1.19126</v>
      </c>
      <c r="AC61" s="1">
        <v>1.1240000000000001</v>
      </c>
      <c r="AD61" s="1">
        <v>1.1296299999999999</v>
      </c>
      <c r="AE61" s="1">
        <v>1.1834499999999999</v>
      </c>
      <c r="AF61" s="1">
        <v>1.1633800000000001</v>
      </c>
      <c r="AG61" s="1">
        <v>1.1638900000000001</v>
      </c>
      <c r="AL61" s="4"/>
      <c r="AM61" s="4" t="s">
        <v>13</v>
      </c>
      <c r="AN61" s="4" t="s">
        <v>14</v>
      </c>
      <c r="AO61" s="4" t="s">
        <v>15</v>
      </c>
      <c r="AP61" s="4" t="s">
        <v>16</v>
      </c>
      <c r="AQ61" s="4" t="s">
        <v>17</v>
      </c>
      <c r="AR61" s="4" t="s">
        <v>7</v>
      </c>
    </row>
    <row r="62" spans="1:62" ht="14.25" customHeight="1" x14ac:dyDescent="0.35">
      <c r="A62" s="1" t="s">
        <v>14</v>
      </c>
      <c r="B62" s="1" t="s">
        <v>15</v>
      </c>
      <c r="C62" s="1" t="s">
        <v>13</v>
      </c>
      <c r="D62" s="1" t="s">
        <v>13</v>
      </c>
      <c r="E62" s="1" t="s">
        <v>38</v>
      </c>
      <c r="F62" s="1">
        <v>1.12598</v>
      </c>
      <c r="G62" s="1">
        <v>1.1748499999999999</v>
      </c>
      <c r="H62" s="1">
        <v>1.1629799999999999</v>
      </c>
      <c r="I62" s="1">
        <v>1.1374899999999999</v>
      </c>
      <c r="J62" s="1">
        <v>1.1934899999999999</v>
      </c>
      <c r="K62" s="1">
        <v>1.17363</v>
      </c>
      <c r="L62" s="1">
        <v>1.19357</v>
      </c>
      <c r="M62" s="1">
        <v>1.12598</v>
      </c>
      <c r="N62" s="1">
        <v>1.1748499999999999</v>
      </c>
      <c r="O62" s="1">
        <v>1.1629799999999999</v>
      </c>
      <c r="P62" s="1">
        <v>1.1374899999999999</v>
      </c>
      <c r="Q62" s="1">
        <v>1.1934899999999999</v>
      </c>
      <c r="R62" s="1">
        <v>1.17363</v>
      </c>
      <c r="S62" s="1">
        <v>1.19357</v>
      </c>
      <c r="T62" s="1">
        <v>1.12598</v>
      </c>
      <c r="U62" s="1">
        <v>1.1748499999999999</v>
      </c>
      <c r="V62" s="1">
        <v>1.1629799999999999</v>
      </c>
      <c r="W62" s="1">
        <v>1.1374899999999999</v>
      </c>
      <c r="X62" s="1">
        <v>1.1934899999999999</v>
      </c>
      <c r="Y62" s="1">
        <v>1.17363</v>
      </c>
      <c r="Z62" s="1">
        <v>1.19357</v>
      </c>
      <c r="AA62" s="1">
        <v>1.12598</v>
      </c>
      <c r="AB62" s="1">
        <v>1.1748499999999999</v>
      </c>
      <c r="AC62" s="1">
        <v>1.1629799999999999</v>
      </c>
      <c r="AD62" s="1">
        <v>1.1374899999999999</v>
      </c>
      <c r="AE62" s="1">
        <v>1.1934899999999999</v>
      </c>
      <c r="AF62" s="1">
        <v>1.17363</v>
      </c>
      <c r="AG62" s="1">
        <v>1.19357</v>
      </c>
      <c r="AL62" s="4" t="s">
        <v>19</v>
      </c>
      <c r="AM62" s="6" cm="1">
        <f t="array" ref="AM62">IFERROR((SUMPRODUCT(($C$43:$C$66=AM$41)*($F$39:$AG$39="")*$F$43:$AG$66)+IF(AM$41="P3",SUMPRODUCT(($F$39:$AG$39="P3")*$F$43:$AG$66),0))/(SUMPRODUCT(($C$43:$C$66=AM$41)*($F$39:$AG$39=""))+IF(AM$41="P3",COUNTIF($F$39:$AG$39,"P3")*ROWS($C$43:$C$66),0)),"")</f>
        <v>1.107348</v>
      </c>
      <c r="AN62" s="6" cm="1">
        <f t="array" ref="AN62">IFERROR((SUMPRODUCT(($C$43:$C$66=AN$41)*($F$39:$AG$39="")*$F$43:$AG$66)+IF(AN$41="P3",SUMPRODUCT(($F$39:$AG$39="P3")*$F$43:$AG$66),0))/(SUMPRODUCT(($C$43:$C$66=AN$41)*($F$39:$AG$39=""))+IF(AN$41="P3",COUNTIF($F$39:$AG$39,"P3")*ROWS($C$43:$C$66),0)),"")</f>
        <v>1.1419265000000003</v>
      </c>
      <c r="AO62" s="6" cm="1">
        <f t="array" ref="AO62">IFERROR((SUMPRODUCT(($C$43:$C$66=AO$41)*($F$39:$AG$39="")*$F$43:$AG$66)+IF(AO$41="P3",SUMPRODUCT(($F$39:$AG$39="P3")*$F$43:$AG$66),0))/(SUMPRODUCT(($C$43:$C$66=AO$41)*($F$39:$AG$39=""))+IF(AO$41="P3",COUNTIF($F$39:$AG$39,"P3")*ROWS($C$43:$C$66),0)),"")</f>
        <v>1.224928068181818</v>
      </c>
      <c r="AP62" s="6" t="str" cm="1">
        <f t="array" ref="AP62">IFERROR((SUMPRODUCT(($C$43:$C$66=AP$41)*($F$39:$AG$39="")*$F$43:$AG$66)+IF(AP$41="P3",SUMPRODUCT(($F$39:$AG$39="P3")*$F$43:$AG$66),0))/(SUMPRODUCT(($C$43:$C$66=AP$41)*($F$39:$AG$39=""))+IF(AP$41="P3",COUNTIF($F$39:$AG$39,"P3")*ROWS($C$43:$C$66),0)),"")</f>
        <v/>
      </c>
      <c r="AQ62" s="6" t="str" cm="1">
        <f t="array" ref="AQ62">IFERROR((SUMPRODUCT(($C$43:$C$66=AQ$41)*($F$39:$AG$39="")*$F$43:$AG$66)+IF(AQ$41="P3",SUMPRODUCT(($F$39:$AG$39="P3")*$F$43:$AG$66),0))/(SUMPRODUCT(($C$43:$C$66=AQ$41)*($F$39:$AG$39=""))+IF(AQ$41="P3",COUNTIF($F$39:$AG$39,"P3")*ROWS($C$43:$C$66),0)),"")</f>
        <v/>
      </c>
      <c r="AR62" s="6" t="str" cm="1">
        <f t="array" ref="AR62">IFERROR((SUMPRODUCT(($C$43:$C$66=AR$41)*($F$39:$AG$39="")*$F$43:$AG$66)+IF(AR$41="P3",SUMPRODUCT(($F$39:$AG$39="P3")*$F$43:$AG$66),0))/(SUMPRODUCT(($C$43:$C$66=AR$41)*($F$39:$AG$39=""))+IF(AR$41="P3",COUNTIF($F$39:$AG$39,"P3")*ROWS($C$43:$C$66),0)),"")</f>
        <v/>
      </c>
    </row>
    <row r="63" spans="1:62" ht="14.25" customHeight="1" x14ac:dyDescent="0.35">
      <c r="A63" s="1" t="s">
        <v>14</v>
      </c>
      <c r="B63" s="1" t="s">
        <v>15</v>
      </c>
      <c r="C63" s="1" t="s">
        <v>13</v>
      </c>
      <c r="D63" s="1" t="s">
        <v>13</v>
      </c>
      <c r="E63" s="1" t="s">
        <v>39</v>
      </c>
      <c r="F63" s="1">
        <v>1.1528400000000001</v>
      </c>
      <c r="G63" s="1">
        <v>1.18851</v>
      </c>
      <c r="H63" s="1">
        <v>1.1874499999999999</v>
      </c>
      <c r="I63" s="1">
        <v>1.1723399999999999</v>
      </c>
      <c r="J63" s="1">
        <v>1.20374</v>
      </c>
      <c r="K63" s="1">
        <v>1.2070000000000001</v>
      </c>
      <c r="L63" s="1">
        <v>1.22197</v>
      </c>
      <c r="M63" s="1">
        <v>1.1528400000000001</v>
      </c>
      <c r="N63" s="1">
        <v>1.18851</v>
      </c>
      <c r="O63" s="1">
        <v>1.1874499999999999</v>
      </c>
      <c r="P63" s="1">
        <v>1.1723399999999999</v>
      </c>
      <c r="Q63" s="1">
        <v>1.20374</v>
      </c>
      <c r="R63" s="1">
        <v>1.2070000000000001</v>
      </c>
      <c r="S63" s="1">
        <v>1.22197</v>
      </c>
      <c r="T63" s="1">
        <v>1.1528400000000001</v>
      </c>
      <c r="U63" s="1">
        <v>1.18851</v>
      </c>
      <c r="V63" s="1">
        <v>1.1874499999999999</v>
      </c>
      <c r="W63" s="1">
        <v>1.1723399999999999</v>
      </c>
      <c r="X63" s="1">
        <v>1.20374</v>
      </c>
      <c r="Y63" s="1">
        <v>1.2070000000000001</v>
      </c>
      <c r="Z63" s="1">
        <v>1.22197</v>
      </c>
      <c r="AA63" s="1">
        <v>1.1528400000000001</v>
      </c>
      <c r="AB63" s="1">
        <v>1.18851</v>
      </c>
      <c r="AC63" s="1">
        <v>1.1874499999999999</v>
      </c>
      <c r="AD63" s="1">
        <v>1.1723399999999999</v>
      </c>
      <c r="AE63" s="1">
        <v>1.20374</v>
      </c>
      <c r="AF63" s="1">
        <v>1.2070000000000001</v>
      </c>
      <c r="AG63" s="1">
        <v>1.22197</v>
      </c>
      <c r="AL63" s="4" t="s">
        <v>21</v>
      </c>
      <c r="AM63" s="6" t="str" cm="1">
        <f t="array" ref="AM63">IFERROR((SUMPRODUCT(($B$43:$B$66=AM$41)*($F$40:$AG$40="")*$F$43:$AG$66)+IF(AM$41="P6",SUMPRODUCT(($F$40:$AG$40="P6")*$F$43:$AG$66),0))/(SUMPRODUCT(($B$43:$B$66=AM$41)*($F$40:$AG$40=""))+IF(AM$41="P6",COUNTIF($F$40:$AG$40,"P6")*ROWS($B$43:$B$66),0)),"")</f>
        <v/>
      </c>
      <c r="AN63" s="6" t="str" cm="1">
        <f t="array" ref="AN63">IFERROR((SUMPRODUCT(($B$43:$B$66=AN$41)*($F$40:$AG$40="")*$F$43:$AG$66)+IF(AN$41="P6",SUMPRODUCT(($F$40:$AG$40="P6")*$F$43:$AG$66),0))/(SUMPRODUCT(($B$43:$B$66=AN$41)*($F$40:$AG$40=""))+IF(AN$41="P6",COUNTIF($F$40:$AG$40,"P6")*ROWS($B$43:$B$66),0)),"")</f>
        <v/>
      </c>
      <c r="AO63" s="6" cm="1">
        <f t="array" ref="AO63">IFERROR((SUMPRODUCT(($B$43:$B$66=AO$41)*($F$40:$AG$40="")*$F$43:$AG$66)+IF(AO$41="P6",SUMPRODUCT(($F$40:$AG$40="P6")*$F$43:$AG$66),0))/(SUMPRODUCT(($B$43:$B$66=AO$41)*($F$40:$AG$40=""))+IF(AO$41="P6",COUNTIF($F$40:$AG$40,"P6")*ROWS($B$43:$B$66),0)),"")</f>
        <v>1.0992824444444445</v>
      </c>
      <c r="AP63" s="6" cm="1">
        <f t="array" ref="AP63">IFERROR((SUMPRODUCT(($B$43:$B$66=AP$41)*($F$40:$AG$40="")*$F$43:$AG$66)+IF(AP$41="P6",SUMPRODUCT(($F$40:$AG$40="P6")*$F$43:$AG$66),0))/(SUMPRODUCT(($B$43:$B$66=AP$41)*($F$40:$AG$40=""))+IF(AP$41="P6",COUNTIF($F$40:$AG$40,"P6")*ROWS($B$43:$B$66),0)),"")</f>
        <v>1.1572362857142857</v>
      </c>
      <c r="AQ63" s="6" t="str" cm="1">
        <f t="array" ref="AQ63">IFERROR((SUMPRODUCT(($B$43:$B$66=AQ$41)*($F$40:$AG$40="")*$F$43:$AG$66)+IF(AQ$41="P6",SUMPRODUCT(($F$40:$AG$40="P6")*$F$43:$AG$66),0))/(SUMPRODUCT(($B$43:$B$66=AQ$41)*($F$40:$AG$40=""))+IF(AQ$41="P6",COUNTIF($F$40:$AG$40,"P6")*ROWS($B$43:$B$66),0)),"")</f>
        <v/>
      </c>
      <c r="AR63" s="6" cm="1">
        <f t="array" ref="AR63">IFERROR((SUMPRODUCT(($B$43:$B$66=AR$41)*($F$40:$AG$40="")*$F$43:$AG$66)+IF(AR$41="P6",SUMPRODUCT(($F$40:$AG$40="P6")*$F$43:$AG$66),0))/(SUMPRODUCT(($B$43:$B$66=AR$41)*($F$40:$AG$40=""))+IF(AR$41="P6",COUNTIF($F$40:$AG$40,"P6")*ROWS($B$43:$B$66),0)),"")</f>
        <v>1.224928068181818</v>
      </c>
    </row>
    <row r="64" spans="1:62" ht="14.25" customHeight="1" x14ac:dyDescent="0.35">
      <c r="A64" s="1" t="s">
        <v>14</v>
      </c>
      <c r="B64" s="1" t="s">
        <v>15</v>
      </c>
      <c r="C64" s="1" t="s">
        <v>13</v>
      </c>
      <c r="D64" s="1" t="s">
        <v>13</v>
      </c>
      <c r="E64" s="1" t="s">
        <v>40</v>
      </c>
      <c r="F64" s="1">
        <v>1.1755899999999999</v>
      </c>
      <c r="G64" s="1">
        <v>1.1880299999999999</v>
      </c>
      <c r="H64" s="1">
        <v>1.2367600000000001</v>
      </c>
      <c r="I64" s="1">
        <v>1.21221</v>
      </c>
      <c r="J64" s="1">
        <v>1.24325</v>
      </c>
      <c r="K64" s="1">
        <v>1.2337199999999999</v>
      </c>
      <c r="L64" s="1">
        <v>1.2589900000000001</v>
      </c>
      <c r="M64" s="1">
        <v>1.1755899999999999</v>
      </c>
      <c r="N64" s="1">
        <v>1.1880299999999999</v>
      </c>
      <c r="O64" s="1">
        <v>1.2367600000000001</v>
      </c>
      <c r="P64" s="1">
        <v>1.21221</v>
      </c>
      <c r="Q64" s="1">
        <v>1.24325</v>
      </c>
      <c r="R64" s="1">
        <v>1.2337199999999999</v>
      </c>
      <c r="S64" s="1">
        <v>1.2589900000000001</v>
      </c>
      <c r="T64" s="1">
        <v>1.1755899999999999</v>
      </c>
      <c r="U64" s="1">
        <v>1.1880299999999999</v>
      </c>
      <c r="V64" s="1">
        <v>1.2367600000000001</v>
      </c>
      <c r="W64" s="1">
        <v>1.21221</v>
      </c>
      <c r="X64" s="1">
        <v>1.24325</v>
      </c>
      <c r="Y64" s="1">
        <v>1.2337199999999999</v>
      </c>
      <c r="Z64" s="1">
        <v>1.2589900000000001</v>
      </c>
      <c r="AA64" s="1">
        <v>1.1755899999999999</v>
      </c>
      <c r="AB64" s="1">
        <v>1.1880299999999999</v>
      </c>
      <c r="AC64" s="1">
        <v>1.2367600000000001</v>
      </c>
      <c r="AD64" s="1">
        <v>1.21221</v>
      </c>
      <c r="AE64" s="1">
        <v>1.24325</v>
      </c>
      <c r="AF64" s="1">
        <v>1.2337199999999999</v>
      </c>
      <c r="AG64" s="1">
        <v>1.2589900000000001</v>
      </c>
      <c r="AL64" s="4" t="s">
        <v>23</v>
      </c>
      <c r="AM64" s="6" t="str" cm="1">
        <f t="array" ref="AM64">IFERROR((SUMPRODUCT(($B$43:$B$66=AM$41)*($F$40:$AG$40="")*$F$43:$AG$66)+IF(AM$41="P6",SUMPRODUCT(($F$40:$AG$40="P6")*$F$43:$AG$66),0))/(SUMPRODUCT(($B$43:$B$66=AM$41)*($F$40:$AG$40=""))+IF(AM$41="P6",COUNTIF($F$40:$AG$40,"P6")*ROWS($B$43:$B$66),0)),"")</f>
        <v/>
      </c>
      <c r="AN64" s="6" t="str" cm="1">
        <f t="array" ref="AN64">IFERROR((SUMPRODUCT(($B$43:$B$66=AN$41)*($F$40:$AG$40="")*$F$43:$AG$66)+IF(AN$41="P6",SUMPRODUCT(($F$40:$AG$40="P6")*$F$43:$AG$66),0))/(SUMPRODUCT(($B$43:$B$66=AN$41)*($F$40:$AG$40=""))+IF(AN$41="P6",COUNTIF($F$40:$AG$40,"P6")*ROWS($B$43:$B$66),0)),"")</f>
        <v/>
      </c>
      <c r="AO64" s="6" cm="1">
        <f t="array" ref="AO64">IFERROR((SUMPRODUCT(($B$43:$B$66=AO$41)*($F$40:$AG$40="")*$F$43:$AG$66)+IF(AO$41="P6",SUMPRODUCT(($F$40:$AG$40="P6")*$F$43:$AG$66),0))/(SUMPRODUCT(($B$43:$B$66=AO$41)*($F$40:$AG$40=""))+IF(AO$41="P6",COUNTIF($F$40:$AG$40,"P6")*ROWS($B$43:$B$66),0)),"")</f>
        <v>1.0992824444444445</v>
      </c>
      <c r="AP64" s="6" cm="1">
        <f t="array" ref="AP64">IFERROR((SUMPRODUCT(($B$43:$B$66=AP$41)*($F$40:$AG$40="")*$F$43:$AG$66)+IF(AP$41="P6",SUMPRODUCT(($F$40:$AG$40="P6")*$F$43:$AG$66),0))/(SUMPRODUCT(($B$43:$B$66=AP$41)*($F$40:$AG$40=""))+IF(AP$41="P6",COUNTIF($F$40:$AG$40,"P6")*ROWS($B$43:$B$66),0)),"")</f>
        <v>1.1572362857142857</v>
      </c>
      <c r="AQ64" s="6" t="str" cm="1">
        <f t="array" ref="AQ64">IFERROR((SUMPRODUCT(($B$43:$B$66=AQ$41)*($F$40:$AG$40="")*$F$43:$AG$66)+IF(AQ$41="P6",SUMPRODUCT(($F$40:$AG$40="P6")*$F$43:$AG$66),0))/(SUMPRODUCT(($B$43:$B$66=AQ$41)*($F$40:$AG$40=""))+IF(AQ$41="P6",COUNTIF($F$40:$AG$40,"P6")*ROWS($B$43:$B$66),0)),"")</f>
        <v/>
      </c>
      <c r="AR64" s="6" cm="1">
        <f t="array" ref="AR64">IFERROR((SUMPRODUCT(($B$43:$B$66=AR$41)*($F$40:$AG$40="")*$F$43:$AG$66)+IF(AR$41="P6",SUMPRODUCT(($F$40:$AG$40="P6")*$F$43:$AG$66),0))/(SUMPRODUCT(($B$43:$B$66=AR$41)*($F$40:$AG$40=""))+IF(AR$41="P6",COUNTIF($F$40:$AG$40,"P6")*ROWS($B$43:$B$66),0)),"")</f>
        <v>1.224928068181818</v>
      </c>
    </row>
    <row r="65" spans="1:44" ht="14.25" customHeight="1" x14ac:dyDescent="0.35">
      <c r="A65" s="1" t="s">
        <v>16</v>
      </c>
      <c r="B65" s="1" t="s">
        <v>16</v>
      </c>
      <c r="C65" s="1" t="s">
        <v>14</v>
      </c>
      <c r="D65" s="1" t="s">
        <v>14</v>
      </c>
      <c r="E65" s="1" t="s">
        <v>41</v>
      </c>
      <c r="F65" s="1">
        <v>1.2068399999999999</v>
      </c>
      <c r="G65" s="1">
        <v>1.2243299999999999</v>
      </c>
      <c r="H65" s="1">
        <v>1.2943199999999999</v>
      </c>
      <c r="I65" s="1">
        <v>1.2508600000000001</v>
      </c>
      <c r="J65" s="1">
        <v>1.30501</v>
      </c>
      <c r="K65" s="1">
        <v>1.2619800000000001</v>
      </c>
      <c r="L65" s="1">
        <v>1.2935700000000001</v>
      </c>
      <c r="M65" s="1">
        <v>1.2068399999999999</v>
      </c>
      <c r="N65" s="1">
        <v>1.2243299999999999</v>
      </c>
      <c r="O65" s="1">
        <v>1.2943199999999999</v>
      </c>
      <c r="P65" s="1">
        <v>1.2508600000000001</v>
      </c>
      <c r="Q65" s="1">
        <v>1.30501</v>
      </c>
      <c r="R65" s="1">
        <v>1.2619800000000001</v>
      </c>
      <c r="S65" s="1">
        <v>1.2935700000000001</v>
      </c>
      <c r="T65" s="1">
        <v>1.2068399999999999</v>
      </c>
      <c r="U65" s="1">
        <v>1.2243299999999999</v>
      </c>
      <c r="V65" s="1">
        <v>1.2943199999999999</v>
      </c>
      <c r="W65" s="1">
        <v>1.2508600000000001</v>
      </c>
      <c r="X65" s="1">
        <v>1.30501</v>
      </c>
      <c r="Y65" s="1">
        <v>1.2619800000000001</v>
      </c>
      <c r="Z65" s="1">
        <v>1.2935700000000001</v>
      </c>
      <c r="AA65" s="1">
        <v>1.2068399999999999</v>
      </c>
      <c r="AB65" s="1">
        <v>1.2243299999999999</v>
      </c>
      <c r="AC65" s="1">
        <v>1.2943199999999999</v>
      </c>
      <c r="AD65" s="1">
        <v>1.2508600000000001</v>
      </c>
      <c r="AE65" s="1">
        <v>1.30501</v>
      </c>
      <c r="AF65" s="1">
        <v>1.2619800000000001</v>
      </c>
      <c r="AG65" s="1">
        <v>1.2935700000000001</v>
      </c>
      <c r="AL65" s="4" t="s">
        <v>25</v>
      </c>
      <c r="AM65" s="6" t="str" cm="1">
        <f t="array" ref="AM65">IFERROR((SUMPRODUCT(($B$43:$B$66=AM$41)*($F$40:$AG$40="")*$F$43:$AG$66)+IF(AM$41="P6",SUMPRODUCT(($F$40:$AG$40="P6")*$F$43:$AG$66),0))/(SUMPRODUCT(($B$43:$B$66=AM$41)*($F$40:$AG$40=""))+IF(AM$41="P6",COUNTIF($F$40:$AG$40,"P6")*ROWS($B$43:$B$66),0)),"")</f>
        <v/>
      </c>
      <c r="AN65" s="6" t="str" cm="1">
        <f t="array" ref="AN65">IFERROR((SUMPRODUCT(($B$43:$B$66=AN$41)*($F$40:$AG$40="")*$F$43:$AG$66)+IF(AN$41="P6",SUMPRODUCT(($F$40:$AG$40="P6")*$F$43:$AG$66),0))/(SUMPRODUCT(($B$43:$B$66=AN$41)*($F$40:$AG$40=""))+IF(AN$41="P6",COUNTIF($F$40:$AG$40,"P6")*ROWS($B$43:$B$66),0)),"")</f>
        <v/>
      </c>
      <c r="AO65" s="6" cm="1">
        <f t="array" ref="AO65">IFERROR((SUMPRODUCT(($B$43:$B$66=AO$41)*($F$40:$AG$40="")*$F$43:$AG$66)+IF(AO$41="P6",SUMPRODUCT(($F$40:$AG$40="P6")*$F$43:$AG$66),0))/(SUMPRODUCT(($B$43:$B$66=AO$41)*($F$40:$AG$40=""))+IF(AO$41="P6",COUNTIF($F$40:$AG$40,"P6")*ROWS($B$43:$B$66),0)),"")</f>
        <v>1.0992824444444445</v>
      </c>
      <c r="AP65" s="6" cm="1">
        <f t="array" ref="AP65">IFERROR((SUMPRODUCT(($B$43:$B$66=AP$41)*($F$40:$AG$40="")*$F$43:$AG$66)+IF(AP$41="P6",SUMPRODUCT(($F$40:$AG$40="P6")*$F$43:$AG$66),0))/(SUMPRODUCT(($B$43:$B$66=AP$41)*($F$40:$AG$40=""))+IF(AP$41="P6",COUNTIF($F$40:$AG$40,"P6")*ROWS($B$43:$B$66),0)),"")</f>
        <v>1.1572362857142857</v>
      </c>
      <c r="AQ65" s="6" t="str" cm="1">
        <f t="array" ref="AQ65">IFERROR((SUMPRODUCT(($B$43:$B$66=AQ$41)*($F$40:$AG$40="")*$F$43:$AG$66)+IF(AQ$41="P6",SUMPRODUCT(($F$40:$AG$40="P6")*$F$43:$AG$66),0))/(SUMPRODUCT(($B$43:$B$66=AQ$41)*($F$40:$AG$40=""))+IF(AQ$41="P6",COUNTIF($F$40:$AG$40,"P6")*ROWS($B$43:$B$66),0)),"")</f>
        <v/>
      </c>
      <c r="AR65" s="6" cm="1">
        <f t="array" ref="AR65">IFERROR((SUMPRODUCT(($B$43:$B$66=AR$41)*($F$40:$AG$40="")*$F$43:$AG$66)+IF(AR$41="P6",SUMPRODUCT(($F$40:$AG$40="P6")*$F$43:$AG$66),0))/(SUMPRODUCT(($B$43:$B$66=AR$41)*($F$40:$AG$40=""))+IF(AR$41="P6",COUNTIF($F$40:$AG$40,"P6")*ROWS($B$43:$B$66),0)),"")</f>
        <v>1.224928068181818</v>
      </c>
    </row>
    <row r="66" spans="1:44" ht="14.25" customHeight="1" x14ac:dyDescent="0.35">
      <c r="A66" s="1" t="s">
        <v>16</v>
      </c>
      <c r="B66" s="1" t="s">
        <v>16</v>
      </c>
      <c r="C66" s="1" t="s">
        <v>14</v>
      </c>
      <c r="D66" s="1" t="s">
        <v>14</v>
      </c>
      <c r="E66" s="1" t="s">
        <v>42</v>
      </c>
      <c r="F66" s="1">
        <v>1.2506600000000001</v>
      </c>
      <c r="G66" s="1">
        <v>1.256</v>
      </c>
      <c r="H66" s="1">
        <v>1.3571899999999999</v>
      </c>
      <c r="I66" s="1">
        <v>1.3042899999999999</v>
      </c>
      <c r="J66" s="1">
        <v>1.3485100000000001</v>
      </c>
      <c r="K66" s="1">
        <v>1.32569</v>
      </c>
      <c r="L66" s="1">
        <v>1.3307800000000001</v>
      </c>
      <c r="M66" s="1">
        <v>1.2506600000000001</v>
      </c>
      <c r="N66" s="1">
        <v>1.256</v>
      </c>
      <c r="O66" s="1">
        <v>1.3571899999999999</v>
      </c>
      <c r="P66" s="1">
        <v>1.3042899999999999</v>
      </c>
      <c r="Q66" s="1">
        <v>1.3485100000000001</v>
      </c>
      <c r="R66" s="1">
        <v>1.32569</v>
      </c>
      <c r="S66" s="1">
        <v>1.3307800000000001</v>
      </c>
      <c r="T66" s="1">
        <v>1.2506600000000001</v>
      </c>
      <c r="U66" s="1">
        <v>1.256</v>
      </c>
      <c r="V66" s="1">
        <v>1.3571899999999999</v>
      </c>
      <c r="W66" s="1">
        <v>1.3042899999999999</v>
      </c>
      <c r="X66" s="1">
        <v>1.3485100000000001</v>
      </c>
      <c r="Y66" s="1">
        <v>1.32569</v>
      </c>
      <c r="Z66" s="1">
        <v>1.3307800000000001</v>
      </c>
      <c r="AA66" s="1">
        <v>1.2506600000000001</v>
      </c>
      <c r="AB66" s="1">
        <v>1.256</v>
      </c>
      <c r="AC66" s="1">
        <v>1.3571899999999999</v>
      </c>
      <c r="AD66" s="1">
        <v>1.3042899999999999</v>
      </c>
      <c r="AE66" s="1">
        <v>1.3485100000000001</v>
      </c>
      <c r="AF66" s="1">
        <v>1.32569</v>
      </c>
      <c r="AG66" s="1">
        <v>1.3307800000000001</v>
      </c>
      <c r="AL66" s="4" t="s">
        <v>27</v>
      </c>
      <c r="AM66" s="6" t="str" cm="1">
        <f t="array" ref="AM66">IFERROR((SUMPRODUCT(($B$43:$B$66=AM$41)*($F$40:$AG$40="")*$F$43:$AG$66)+IF(AM$41="P6",SUMPRODUCT(($F$40:$AG$40="P6")*$F$43:$AG$66),0))/(SUMPRODUCT(($B$43:$B$66=AM$41)*($F$40:$AG$40=""))+IF(AM$41="P6",COUNTIF($F$40:$AG$40,"P6")*ROWS($B$43:$B$66),0)),"")</f>
        <v/>
      </c>
      <c r="AN66" s="6" t="str" cm="1">
        <f t="array" ref="AN66">IFERROR((SUMPRODUCT(($B$43:$B$66=AN$41)*($F$40:$AG$40="")*$F$43:$AG$66)+IF(AN$41="P6",SUMPRODUCT(($F$40:$AG$40="P6")*$F$43:$AG$66),0))/(SUMPRODUCT(($B$43:$B$66=AN$41)*($F$40:$AG$40=""))+IF(AN$41="P6",COUNTIF($F$40:$AG$40,"P6")*ROWS($B$43:$B$66),0)),"")</f>
        <v/>
      </c>
      <c r="AO66" s="6" cm="1">
        <f t="array" ref="AO66">IFERROR((SUMPRODUCT(($B$43:$B$66=AO$41)*($F$40:$AG$40="")*$F$43:$AG$66)+IF(AO$41="P6",SUMPRODUCT(($F$40:$AG$40="P6")*$F$43:$AG$66),0))/(SUMPRODUCT(($B$43:$B$66=AO$41)*($F$40:$AG$40=""))+IF(AO$41="P6",COUNTIF($F$40:$AG$40,"P6")*ROWS($B$43:$B$66),0)),"")</f>
        <v>1.0992824444444445</v>
      </c>
      <c r="AP66" s="6" cm="1">
        <f t="array" ref="AP66">IFERROR((SUMPRODUCT(($B$43:$B$66=AP$41)*($F$40:$AG$40="")*$F$43:$AG$66)+IF(AP$41="P6",SUMPRODUCT(($F$40:$AG$40="P6")*$F$43:$AG$66),0))/(SUMPRODUCT(($B$43:$B$66=AP$41)*($F$40:$AG$40=""))+IF(AP$41="P6",COUNTIF($F$40:$AG$40,"P6")*ROWS($B$43:$B$66),0)),"")</f>
        <v>1.1572362857142857</v>
      </c>
      <c r="AQ66" s="6" t="str" cm="1">
        <f t="array" ref="AQ66">IFERROR((SUMPRODUCT(($B$43:$B$66=AQ$41)*($F$40:$AG$40="")*$F$43:$AG$66)+IF(AQ$41="P6",SUMPRODUCT(($F$40:$AG$40="P6")*$F$43:$AG$66),0))/(SUMPRODUCT(($B$43:$B$66=AQ$41)*($F$40:$AG$40=""))+IF(AQ$41="P6",COUNTIF($F$40:$AG$40,"P6")*ROWS($B$43:$B$66),0)),"")</f>
        <v/>
      </c>
      <c r="AR66" s="6" cm="1">
        <f t="array" ref="AR66">IFERROR((SUMPRODUCT(($B$43:$B$66=AR$41)*($F$40:$AG$40="")*$F$43:$AG$66)+IF(AR$41="P6",SUMPRODUCT(($F$40:$AG$40="P6")*$F$43:$AG$66),0))/(SUMPRODUCT(($B$43:$B$66=AR$41)*($F$40:$AG$40=""))+IF(AR$41="P6",COUNTIF($F$40:$AG$40,"P6")*ROWS($B$43:$B$66),0)),"")</f>
        <v>1.224928068181818</v>
      </c>
    </row>
    <row r="67" spans="1:44" ht="14.25" customHeight="1" x14ac:dyDescent="0.35">
      <c r="AL67" s="4" t="s">
        <v>29</v>
      </c>
      <c r="AM67" s="6" t="str" cm="1">
        <f t="array" ref="AM67">IFERROR((SUMPRODUCT(($B$43:$B$66=AM$41)*($F$40:$AG$40="")*$F$43:$AG$66)+IF(AM$41="P6",SUMPRODUCT(($F$40:$AG$40="P6")*$F$43:$AG$66),0))/(SUMPRODUCT(($B$43:$B$66=AM$41)*($F$40:$AG$40=""))+IF(AM$41="P6",COUNTIF($F$40:$AG$40,"P6")*ROWS($B$43:$B$66),0)),"")</f>
        <v/>
      </c>
      <c r="AN67" s="6" t="str" cm="1">
        <f t="array" ref="AN67">IFERROR((SUMPRODUCT(($B$43:$B$66=AN$41)*($F$40:$AG$40="")*$F$43:$AG$66)+IF(AN$41="P6",SUMPRODUCT(($F$40:$AG$40="P6")*$F$43:$AG$66),0))/(SUMPRODUCT(($B$43:$B$66=AN$41)*($F$40:$AG$40=""))+IF(AN$41="P6",COUNTIF($F$40:$AG$40,"P6")*ROWS($B$43:$B$66),0)),"")</f>
        <v/>
      </c>
      <c r="AO67" s="6" cm="1">
        <f t="array" ref="AO67">IFERROR((SUMPRODUCT(($B$43:$B$66=AO$41)*($F$40:$AG$40="")*$F$43:$AG$66)+IF(AO$41="P6",SUMPRODUCT(($F$40:$AG$40="P6")*$F$43:$AG$66),0))/(SUMPRODUCT(($B$43:$B$66=AO$41)*($F$40:$AG$40=""))+IF(AO$41="P6",COUNTIF($F$40:$AG$40,"P6")*ROWS($B$43:$B$66),0)),"")</f>
        <v>1.0992824444444445</v>
      </c>
      <c r="AP67" s="6" cm="1">
        <f t="array" ref="AP67">IFERROR((SUMPRODUCT(($B$43:$B$66=AP$41)*($F$40:$AG$40="")*$F$43:$AG$66)+IF(AP$41="P6",SUMPRODUCT(($F$40:$AG$40="P6")*$F$43:$AG$66),0))/(SUMPRODUCT(($B$43:$B$66=AP$41)*($F$40:$AG$40=""))+IF(AP$41="P6",COUNTIF($F$40:$AG$40,"P6")*ROWS($B$43:$B$66),0)),"")</f>
        <v>1.1572362857142857</v>
      </c>
      <c r="AQ67" s="6" t="str" cm="1">
        <f t="array" ref="AQ67">IFERROR((SUMPRODUCT(($B$43:$B$66=AQ$41)*($F$40:$AG$40="")*$F$43:$AG$66)+IF(AQ$41="P6",SUMPRODUCT(($F$40:$AG$40="P6")*$F$43:$AG$66),0))/(SUMPRODUCT(($B$43:$B$66=AQ$41)*($F$40:$AG$40=""))+IF(AQ$41="P6",COUNTIF($F$40:$AG$40,"P6")*ROWS($B$43:$B$66),0)),"")</f>
        <v/>
      </c>
      <c r="AR67" s="6" cm="1">
        <f t="array" ref="AR67">IFERROR((SUMPRODUCT(($B$43:$B$66=AR$41)*($F$40:$AG$40="")*$F$43:$AG$66)+IF(AR$41="P6",SUMPRODUCT(($F$40:$AG$40="P6")*$F$43:$AG$66),0))/(SUMPRODUCT(($B$43:$B$66=AR$41)*($F$40:$AG$40=""))+IF(AR$41="P6",COUNTIF($F$40:$AG$40,"P6")*ROWS($B$43:$B$66),0)),"")</f>
        <v>1.224928068181818</v>
      </c>
    </row>
    <row r="71" spans="1:44" ht="14.25" customHeight="1" x14ac:dyDescent="0.35">
      <c r="A71" s="15" t="s">
        <v>45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1:44" ht="14.25" customHeight="1" x14ac:dyDescent="0.3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1:44" ht="14.25" customHeight="1" x14ac:dyDescent="0.35">
      <c r="AL73" s="10"/>
      <c r="AM73" s="10"/>
      <c r="AN73" s="10"/>
      <c r="AO73" s="10"/>
      <c r="AP73" s="10"/>
      <c r="AQ73" s="10"/>
      <c r="AR73" s="10"/>
    </row>
    <row r="74" spans="1:44" ht="14.25" customHeight="1" x14ac:dyDescent="0.35">
      <c r="F74" s="1" t="str">
        <f>IF(OR(F76="S",F76="D"),"P3","")</f>
        <v>P3</v>
      </c>
      <c r="G74" s="1" t="str">
        <f t="shared" ref="G74:AJ74" si="15">IF(OR(G76="S",G76="D"),"P3","")</f>
        <v>P3</v>
      </c>
      <c r="H74" s="1" t="str">
        <f t="shared" si="15"/>
        <v/>
      </c>
      <c r="I74" s="1" t="str">
        <f t="shared" si="15"/>
        <v/>
      </c>
      <c r="J74" s="1" t="str">
        <f t="shared" si="15"/>
        <v/>
      </c>
      <c r="K74" s="1" t="str">
        <f t="shared" si="15"/>
        <v/>
      </c>
      <c r="L74" s="1" t="str">
        <f t="shared" si="15"/>
        <v/>
      </c>
      <c r="M74" s="1" t="str">
        <f t="shared" si="15"/>
        <v>P3</v>
      </c>
      <c r="N74" s="1" t="str">
        <f t="shared" si="15"/>
        <v>P3</v>
      </c>
      <c r="O74" s="1" t="str">
        <f t="shared" si="15"/>
        <v/>
      </c>
      <c r="P74" s="1" t="str">
        <f t="shared" si="15"/>
        <v/>
      </c>
      <c r="Q74" s="1" t="str">
        <f t="shared" si="15"/>
        <v/>
      </c>
      <c r="R74" s="1" t="str">
        <f t="shared" si="15"/>
        <v/>
      </c>
      <c r="S74" s="1" t="str">
        <f t="shared" si="15"/>
        <v/>
      </c>
      <c r="T74" s="1" t="str">
        <f t="shared" si="15"/>
        <v>P3</v>
      </c>
      <c r="U74" s="1" t="str">
        <f t="shared" si="15"/>
        <v>P3</v>
      </c>
      <c r="V74" s="1" t="str">
        <f t="shared" si="15"/>
        <v/>
      </c>
      <c r="W74" s="1" t="str">
        <f t="shared" si="15"/>
        <v/>
      </c>
      <c r="X74" s="1" t="str">
        <f t="shared" si="15"/>
        <v/>
      </c>
      <c r="Y74" s="1" t="str">
        <f t="shared" si="15"/>
        <v/>
      </c>
      <c r="Z74" s="1" t="str">
        <f t="shared" si="15"/>
        <v/>
      </c>
      <c r="AA74" s="1" t="str">
        <f t="shared" si="15"/>
        <v>P3</v>
      </c>
      <c r="AB74" s="1" t="str">
        <f t="shared" si="15"/>
        <v>P3</v>
      </c>
      <c r="AC74" s="1" t="str">
        <f t="shared" si="15"/>
        <v/>
      </c>
      <c r="AD74" s="1" t="str">
        <f t="shared" si="15"/>
        <v/>
      </c>
      <c r="AE74" s="1" t="str">
        <f t="shared" si="15"/>
        <v/>
      </c>
      <c r="AF74" s="1" t="str">
        <f t="shared" si="15"/>
        <v/>
      </c>
      <c r="AG74" s="1" t="str">
        <f t="shared" si="15"/>
        <v/>
      </c>
      <c r="AH74" s="1" t="str">
        <f t="shared" si="15"/>
        <v>P3</v>
      </c>
      <c r="AI74" s="1" t="str">
        <f t="shared" si="15"/>
        <v>P3</v>
      </c>
      <c r="AJ74" s="1" t="str">
        <f t="shared" si="15"/>
        <v/>
      </c>
      <c r="AL74" s="10"/>
      <c r="AM74" s="10"/>
      <c r="AN74" s="10"/>
      <c r="AO74" s="10"/>
      <c r="AP74" s="10"/>
      <c r="AQ74" s="10"/>
      <c r="AR74" s="10"/>
    </row>
    <row r="75" spans="1:44" ht="14.25" customHeight="1" x14ac:dyDescent="0.35">
      <c r="F75" s="1" t="str">
        <f>IF(OR(F76="S",F76="D"),"P6","")</f>
        <v>P6</v>
      </c>
      <c r="G75" s="1" t="str">
        <f t="shared" ref="G75:AJ75" si="16">IF(OR(G76="S",G76="D"),"P6","")</f>
        <v>P6</v>
      </c>
      <c r="H75" s="1" t="str">
        <f t="shared" si="16"/>
        <v/>
      </c>
      <c r="I75" s="1" t="str">
        <f t="shared" si="16"/>
        <v/>
      </c>
      <c r="J75" s="1" t="str">
        <f t="shared" si="16"/>
        <v/>
      </c>
      <c r="K75" s="1" t="str">
        <f t="shared" si="16"/>
        <v/>
      </c>
      <c r="L75" s="1" t="str">
        <f t="shared" si="16"/>
        <v/>
      </c>
      <c r="M75" s="1" t="str">
        <f t="shared" si="16"/>
        <v>P6</v>
      </c>
      <c r="N75" s="1" t="str">
        <f t="shared" si="16"/>
        <v>P6</v>
      </c>
      <c r="O75" s="1" t="str">
        <f t="shared" si="16"/>
        <v/>
      </c>
      <c r="P75" s="1" t="str">
        <f t="shared" si="16"/>
        <v/>
      </c>
      <c r="Q75" s="1" t="str">
        <f t="shared" si="16"/>
        <v/>
      </c>
      <c r="R75" s="1" t="str">
        <f t="shared" si="16"/>
        <v/>
      </c>
      <c r="S75" s="1" t="str">
        <f t="shared" si="16"/>
        <v/>
      </c>
      <c r="T75" s="1" t="str">
        <f t="shared" si="16"/>
        <v>P6</v>
      </c>
      <c r="U75" s="1" t="str">
        <f t="shared" si="16"/>
        <v>P6</v>
      </c>
      <c r="V75" s="1" t="str">
        <f t="shared" si="16"/>
        <v/>
      </c>
      <c r="W75" s="1" t="str">
        <f t="shared" si="16"/>
        <v/>
      </c>
      <c r="X75" s="1" t="str">
        <f t="shared" si="16"/>
        <v/>
      </c>
      <c r="Y75" s="1" t="str">
        <f t="shared" si="16"/>
        <v/>
      </c>
      <c r="Z75" s="1" t="str">
        <f t="shared" si="16"/>
        <v/>
      </c>
      <c r="AA75" s="1" t="str">
        <f t="shared" si="16"/>
        <v>P6</v>
      </c>
      <c r="AB75" s="1" t="str">
        <f t="shared" si="16"/>
        <v>P6</v>
      </c>
      <c r="AC75" s="1" t="str">
        <f t="shared" si="16"/>
        <v/>
      </c>
      <c r="AD75" s="1" t="str">
        <f t="shared" si="16"/>
        <v/>
      </c>
      <c r="AE75" s="1" t="str">
        <f t="shared" si="16"/>
        <v/>
      </c>
      <c r="AF75" s="1" t="str">
        <f t="shared" si="16"/>
        <v/>
      </c>
      <c r="AG75" s="1" t="str">
        <f t="shared" si="16"/>
        <v/>
      </c>
      <c r="AH75" s="1" t="str">
        <f t="shared" si="16"/>
        <v>P6</v>
      </c>
      <c r="AI75" s="1" t="str">
        <f t="shared" si="16"/>
        <v>P6</v>
      </c>
      <c r="AJ75" s="1" t="str">
        <f t="shared" si="16"/>
        <v/>
      </c>
      <c r="AL75" s="14" t="s">
        <v>84</v>
      </c>
      <c r="AM75" s="14"/>
      <c r="AN75" s="14"/>
      <c r="AO75" s="14"/>
      <c r="AP75" s="14"/>
      <c r="AQ75" s="14"/>
      <c r="AR75" s="14"/>
    </row>
    <row r="76" spans="1:44" ht="14.25" customHeight="1" x14ac:dyDescent="0.35">
      <c r="F76" s="1" t="str">
        <f>CHOOSE(WEEKDAY(F77,2),"L","M","X","J","V","S","D")</f>
        <v>S</v>
      </c>
      <c r="G76" s="1" t="str">
        <f t="shared" ref="G76:AJ76" si="17">CHOOSE(WEEKDAY(G77,2),"L","M","X","J","V","S","D")</f>
        <v>D</v>
      </c>
      <c r="H76" s="1" t="str">
        <f t="shared" si="17"/>
        <v>L</v>
      </c>
      <c r="I76" s="1" t="str">
        <f t="shared" si="17"/>
        <v>M</v>
      </c>
      <c r="J76" s="1" t="str">
        <f t="shared" si="17"/>
        <v>X</v>
      </c>
      <c r="K76" s="1" t="str">
        <f t="shared" si="17"/>
        <v>J</v>
      </c>
      <c r="L76" s="1" t="str">
        <f t="shared" si="17"/>
        <v>V</v>
      </c>
      <c r="M76" s="1" t="str">
        <f t="shared" si="17"/>
        <v>S</v>
      </c>
      <c r="N76" s="1" t="str">
        <f t="shared" si="17"/>
        <v>D</v>
      </c>
      <c r="O76" s="1" t="str">
        <f t="shared" si="17"/>
        <v>L</v>
      </c>
      <c r="P76" s="1" t="str">
        <f t="shared" si="17"/>
        <v>M</v>
      </c>
      <c r="Q76" s="1" t="str">
        <f t="shared" si="17"/>
        <v>X</v>
      </c>
      <c r="R76" s="1" t="str">
        <f t="shared" si="17"/>
        <v>J</v>
      </c>
      <c r="S76" s="1" t="str">
        <f t="shared" si="17"/>
        <v>V</v>
      </c>
      <c r="T76" s="1" t="str">
        <f t="shared" si="17"/>
        <v>S</v>
      </c>
      <c r="U76" s="1" t="str">
        <f t="shared" si="17"/>
        <v>D</v>
      </c>
      <c r="V76" s="1" t="str">
        <f t="shared" si="17"/>
        <v>L</v>
      </c>
      <c r="W76" s="1" t="str">
        <f t="shared" si="17"/>
        <v>M</v>
      </c>
      <c r="X76" s="1" t="str">
        <f t="shared" si="17"/>
        <v>X</v>
      </c>
      <c r="Y76" s="1" t="str">
        <f t="shared" si="17"/>
        <v>J</v>
      </c>
      <c r="Z76" s="1" t="str">
        <f t="shared" si="17"/>
        <v>V</v>
      </c>
      <c r="AA76" s="1" t="str">
        <f t="shared" si="17"/>
        <v>S</v>
      </c>
      <c r="AB76" s="1" t="str">
        <f t="shared" si="17"/>
        <v>D</v>
      </c>
      <c r="AC76" s="1" t="str">
        <f t="shared" si="17"/>
        <v>L</v>
      </c>
      <c r="AD76" s="1" t="str">
        <f t="shared" si="17"/>
        <v>M</v>
      </c>
      <c r="AE76" s="1" t="str">
        <f t="shared" si="17"/>
        <v>X</v>
      </c>
      <c r="AF76" s="1" t="str">
        <f t="shared" si="17"/>
        <v>J</v>
      </c>
      <c r="AG76" s="1" t="str">
        <f t="shared" si="17"/>
        <v>V</v>
      </c>
      <c r="AH76" s="1" t="str">
        <f t="shared" si="17"/>
        <v>S</v>
      </c>
      <c r="AI76" s="1" t="str">
        <f t="shared" si="17"/>
        <v>D</v>
      </c>
      <c r="AJ76" s="1" t="str">
        <f t="shared" si="17"/>
        <v>L</v>
      </c>
      <c r="AL76" s="4"/>
      <c r="AM76" s="4" t="s">
        <v>13</v>
      </c>
      <c r="AN76" s="4" t="s">
        <v>14</v>
      </c>
      <c r="AO76" s="4" t="s">
        <v>15</v>
      </c>
      <c r="AP76" s="4" t="s">
        <v>16</v>
      </c>
      <c r="AQ76" s="4" t="s">
        <v>17</v>
      </c>
      <c r="AR76" s="4" t="s">
        <v>7</v>
      </c>
    </row>
    <row r="77" spans="1:44" ht="14.25" customHeight="1" x14ac:dyDescent="0.35">
      <c r="A77" s="3" t="s">
        <v>76</v>
      </c>
      <c r="B77" s="3" t="s">
        <v>77</v>
      </c>
      <c r="C77" s="3" t="s">
        <v>75</v>
      </c>
      <c r="D77" s="3" t="s">
        <v>74</v>
      </c>
      <c r="F77" s="8">
        <v>45717</v>
      </c>
      <c r="G77" s="8">
        <v>45718</v>
      </c>
      <c r="H77" s="8">
        <v>45719</v>
      </c>
      <c r="I77" s="8">
        <v>45720</v>
      </c>
      <c r="J77" s="8">
        <v>45721</v>
      </c>
      <c r="K77" s="8">
        <v>45722</v>
      </c>
      <c r="L77" s="8">
        <v>45723</v>
      </c>
      <c r="M77" s="8">
        <v>45724</v>
      </c>
      <c r="N77" s="8">
        <v>45725</v>
      </c>
      <c r="O77" s="8">
        <v>45726</v>
      </c>
      <c r="P77" s="8">
        <v>45727</v>
      </c>
      <c r="Q77" s="8">
        <v>45728</v>
      </c>
      <c r="R77" s="8">
        <v>45729</v>
      </c>
      <c r="S77" s="8">
        <v>45730</v>
      </c>
      <c r="T77" s="8">
        <v>45731</v>
      </c>
      <c r="U77" s="8">
        <v>45732</v>
      </c>
      <c r="V77" s="8">
        <v>45733</v>
      </c>
      <c r="W77" s="8">
        <v>45734</v>
      </c>
      <c r="X77" s="8">
        <v>45735</v>
      </c>
      <c r="Y77" s="8">
        <v>45736</v>
      </c>
      <c r="Z77" s="8">
        <v>45737</v>
      </c>
      <c r="AA77" s="8">
        <v>45738</v>
      </c>
      <c r="AB77" s="8">
        <v>45739</v>
      </c>
      <c r="AC77" s="8">
        <v>45740</v>
      </c>
      <c r="AD77" s="8">
        <v>45741</v>
      </c>
      <c r="AE77" s="8">
        <v>45742</v>
      </c>
      <c r="AF77" s="8">
        <v>45743</v>
      </c>
      <c r="AG77" s="8">
        <v>45744</v>
      </c>
      <c r="AH77" s="8">
        <v>45745</v>
      </c>
      <c r="AI77" s="8">
        <v>45746</v>
      </c>
      <c r="AJ77" s="8">
        <v>45747</v>
      </c>
      <c r="AL77" s="4" t="s">
        <v>19</v>
      </c>
      <c r="AM77" s="6" cm="1">
        <f t="array" ref="AM77">IFERROR((SUMPRODUCT(($C$78:$C$101=AM$76)*($F$74:$AJ$74="")*$F$78:$AJ$101)+IF(AM$76="P3",SUMPRODUCT(($F$74:$AJ$74="P3")*$F$78:$AJ$101),0))/(SUMPRODUCT(($C$78:$C$101=AM$76)*($F$74:$AJ$74=""))+IF(AM$76="P3",COUNTIF($F$74:$AJ$74,"P3")*ROWS($C$78:$C$101),0)),"")</f>
        <v>1.0598379166666663</v>
      </c>
      <c r="AN77" s="6" cm="1">
        <f t="array" ref="AN77">IFERROR((SUMPRODUCT(($C$78:$C$101=AN$41)*($F$74:$AJ$74="")*$F$78:$AJ$101)+IF(AN$41="P3",SUMPRODUCT(($F$74:$AJ$74="P3")*$F$78:$AJ$101),0))/(SUMPRODUCT(($C$78:$C$101=AN$41)*($F$74:$AJ$74=""))+IF(AN$41="P3",COUNTIF($F$74:$AJ$74,"P3")*ROWS($C$78:$C$101),0)),"")</f>
        <v>1.1346030952380959</v>
      </c>
      <c r="AO77" s="6" cm="1">
        <f t="array" ref="AO77">IFERROR((SUMPRODUCT(($C$78:$C$101=AO$41)*($F$74:$AJ$74="")*$F$78:$AJ$101)+IF(AO$41="P3",SUMPRODUCT(($F$74:$AJ$74="P3")*$F$78:$AJ$101),0))/(SUMPRODUCT(($C$78:$C$101=AO$41)*($F$74:$AJ$74=""))+IF(AO$41="P3",COUNTIF($F$74:$AJ$74,"P3")*ROWS($C$78:$C$101),0)),"")</f>
        <v>1.2101434313725492</v>
      </c>
      <c r="AP77" s="6" t="str" cm="1">
        <f t="array" ref="AP77">IFERROR((SUMPRODUCT(($C$78:$C$101=AP$41)*($F$74:$AJ$74="")*$F$78:$AJ$101)+IF(AP$41="P3",SUMPRODUCT(($F$74:$AJ$74="P3")*$F$78:$AJ$101),0))/(SUMPRODUCT(($C$78:$C$101=AP$41)*($F$74:$AJ$74=""))+IF(AP$41="P3",COUNTIF($F$74:$AJ$74,"P3")*ROWS($C$78:$C$101),0)),"")</f>
        <v/>
      </c>
      <c r="AQ77" s="6" t="str" cm="1">
        <f t="array" ref="AQ77">IFERROR((SUMPRODUCT(($C$78:$C$101=AQ$41)*($F$74:$AJ$74="")*$F$78:$AJ$101)+IF(AQ$41="P3",SUMPRODUCT(($F$74:$AJ$74="P3")*$F$78:$AJ$101),0))/(SUMPRODUCT(($C$78:$C$101=AQ$41)*($F$74:$AJ$74=""))+IF(AQ$41="P3",COUNTIF($F$74:$AJ$74,"P3")*ROWS($C$78:$C$101),0)),"")</f>
        <v/>
      </c>
      <c r="AR77" s="6" t="str" cm="1">
        <f t="array" ref="AR77">IFERROR((SUMPRODUCT(($C$78:$C$101=AR$41)*($F$74:$AJ$74="")*$F$78:$AJ$101)+IF(AR$41="P3",SUMPRODUCT(($F$74:$AJ$74="P3")*$F$78:$AJ$101),0))/(SUMPRODUCT(($C$78:$C$101=AR$41)*($F$74:$AJ$74=""))+IF(AR$41="P3",COUNTIF($F$74:$AJ$74,"P3")*ROWS($C$78:$C$101),0)),"")</f>
        <v/>
      </c>
    </row>
    <row r="78" spans="1:44" ht="14.25" customHeight="1" x14ac:dyDescent="0.35">
      <c r="A78" s="1" t="s">
        <v>7</v>
      </c>
      <c r="B78" s="1" t="s">
        <v>7</v>
      </c>
      <c r="C78" s="1" t="s">
        <v>15</v>
      </c>
      <c r="D78" s="1" t="s">
        <v>7</v>
      </c>
      <c r="E78" s="1" t="s">
        <v>8</v>
      </c>
      <c r="F78" s="1">
        <v>1.2546999999999999</v>
      </c>
      <c r="G78" s="1">
        <v>1.2799499999999999</v>
      </c>
      <c r="H78" s="1">
        <v>1.2738100000000001</v>
      </c>
      <c r="I78" s="1">
        <v>1.22393</v>
      </c>
      <c r="J78" s="1">
        <v>1.2329600000000001</v>
      </c>
      <c r="K78" s="1">
        <v>1.2578100000000001</v>
      </c>
      <c r="L78" s="1">
        <v>1.2445600000000001</v>
      </c>
      <c r="M78" s="1">
        <v>1.2546999999999999</v>
      </c>
      <c r="N78" s="1">
        <v>1.2799499999999999</v>
      </c>
      <c r="O78" s="1">
        <v>1.2738100000000001</v>
      </c>
      <c r="P78" s="1">
        <v>1.22393</v>
      </c>
      <c r="Q78" s="1">
        <v>1.2329600000000001</v>
      </c>
      <c r="R78" s="1">
        <v>1.2578100000000001</v>
      </c>
      <c r="S78" s="1">
        <v>1.2445600000000001</v>
      </c>
      <c r="T78" s="1">
        <v>1.2546999999999999</v>
      </c>
      <c r="U78" s="1">
        <v>1.2799499999999999</v>
      </c>
      <c r="V78" s="1">
        <v>1.2738100000000001</v>
      </c>
      <c r="W78" s="1">
        <v>1.22393</v>
      </c>
      <c r="X78" s="1">
        <v>1.2329600000000001</v>
      </c>
      <c r="Y78" s="1">
        <v>1.2578100000000001</v>
      </c>
      <c r="Z78" s="1">
        <v>1.2445600000000001</v>
      </c>
      <c r="AA78" s="1">
        <v>1.2546999999999999</v>
      </c>
      <c r="AB78" s="1">
        <v>1.2799499999999999</v>
      </c>
      <c r="AC78" s="1">
        <v>1.2738100000000001</v>
      </c>
      <c r="AD78" s="1">
        <v>1.22393</v>
      </c>
      <c r="AE78" s="1">
        <v>1.2329600000000001</v>
      </c>
      <c r="AF78" s="1">
        <v>1.2578100000000001</v>
      </c>
      <c r="AG78" s="1">
        <v>1.2445600000000001</v>
      </c>
      <c r="AH78" s="1">
        <v>1.2546999999999999</v>
      </c>
      <c r="AI78" s="1">
        <v>1.2799499999999999</v>
      </c>
      <c r="AJ78" s="1">
        <v>1.2738100000000001</v>
      </c>
      <c r="AL78" s="4" t="s">
        <v>21</v>
      </c>
      <c r="AM78" s="6" t="str" cm="1">
        <f t="array" ref="AM78">IFERROR((SUMPRODUCT(($D$78:$D$101=AM$76)*($F$75:$AJ$75="")*$F$78:$AJ$101)+IF(AM$76="P6",SUMPRODUCT(($F$75:$AJ$75="P6")*$F$78:$AJ$101),0))/(SUMPRODUCT(($D$78:$D$101=AM$76)*($F$75:$AJ$75=""))+IF(AM$76="P6",COUNTIF($F$75:$AJ$75,"P6")*ROWS($D$78:$D$101),0)),"")</f>
        <v/>
      </c>
      <c r="AN78" s="6" cm="1">
        <f t="array" ref="AN78">IFERROR((SUMPRODUCT(($D$78:$D$101=AN$76)*($F$75:$AJ$75="")*$F$78:$AJ$101)+IF(AN$76="P6",SUMPRODUCT(($F$75:$AJ$75="P6")*$F$78:$AJ$101),0))/(SUMPRODUCT(($D$78:$D$101=AN$76)*($F$75:$AJ$75=""))+IF(AN$76="P6",COUNTIF($F$75:$AJ$75,"P6")*ROWS($D$78:$D$101),0)),"")</f>
        <v>1.0551878306878302</v>
      </c>
      <c r="AO78" s="6" cm="1">
        <f t="array" ref="AO78">IFERROR((SUMPRODUCT(($D$78:$D$101=AO$76)*($F$75:$AJ$75="")*$F$78:$AJ$101)+IF(AO$76="P6",SUMPRODUCT(($F$75:$AJ$75="P6")*$F$78:$AJ$101),0))/(SUMPRODUCT(($D$78:$D$101=AO$76)*($F$75:$AJ$75=""))+IF(AO$76="P6",COUNTIF($F$75:$AJ$75,"P6")*ROWS($D$78:$D$101),0)),"")</f>
        <v>1.1512625170068036</v>
      </c>
      <c r="AP78" s="6" t="str" cm="1">
        <f t="array" ref="AP78">IFERROR((SUMPRODUCT(($D$78:$D$101=AP$76)*($F$75:$AJ$75="")*$F$78:$AJ$101)+IF(AP$76="P6",SUMPRODUCT(($F$75:$AJ$75="P6")*$F$78:$AJ$101),0))/(SUMPRODUCT(($D$78:$D$101=AP$76)*($F$75:$AJ$75=""))+IF(AP$76="P6",COUNTIF($F$75:$AJ$75,"P6")*ROWS($D$78:$D$101),0)),"")</f>
        <v/>
      </c>
      <c r="AQ78" s="6" t="str" cm="1">
        <f t="array" ref="AQ78">IFERROR((SUMPRODUCT(($D$78:$D$101=AQ$76)*($F$75:$AJ$75="")*$F$78:$AJ$101)+IF(AQ$76="P6",SUMPRODUCT(($F$75:$AJ$75="P6")*$F$78:$AJ$101),0))/(SUMPRODUCT(($D$78:$D$101=AQ$76)*($F$75:$AJ$75=""))+IF(AQ$76="P6",COUNTIF($F$75:$AJ$75,"P6")*ROWS($D$78:$D$101),0)),"")</f>
        <v/>
      </c>
      <c r="AR78" s="6" cm="1">
        <f t="array" ref="AR78">IFERROR((SUMPRODUCT(($D$78:$D$101=AR$76)*($F$75:$AJ$75="")*$F$78:$AJ$101)+IF(AR$76="P6",SUMPRODUCT(($F$75:$AJ$75="P6")*$F$78:$AJ$101),0))/(SUMPRODUCT(($D$78:$D$101=AR$76)*($F$75:$AJ$75=""))+IF(AR$76="P6",COUNTIF($F$75:$AJ$75,"P6")*ROWS($D$78:$D$101),0)),"")</f>
        <v>1.2101434313725492</v>
      </c>
    </row>
    <row r="79" spans="1:44" ht="14.25" customHeight="1" x14ac:dyDescent="0.35">
      <c r="A79" s="1" t="s">
        <v>7</v>
      </c>
      <c r="B79" s="1" t="s">
        <v>7</v>
      </c>
      <c r="C79" s="1" t="s">
        <v>15</v>
      </c>
      <c r="D79" s="1" t="s">
        <v>7</v>
      </c>
      <c r="E79" s="1" t="s">
        <v>9</v>
      </c>
      <c r="F79" s="1">
        <v>1.31671</v>
      </c>
      <c r="G79" s="1">
        <v>1.32741</v>
      </c>
      <c r="H79" s="1">
        <v>1.33342</v>
      </c>
      <c r="I79" s="1">
        <v>1.25668</v>
      </c>
      <c r="J79" s="1">
        <v>1.2860100000000001</v>
      </c>
      <c r="K79" s="1">
        <v>1.31172</v>
      </c>
      <c r="L79" s="1">
        <v>1.2855099999999999</v>
      </c>
      <c r="M79" s="1">
        <v>1.31671</v>
      </c>
      <c r="N79" s="1">
        <v>1.32741</v>
      </c>
      <c r="O79" s="1">
        <v>1.33342</v>
      </c>
      <c r="P79" s="1">
        <v>1.25668</v>
      </c>
      <c r="Q79" s="1">
        <v>1.2860100000000001</v>
      </c>
      <c r="R79" s="1">
        <v>1.31172</v>
      </c>
      <c r="S79" s="1">
        <v>1.2855099999999999</v>
      </c>
      <c r="T79" s="1">
        <v>1.31671</v>
      </c>
      <c r="U79" s="1">
        <v>1.32741</v>
      </c>
      <c r="V79" s="1">
        <v>1.33342</v>
      </c>
      <c r="W79" s="1">
        <v>1.25668</v>
      </c>
      <c r="X79" s="1">
        <v>1.2860100000000001</v>
      </c>
      <c r="Y79" s="1">
        <v>1.31172</v>
      </c>
      <c r="Z79" s="1">
        <v>1.2855099999999999</v>
      </c>
      <c r="AA79" s="1">
        <v>1.31671</v>
      </c>
      <c r="AB79" s="1">
        <v>1.32741</v>
      </c>
      <c r="AC79" s="1">
        <v>1.33342</v>
      </c>
      <c r="AD79" s="1">
        <v>1.25668</v>
      </c>
      <c r="AE79" s="1">
        <v>1.2860100000000001</v>
      </c>
      <c r="AF79" s="1">
        <v>1.31172</v>
      </c>
      <c r="AG79" s="1">
        <v>1.2855099999999999</v>
      </c>
      <c r="AH79" s="1">
        <v>1.31671</v>
      </c>
      <c r="AI79" s="1">
        <v>1.32741</v>
      </c>
      <c r="AJ79" s="1">
        <v>1.33342</v>
      </c>
      <c r="AL79" s="4" t="s">
        <v>23</v>
      </c>
      <c r="AM79" s="6" t="str" cm="1">
        <f t="array" ref="AM79">IFERROR((SUMPRODUCT(($D$78:$D$101=AM$76)*($F$75:$AJ$75="")*$F$78:$AJ$101)+IF(AM$76="P6",SUMPRODUCT(($F$75:$AJ$75="P6")*$F$78:$AJ$101),0))/(SUMPRODUCT(($D$78:$D$101=AM$76)*($F$75:$AJ$75=""))+IF(AM$76="P6",COUNTIF($F$75:$AJ$75,"P6")*ROWS($D$78:$D$101),0)),"")</f>
        <v/>
      </c>
      <c r="AN79" s="6" cm="1">
        <f t="array" ref="AN79">IFERROR((SUMPRODUCT(($D$78:$D$101=AN$76)*($F$75:$AJ$75="")*$F$78:$AJ$101)+IF(AN$76="P6",SUMPRODUCT(($F$75:$AJ$75="P6")*$F$78:$AJ$101),0))/(SUMPRODUCT(($D$78:$D$101=AN$76)*($F$75:$AJ$75=""))+IF(AN$76="P6",COUNTIF($F$75:$AJ$75,"P6")*ROWS($D$78:$D$101),0)),"")</f>
        <v>1.0551878306878302</v>
      </c>
      <c r="AO79" s="5" cm="1">
        <f t="array" ref="AO79">IFERROR((SUMPRODUCT(($D$78:$D$101=AO$76)*($F$75:$AJ$75="")*$F$78:$AJ$101)+IF(AO$76="P6",SUMPRODUCT(($F$75:$AJ$75="P6")*$F$78:$AJ$101),0))/(SUMPRODUCT(($D$78:$D$101=AO$76)*($F$75:$AJ$75=""))+IF(AO$76="P6",COUNTIF($F$75:$AJ$75,"P6")*ROWS($D$78:$D$101),0)),"")</f>
        <v>1.1512625170068036</v>
      </c>
      <c r="AP79" s="5" t="str" cm="1">
        <f t="array" ref="AP79">IFERROR((SUMPRODUCT(($D$78:$D$101=AP$76)*($F$75:$AJ$75="")*$F$78:$AJ$101)+IF(AP$76="P6",SUMPRODUCT(($F$75:$AJ$75="P6")*$F$78:$AJ$101),0))/(SUMPRODUCT(($D$78:$D$101=AP$76)*($F$75:$AJ$75=""))+IF(AP$76="P6",COUNTIF($F$75:$AJ$75,"P6")*ROWS($D$78:$D$101),0)),"")</f>
        <v/>
      </c>
      <c r="AQ79" s="5" t="str" cm="1">
        <f t="array" ref="AQ79">IFERROR((SUMPRODUCT(($D$78:$D$101=AQ$76)*($F$75:$AJ$75="")*$F$78:$AJ$101)+IF(AQ$76="P6",SUMPRODUCT(($F$75:$AJ$75="P6")*$F$78:$AJ$101),0))/(SUMPRODUCT(($D$78:$D$101=AQ$76)*($F$75:$AJ$75=""))+IF(AQ$76="P6",COUNTIF($F$75:$AJ$75,"P6")*ROWS($D$78:$D$101),0)),"")</f>
        <v/>
      </c>
      <c r="AR79" s="6" cm="1">
        <f t="array" ref="AR79">IFERROR((SUMPRODUCT(($D$78:$D$101=AR$76)*($F$75:$AJ$75="")*$F$78:$AJ$101)+IF(AR$76="P6",SUMPRODUCT(($F$75:$AJ$75="P6")*$F$78:$AJ$101),0))/(SUMPRODUCT(($D$78:$D$101=AR$76)*($F$75:$AJ$75=""))+IF(AR$76="P6",COUNTIF($F$75:$AJ$75,"P6")*ROWS($D$78:$D$101),0)),"")</f>
        <v>1.2101434313725492</v>
      </c>
    </row>
    <row r="80" spans="1:44" ht="14.25" customHeight="1" x14ac:dyDescent="0.35">
      <c r="A80" s="1" t="s">
        <v>7</v>
      </c>
      <c r="B80" s="1" t="s">
        <v>7</v>
      </c>
      <c r="C80" s="1" t="s">
        <v>15</v>
      </c>
      <c r="D80" s="1" t="s">
        <v>7</v>
      </c>
      <c r="E80" s="1" t="s">
        <v>10</v>
      </c>
      <c r="F80" s="1">
        <v>1.3654999999999999</v>
      </c>
      <c r="G80" s="1">
        <v>1.3695999999999999</v>
      </c>
      <c r="H80" s="1">
        <v>1.3549199999999999</v>
      </c>
      <c r="I80" s="1">
        <v>1.2871600000000001</v>
      </c>
      <c r="J80" s="1">
        <v>1.3331900000000001</v>
      </c>
      <c r="K80" s="1">
        <v>1.35006</v>
      </c>
      <c r="L80" s="1">
        <v>1.3048999999999999</v>
      </c>
      <c r="M80" s="1">
        <v>1.3654999999999999</v>
      </c>
      <c r="N80" s="1">
        <v>1.3695999999999999</v>
      </c>
      <c r="O80" s="1">
        <v>1.3549199999999999</v>
      </c>
      <c r="P80" s="1">
        <v>1.2871600000000001</v>
      </c>
      <c r="Q80" s="1">
        <v>1.3331900000000001</v>
      </c>
      <c r="R80" s="1">
        <v>1.35006</v>
      </c>
      <c r="S80" s="1">
        <v>1.3048999999999999</v>
      </c>
      <c r="T80" s="1">
        <v>1.3654999999999999</v>
      </c>
      <c r="U80" s="1">
        <v>1.3695999999999999</v>
      </c>
      <c r="V80" s="1">
        <v>1.3549199999999999</v>
      </c>
      <c r="W80" s="1">
        <v>1.2871600000000001</v>
      </c>
      <c r="X80" s="1">
        <v>1.3331900000000001</v>
      </c>
      <c r="Y80" s="1">
        <v>1.35006</v>
      </c>
      <c r="Z80" s="1">
        <v>1.3048999999999999</v>
      </c>
      <c r="AA80" s="1">
        <v>1.3654999999999999</v>
      </c>
      <c r="AB80" s="1">
        <v>1.3695999999999999</v>
      </c>
      <c r="AC80" s="1">
        <v>1.3549199999999999</v>
      </c>
      <c r="AD80" s="1">
        <v>1.2871600000000001</v>
      </c>
      <c r="AE80" s="1">
        <v>1.3331900000000001</v>
      </c>
      <c r="AF80" s="1">
        <v>1.35006</v>
      </c>
      <c r="AG80" s="1">
        <v>1.3048999999999999</v>
      </c>
      <c r="AH80" s="1">
        <v>1.3654999999999999</v>
      </c>
      <c r="AI80" s="1">
        <v>0</v>
      </c>
      <c r="AJ80" s="1">
        <v>1.3549199999999999</v>
      </c>
      <c r="AL80" s="4" t="s">
        <v>25</v>
      </c>
      <c r="AM80" s="6" t="str" cm="1">
        <f t="array" ref="AM80">IFERROR((SUMPRODUCT(($D$78:$D$101=AM$76)*($F$75:$AJ$75="")*$F$78:$AJ$101)+IF(AM$76="P6",SUMPRODUCT(($F$75:$AJ$75="P6")*$F$78:$AJ$101),0))/(SUMPRODUCT(($D$78:$D$101=AM$76)*($F$75:$AJ$75=""))+IF(AM$76="P6",COUNTIF($F$75:$AJ$75,"P6")*ROWS($D$78:$D$101),0)),"")</f>
        <v/>
      </c>
      <c r="AN80" s="6" cm="1">
        <f t="array" ref="AN80">IFERROR((SUMPRODUCT(($D$78:$D$101=AN$76)*($F$75:$AJ$75="")*$F$78:$AJ$101)+IF(AN$76="P6",SUMPRODUCT(($F$75:$AJ$75="P6")*$F$78:$AJ$101),0))/(SUMPRODUCT(($D$78:$D$101=AN$76)*($F$75:$AJ$75=""))+IF(AN$76="P6",COUNTIF($F$75:$AJ$75,"P6")*ROWS($D$78:$D$101),0)),"")</f>
        <v>1.0551878306878302</v>
      </c>
      <c r="AO80" s="5" cm="1">
        <f t="array" ref="AO80">IFERROR((SUMPRODUCT(($D$78:$D$101=AO$76)*($F$75:$AJ$75="")*$F$78:$AJ$101)+IF(AO$76="P6",SUMPRODUCT(($F$75:$AJ$75="P6")*$F$78:$AJ$101),0))/(SUMPRODUCT(($D$78:$D$101=AO$76)*($F$75:$AJ$75=""))+IF(AO$76="P6",COUNTIF($F$75:$AJ$75,"P6")*ROWS($D$78:$D$101),0)),"")</f>
        <v>1.1512625170068036</v>
      </c>
      <c r="AP80" s="5" t="str" cm="1">
        <f t="array" ref="AP80">IFERROR((SUMPRODUCT(($D$78:$D$101=AP$76)*($F$75:$AJ$75="")*$F$78:$AJ$101)+IF(AP$76="P6",SUMPRODUCT(($F$75:$AJ$75="P6")*$F$78:$AJ$101),0))/(SUMPRODUCT(($D$78:$D$101=AP$76)*($F$75:$AJ$75=""))+IF(AP$76="P6",COUNTIF($F$75:$AJ$75,"P6")*ROWS($D$78:$D$101),0)),"")</f>
        <v/>
      </c>
      <c r="AQ80" s="5" t="str" cm="1">
        <f t="array" ref="AQ80">IFERROR((SUMPRODUCT(($D$78:$D$101=AQ$76)*($F$75:$AJ$75="")*$F$78:$AJ$101)+IF(AQ$76="P6",SUMPRODUCT(($F$75:$AJ$75="P6")*$F$78:$AJ$101),0))/(SUMPRODUCT(($D$78:$D$101=AQ$76)*($F$75:$AJ$75=""))+IF(AQ$76="P6",COUNTIF($F$75:$AJ$75,"P6")*ROWS($D$78:$D$101),0)),"")</f>
        <v/>
      </c>
      <c r="AR80" s="6" cm="1">
        <f t="array" ref="AR80">IFERROR((SUMPRODUCT(($D$78:$D$101=AR$76)*($F$75:$AJ$75="")*$F$78:$AJ$101)+IF(AR$76="P6",SUMPRODUCT(($F$75:$AJ$75="P6")*$F$78:$AJ$101),0))/(SUMPRODUCT(($D$78:$D$101=AR$76)*($F$75:$AJ$75=""))+IF(AR$76="P6",COUNTIF($F$75:$AJ$75,"P6")*ROWS($D$78:$D$101),0)),"")</f>
        <v>1.2101434313725492</v>
      </c>
    </row>
    <row r="81" spans="1:44" ht="14.25" customHeight="1" x14ac:dyDescent="0.35">
      <c r="A81" s="1" t="s">
        <v>7</v>
      </c>
      <c r="B81" s="1" t="s">
        <v>7</v>
      </c>
      <c r="C81" s="1" t="s">
        <v>15</v>
      </c>
      <c r="D81" s="1" t="s">
        <v>7</v>
      </c>
      <c r="E81" s="1" t="s">
        <v>11</v>
      </c>
      <c r="F81" s="1">
        <v>1.38815</v>
      </c>
      <c r="G81" s="1">
        <v>1.40571</v>
      </c>
      <c r="H81" s="1">
        <v>1.36236</v>
      </c>
      <c r="I81" s="1">
        <v>1.2946299999999999</v>
      </c>
      <c r="J81" s="1">
        <v>1.32779</v>
      </c>
      <c r="K81" s="1">
        <v>1.3589800000000001</v>
      </c>
      <c r="L81" s="1">
        <v>1.3220000000000001</v>
      </c>
      <c r="M81" s="1">
        <v>1.38815</v>
      </c>
      <c r="N81" s="1">
        <v>1.40571</v>
      </c>
      <c r="O81" s="1">
        <v>1.36236</v>
      </c>
      <c r="P81" s="1">
        <v>1.2946299999999999</v>
      </c>
      <c r="Q81" s="1">
        <v>1.32779</v>
      </c>
      <c r="R81" s="1">
        <v>1.3589800000000001</v>
      </c>
      <c r="S81" s="1">
        <v>1.3220000000000001</v>
      </c>
      <c r="T81" s="1">
        <v>1.38815</v>
      </c>
      <c r="U81" s="1">
        <v>1.40571</v>
      </c>
      <c r="V81" s="1">
        <v>1.36236</v>
      </c>
      <c r="W81" s="1">
        <v>1.2946299999999999</v>
      </c>
      <c r="X81" s="1">
        <v>1.32779</v>
      </c>
      <c r="Y81" s="1">
        <v>1.3589800000000001</v>
      </c>
      <c r="Z81" s="1">
        <v>1.3220000000000001</v>
      </c>
      <c r="AA81" s="1">
        <v>1.38815</v>
      </c>
      <c r="AB81" s="1">
        <v>1.40571</v>
      </c>
      <c r="AC81" s="1">
        <v>1.36236</v>
      </c>
      <c r="AD81" s="1">
        <v>1.2946299999999999</v>
      </c>
      <c r="AE81" s="1">
        <v>1.32779</v>
      </c>
      <c r="AF81" s="1">
        <v>1.3589800000000001</v>
      </c>
      <c r="AG81" s="1">
        <v>1.3220000000000001</v>
      </c>
      <c r="AH81" s="1">
        <v>1.38815</v>
      </c>
      <c r="AI81" s="1">
        <v>1.3695999999999999</v>
      </c>
      <c r="AJ81" s="1">
        <v>1.36236</v>
      </c>
      <c r="AL81" s="4" t="s">
        <v>27</v>
      </c>
      <c r="AM81" s="6" t="str" cm="1">
        <f t="array" ref="AM81">IFERROR((SUMPRODUCT(($D$78:$D$101=AM$76)*($F$75:$AJ$75="")*$F$78:$AJ$101)+IF(AM$76="P6",SUMPRODUCT(($F$75:$AJ$75="P6")*$F$78:$AJ$101),0))/(SUMPRODUCT(($D$78:$D$101=AM$76)*($F$75:$AJ$75=""))+IF(AM$76="P6",COUNTIF($F$75:$AJ$75,"P6")*ROWS($D$78:$D$101),0)),"")</f>
        <v/>
      </c>
      <c r="AN81" s="6" cm="1">
        <f t="array" ref="AN81">IFERROR((SUMPRODUCT(($D$78:$D$101=AN$76)*($F$75:$AJ$75="")*$F$78:$AJ$101)+IF(AN$76="P6",SUMPRODUCT(($F$75:$AJ$75="P6")*$F$78:$AJ$101),0))/(SUMPRODUCT(($D$78:$D$101=AN$76)*($F$75:$AJ$75=""))+IF(AN$76="P6",COUNTIF($F$75:$AJ$75,"P6")*ROWS($D$78:$D$101),0)),"")</f>
        <v>1.0551878306878302</v>
      </c>
      <c r="AO81" s="5" cm="1">
        <f t="array" ref="AO81">IFERROR((SUMPRODUCT(($D$78:$D$101=AO$76)*($F$75:$AJ$75="")*$F$78:$AJ$101)+IF(AO$76="P6",SUMPRODUCT(($F$75:$AJ$75="P6")*$F$78:$AJ$101),0))/(SUMPRODUCT(($D$78:$D$101=AO$76)*($F$75:$AJ$75=""))+IF(AO$76="P6",COUNTIF($F$75:$AJ$75,"P6")*ROWS($D$78:$D$101),0)),"")</f>
        <v>1.1512625170068036</v>
      </c>
      <c r="AP81" s="5" t="str" cm="1">
        <f t="array" ref="AP81">IFERROR((SUMPRODUCT(($D$78:$D$101=AP$76)*($F$75:$AJ$75="")*$F$78:$AJ$101)+IF(AP$76="P6",SUMPRODUCT(($F$75:$AJ$75="P6")*$F$78:$AJ$101),0))/(SUMPRODUCT(($D$78:$D$101=AP$76)*($F$75:$AJ$75=""))+IF(AP$76="P6",COUNTIF($F$75:$AJ$75,"P6")*ROWS($D$78:$D$101),0)),"")</f>
        <v/>
      </c>
      <c r="AQ81" s="5" t="str" cm="1">
        <f t="array" ref="AQ81">IFERROR((SUMPRODUCT(($D$78:$D$101=AQ$76)*($F$75:$AJ$75="")*$F$78:$AJ$101)+IF(AQ$76="P6",SUMPRODUCT(($F$75:$AJ$75="P6")*$F$78:$AJ$101),0))/(SUMPRODUCT(($D$78:$D$101=AQ$76)*($F$75:$AJ$75=""))+IF(AQ$76="P6",COUNTIF($F$75:$AJ$75,"P6")*ROWS($D$78:$D$101),0)),"")</f>
        <v/>
      </c>
      <c r="AR81" s="6" cm="1">
        <f t="array" ref="AR81">IFERROR((SUMPRODUCT(($D$78:$D$101=AR$76)*($F$75:$AJ$75="")*$F$78:$AJ$101)+IF(AR$76="P6",SUMPRODUCT(($F$75:$AJ$75="P6")*$F$78:$AJ$101),0))/(SUMPRODUCT(($D$78:$D$101=AR$76)*($F$75:$AJ$75=""))+IF(AR$76="P6",COUNTIF($F$75:$AJ$75,"P6")*ROWS($D$78:$D$101),0)),"")</f>
        <v>1.2101434313725492</v>
      </c>
    </row>
    <row r="82" spans="1:44" ht="14.25" customHeight="1" x14ac:dyDescent="0.35">
      <c r="A82" s="1" t="s">
        <v>7</v>
      </c>
      <c r="B82" s="1" t="s">
        <v>7</v>
      </c>
      <c r="C82" s="1" t="s">
        <v>15</v>
      </c>
      <c r="D82" s="1" t="s">
        <v>7</v>
      </c>
      <c r="E82" s="1" t="s">
        <v>12</v>
      </c>
      <c r="F82" s="1">
        <v>1.39879</v>
      </c>
      <c r="G82" s="1">
        <v>1.4114100000000001</v>
      </c>
      <c r="H82" s="1">
        <v>1.35318</v>
      </c>
      <c r="I82" s="1">
        <v>1.29118</v>
      </c>
      <c r="J82" s="1">
        <v>1.32443</v>
      </c>
      <c r="K82" s="1">
        <v>1.36063</v>
      </c>
      <c r="L82" s="1">
        <v>1.32653</v>
      </c>
      <c r="M82" s="1">
        <v>1.39879</v>
      </c>
      <c r="N82" s="1">
        <v>1.4114100000000001</v>
      </c>
      <c r="O82" s="1">
        <v>1.35318</v>
      </c>
      <c r="P82" s="1">
        <v>1.29118</v>
      </c>
      <c r="Q82" s="1">
        <v>1.32443</v>
      </c>
      <c r="R82" s="1">
        <v>1.36063</v>
      </c>
      <c r="S82" s="1">
        <v>1.32653</v>
      </c>
      <c r="T82" s="1">
        <v>1.39879</v>
      </c>
      <c r="U82" s="1">
        <v>1.4114100000000001</v>
      </c>
      <c r="V82" s="1">
        <v>1.35318</v>
      </c>
      <c r="W82" s="1">
        <v>1.29118</v>
      </c>
      <c r="X82" s="1">
        <v>1.32443</v>
      </c>
      <c r="Y82" s="1">
        <v>1.36063</v>
      </c>
      <c r="Z82" s="1">
        <v>1.32653</v>
      </c>
      <c r="AA82" s="1">
        <v>1.39879</v>
      </c>
      <c r="AB82" s="1">
        <v>1.4114100000000001</v>
      </c>
      <c r="AC82" s="1">
        <v>1.35318</v>
      </c>
      <c r="AD82" s="1">
        <v>1.29118</v>
      </c>
      <c r="AE82" s="1">
        <v>1.32443</v>
      </c>
      <c r="AF82" s="1">
        <v>1.36063</v>
      </c>
      <c r="AG82" s="1">
        <v>1.32653</v>
      </c>
      <c r="AH82" s="1">
        <v>1.39879</v>
      </c>
      <c r="AI82" s="1">
        <v>1.40571</v>
      </c>
      <c r="AJ82" s="1">
        <v>1.35318</v>
      </c>
      <c r="AL82" s="4" t="s">
        <v>29</v>
      </c>
      <c r="AM82" s="6" t="str" cm="1">
        <f t="array" ref="AM82">IFERROR((SUMPRODUCT(($D$78:$D$101=AM$76)*($F$75:$AJ$75="")*$F$78:$AJ$101)+IF(AM$76="P6",SUMPRODUCT(($F$75:$AJ$75="P6")*$F$78:$AJ$101),0))/(SUMPRODUCT(($D$78:$D$101=AM$76)*($F$75:$AJ$75=""))+IF(AM$76="P6",COUNTIF($F$75:$AJ$75,"P6")*ROWS($D$78:$D$101),0)),"")</f>
        <v/>
      </c>
      <c r="AN82" s="6" cm="1">
        <f t="array" ref="AN82">IFERROR((SUMPRODUCT(($D$78:$D$101=AN$76)*($F$75:$AJ$75="")*$F$78:$AJ$101)+IF(AN$76="P6",SUMPRODUCT(($F$75:$AJ$75="P6")*$F$78:$AJ$101),0))/(SUMPRODUCT(($D$78:$D$101=AN$76)*($F$75:$AJ$75=""))+IF(AN$76="P6",COUNTIF($F$75:$AJ$75,"P6")*ROWS($D$78:$D$101),0)),"")</f>
        <v>1.0551878306878302</v>
      </c>
      <c r="AO82" s="5" cm="1">
        <f t="array" ref="AO82">IFERROR((SUMPRODUCT(($D$78:$D$101=AO$76)*($F$75:$AJ$75="")*$F$78:$AJ$101)+IF(AO$76="P6",SUMPRODUCT(($F$75:$AJ$75="P6")*$F$78:$AJ$101),0))/(SUMPRODUCT(($D$78:$D$101=AO$76)*($F$75:$AJ$75=""))+IF(AO$76="P6",COUNTIF($F$75:$AJ$75,"P6")*ROWS($D$78:$D$101),0)),"")</f>
        <v>1.1512625170068036</v>
      </c>
      <c r="AP82" s="5" t="str" cm="1">
        <f t="array" ref="AP82">IFERROR((SUMPRODUCT(($D$78:$D$101=AP$76)*($F$75:$AJ$75="")*$F$78:$AJ$101)+IF(AP$76="P6",SUMPRODUCT(($F$75:$AJ$75="P6")*$F$78:$AJ$101),0))/(SUMPRODUCT(($D$78:$D$101=AP$76)*($F$75:$AJ$75=""))+IF(AP$76="P6",COUNTIF($F$75:$AJ$75,"P6")*ROWS($D$78:$D$101),0)),"")</f>
        <v/>
      </c>
      <c r="AQ82" s="5" t="str" cm="1">
        <f t="array" ref="AQ82">IFERROR((SUMPRODUCT(($D$78:$D$101=AQ$76)*($F$75:$AJ$75="")*$F$78:$AJ$101)+IF(AQ$76="P6",SUMPRODUCT(($F$75:$AJ$75="P6")*$F$78:$AJ$101),0))/(SUMPRODUCT(($D$78:$D$101=AQ$76)*($F$75:$AJ$75=""))+IF(AQ$76="P6",COUNTIF($F$75:$AJ$75,"P6")*ROWS($D$78:$D$101),0)),"")</f>
        <v/>
      </c>
      <c r="AR82" s="6" cm="1">
        <f t="array" ref="AR82">IFERROR((SUMPRODUCT(($D$78:$D$101=AR$76)*($F$75:$AJ$75="")*$F$78:$AJ$101)+IF(AR$76="P6",SUMPRODUCT(($F$75:$AJ$75="P6")*$F$78:$AJ$101),0))/(SUMPRODUCT(($D$78:$D$101=AR$76)*($F$75:$AJ$75=""))+IF(AR$76="P6",COUNTIF($F$75:$AJ$75,"P6")*ROWS($D$78:$D$101),0)),"")</f>
        <v>1.2101434313725492</v>
      </c>
    </row>
    <row r="83" spans="1:44" ht="14.25" customHeight="1" x14ac:dyDescent="0.35">
      <c r="A83" s="1" t="s">
        <v>7</v>
      </c>
      <c r="B83" s="1" t="s">
        <v>7</v>
      </c>
      <c r="C83" s="1" t="s">
        <v>15</v>
      </c>
      <c r="D83" s="1" t="s">
        <v>7</v>
      </c>
      <c r="E83" s="1" t="s">
        <v>18</v>
      </c>
      <c r="F83" s="1">
        <v>1.3897900000000001</v>
      </c>
      <c r="G83" s="1">
        <v>1.40256</v>
      </c>
      <c r="H83" s="1">
        <v>1.3289200000000001</v>
      </c>
      <c r="I83" s="1">
        <v>1.2613000000000001</v>
      </c>
      <c r="J83" s="1">
        <v>1.2912699999999999</v>
      </c>
      <c r="K83" s="1">
        <v>1.3373999999999999</v>
      </c>
      <c r="L83" s="1">
        <v>1.2992900000000001</v>
      </c>
      <c r="M83" s="1">
        <v>1.3897900000000001</v>
      </c>
      <c r="N83" s="1">
        <v>1.40256</v>
      </c>
      <c r="O83" s="1">
        <v>1.3289200000000001</v>
      </c>
      <c r="P83" s="1">
        <v>1.2613000000000001</v>
      </c>
      <c r="Q83" s="1">
        <v>1.2912699999999999</v>
      </c>
      <c r="R83" s="1">
        <v>1.3373999999999999</v>
      </c>
      <c r="S83" s="1">
        <v>1.2992900000000001</v>
      </c>
      <c r="T83" s="1">
        <v>1.3897900000000001</v>
      </c>
      <c r="U83" s="1">
        <v>1.40256</v>
      </c>
      <c r="V83" s="1">
        <v>1.3289200000000001</v>
      </c>
      <c r="W83" s="1">
        <v>1.2613000000000001</v>
      </c>
      <c r="X83" s="1">
        <v>1.2912699999999999</v>
      </c>
      <c r="Y83" s="1">
        <v>1.3373999999999999</v>
      </c>
      <c r="Z83" s="1">
        <v>1.2992900000000001</v>
      </c>
      <c r="AA83" s="1">
        <v>1.3897900000000001</v>
      </c>
      <c r="AB83" s="1">
        <v>1.40256</v>
      </c>
      <c r="AC83" s="1">
        <v>1.3289200000000001</v>
      </c>
      <c r="AD83" s="1">
        <v>1.2613000000000001</v>
      </c>
      <c r="AE83" s="1">
        <v>1.2912699999999999</v>
      </c>
      <c r="AF83" s="1">
        <v>1.3373999999999999</v>
      </c>
      <c r="AG83" s="1">
        <v>1.2992900000000001</v>
      </c>
      <c r="AH83" s="1">
        <v>1.3897900000000001</v>
      </c>
      <c r="AI83" s="1">
        <v>1.4114100000000001</v>
      </c>
      <c r="AJ83" s="1">
        <v>1.3289200000000001</v>
      </c>
      <c r="AL83" s="10"/>
      <c r="AM83" s="10"/>
      <c r="AN83" s="10"/>
      <c r="AO83" s="10"/>
      <c r="AP83" s="10"/>
      <c r="AQ83" s="10"/>
      <c r="AR83" s="10"/>
    </row>
    <row r="84" spans="1:44" ht="14.25" customHeight="1" x14ac:dyDescent="0.35">
      <c r="A84" s="1" t="s">
        <v>7</v>
      </c>
      <c r="B84" s="1" t="s">
        <v>7</v>
      </c>
      <c r="C84" s="1" t="s">
        <v>15</v>
      </c>
      <c r="D84" s="1" t="s">
        <v>7</v>
      </c>
      <c r="E84" s="1" t="s">
        <v>20</v>
      </c>
      <c r="F84" s="1">
        <v>1.3415900000000001</v>
      </c>
      <c r="G84" s="1">
        <v>1.371</v>
      </c>
      <c r="H84" s="1">
        <v>1.18333</v>
      </c>
      <c r="I84" s="1">
        <v>1.13913</v>
      </c>
      <c r="J84" s="1">
        <v>1.1842900000000001</v>
      </c>
      <c r="K84" s="1">
        <v>1.23865</v>
      </c>
      <c r="L84" s="1">
        <v>1.19923</v>
      </c>
      <c r="M84" s="1">
        <v>1.3415900000000001</v>
      </c>
      <c r="N84" s="1">
        <v>1.371</v>
      </c>
      <c r="O84" s="1">
        <v>1.18333</v>
      </c>
      <c r="P84" s="1">
        <v>1.13913</v>
      </c>
      <c r="Q84" s="1">
        <v>1.1842900000000001</v>
      </c>
      <c r="R84" s="1">
        <v>1.23865</v>
      </c>
      <c r="S84" s="1">
        <v>1.19923</v>
      </c>
      <c r="T84" s="1">
        <v>1.3415900000000001</v>
      </c>
      <c r="U84" s="1">
        <v>1.371</v>
      </c>
      <c r="V84" s="1">
        <v>1.18333</v>
      </c>
      <c r="W84" s="1">
        <v>1.13913</v>
      </c>
      <c r="X84" s="1">
        <v>1.1842900000000001</v>
      </c>
      <c r="Y84" s="1">
        <v>1.23865</v>
      </c>
      <c r="Z84" s="1">
        <v>1.19923</v>
      </c>
      <c r="AA84" s="1">
        <v>1.3415900000000001</v>
      </c>
      <c r="AB84" s="1">
        <v>1.371</v>
      </c>
      <c r="AC84" s="1">
        <v>1.18333</v>
      </c>
      <c r="AD84" s="1">
        <v>1.13913</v>
      </c>
      <c r="AE84" s="1">
        <v>1.1842900000000001</v>
      </c>
      <c r="AF84" s="1">
        <v>1.23865</v>
      </c>
      <c r="AG84" s="1">
        <v>1.19923</v>
      </c>
      <c r="AH84" s="1">
        <v>1.3415900000000001</v>
      </c>
      <c r="AI84" s="1">
        <v>1.40256</v>
      </c>
      <c r="AJ84" s="1">
        <v>1.18333</v>
      </c>
      <c r="AL84" s="10"/>
      <c r="AM84" s="10"/>
      <c r="AN84" s="10"/>
      <c r="AO84" s="10"/>
      <c r="AP84" s="10"/>
      <c r="AQ84" s="10"/>
      <c r="AR84" s="10"/>
    </row>
    <row r="85" spans="1:44" ht="14.25" customHeight="1" x14ac:dyDescent="0.35">
      <c r="A85" s="1" t="s">
        <v>7</v>
      </c>
      <c r="B85" s="1" t="s">
        <v>7</v>
      </c>
      <c r="C85" s="1" t="s">
        <v>15</v>
      </c>
      <c r="D85" s="1" t="s">
        <v>7</v>
      </c>
      <c r="E85" s="1" t="s">
        <v>22</v>
      </c>
      <c r="F85" s="1">
        <v>1.28115</v>
      </c>
      <c r="G85" s="1">
        <v>1.33545</v>
      </c>
      <c r="H85" s="1">
        <v>1.06985</v>
      </c>
      <c r="I85" s="1">
        <v>1.0451999999999999</v>
      </c>
      <c r="J85" s="1">
        <v>1.0723800000000001</v>
      </c>
      <c r="K85" s="1">
        <v>1.1335900000000001</v>
      </c>
      <c r="L85" s="1">
        <v>1.11686</v>
      </c>
      <c r="M85" s="1">
        <v>1.28115</v>
      </c>
      <c r="N85" s="1">
        <v>1.33545</v>
      </c>
      <c r="O85" s="1">
        <v>1.06985</v>
      </c>
      <c r="P85" s="1">
        <v>1.0451999999999999</v>
      </c>
      <c r="Q85" s="1">
        <v>1.0723800000000001</v>
      </c>
      <c r="R85" s="1">
        <v>1.1335900000000001</v>
      </c>
      <c r="S85" s="1">
        <v>1.11686</v>
      </c>
      <c r="T85" s="1">
        <v>1.28115</v>
      </c>
      <c r="U85" s="1">
        <v>1.33545</v>
      </c>
      <c r="V85" s="1">
        <v>1.06985</v>
      </c>
      <c r="W85" s="1">
        <v>1.0451999999999999</v>
      </c>
      <c r="X85" s="1">
        <v>1.0723800000000001</v>
      </c>
      <c r="Y85" s="1">
        <v>1.1335900000000001</v>
      </c>
      <c r="Z85" s="1">
        <v>1.11686</v>
      </c>
      <c r="AA85" s="1">
        <v>1.28115</v>
      </c>
      <c r="AB85" s="1">
        <v>1.33545</v>
      </c>
      <c r="AC85" s="1">
        <v>1.06985</v>
      </c>
      <c r="AD85" s="1">
        <v>1.0451999999999999</v>
      </c>
      <c r="AE85" s="1">
        <v>1.0723800000000001</v>
      </c>
      <c r="AF85" s="1">
        <v>1.1335900000000001</v>
      </c>
      <c r="AG85" s="1">
        <v>1.11686</v>
      </c>
      <c r="AH85" s="1">
        <v>1.28115</v>
      </c>
      <c r="AI85" s="1">
        <v>1.371</v>
      </c>
      <c r="AJ85" s="1">
        <v>1.06985</v>
      </c>
      <c r="AL85" s="14" t="s">
        <v>85</v>
      </c>
      <c r="AM85" s="14"/>
      <c r="AN85" s="14"/>
      <c r="AO85" s="14"/>
      <c r="AP85" s="14"/>
      <c r="AQ85" s="14"/>
      <c r="AR85" s="14"/>
    </row>
    <row r="86" spans="1:44" ht="14.25" customHeight="1" x14ac:dyDescent="0.35">
      <c r="A86" s="1" t="s">
        <v>16</v>
      </c>
      <c r="B86" s="1" t="s">
        <v>17</v>
      </c>
      <c r="C86" s="1" t="s">
        <v>14</v>
      </c>
      <c r="D86" s="1" t="s">
        <v>15</v>
      </c>
      <c r="E86" s="1" t="s">
        <v>24</v>
      </c>
      <c r="F86" s="1">
        <v>1.16347</v>
      </c>
      <c r="G86" s="1">
        <v>1.2135499999999999</v>
      </c>
      <c r="H86" s="1">
        <v>1.1266400000000001</v>
      </c>
      <c r="I86" s="1">
        <v>1.0974900000000001</v>
      </c>
      <c r="J86" s="1">
        <v>1.1314299999999999</v>
      </c>
      <c r="K86" s="1">
        <v>1.1554500000000001</v>
      </c>
      <c r="L86" s="1">
        <v>1.1566399999999999</v>
      </c>
      <c r="M86" s="1">
        <v>1.16347</v>
      </c>
      <c r="N86" s="1">
        <v>1.2135499999999999</v>
      </c>
      <c r="O86" s="1">
        <v>1.1266400000000001</v>
      </c>
      <c r="P86" s="1">
        <v>1.0974900000000001</v>
      </c>
      <c r="Q86" s="1">
        <v>1.1314299999999999</v>
      </c>
      <c r="R86" s="1">
        <v>1.1554500000000001</v>
      </c>
      <c r="S86" s="1">
        <v>1.1566399999999999</v>
      </c>
      <c r="T86" s="1">
        <v>1.16347</v>
      </c>
      <c r="U86" s="1">
        <v>1.2135499999999999</v>
      </c>
      <c r="V86" s="1">
        <v>1.1266400000000001</v>
      </c>
      <c r="W86" s="1">
        <v>1.0974900000000001</v>
      </c>
      <c r="X86" s="1">
        <v>1.1314299999999999</v>
      </c>
      <c r="Y86" s="1">
        <v>1.1554500000000001</v>
      </c>
      <c r="Z86" s="1">
        <v>1.1566399999999999</v>
      </c>
      <c r="AA86" s="1">
        <v>1.16347</v>
      </c>
      <c r="AB86" s="1">
        <v>1.2135499999999999</v>
      </c>
      <c r="AC86" s="1">
        <v>1.1266400000000001</v>
      </c>
      <c r="AD86" s="1">
        <v>1.0974900000000001</v>
      </c>
      <c r="AE86" s="1">
        <v>1.1314299999999999</v>
      </c>
      <c r="AF86" s="1">
        <v>1.1554500000000001</v>
      </c>
      <c r="AG86" s="1">
        <v>1.1566399999999999</v>
      </c>
      <c r="AH86" s="1">
        <v>1.16347</v>
      </c>
      <c r="AI86" s="1">
        <v>1.33545</v>
      </c>
      <c r="AJ86" s="1">
        <v>1.1266400000000001</v>
      </c>
      <c r="AL86" s="4"/>
      <c r="AM86" s="4" t="s">
        <v>13</v>
      </c>
      <c r="AN86" s="4" t="s">
        <v>14</v>
      </c>
      <c r="AO86" s="4" t="s">
        <v>15</v>
      </c>
      <c r="AP86" s="4" t="s">
        <v>16</v>
      </c>
      <c r="AQ86" s="4" t="s">
        <v>17</v>
      </c>
      <c r="AR86" s="4" t="s">
        <v>7</v>
      </c>
    </row>
    <row r="87" spans="1:44" ht="14.25" customHeight="1" x14ac:dyDescent="0.35">
      <c r="A87" s="1" t="s">
        <v>16</v>
      </c>
      <c r="B87" s="1" t="s">
        <v>17</v>
      </c>
      <c r="C87" s="1" t="s">
        <v>14</v>
      </c>
      <c r="D87" s="1" t="s">
        <v>14</v>
      </c>
      <c r="E87" s="1" t="s">
        <v>26</v>
      </c>
      <c r="F87" s="1">
        <v>1.0566800000000001</v>
      </c>
      <c r="G87" s="1">
        <v>1.0901700000000001</v>
      </c>
      <c r="H87" s="1">
        <v>1.0198499999999999</v>
      </c>
      <c r="I87" s="1">
        <v>1.00251</v>
      </c>
      <c r="J87" s="1">
        <v>1.02023</v>
      </c>
      <c r="K87" s="1">
        <v>1.01936</v>
      </c>
      <c r="L87" s="1">
        <v>1.02752</v>
      </c>
      <c r="M87" s="1">
        <v>1.0566800000000001</v>
      </c>
      <c r="N87" s="1">
        <v>1.0901700000000001</v>
      </c>
      <c r="O87" s="1">
        <v>1.0198499999999999</v>
      </c>
      <c r="P87" s="1">
        <v>1.00251</v>
      </c>
      <c r="Q87" s="1">
        <v>1.02023</v>
      </c>
      <c r="R87" s="1">
        <v>1.01936</v>
      </c>
      <c r="S87" s="1">
        <v>1.02752</v>
      </c>
      <c r="T87" s="1">
        <v>1.0566800000000001</v>
      </c>
      <c r="U87" s="1">
        <v>1.0901700000000001</v>
      </c>
      <c r="V87" s="1">
        <v>1.0198499999999999</v>
      </c>
      <c r="W87" s="1">
        <v>1.00251</v>
      </c>
      <c r="X87" s="1">
        <v>1.02023</v>
      </c>
      <c r="Y87" s="1">
        <v>1.01936</v>
      </c>
      <c r="Z87" s="1">
        <v>1.02752</v>
      </c>
      <c r="AA87" s="1">
        <v>1.0566800000000001</v>
      </c>
      <c r="AB87" s="1">
        <v>1.0901700000000001</v>
      </c>
      <c r="AC87" s="1">
        <v>1.0198499999999999</v>
      </c>
      <c r="AD87" s="1">
        <v>1.00251</v>
      </c>
      <c r="AE87" s="1">
        <v>1.02023</v>
      </c>
      <c r="AF87" s="1">
        <v>1.01936</v>
      </c>
      <c r="AG87" s="1">
        <v>1.02752</v>
      </c>
      <c r="AH87" s="1">
        <v>1.0566800000000001</v>
      </c>
      <c r="AI87" s="1">
        <v>1.2135499999999999</v>
      </c>
      <c r="AJ87" s="1">
        <v>1.0198499999999999</v>
      </c>
      <c r="AL87" s="4" t="s">
        <v>19</v>
      </c>
      <c r="AM87" s="6" cm="1">
        <f t="array" ref="AM87">IFERROR((SUMPRODUCT(($C$78:$C$101=AM$76)*($F$74:$AJ$74="")*$F$78:$AJ$101)+IF(AM$76="P3",SUMPRODUCT(($F$74:$AJ$74="P3")*$F$78:$AJ$101),0))/(SUMPRODUCT(($C$78:$C$101=AM$76)*($F$74:$AJ$74=""))+IF(AM$76="P3",COUNTIF($F$74:$AJ$74,"P3")*ROWS($C$78:$C$101),0)),"")</f>
        <v>1.0598379166666663</v>
      </c>
      <c r="AN87" s="6" cm="1">
        <f t="array" ref="AN87">IFERROR((SUMPRODUCT(($C$78:$C$101=AN$41)*($F$74:$AJ$74="")*$F$78:$AJ$101)+IF(AN$41="P3",SUMPRODUCT(($F$74:$AJ$74="P3")*$F$78:$AJ$101),0))/(SUMPRODUCT(($C$78:$C$101=AN$41)*($F$74:$AJ$74=""))+IF(AN$41="P3",COUNTIF($F$74:$AJ$74,"P3")*ROWS($C$78:$C$101),0)),"")</f>
        <v>1.1346030952380959</v>
      </c>
      <c r="AO87" s="6" cm="1">
        <f t="array" ref="AO87">IFERROR((SUMPRODUCT(($C$78:$C$101=AO$41)*($F$74:$AJ$74="")*$F$78:$AJ$101)+IF(AO$41="P3",SUMPRODUCT(($F$74:$AJ$74="P3")*$F$78:$AJ$101),0))/(SUMPRODUCT(($C$78:$C$101=AO$41)*($F$74:$AJ$74=""))+IF(AO$41="P3",COUNTIF($F$74:$AJ$74,"P3")*ROWS($C$78:$C$101),0)),"")</f>
        <v>1.2101434313725492</v>
      </c>
      <c r="AP87" s="6" t="str" cm="1">
        <f t="array" ref="AP87">IFERROR((SUMPRODUCT(($C$78:$C$101=AP$41)*($F$74:$AJ$74="")*$F$78:$AJ$101)+IF(AP$41="P3",SUMPRODUCT(($F$74:$AJ$74="P3")*$F$78:$AJ$101),0))/(SUMPRODUCT(($C$78:$C$101=AP$41)*($F$74:$AJ$74=""))+IF(AP$41="P3",COUNTIF($F$74:$AJ$74,"P3")*ROWS($C$78:$C$101),0)),"")</f>
        <v/>
      </c>
      <c r="AQ87" s="6" t="str" cm="1">
        <f t="array" ref="AQ87">IFERROR((SUMPRODUCT(($C$78:$C$101=AQ$41)*($F$74:$AJ$74="")*$F$78:$AJ$101)+IF(AQ$41="P3",SUMPRODUCT(($F$74:$AJ$74="P3")*$F$78:$AJ$101),0))/(SUMPRODUCT(($C$78:$C$101=AQ$41)*($F$74:$AJ$74=""))+IF(AQ$41="P3",COUNTIF($F$74:$AJ$74,"P3")*ROWS($C$78:$C$101),0)),"")</f>
        <v/>
      </c>
      <c r="AR87" s="6" t="str" cm="1">
        <f t="array" ref="AR87">IFERROR((SUMPRODUCT(($C$78:$C$101=AR$41)*($F$74:$AJ$74="")*$F$78:$AJ$101)+IF(AR$41="P3",SUMPRODUCT(($F$74:$AJ$74="P3")*$F$78:$AJ$101),0))/(SUMPRODUCT(($C$78:$C$101=AR$41)*($F$74:$AJ$74=""))+IF(AR$41="P3",COUNTIF($F$74:$AJ$74,"P3")*ROWS($C$78:$C$101),0)),"")</f>
        <v/>
      </c>
    </row>
    <row r="88" spans="1:44" ht="14.25" customHeight="1" x14ac:dyDescent="0.35">
      <c r="A88" s="1" t="s">
        <v>14</v>
      </c>
      <c r="B88" s="1" t="s">
        <v>16</v>
      </c>
      <c r="C88" s="1" t="s">
        <v>13</v>
      </c>
      <c r="D88" s="1" t="s">
        <v>14</v>
      </c>
      <c r="E88" s="1" t="s">
        <v>28</v>
      </c>
      <c r="F88" s="1">
        <v>0.98753999999999997</v>
      </c>
      <c r="G88" s="1">
        <v>1.01342</v>
      </c>
      <c r="H88" s="1">
        <v>0.96808000000000005</v>
      </c>
      <c r="I88" s="1">
        <v>0.96784000000000003</v>
      </c>
      <c r="J88" s="1">
        <v>0.96970000000000001</v>
      </c>
      <c r="K88" s="1">
        <v>0.94964000000000004</v>
      </c>
      <c r="L88" s="1">
        <v>0.96930000000000005</v>
      </c>
      <c r="M88" s="1">
        <v>0.98753999999999997</v>
      </c>
      <c r="N88" s="1">
        <v>1.01342</v>
      </c>
      <c r="O88" s="1">
        <v>0.96808000000000005</v>
      </c>
      <c r="P88" s="1">
        <v>0.96784000000000003</v>
      </c>
      <c r="Q88" s="1">
        <v>0.96970000000000001</v>
      </c>
      <c r="R88" s="1">
        <v>0.94964000000000004</v>
      </c>
      <c r="S88" s="1">
        <v>0.96930000000000005</v>
      </c>
      <c r="T88" s="1">
        <v>0.98753999999999997</v>
      </c>
      <c r="U88" s="1">
        <v>1.01342</v>
      </c>
      <c r="V88" s="1">
        <v>0.96808000000000005</v>
      </c>
      <c r="W88" s="1">
        <v>0.96784000000000003</v>
      </c>
      <c r="X88" s="1">
        <v>0.96970000000000001</v>
      </c>
      <c r="Y88" s="1">
        <v>0.94964000000000004</v>
      </c>
      <c r="Z88" s="1">
        <v>0.96930000000000005</v>
      </c>
      <c r="AA88" s="1">
        <v>0.98753999999999997</v>
      </c>
      <c r="AB88" s="1">
        <v>1.01342</v>
      </c>
      <c r="AC88" s="1">
        <v>0.96808000000000005</v>
      </c>
      <c r="AD88" s="1">
        <v>0.96784000000000003</v>
      </c>
      <c r="AE88" s="1">
        <v>0.96970000000000001</v>
      </c>
      <c r="AF88" s="1">
        <v>0.94964000000000004</v>
      </c>
      <c r="AG88" s="1">
        <v>0.96930000000000005</v>
      </c>
      <c r="AH88" s="1">
        <v>0.98753999999999997</v>
      </c>
      <c r="AI88" s="1">
        <v>1.0901700000000001</v>
      </c>
      <c r="AJ88" s="1">
        <v>0.96808000000000005</v>
      </c>
      <c r="AL88" s="4" t="s">
        <v>21</v>
      </c>
      <c r="AM88" s="6" t="str" cm="1">
        <f t="array" ref="AM88">IFERROR((SUMPRODUCT(($A$78:$A$101=AM$76)*($F$75:$AJ$75="")*$F$78:$AJ$101)+IF(AM$76="P6",SUMPRODUCT(($F$75:$AJ$75="P6")*$F$78:$AJ$101),0))/(SUMPRODUCT(($A$78:$A$101=AM$76)*($F$75:$AJ$75=""))+IF(AM$76="P6",COUNTIF($F$75:$AJ$75,"P6")*ROWS($A$78:$A$101),0)),"")</f>
        <v/>
      </c>
      <c r="AN88" s="6" cm="1">
        <f t="array" ref="AN88">IFERROR((SUMPRODUCT(($A$78:$A$101=AN$76)*($F$75:$AJ$75="")*$F$78:$AJ$101)+IF(AN$76="P6",SUMPRODUCT(($F$75:$AJ$75="P6")*$F$78:$AJ$101),0))/(SUMPRODUCT(($A$78:$A$101=AN$76)*($F$75:$AJ$75=""))+IF(AN$76="P6",COUNTIF($F$75:$AJ$75,"P6")*ROWS($A$78:$A$101),0)),"")</f>
        <v>1.0539015343915337</v>
      </c>
      <c r="AO88" s="6" t="str" cm="1">
        <f t="array" ref="AO88">IFERROR((SUMPRODUCT(($A$78:$A$101=AO$76)*($F$75:$AJ$75="")*$F$78:$AJ$101)+IF(AO$76="P6",SUMPRODUCT(($F$75:$AJ$75="P6")*$F$78:$AJ$101),0))/(SUMPRODUCT(($A$78:$A$101=AO$76)*($F$75:$AJ$75=""))+IF(AO$76="P6",COUNTIF($F$75:$AJ$75,"P6")*ROWS($A$78:$A$101),0)),"")</f>
        <v/>
      </c>
      <c r="AP88" s="6" cm="1">
        <f t="array" ref="AP88">IFERROR((SUMPRODUCT(($A$78:$A$101=AP$76)*($F$75:$AJ$75="")*$F$78:$AJ$101)+IF(AP$76="P6",SUMPRODUCT(($F$75:$AJ$75="P6")*$F$78:$AJ$101),0))/(SUMPRODUCT(($A$78:$A$101=AP$76)*($F$75:$AJ$75=""))+IF(AP$76="P6",COUNTIF($F$75:$AJ$75,"P6")*ROWS($A$78:$A$101),0)),"")</f>
        <v>1.1529163265306128</v>
      </c>
      <c r="AQ88" s="6" t="str" cm="1">
        <f t="array" ref="AQ88">IFERROR((SUMPRODUCT(($A$78:$A$101=AQ$76)*($F$75:$AJ$75="")*$F$78:$AJ$101)+IF(AQ$76="P6",SUMPRODUCT(($F$75:$AJ$75="P6")*$F$78:$AJ$101),0))/(SUMPRODUCT(($A$78:$A$101=AQ$76)*($F$75:$AJ$75=""))+IF(AQ$76="P6",COUNTIF($F$75:$AJ$75,"P6")*ROWS($A$78:$A$101),0)),"")</f>
        <v/>
      </c>
      <c r="AR88" s="6" cm="1">
        <f t="array" ref="AR88">IFERROR((SUMPRODUCT(($A$78:$A$101=AR$76)*($F$75:$AJ$75="")*$F$78:$AJ$101)+IF(AR$76="P6",SUMPRODUCT(($F$75:$AJ$75="P6")*$F$78:$AJ$101),0))/(SUMPRODUCT(($A$78:$A$101=AR$76)*($F$75:$AJ$75=""))+IF(AR$76="P6",COUNTIF($F$75:$AJ$75,"P6")*ROWS($A$78:$A$101),0)),"")</f>
        <v>1.2101434313725492</v>
      </c>
    </row>
    <row r="89" spans="1:44" ht="14.25" customHeight="1" x14ac:dyDescent="0.35">
      <c r="A89" s="1" t="s">
        <v>14</v>
      </c>
      <c r="B89" s="1" t="s">
        <v>16</v>
      </c>
      <c r="C89" s="1" t="s">
        <v>13</v>
      </c>
      <c r="D89" s="1" t="s">
        <v>14</v>
      </c>
      <c r="E89" s="1" t="s">
        <v>30</v>
      </c>
      <c r="F89" s="1">
        <v>0.95226999999999995</v>
      </c>
      <c r="G89" s="1">
        <v>0.97894000000000003</v>
      </c>
      <c r="H89" s="1">
        <v>0.95074000000000003</v>
      </c>
      <c r="I89" s="1">
        <v>0.96160999999999996</v>
      </c>
      <c r="J89" s="1">
        <v>0.95109999999999995</v>
      </c>
      <c r="K89" s="1">
        <v>0.95792999999999995</v>
      </c>
      <c r="L89" s="1">
        <v>0.93920999999999999</v>
      </c>
      <c r="M89" s="1">
        <v>0.95226999999999995</v>
      </c>
      <c r="N89" s="1">
        <v>0.97894000000000003</v>
      </c>
      <c r="O89" s="1">
        <v>0.95074000000000003</v>
      </c>
      <c r="P89" s="1">
        <v>0.96160999999999996</v>
      </c>
      <c r="Q89" s="1">
        <v>0.95109999999999995</v>
      </c>
      <c r="R89" s="1">
        <v>0.95792999999999995</v>
      </c>
      <c r="S89" s="1">
        <v>0.93920999999999999</v>
      </c>
      <c r="T89" s="1">
        <v>0.95226999999999995</v>
      </c>
      <c r="U89" s="1">
        <v>0.97894000000000003</v>
      </c>
      <c r="V89" s="1">
        <v>0.95074000000000003</v>
      </c>
      <c r="W89" s="1">
        <v>0.96160999999999996</v>
      </c>
      <c r="X89" s="1">
        <v>0.95109999999999995</v>
      </c>
      <c r="Y89" s="1">
        <v>0.95792999999999995</v>
      </c>
      <c r="Z89" s="1">
        <v>0.93920999999999999</v>
      </c>
      <c r="AA89" s="1">
        <v>0.95226999999999995</v>
      </c>
      <c r="AB89" s="1">
        <v>0.97894000000000003</v>
      </c>
      <c r="AC89" s="1">
        <v>0.95074000000000003</v>
      </c>
      <c r="AD89" s="1">
        <v>0.96160999999999996</v>
      </c>
      <c r="AE89" s="1">
        <v>0.95109999999999995</v>
      </c>
      <c r="AF89" s="1">
        <v>0.95792999999999995</v>
      </c>
      <c r="AG89" s="1">
        <v>0.93920999999999999</v>
      </c>
      <c r="AH89" s="1">
        <v>0.95226999999999995</v>
      </c>
      <c r="AI89" s="1">
        <v>1.01342</v>
      </c>
      <c r="AJ89" s="1">
        <v>0.95074000000000003</v>
      </c>
      <c r="AL89" s="4" t="s">
        <v>23</v>
      </c>
      <c r="AM89" s="6" t="str" cm="1">
        <f t="array" ref="AM89">IFERROR((SUMPRODUCT(($A$78:$A$101=AM$76)*($F$75:$AJ$75="")*$F$78:$AJ$101)+IF(AM$76="P6",SUMPRODUCT(($F$75:$AJ$75="P6")*$F$78:$AJ$101),0))/(SUMPRODUCT(($A$78:$A$101=AM$76)*($F$75:$AJ$75=""))+IF(AM$76="P6",COUNTIF($F$75:$AJ$75,"P6")*ROWS($A$78:$A$101),0)),"")</f>
        <v/>
      </c>
      <c r="AN89" s="6" cm="1">
        <f t="array" ref="AN89">IFERROR((SUMPRODUCT(($A$78:$A$101=AN$76)*($F$75:$AJ$75="")*$F$78:$AJ$101)+IF(AN$76="P6",SUMPRODUCT(($F$75:$AJ$75="P6")*$F$78:$AJ$101),0))/(SUMPRODUCT(($A$78:$A$101=AN$76)*($F$75:$AJ$75=""))+IF(AN$76="P6",COUNTIF($F$75:$AJ$75,"P6")*ROWS($A$78:$A$101),0)),"")</f>
        <v>1.0539015343915337</v>
      </c>
      <c r="AO89" s="6" t="str" cm="1">
        <f t="array" ref="AO89">IFERROR((SUMPRODUCT(($A$78:$A$101=AO$76)*($F$75:$AJ$75="")*$F$78:$AJ$101)+IF(AO$76="P6",SUMPRODUCT(($F$75:$AJ$75="P6")*$F$78:$AJ$101),0))/(SUMPRODUCT(($A$78:$A$101=AO$76)*($F$75:$AJ$75=""))+IF(AO$76="P6",COUNTIF($F$75:$AJ$75,"P6")*ROWS($A$78:$A$101),0)),"")</f>
        <v/>
      </c>
      <c r="AP89" s="6" cm="1">
        <f t="array" ref="AP89">IFERROR((SUMPRODUCT(($A$78:$A$101=AP$76)*($F$75:$AJ$75="")*$F$78:$AJ$101)+IF(AP$76="P6",SUMPRODUCT(($F$75:$AJ$75="P6")*$F$78:$AJ$101),0))/(SUMPRODUCT(($A$78:$A$101=AP$76)*($F$75:$AJ$75=""))+IF(AP$76="P6",COUNTIF($F$75:$AJ$75,"P6")*ROWS($A$78:$A$101),0)),"")</f>
        <v>1.1529163265306128</v>
      </c>
      <c r="AQ89" s="6" t="str" cm="1">
        <f t="array" ref="AQ89">IFERROR((SUMPRODUCT(($A$78:$A$101=AQ$76)*($F$75:$AJ$75="")*$F$78:$AJ$101)+IF(AQ$76="P6",SUMPRODUCT(($F$75:$AJ$75="P6")*$F$78:$AJ$101),0))/(SUMPRODUCT(($A$78:$A$101=AQ$76)*($F$75:$AJ$75=""))+IF(AQ$76="P6",COUNTIF($F$75:$AJ$75,"P6")*ROWS($A$78:$A$101),0)),"")</f>
        <v/>
      </c>
      <c r="AR89" s="6" cm="1">
        <f t="array" ref="AR89">IFERROR((SUMPRODUCT(($A$78:$A$101=AR$76)*($F$75:$AJ$75="")*$F$78:$AJ$101)+IF(AR$76="P6",SUMPRODUCT(($F$75:$AJ$75="P6")*$F$78:$AJ$101),0))/(SUMPRODUCT(($A$78:$A$101=AR$76)*($F$75:$AJ$75=""))+IF(AR$76="P6",COUNTIF($F$75:$AJ$75,"P6")*ROWS($A$78:$A$101),0)),"")</f>
        <v>1.2101434313725492</v>
      </c>
    </row>
    <row r="90" spans="1:44" ht="14.25" customHeight="1" x14ac:dyDescent="0.35">
      <c r="A90" s="1" t="s">
        <v>14</v>
      </c>
      <c r="B90" s="1" t="s">
        <v>16</v>
      </c>
      <c r="C90" s="1" t="s">
        <v>13</v>
      </c>
      <c r="D90" s="1" t="s">
        <v>14</v>
      </c>
      <c r="E90" s="1" t="s">
        <v>31</v>
      </c>
      <c r="F90" s="1">
        <v>0.93913999999999997</v>
      </c>
      <c r="G90" s="1">
        <v>0.94955000000000001</v>
      </c>
      <c r="H90" s="1">
        <v>0.96484999999999999</v>
      </c>
      <c r="I90" s="1">
        <v>0.94994999999999996</v>
      </c>
      <c r="J90" s="1">
        <v>0.95079999999999998</v>
      </c>
      <c r="K90" s="1">
        <v>0.95457000000000003</v>
      </c>
      <c r="L90" s="1">
        <v>0.92710000000000004</v>
      </c>
      <c r="M90" s="1">
        <v>0.93913999999999997</v>
      </c>
      <c r="N90" s="1">
        <v>0.94955000000000001</v>
      </c>
      <c r="O90" s="1">
        <v>0.96484999999999999</v>
      </c>
      <c r="P90" s="1">
        <v>0.94994999999999996</v>
      </c>
      <c r="Q90" s="1">
        <v>0.95079999999999998</v>
      </c>
      <c r="R90" s="1">
        <v>0.95457000000000003</v>
      </c>
      <c r="S90" s="1">
        <v>0.92710000000000004</v>
      </c>
      <c r="T90" s="1">
        <v>0.93913999999999997</v>
      </c>
      <c r="U90" s="1">
        <v>0.94955000000000001</v>
      </c>
      <c r="V90" s="1">
        <v>0.96484999999999999</v>
      </c>
      <c r="W90" s="1">
        <v>0.94994999999999996</v>
      </c>
      <c r="X90" s="1">
        <v>0.95079999999999998</v>
      </c>
      <c r="Y90" s="1">
        <v>0.95457000000000003</v>
      </c>
      <c r="Z90" s="1">
        <v>0.92710000000000004</v>
      </c>
      <c r="AA90" s="1">
        <v>0.93913999999999997</v>
      </c>
      <c r="AB90" s="1">
        <v>0.94955000000000001</v>
      </c>
      <c r="AC90" s="1">
        <v>0.96484999999999999</v>
      </c>
      <c r="AD90" s="1">
        <v>0.94994999999999996</v>
      </c>
      <c r="AE90" s="1">
        <v>0.95079999999999998</v>
      </c>
      <c r="AF90" s="1">
        <v>0.95457000000000003</v>
      </c>
      <c r="AG90" s="1">
        <v>0.92710000000000004</v>
      </c>
      <c r="AH90" s="1">
        <v>0.93913999999999997</v>
      </c>
      <c r="AI90" s="1">
        <v>0.97894000000000003</v>
      </c>
      <c r="AJ90" s="1">
        <v>0.96484999999999999</v>
      </c>
      <c r="AL90" s="4" t="s">
        <v>25</v>
      </c>
      <c r="AM90" s="6" t="str" cm="1">
        <f t="array" ref="AM90">IFERROR((SUMPRODUCT(($A$78:$A$101=AM$76)*($F$75:$AJ$75="")*$F$78:$AJ$101)+IF(AM$76="P6",SUMPRODUCT(($F$75:$AJ$75="P6")*$F$78:$AJ$101),0))/(SUMPRODUCT(($A$78:$A$101=AM$76)*($F$75:$AJ$75=""))+IF(AM$76="P6",COUNTIF($F$75:$AJ$75,"P6")*ROWS($A$78:$A$101),0)),"")</f>
        <v/>
      </c>
      <c r="AN90" s="6" cm="1">
        <f t="array" ref="AN90">IFERROR((SUMPRODUCT(($A$78:$A$101=AN$76)*($F$75:$AJ$75="")*$F$78:$AJ$101)+IF(AN$76="P6",SUMPRODUCT(($F$75:$AJ$75="P6")*$F$78:$AJ$101),0))/(SUMPRODUCT(($A$78:$A$101=AN$76)*($F$75:$AJ$75=""))+IF(AN$76="P6",COUNTIF($F$75:$AJ$75,"P6")*ROWS($A$78:$A$101),0)),"")</f>
        <v>1.0539015343915337</v>
      </c>
      <c r="AO90" s="6" t="str" cm="1">
        <f t="array" ref="AO90">IFERROR((SUMPRODUCT(($A$78:$A$101=AO$76)*($F$75:$AJ$75="")*$F$78:$AJ$101)+IF(AO$76="P6",SUMPRODUCT(($F$75:$AJ$75="P6")*$F$78:$AJ$101),0))/(SUMPRODUCT(($A$78:$A$101=AO$76)*($F$75:$AJ$75=""))+IF(AO$76="P6",COUNTIF($F$75:$AJ$75,"P6")*ROWS($A$78:$A$101),0)),"")</f>
        <v/>
      </c>
      <c r="AP90" s="6" cm="1">
        <f t="array" ref="AP90">IFERROR((SUMPRODUCT(($A$78:$A$101=AP$76)*($F$75:$AJ$75="")*$F$78:$AJ$101)+IF(AP$76="P6",SUMPRODUCT(($F$75:$AJ$75="P6")*$F$78:$AJ$101),0))/(SUMPRODUCT(($A$78:$A$101=AP$76)*($F$75:$AJ$75=""))+IF(AP$76="P6",COUNTIF($F$75:$AJ$75,"P6")*ROWS($A$78:$A$101),0)),"")</f>
        <v>1.1529163265306128</v>
      </c>
      <c r="AQ90" s="6" t="str" cm="1">
        <f t="array" ref="AQ90">IFERROR((SUMPRODUCT(($A$78:$A$101=AQ$76)*($F$75:$AJ$75="")*$F$78:$AJ$101)+IF(AQ$76="P6",SUMPRODUCT(($F$75:$AJ$75="P6")*$F$78:$AJ$101),0))/(SUMPRODUCT(($A$78:$A$101=AQ$76)*($F$75:$AJ$75=""))+IF(AQ$76="P6",COUNTIF($F$75:$AJ$75,"P6")*ROWS($A$78:$A$101),0)),"")</f>
        <v/>
      </c>
      <c r="AR90" s="6" cm="1">
        <f t="array" ref="AR90">IFERROR((SUMPRODUCT(($A$78:$A$101=AR$76)*($F$75:$AJ$75="")*$F$78:$AJ$101)+IF(AR$76="P6",SUMPRODUCT(($F$75:$AJ$75="P6")*$F$78:$AJ$101),0))/(SUMPRODUCT(($A$78:$A$101=AR$76)*($F$75:$AJ$75=""))+IF(AR$76="P6",COUNTIF($F$75:$AJ$75,"P6")*ROWS($A$78:$A$101),0)),"")</f>
        <v>1.2101434313725492</v>
      </c>
    </row>
    <row r="91" spans="1:44" ht="14.25" customHeight="1" x14ac:dyDescent="0.35">
      <c r="A91" s="1" t="s">
        <v>14</v>
      </c>
      <c r="B91" s="1" t="s">
        <v>16</v>
      </c>
      <c r="C91" s="1" t="s">
        <v>13</v>
      </c>
      <c r="D91" s="1" t="s">
        <v>14</v>
      </c>
      <c r="E91" s="1" t="s">
        <v>32</v>
      </c>
      <c r="F91" s="1">
        <v>0.93820000000000003</v>
      </c>
      <c r="G91" s="1">
        <v>0.95147000000000004</v>
      </c>
      <c r="H91" s="1">
        <v>0.96431</v>
      </c>
      <c r="I91" s="1">
        <v>0.93633</v>
      </c>
      <c r="J91" s="1">
        <v>0.94921</v>
      </c>
      <c r="K91" s="1">
        <v>0.94998000000000005</v>
      </c>
      <c r="L91" s="1">
        <v>0.92673000000000005</v>
      </c>
      <c r="M91" s="1">
        <v>0.93820000000000003</v>
      </c>
      <c r="N91" s="1">
        <v>0.95147000000000004</v>
      </c>
      <c r="O91" s="1">
        <v>0.96431</v>
      </c>
      <c r="P91" s="1">
        <v>0.93633</v>
      </c>
      <c r="Q91" s="1">
        <v>0.94921</v>
      </c>
      <c r="R91" s="1">
        <v>0.94998000000000005</v>
      </c>
      <c r="S91" s="1">
        <v>0.92673000000000005</v>
      </c>
      <c r="T91" s="1">
        <v>0.93820000000000003</v>
      </c>
      <c r="U91" s="1">
        <v>0.95147000000000004</v>
      </c>
      <c r="V91" s="1">
        <v>0.96431</v>
      </c>
      <c r="W91" s="1">
        <v>0.93633</v>
      </c>
      <c r="X91" s="1">
        <v>0.94921</v>
      </c>
      <c r="Y91" s="1">
        <v>0.94998000000000005</v>
      </c>
      <c r="Z91" s="1">
        <v>0.92673000000000005</v>
      </c>
      <c r="AA91" s="1">
        <v>0.93820000000000003</v>
      </c>
      <c r="AB91" s="1">
        <v>0.95147000000000004</v>
      </c>
      <c r="AC91" s="1">
        <v>0.96431</v>
      </c>
      <c r="AD91" s="1">
        <v>0.93633</v>
      </c>
      <c r="AE91" s="1">
        <v>0.94921</v>
      </c>
      <c r="AF91" s="1">
        <v>0.94998000000000005</v>
      </c>
      <c r="AG91" s="1">
        <v>0.92673000000000005</v>
      </c>
      <c r="AH91" s="1">
        <v>0.93820000000000003</v>
      </c>
      <c r="AI91" s="1">
        <v>0.94955000000000001</v>
      </c>
      <c r="AJ91" s="1">
        <v>0.96431</v>
      </c>
      <c r="AL91" s="4" t="s">
        <v>27</v>
      </c>
      <c r="AM91" s="6" t="str" cm="1">
        <f t="array" ref="AM91">IFERROR((SUMPRODUCT(($A$78:$A$101=AM$76)*($F$75:$AJ$75="")*$F$78:$AJ$101)+IF(AM$76="P6",SUMPRODUCT(($F$75:$AJ$75="P6")*$F$78:$AJ$101),0))/(SUMPRODUCT(($A$78:$A$101=AM$76)*($F$75:$AJ$75=""))+IF(AM$76="P6",COUNTIF($F$75:$AJ$75,"P6")*ROWS($A$78:$A$101),0)),"")</f>
        <v/>
      </c>
      <c r="AN91" s="6" cm="1">
        <f t="array" ref="AN91">IFERROR((SUMPRODUCT(($A$78:$A$101=AN$76)*($F$75:$AJ$75="")*$F$78:$AJ$101)+IF(AN$76="P6",SUMPRODUCT(($F$75:$AJ$75="P6")*$F$78:$AJ$101),0))/(SUMPRODUCT(($A$78:$A$101=AN$76)*($F$75:$AJ$75=""))+IF(AN$76="P6",COUNTIF($F$75:$AJ$75,"P6")*ROWS($A$78:$A$101),0)),"")</f>
        <v>1.0539015343915337</v>
      </c>
      <c r="AO91" s="6" t="str" cm="1">
        <f t="array" ref="AO91">IFERROR((SUMPRODUCT(($A$78:$A$101=AO$76)*($F$75:$AJ$75="")*$F$78:$AJ$101)+IF(AO$76="P6",SUMPRODUCT(($F$75:$AJ$75="P6")*$F$78:$AJ$101),0))/(SUMPRODUCT(($A$78:$A$101=AO$76)*($F$75:$AJ$75=""))+IF(AO$76="P6",COUNTIF($F$75:$AJ$75,"P6")*ROWS($A$78:$A$101),0)),"")</f>
        <v/>
      </c>
      <c r="AP91" s="6" cm="1">
        <f t="array" ref="AP91">IFERROR((SUMPRODUCT(($A$78:$A$101=AP$76)*($F$75:$AJ$75="")*$F$78:$AJ$101)+IF(AP$76="P6",SUMPRODUCT(($F$75:$AJ$75="P6")*$F$78:$AJ$101),0))/(SUMPRODUCT(($A$78:$A$101=AP$76)*($F$75:$AJ$75=""))+IF(AP$76="P6",COUNTIF($F$75:$AJ$75,"P6")*ROWS($A$78:$A$101),0)),"")</f>
        <v>1.1529163265306128</v>
      </c>
      <c r="AQ91" s="6" t="str" cm="1">
        <f t="array" ref="AQ91">IFERROR((SUMPRODUCT(($A$78:$A$101=AQ$76)*($F$75:$AJ$75="")*$F$78:$AJ$101)+IF(AQ$76="P6",SUMPRODUCT(($F$75:$AJ$75="P6")*$F$78:$AJ$101),0))/(SUMPRODUCT(($A$78:$A$101=AQ$76)*($F$75:$AJ$75=""))+IF(AQ$76="P6",COUNTIF($F$75:$AJ$75,"P6")*ROWS($A$78:$A$101),0)),"")</f>
        <v/>
      </c>
      <c r="AR91" s="6" cm="1">
        <f t="array" ref="AR91">IFERROR((SUMPRODUCT(($A$78:$A$101=AR$76)*($F$75:$AJ$75="")*$F$78:$AJ$101)+IF(AR$76="P6",SUMPRODUCT(($F$75:$AJ$75="P6")*$F$78:$AJ$101),0))/(SUMPRODUCT(($A$78:$A$101=AR$76)*($F$75:$AJ$75=""))+IF(AR$76="P6",COUNTIF($F$75:$AJ$75,"P6")*ROWS($A$78:$A$101),0)),"")</f>
        <v>1.2101434313725492</v>
      </c>
    </row>
    <row r="92" spans="1:44" ht="14.25" customHeight="1" x14ac:dyDescent="0.35">
      <c r="A92" s="1" t="s">
        <v>14</v>
      </c>
      <c r="B92" s="1" t="s">
        <v>16</v>
      </c>
      <c r="C92" s="1" t="s">
        <v>14</v>
      </c>
      <c r="D92" s="1" t="s">
        <v>15</v>
      </c>
      <c r="E92" s="1" t="s">
        <v>33</v>
      </c>
      <c r="F92" s="1">
        <v>0.95969000000000004</v>
      </c>
      <c r="G92" s="1">
        <v>0.996</v>
      </c>
      <c r="H92" s="1">
        <v>1.02982</v>
      </c>
      <c r="I92" s="1">
        <v>0.98870000000000002</v>
      </c>
      <c r="J92" s="1">
        <v>1.0070600000000001</v>
      </c>
      <c r="K92" s="1">
        <v>1.01912</v>
      </c>
      <c r="L92" s="1">
        <v>0.98150000000000004</v>
      </c>
      <c r="M92" s="1">
        <v>0.95969000000000004</v>
      </c>
      <c r="N92" s="1">
        <v>0.996</v>
      </c>
      <c r="O92" s="1">
        <v>1.02982</v>
      </c>
      <c r="P92" s="1">
        <v>0.98870000000000002</v>
      </c>
      <c r="Q92" s="1">
        <v>1.0070600000000001</v>
      </c>
      <c r="R92" s="1">
        <v>1.01912</v>
      </c>
      <c r="S92" s="1">
        <v>0.98150000000000004</v>
      </c>
      <c r="T92" s="1">
        <v>0.95969000000000004</v>
      </c>
      <c r="U92" s="1">
        <v>0.996</v>
      </c>
      <c r="V92" s="1">
        <v>1.02982</v>
      </c>
      <c r="W92" s="1">
        <v>0.98870000000000002</v>
      </c>
      <c r="X92" s="1">
        <v>1.0070600000000001</v>
      </c>
      <c r="Y92" s="1">
        <v>1.01912</v>
      </c>
      <c r="Z92" s="1">
        <v>0.98150000000000004</v>
      </c>
      <c r="AA92" s="1">
        <v>0.95969000000000004</v>
      </c>
      <c r="AB92" s="1">
        <v>0.996</v>
      </c>
      <c r="AC92" s="1">
        <v>1.02982</v>
      </c>
      <c r="AD92" s="1">
        <v>0.98870000000000002</v>
      </c>
      <c r="AE92" s="1">
        <v>1.0070600000000001</v>
      </c>
      <c r="AF92" s="1">
        <v>1.01912</v>
      </c>
      <c r="AG92" s="1">
        <v>0.98150000000000004</v>
      </c>
      <c r="AH92" s="1">
        <v>0.95969000000000004</v>
      </c>
      <c r="AI92" s="1">
        <v>0.95147000000000004</v>
      </c>
      <c r="AJ92" s="1">
        <v>1.02982</v>
      </c>
      <c r="AL92" s="4" t="s">
        <v>29</v>
      </c>
      <c r="AM92" s="6" t="str" cm="1">
        <f t="array" ref="AM92">IFERROR((SUMPRODUCT(($A$78:$A$101=AM$76)*($F$75:$AJ$75="")*$F$78:$AJ$101)+IF(AM$76="P6",SUMPRODUCT(($F$75:$AJ$75="P6")*$F$78:$AJ$101),0))/(SUMPRODUCT(($A$78:$A$101=AM$76)*($F$75:$AJ$75=""))+IF(AM$76="P6",COUNTIF($F$75:$AJ$75,"P6")*ROWS($A$78:$A$101),0)),"")</f>
        <v/>
      </c>
      <c r="AN92" s="6" cm="1">
        <f t="array" ref="AN92">IFERROR((SUMPRODUCT(($A$78:$A$101=AN$76)*($F$75:$AJ$75="")*$F$78:$AJ$101)+IF(AN$76="P6",SUMPRODUCT(($F$75:$AJ$75="P6")*$F$78:$AJ$101),0))/(SUMPRODUCT(($A$78:$A$101=AN$76)*($F$75:$AJ$75=""))+IF(AN$76="P6",COUNTIF($F$75:$AJ$75,"P6")*ROWS($A$78:$A$101),0)),"")</f>
        <v>1.0539015343915337</v>
      </c>
      <c r="AO92" s="6" t="str" cm="1">
        <f t="array" ref="AO92">IFERROR((SUMPRODUCT(($A$78:$A$101=AO$76)*($F$75:$AJ$75="")*$F$78:$AJ$101)+IF(AO$76="P6",SUMPRODUCT(($F$75:$AJ$75="P6")*$F$78:$AJ$101),0))/(SUMPRODUCT(($A$78:$A$101=AO$76)*($F$75:$AJ$75=""))+IF(AO$76="P6",COUNTIF($F$75:$AJ$75,"P6")*ROWS($A$78:$A$101),0)),"")</f>
        <v/>
      </c>
      <c r="AP92" s="6" cm="1">
        <f t="array" ref="AP92">IFERROR((SUMPRODUCT(($A$78:$A$101=AP$76)*($F$75:$AJ$75="")*$F$78:$AJ$101)+IF(AP$76="P6",SUMPRODUCT(($F$75:$AJ$75="P6")*$F$78:$AJ$101),0))/(SUMPRODUCT(($A$78:$A$101=AP$76)*($F$75:$AJ$75=""))+IF(AP$76="P6",COUNTIF($F$75:$AJ$75,"P6")*ROWS($A$78:$A$101),0)),"")</f>
        <v>1.1529163265306128</v>
      </c>
      <c r="AQ92" s="6" t="str" cm="1">
        <f t="array" ref="AQ92">IFERROR((SUMPRODUCT(($A$78:$A$101=AQ$76)*($F$75:$AJ$75="")*$F$78:$AJ$101)+IF(AQ$76="P6",SUMPRODUCT(($F$75:$AJ$75="P6")*$F$78:$AJ$101),0))/(SUMPRODUCT(($A$78:$A$101=AQ$76)*($F$75:$AJ$75=""))+IF(AQ$76="P6",COUNTIF($F$75:$AJ$75,"P6")*ROWS($A$78:$A$101),0)),"")</f>
        <v/>
      </c>
      <c r="AR92" s="6" cm="1">
        <f t="array" ref="AR92">IFERROR((SUMPRODUCT(($A$78:$A$101=AR$76)*($F$75:$AJ$75="")*$F$78:$AJ$101)+IF(AR$76="P6",SUMPRODUCT(($F$75:$AJ$75="P6")*$F$78:$AJ$101),0))/(SUMPRODUCT(($A$78:$A$101=AR$76)*($F$75:$AJ$75=""))+IF(AR$76="P6",COUNTIF($F$75:$AJ$75,"P6")*ROWS($A$78:$A$101),0)),"")</f>
        <v>1.2101434313725492</v>
      </c>
    </row>
    <row r="93" spans="1:44" ht="14.25" customHeight="1" x14ac:dyDescent="0.35">
      <c r="A93" s="1" t="s">
        <v>16</v>
      </c>
      <c r="B93" s="1" t="s">
        <v>17</v>
      </c>
      <c r="C93" s="1" t="s">
        <v>14</v>
      </c>
      <c r="D93" s="1" t="s">
        <v>15</v>
      </c>
      <c r="E93" s="1" t="s">
        <v>34</v>
      </c>
      <c r="F93" s="1">
        <v>1.0052000000000001</v>
      </c>
      <c r="G93" s="1">
        <v>1.0369299999999999</v>
      </c>
      <c r="H93" s="1">
        <v>1.0787500000000001</v>
      </c>
      <c r="I93" s="1">
        <v>1.0382400000000001</v>
      </c>
      <c r="J93" s="1">
        <v>1.0554300000000001</v>
      </c>
      <c r="K93" s="1">
        <v>1.0722400000000001</v>
      </c>
      <c r="L93" s="1">
        <v>1.0406599999999999</v>
      </c>
      <c r="M93" s="1">
        <v>1.0052000000000001</v>
      </c>
      <c r="N93" s="1">
        <v>1.0369299999999999</v>
      </c>
      <c r="O93" s="1">
        <v>1.0787500000000001</v>
      </c>
      <c r="P93" s="1">
        <v>1.0382400000000001</v>
      </c>
      <c r="Q93" s="1">
        <v>1.0554300000000001</v>
      </c>
      <c r="R93" s="1">
        <v>1.0722400000000001</v>
      </c>
      <c r="S93" s="1">
        <v>1.0406599999999999</v>
      </c>
      <c r="T93" s="1">
        <v>1.0052000000000001</v>
      </c>
      <c r="U93" s="1">
        <v>1.0369299999999999</v>
      </c>
      <c r="V93" s="1">
        <v>1.0787500000000001</v>
      </c>
      <c r="W93" s="1">
        <v>1.0382400000000001</v>
      </c>
      <c r="X93" s="1">
        <v>1.0554300000000001</v>
      </c>
      <c r="Y93" s="1">
        <v>1.0722400000000001</v>
      </c>
      <c r="Z93" s="1">
        <v>1.0406599999999999</v>
      </c>
      <c r="AA93" s="1">
        <v>1.0052000000000001</v>
      </c>
      <c r="AB93" s="1">
        <v>1.0369299999999999</v>
      </c>
      <c r="AC93" s="1">
        <v>1.0787500000000001</v>
      </c>
      <c r="AD93" s="1">
        <v>1.0382400000000001</v>
      </c>
      <c r="AE93" s="1">
        <v>1.0554300000000001</v>
      </c>
      <c r="AF93" s="1">
        <v>1.0722400000000001</v>
      </c>
      <c r="AG93" s="1">
        <v>1.0406599999999999</v>
      </c>
      <c r="AH93" s="1">
        <v>1.0052000000000001</v>
      </c>
      <c r="AI93" s="1">
        <v>0.996</v>
      </c>
      <c r="AJ93" s="1">
        <v>1.0787500000000001</v>
      </c>
      <c r="AL93" s="10"/>
      <c r="AM93" s="10"/>
      <c r="AN93" s="10"/>
      <c r="AO93" s="10"/>
      <c r="AP93" s="10"/>
      <c r="AQ93" s="10"/>
      <c r="AR93" s="10"/>
    </row>
    <row r="94" spans="1:44" ht="14.25" customHeight="1" x14ac:dyDescent="0.35">
      <c r="A94" s="1" t="s">
        <v>16</v>
      </c>
      <c r="B94" s="1" t="s">
        <v>17</v>
      </c>
      <c r="C94" s="1" t="s">
        <v>14</v>
      </c>
      <c r="D94" s="1" t="s">
        <v>15</v>
      </c>
      <c r="E94" s="1" t="s">
        <v>35</v>
      </c>
      <c r="F94" s="1">
        <v>1.0605500000000001</v>
      </c>
      <c r="G94" s="1">
        <v>1.1048899999999999</v>
      </c>
      <c r="H94" s="1">
        <v>1.0926</v>
      </c>
      <c r="I94" s="1">
        <v>1.0777000000000001</v>
      </c>
      <c r="J94" s="1">
        <v>1.1154599999999999</v>
      </c>
      <c r="K94" s="1">
        <v>1.11633</v>
      </c>
      <c r="L94" s="1">
        <v>1.0954600000000001</v>
      </c>
      <c r="M94" s="1">
        <v>1.0605500000000001</v>
      </c>
      <c r="N94" s="1">
        <v>1.1048899999999999</v>
      </c>
      <c r="O94" s="1">
        <v>1.0926</v>
      </c>
      <c r="P94" s="1">
        <v>1.0777000000000001</v>
      </c>
      <c r="Q94" s="1">
        <v>1.1154599999999999</v>
      </c>
      <c r="R94" s="1">
        <v>1.11633</v>
      </c>
      <c r="S94" s="1">
        <v>1.0954600000000001</v>
      </c>
      <c r="T94" s="1">
        <v>1.0605500000000001</v>
      </c>
      <c r="U94" s="1">
        <v>1.1048899999999999</v>
      </c>
      <c r="V94" s="1">
        <v>1.0926</v>
      </c>
      <c r="W94" s="1">
        <v>1.0777000000000001</v>
      </c>
      <c r="X94" s="1">
        <v>1.1154599999999999</v>
      </c>
      <c r="Y94" s="1">
        <v>1.11633</v>
      </c>
      <c r="Z94" s="1">
        <v>1.0954600000000001</v>
      </c>
      <c r="AA94" s="1">
        <v>1.0605500000000001</v>
      </c>
      <c r="AB94" s="1">
        <v>1.1048899999999999</v>
      </c>
      <c r="AC94" s="1">
        <v>1.0926</v>
      </c>
      <c r="AD94" s="1">
        <v>1.0777000000000001</v>
      </c>
      <c r="AE94" s="1">
        <v>1.1154599999999999</v>
      </c>
      <c r="AF94" s="1">
        <v>1.11633</v>
      </c>
      <c r="AG94" s="1">
        <v>1.0954600000000001</v>
      </c>
      <c r="AH94" s="1">
        <v>1.0605500000000001</v>
      </c>
      <c r="AI94" s="1">
        <v>1.0369299999999999</v>
      </c>
      <c r="AJ94" s="1">
        <v>1.0926</v>
      </c>
      <c r="AL94" s="10"/>
      <c r="AM94" s="10"/>
      <c r="AN94" s="10"/>
      <c r="AO94" s="10"/>
      <c r="AP94" s="10"/>
      <c r="AQ94" s="10"/>
      <c r="AR94" s="10"/>
    </row>
    <row r="95" spans="1:44" ht="14.25" customHeight="1" x14ac:dyDescent="0.35">
      <c r="A95" s="1" t="s">
        <v>16</v>
      </c>
      <c r="B95" s="1" t="s">
        <v>17</v>
      </c>
      <c r="C95" s="1" t="s">
        <v>14</v>
      </c>
      <c r="D95" s="1" t="s">
        <v>15</v>
      </c>
      <c r="E95" s="1" t="s">
        <v>36</v>
      </c>
      <c r="F95" s="1">
        <v>1.1090100000000001</v>
      </c>
      <c r="G95" s="1">
        <v>1.14862</v>
      </c>
      <c r="H95" s="1">
        <v>1.12113</v>
      </c>
      <c r="I95" s="1">
        <v>1.10341</v>
      </c>
      <c r="J95" s="1">
        <v>1.1348199999999999</v>
      </c>
      <c r="K95" s="1">
        <v>1.1612</v>
      </c>
      <c r="L95" s="1">
        <v>1.12971</v>
      </c>
      <c r="M95" s="1">
        <v>1.1090100000000001</v>
      </c>
      <c r="N95" s="1">
        <v>1.14862</v>
      </c>
      <c r="O95" s="1">
        <v>1.12113</v>
      </c>
      <c r="P95" s="1">
        <v>1.10341</v>
      </c>
      <c r="Q95" s="1">
        <v>1.1348199999999999</v>
      </c>
      <c r="R95" s="1">
        <v>1.1612</v>
      </c>
      <c r="S95" s="1">
        <v>1.12971</v>
      </c>
      <c r="T95" s="1">
        <v>1.1090100000000001</v>
      </c>
      <c r="U95" s="1">
        <v>1.14862</v>
      </c>
      <c r="V95" s="1">
        <v>1.12113</v>
      </c>
      <c r="W95" s="1">
        <v>1.10341</v>
      </c>
      <c r="X95" s="1">
        <v>1.1348199999999999</v>
      </c>
      <c r="Y95" s="1">
        <v>1.1612</v>
      </c>
      <c r="Z95" s="1">
        <v>1.12971</v>
      </c>
      <c r="AA95" s="1">
        <v>1.1090100000000001</v>
      </c>
      <c r="AB95" s="1">
        <v>1.14862</v>
      </c>
      <c r="AC95" s="1">
        <v>1.12113</v>
      </c>
      <c r="AD95" s="1">
        <v>1.10341</v>
      </c>
      <c r="AE95" s="1">
        <v>1.1348199999999999</v>
      </c>
      <c r="AF95" s="1">
        <v>1.1612</v>
      </c>
      <c r="AG95" s="1">
        <v>1.12971</v>
      </c>
      <c r="AH95" s="1">
        <v>1.1090100000000001</v>
      </c>
      <c r="AI95" s="1">
        <v>1.1048899999999999</v>
      </c>
      <c r="AJ95" s="1">
        <v>1.12113</v>
      </c>
      <c r="AL95" s="14" t="s">
        <v>86</v>
      </c>
      <c r="AM95" s="14"/>
      <c r="AN95" s="14"/>
      <c r="AO95" s="14"/>
      <c r="AP95" s="14"/>
      <c r="AQ95" s="14"/>
      <c r="AR95" s="14"/>
    </row>
    <row r="96" spans="1:44" ht="14.25" customHeight="1" x14ac:dyDescent="0.35">
      <c r="A96" s="1" t="s">
        <v>14</v>
      </c>
      <c r="B96" s="1" t="s">
        <v>16</v>
      </c>
      <c r="C96" s="1" t="s">
        <v>13</v>
      </c>
      <c r="D96" s="1" t="s">
        <v>14</v>
      </c>
      <c r="E96" s="1" t="s">
        <v>37</v>
      </c>
      <c r="F96" s="1">
        <v>1.17065</v>
      </c>
      <c r="G96" s="1">
        <v>1.1856100000000001</v>
      </c>
      <c r="H96" s="1">
        <v>1.13371</v>
      </c>
      <c r="I96" s="1">
        <v>1.10341</v>
      </c>
      <c r="J96" s="1">
        <v>1.1427400000000001</v>
      </c>
      <c r="K96" s="1">
        <v>1.1972100000000001</v>
      </c>
      <c r="L96" s="1">
        <v>1.1769799999999999</v>
      </c>
      <c r="M96" s="1">
        <v>1.17065</v>
      </c>
      <c r="N96" s="1">
        <v>1.1856100000000001</v>
      </c>
      <c r="O96" s="1">
        <v>1.13371</v>
      </c>
      <c r="P96" s="1">
        <v>1.10341</v>
      </c>
      <c r="Q96" s="1">
        <v>1.1427400000000001</v>
      </c>
      <c r="R96" s="1">
        <v>1.1972100000000001</v>
      </c>
      <c r="S96" s="1">
        <v>1.1769799999999999</v>
      </c>
      <c r="T96" s="1">
        <v>1.17065</v>
      </c>
      <c r="U96" s="1">
        <v>1.1856100000000001</v>
      </c>
      <c r="V96" s="1">
        <v>1.13371</v>
      </c>
      <c r="W96" s="1">
        <v>1.10341</v>
      </c>
      <c r="X96" s="1">
        <v>1.1427400000000001</v>
      </c>
      <c r="Y96" s="1">
        <v>1.1972100000000001</v>
      </c>
      <c r="Z96" s="1">
        <v>1.1769799999999999</v>
      </c>
      <c r="AA96" s="1">
        <v>1.17065</v>
      </c>
      <c r="AB96" s="1">
        <v>1.1856100000000001</v>
      </c>
      <c r="AC96" s="1">
        <v>1.13371</v>
      </c>
      <c r="AD96" s="1">
        <v>1.10341</v>
      </c>
      <c r="AE96" s="1">
        <v>1.1427400000000001</v>
      </c>
      <c r="AF96" s="1">
        <v>1.1972100000000001</v>
      </c>
      <c r="AG96" s="1">
        <v>1.1769799999999999</v>
      </c>
      <c r="AH96" s="1">
        <v>1.17065</v>
      </c>
      <c r="AI96" s="1">
        <v>1.14862</v>
      </c>
      <c r="AJ96" s="1">
        <v>1.13371</v>
      </c>
      <c r="AL96" s="4"/>
      <c r="AM96" s="4" t="s">
        <v>13</v>
      </c>
      <c r="AN96" s="4" t="s">
        <v>14</v>
      </c>
      <c r="AO96" s="4" t="s">
        <v>15</v>
      </c>
      <c r="AP96" s="4" t="s">
        <v>16</v>
      </c>
      <c r="AQ96" s="4" t="s">
        <v>17</v>
      </c>
      <c r="AR96" s="4" t="s">
        <v>7</v>
      </c>
    </row>
    <row r="97" spans="1:44" ht="14.25" customHeight="1" x14ac:dyDescent="0.35">
      <c r="A97" s="1" t="s">
        <v>14</v>
      </c>
      <c r="B97" s="1" t="s">
        <v>16</v>
      </c>
      <c r="C97" s="1" t="s">
        <v>13</v>
      </c>
      <c r="D97" s="1" t="s">
        <v>14</v>
      </c>
      <c r="E97" s="1" t="s">
        <v>38</v>
      </c>
      <c r="F97" s="1">
        <v>1.17946</v>
      </c>
      <c r="G97" s="1">
        <v>1.17824</v>
      </c>
      <c r="H97" s="1">
        <v>1.1408499999999999</v>
      </c>
      <c r="I97" s="1">
        <v>1.11408</v>
      </c>
      <c r="J97" s="1">
        <v>1.1428100000000001</v>
      </c>
      <c r="K97" s="1">
        <v>1.2134</v>
      </c>
      <c r="L97" s="1">
        <v>1.19465</v>
      </c>
      <c r="M97" s="1">
        <v>1.17946</v>
      </c>
      <c r="N97" s="1">
        <v>1.17824</v>
      </c>
      <c r="O97" s="1">
        <v>1.1408499999999999</v>
      </c>
      <c r="P97" s="1">
        <v>1.11408</v>
      </c>
      <c r="Q97" s="1">
        <v>1.1428100000000001</v>
      </c>
      <c r="R97" s="1">
        <v>1.2134</v>
      </c>
      <c r="S97" s="1">
        <v>1.19465</v>
      </c>
      <c r="T97" s="1">
        <v>1.17946</v>
      </c>
      <c r="U97" s="1">
        <v>1.17824</v>
      </c>
      <c r="V97" s="1">
        <v>1.1408499999999999</v>
      </c>
      <c r="W97" s="1">
        <v>1.11408</v>
      </c>
      <c r="X97" s="1">
        <v>1.1428100000000001</v>
      </c>
      <c r="Y97" s="1">
        <v>1.2134</v>
      </c>
      <c r="Z97" s="1">
        <v>1.19465</v>
      </c>
      <c r="AA97" s="1">
        <v>1.17946</v>
      </c>
      <c r="AB97" s="1">
        <v>1.17824</v>
      </c>
      <c r="AC97" s="1">
        <v>1.1408499999999999</v>
      </c>
      <c r="AD97" s="1">
        <v>1.11408</v>
      </c>
      <c r="AE97" s="1">
        <v>1.1428100000000001</v>
      </c>
      <c r="AF97" s="1">
        <v>1.2134</v>
      </c>
      <c r="AG97" s="1">
        <v>1.19465</v>
      </c>
      <c r="AH97" s="1">
        <v>1.17946</v>
      </c>
      <c r="AI97" s="1">
        <v>1.1856100000000001</v>
      </c>
      <c r="AJ97" s="1">
        <v>1.1408499999999999</v>
      </c>
      <c r="AL97" s="4" t="s">
        <v>19</v>
      </c>
      <c r="AM97" s="6" cm="1">
        <f t="array" ref="AM97">IFERROR((SUMPRODUCT(($C$78:$C$101=AM$76)*($F$74:$AJ$74="")*$F$78:$AJ$101)+IF(AM$76="P3",SUMPRODUCT(($F$74:$AJ$74="P3")*$F$78:$AJ$101),0))/(SUMPRODUCT(($C$78:$C$101=AM$76)*($F$74:$AJ$74=""))+IF(AM$76="P3",COUNTIF($F$74:$AJ$74,"P3")*ROWS($C$78:$C$101),0)),"")</f>
        <v>1.0598379166666663</v>
      </c>
      <c r="AN97" s="6" cm="1">
        <f t="array" ref="AN97">IFERROR((SUMPRODUCT(($C$78:$C$101=AN$41)*($F$74:$AJ$74="")*$F$78:$AJ$101)+IF(AN$41="P3",SUMPRODUCT(($F$74:$AJ$74="P3")*$F$78:$AJ$101),0))/(SUMPRODUCT(($C$78:$C$101=AN$41)*($F$74:$AJ$74=""))+IF(AN$41="P3",COUNTIF($F$74:$AJ$74,"P3")*ROWS($C$78:$C$101),0)),"")</f>
        <v>1.1346030952380959</v>
      </c>
      <c r="AO97" s="6" cm="1">
        <f t="array" ref="AO97">IFERROR((SUMPRODUCT(($C$78:$C$101=AO$41)*($F$74:$AJ$74="")*$F$78:$AJ$101)+IF(AO$41="P3",SUMPRODUCT(($F$74:$AJ$74="P3")*$F$78:$AJ$101),0))/(SUMPRODUCT(($C$78:$C$101=AO$41)*($F$74:$AJ$74=""))+IF(AO$41="P3",COUNTIF($F$74:$AJ$74,"P3")*ROWS($C$78:$C$101),0)),"")</f>
        <v>1.2101434313725492</v>
      </c>
      <c r="AP97" s="6" t="str" cm="1">
        <f t="array" ref="AP97">IFERROR((SUMPRODUCT(($C$78:$C$101=AP$41)*($F$74:$AJ$74="")*$F$78:$AJ$101)+IF(AP$41="P3",SUMPRODUCT(($F$74:$AJ$74="P3")*$F$78:$AJ$101),0))/(SUMPRODUCT(($C$78:$C$101=AP$41)*($F$74:$AJ$74=""))+IF(AP$41="P3",COUNTIF($F$74:$AJ$74,"P3")*ROWS($C$78:$C$101),0)),"")</f>
        <v/>
      </c>
      <c r="AQ97" s="6" t="str" cm="1">
        <f t="array" ref="AQ97">IFERROR((SUMPRODUCT(($C$78:$C$101=AQ$41)*($F$74:$AJ$74="")*$F$78:$AJ$101)+IF(AQ$41="P3",SUMPRODUCT(($F$74:$AJ$74="P3")*$F$78:$AJ$101),0))/(SUMPRODUCT(($C$78:$C$101=AQ$41)*($F$74:$AJ$74=""))+IF(AQ$41="P3",COUNTIF($F$74:$AJ$74,"P3")*ROWS($C$78:$C$101),0)),"")</f>
        <v/>
      </c>
      <c r="AR97" s="6" t="str" cm="1">
        <f t="array" ref="AR97">IFERROR((SUMPRODUCT(($C$78:$C$101=AR$41)*($F$74:$AJ$74="")*$F$78:$AJ$101)+IF(AR$41="P3",SUMPRODUCT(($F$74:$AJ$74="P3")*$F$78:$AJ$101),0))/(SUMPRODUCT(($C$78:$C$101=AR$41)*($F$74:$AJ$74=""))+IF(AR$41="P3",COUNTIF($F$74:$AJ$74,"P3")*ROWS($C$78:$C$101),0)),"")</f>
        <v/>
      </c>
    </row>
    <row r="98" spans="1:44" ht="14.25" customHeight="1" x14ac:dyDescent="0.35">
      <c r="A98" s="1" t="s">
        <v>14</v>
      </c>
      <c r="B98" s="1" t="s">
        <v>16</v>
      </c>
      <c r="C98" s="1" t="s">
        <v>13</v>
      </c>
      <c r="D98" s="1" t="s">
        <v>14</v>
      </c>
      <c r="E98" s="1" t="s">
        <v>39</v>
      </c>
      <c r="F98" s="1">
        <v>1.15554</v>
      </c>
      <c r="G98" s="1">
        <v>1.1596200000000001</v>
      </c>
      <c r="H98" s="1">
        <v>1.14836</v>
      </c>
      <c r="I98" s="1">
        <v>1.11948</v>
      </c>
      <c r="J98" s="1">
        <v>1.14429</v>
      </c>
      <c r="K98" s="1">
        <v>1.2058599999999999</v>
      </c>
      <c r="L98" s="1">
        <v>1.1923999999999999</v>
      </c>
      <c r="M98" s="1">
        <v>1.15554</v>
      </c>
      <c r="N98" s="1">
        <v>1.1596200000000001</v>
      </c>
      <c r="O98" s="1">
        <v>1.14836</v>
      </c>
      <c r="P98" s="1">
        <v>1.11948</v>
      </c>
      <c r="Q98" s="1">
        <v>1.14429</v>
      </c>
      <c r="R98" s="1">
        <v>1.2058599999999999</v>
      </c>
      <c r="S98" s="1">
        <v>1.1923999999999999</v>
      </c>
      <c r="T98" s="1">
        <v>1.15554</v>
      </c>
      <c r="U98" s="1">
        <v>1.1596200000000001</v>
      </c>
      <c r="V98" s="1">
        <v>1.14836</v>
      </c>
      <c r="W98" s="1">
        <v>1.11948</v>
      </c>
      <c r="X98" s="1">
        <v>1.14429</v>
      </c>
      <c r="Y98" s="1">
        <v>1.2058599999999999</v>
      </c>
      <c r="Z98" s="1">
        <v>1.1923999999999999</v>
      </c>
      <c r="AA98" s="1">
        <v>1.15554</v>
      </c>
      <c r="AB98" s="1">
        <v>1.1596200000000001</v>
      </c>
      <c r="AC98" s="1">
        <v>1.14836</v>
      </c>
      <c r="AD98" s="1">
        <v>1.11948</v>
      </c>
      <c r="AE98" s="1">
        <v>1.14429</v>
      </c>
      <c r="AF98" s="1">
        <v>1.2058599999999999</v>
      </c>
      <c r="AG98" s="1">
        <v>1.1923999999999999</v>
      </c>
      <c r="AH98" s="1">
        <v>1.15554</v>
      </c>
      <c r="AI98" s="1">
        <v>1.17824</v>
      </c>
      <c r="AJ98" s="1">
        <v>1.14836</v>
      </c>
      <c r="AL98" s="4" t="s">
        <v>21</v>
      </c>
      <c r="AM98" s="6" t="str" cm="1">
        <f t="array" ref="AM98">IFERROR((SUMPRODUCT(($B$78:$B$101=AM$76)*($F$75:$AJ$75="")*$F$78:$AJ$101)+IF(AM$76="P6",SUMPRODUCT(($F$75:$AJ$75="P6")*$F$78:$AJ$101),0))/(SUMPRODUCT(($B$78:$B$101=AM$76)*($F$75:$AJ$75=""))+IF(AM$76="P6",COUNTIF($F$75:$AJ$75,"P6")*ROWS($B$78:$B$101),0)),"")</f>
        <v/>
      </c>
      <c r="AN98" s="6" t="str" cm="1">
        <f t="array" ref="AN98">IFERROR((SUMPRODUCT(($B$78:$B$101=AN$76)*($F$75:$AJ$75="")*$F$78:$AJ$101)+IF(AN$76="P6",SUMPRODUCT(($F$75:$AJ$75="P6")*$F$78:$AJ$101),0))/(SUMPRODUCT(($B$78:$B$101=AN$76)*($F$75:$AJ$75=""))+IF(AN$76="P6",COUNTIF($F$75:$AJ$75,"P6")*ROWS($B$78:$B$101),0)),"")</f>
        <v/>
      </c>
      <c r="AO98" s="6" t="str" cm="1">
        <f t="array" ref="AO98">IFERROR((SUMPRODUCT(($B$78:$B$101=AO$76)*($F$75:$AJ$75="")*$F$78:$AJ$101)+IF(AO$76="P6",SUMPRODUCT(($F$75:$AJ$75="P6")*$F$78:$AJ$101),0))/(SUMPRODUCT(($B$78:$B$101=AO$76)*($F$75:$AJ$75=""))+IF(AO$76="P6",COUNTIF($F$75:$AJ$75,"P6")*ROWS($B$78:$B$101),0)),"")</f>
        <v/>
      </c>
      <c r="AP98" s="6" cm="1">
        <f t="array" ref="AP98">IFERROR((SUMPRODUCT(($B$78:$B$101=AP$76)*($F$75:$AJ$75="")*$F$78:$AJ$101)+IF(AP$76="P6",SUMPRODUCT(($F$75:$AJ$75="P6")*$F$78:$AJ$101),0))/(SUMPRODUCT(($B$78:$B$101=AP$76)*($F$75:$AJ$75=""))+IF(AP$76="P6",COUNTIF($F$75:$AJ$75,"P6")*ROWS($B$78:$B$101),0)),"")</f>
        <v>1.0539015343915337</v>
      </c>
      <c r="AQ98" s="6" cm="1">
        <f t="array" ref="AQ98">IFERROR((SUMPRODUCT(($B$78:$B$101=AQ$76)*($F$75:$AJ$75="")*$F$78:$AJ$101)+IF(AQ$76="P6",SUMPRODUCT(($F$75:$AJ$75="P6")*$F$78:$AJ$101),0))/(SUMPRODUCT(($B$78:$B$101=AQ$76)*($F$75:$AJ$75=""))+IF(AQ$76="P6",COUNTIF($F$75:$AJ$75,"P6")*ROWS($B$78:$B$101),0)),"")</f>
        <v>1.1529163265306128</v>
      </c>
      <c r="AR98" s="6" cm="1">
        <f t="array" ref="AR98">IFERROR((SUMPRODUCT(($B$78:$B$101=AR$76)*($F$75:$AJ$75="")*$F$78:$AJ$101)+IF(AR$76="P6",SUMPRODUCT(($F$75:$AJ$75="P6")*$F$78:$AJ$101),0))/(SUMPRODUCT(($B$78:$B$101=AR$76)*($F$75:$AJ$75=""))+IF(AR$76="P6",COUNTIF($F$75:$AJ$75,"P6")*ROWS($B$78:$B$101),0)),"")</f>
        <v>1.2101434313725492</v>
      </c>
    </row>
    <row r="99" spans="1:44" ht="14.25" customHeight="1" x14ac:dyDescent="0.35">
      <c r="A99" s="1" t="s">
        <v>14</v>
      </c>
      <c r="B99" s="1" t="s">
        <v>16</v>
      </c>
      <c r="C99" s="1" t="s">
        <v>13</v>
      </c>
      <c r="D99" s="1" t="s">
        <v>14</v>
      </c>
      <c r="E99" s="1" t="s">
        <v>40</v>
      </c>
      <c r="F99" s="1">
        <v>1.1675</v>
      </c>
      <c r="G99" s="1">
        <v>1.15831</v>
      </c>
      <c r="H99" s="1">
        <v>1.18167</v>
      </c>
      <c r="I99" s="1">
        <v>1.1525399999999999</v>
      </c>
      <c r="J99" s="1">
        <v>1.18089</v>
      </c>
      <c r="K99" s="1">
        <v>1.2363500000000001</v>
      </c>
      <c r="L99" s="1">
        <v>1.21939</v>
      </c>
      <c r="M99" s="1">
        <v>1.1675</v>
      </c>
      <c r="N99" s="1">
        <v>1.15831</v>
      </c>
      <c r="O99" s="1">
        <v>1.18167</v>
      </c>
      <c r="P99" s="1">
        <v>1.1525399999999999</v>
      </c>
      <c r="Q99" s="1">
        <v>1.18089</v>
      </c>
      <c r="R99" s="1">
        <v>1.2363500000000001</v>
      </c>
      <c r="S99" s="1">
        <v>1.21939</v>
      </c>
      <c r="T99" s="1">
        <v>1.1675</v>
      </c>
      <c r="U99" s="1">
        <v>1.15831</v>
      </c>
      <c r="V99" s="1">
        <v>1.18167</v>
      </c>
      <c r="W99" s="1">
        <v>1.1525399999999999</v>
      </c>
      <c r="X99" s="1">
        <v>1.18089</v>
      </c>
      <c r="Y99" s="1">
        <v>1.2363500000000001</v>
      </c>
      <c r="Z99" s="1">
        <v>1.21939</v>
      </c>
      <c r="AA99" s="1">
        <v>1.1675</v>
      </c>
      <c r="AB99" s="1">
        <v>1.15831</v>
      </c>
      <c r="AC99" s="1">
        <v>1.18167</v>
      </c>
      <c r="AD99" s="1">
        <v>1.1525399999999999</v>
      </c>
      <c r="AE99" s="1">
        <v>1.18089</v>
      </c>
      <c r="AF99" s="1">
        <v>1.2363500000000001</v>
      </c>
      <c r="AG99" s="1">
        <v>1.21939</v>
      </c>
      <c r="AH99" s="1">
        <v>1.1675</v>
      </c>
      <c r="AI99" s="1">
        <v>1.1596200000000001</v>
      </c>
      <c r="AJ99" s="1">
        <v>1.18167</v>
      </c>
      <c r="AL99" s="4" t="s">
        <v>23</v>
      </c>
      <c r="AM99" s="6" t="str" cm="1">
        <f t="array" ref="AM99">IFERROR((SUMPRODUCT(($B$78:$B$101=AM$76)*($F$75:$AJ$75="")*$F$78:$AJ$101)+IF(AM$76="P6",SUMPRODUCT(($F$75:$AJ$75="P6")*$F$78:$AJ$101),0))/(SUMPRODUCT(($B$78:$B$101=AM$76)*($F$75:$AJ$75=""))+IF(AM$76="P6",COUNTIF($F$75:$AJ$75,"P6")*ROWS($B$78:$B$101),0)),"")</f>
        <v/>
      </c>
      <c r="AN99" s="6" t="str" cm="1">
        <f t="array" ref="AN99">IFERROR((SUMPRODUCT(($B$78:$B$101=AN$76)*($F$75:$AJ$75="")*$F$78:$AJ$101)+IF(AN$76="P6",SUMPRODUCT(($F$75:$AJ$75="P6")*$F$78:$AJ$101),0))/(SUMPRODUCT(($B$78:$B$101=AN$76)*($F$75:$AJ$75=""))+IF(AN$76="P6",COUNTIF($F$75:$AJ$75,"P6")*ROWS($B$78:$B$101),0)),"")</f>
        <v/>
      </c>
      <c r="AO99" s="6" t="str" cm="1">
        <f t="array" ref="AO99">IFERROR((SUMPRODUCT(($B$78:$B$101=AO$76)*($F$75:$AJ$75="")*$F$78:$AJ$101)+IF(AO$76="P6",SUMPRODUCT(($F$75:$AJ$75="P6")*$F$78:$AJ$101),0))/(SUMPRODUCT(($B$78:$B$101=AO$76)*($F$75:$AJ$75=""))+IF(AO$76="P6",COUNTIF($F$75:$AJ$75,"P6")*ROWS($B$78:$B$101),0)),"")</f>
        <v/>
      </c>
      <c r="AP99" s="6" cm="1">
        <f t="array" ref="AP99">IFERROR((SUMPRODUCT(($B$78:$B$101=AP$76)*($F$75:$AJ$75="")*$F$78:$AJ$101)+IF(AP$76="P6",SUMPRODUCT(($F$75:$AJ$75="P6")*$F$78:$AJ$101),0))/(SUMPRODUCT(($B$78:$B$101=AP$76)*($F$75:$AJ$75=""))+IF(AP$76="P6",COUNTIF($F$75:$AJ$75,"P6")*ROWS($B$78:$B$101),0)),"")</f>
        <v>1.0539015343915337</v>
      </c>
      <c r="AQ99" s="6" cm="1">
        <f t="array" ref="AQ99">IFERROR((SUMPRODUCT(($B$78:$B$101=AQ$76)*($F$75:$AJ$75="")*$F$78:$AJ$101)+IF(AQ$76="P6",SUMPRODUCT(($F$75:$AJ$75="P6")*$F$78:$AJ$101),0))/(SUMPRODUCT(($B$78:$B$101=AQ$76)*($F$75:$AJ$75=""))+IF(AQ$76="P6",COUNTIF($F$75:$AJ$75,"P6")*ROWS($B$78:$B$101),0)),"")</f>
        <v>1.1529163265306128</v>
      </c>
      <c r="AR99" s="6" cm="1">
        <f t="array" ref="AR99">IFERROR((SUMPRODUCT(($B$78:$B$101=AR$76)*($F$75:$AJ$75="")*$F$78:$AJ$101)+IF(AR$76="P6",SUMPRODUCT(($F$75:$AJ$75="P6")*$F$78:$AJ$101),0))/(SUMPRODUCT(($B$78:$B$101=AR$76)*($F$75:$AJ$75=""))+IF(AR$76="P6",COUNTIF($F$75:$AJ$75,"P6")*ROWS($B$78:$B$101),0)),"")</f>
        <v>1.2101434313725492</v>
      </c>
    </row>
    <row r="100" spans="1:44" ht="14.25" customHeight="1" x14ac:dyDescent="0.35">
      <c r="A100" s="1" t="s">
        <v>16</v>
      </c>
      <c r="B100" s="1" t="s">
        <v>17</v>
      </c>
      <c r="C100" s="1" t="s">
        <v>14</v>
      </c>
      <c r="D100" s="1" t="s">
        <v>15</v>
      </c>
      <c r="E100" s="1" t="s">
        <v>41</v>
      </c>
      <c r="F100" s="1">
        <v>1.2037800000000001</v>
      </c>
      <c r="G100" s="1">
        <v>1.19634</v>
      </c>
      <c r="H100" s="1">
        <v>1.26868</v>
      </c>
      <c r="I100" s="1">
        <v>1.25362</v>
      </c>
      <c r="J100" s="1">
        <v>1.2746200000000001</v>
      </c>
      <c r="K100" s="1">
        <v>1.3241700000000001</v>
      </c>
      <c r="L100" s="1">
        <v>1.31884</v>
      </c>
      <c r="M100" s="1">
        <v>1.2037800000000001</v>
      </c>
      <c r="N100" s="1">
        <v>1.19634</v>
      </c>
      <c r="O100" s="1">
        <v>1.26868</v>
      </c>
      <c r="P100" s="1">
        <v>1.25362</v>
      </c>
      <c r="Q100" s="1">
        <v>1.2746200000000001</v>
      </c>
      <c r="R100" s="1">
        <v>1.3241700000000001</v>
      </c>
      <c r="S100" s="1">
        <v>1.31884</v>
      </c>
      <c r="T100" s="1">
        <v>1.2037800000000001</v>
      </c>
      <c r="U100" s="1">
        <v>1.19634</v>
      </c>
      <c r="V100" s="1">
        <v>1.26868</v>
      </c>
      <c r="W100" s="1">
        <v>1.25362</v>
      </c>
      <c r="X100" s="1">
        <v>1.2746200000000001</v>
      </c>
      <c r="Y100" s="1">
        <v>1.3241700000000001</v>
      </c>
      <c r="Z100" s="1">
        <v>1.31884</v>
      </c>
      <c r="AA100" s="1">
        <v>1.2037800000000001</v>
      </c>
      <c r="AB100" s="1">
        <v>1.19634</v>
      </c>
      <c r="AC100" s="1">
        <v>1.26868</v>
      </c>
      <c r="AD100" s="1">
        <v>1.25362</v>
      </c>
      <c r="AE100" s="1">
        <v>1.2746200000000001</v>
      </c>
      <c r="AF100" s="1">
        <v>1.3241700000000001</v>
      </c>
      <c r="AG100" s="1">
        <v>1.31884</v>
      </c>
      <c r="AH100" s="1">
        <v>1.2037800000000001</v>
      </c>
      <c r="AI100" s="1">
        <v>1.15831</v>
      </c>
      <c r="AJ100" s="1">
        <v>1.26868</v>
      </c>
      <c r="AL100" s="4" t="s">
        <v>25</v>
      </c>
      <c r="AM100" s="6" t="str" cm="1">
        <f t="array" ref="AM100">IFERROR((SUMPRODUCT(($B$78:$B$101=AM$76)*($F$75:$AJ$75="")*$F$78:$AJ$101)+IF(AM$76="P6",SUMPRODUCT(($F$75:$AJ$75="P6")*$F$78:$AJ$101),0))/(SUMPRODUCT(($B$78:$B$101=AM$76)*($F$75:$AJ$75=""))+IF(AM$76="P6",COUNTIF($F$75:$AJ$75,"P6")*ROWS($B$78:$B$101),0)),"")</f>
        <v/>
      </c>
      <c r="AN100" s="6" t="str" cm="1">
        <f t="array" ref="AN100">IFERROR((SUMPRODUCT(($B$78:$B$101=AN$76)*($F$75:$AJ$75="")*$F$78:$AJ$101)+IF(AN$76="P6",SUMPRODUCT(($F$75:$AJ$75="P6")*$F$78:$AJ$101),0))/(SUMPRODUCT(($B$78:$B$101=AN$76)*($F$75:$AJ$75=""))+IF(AN$76="P6",COUNTIF($F$75:$AJ$75,"P6")*ROWS($B$78:$B$101),0)),"")</f>
        <v/>
      </c>
      <c r="AO100" s="6" t="str" cm="1">
        <f t="array" ref="AO100">IFERROR((SUMPRODUCT(($B$78:$B$101=AO$76)*($F$75:$AJ$75="")*$F$78:$AJ$101)+IF(AO$76="P6",SUMPRODUCT(($F$75:$AJ$75="P6")*$F$78:$AJ$101),0))/(SUMPRODUCT(($B$78:$B$101=AO$76)*($F$75:$AJ$75=""))+IF(AO$76="P6",COUNTIF($F$75:$AJ$75,"P6")*ROWS($B$78:$B$101),0)),"")</f>
        <v/>
      </c>
      <c r="AP100" s="6" cm="1">
        <f t="array" ref="AP100">IFERROR((SUMPRODUCT(($B$78:$B$101=AP$76)*($F$75:$AJ$75="")*$F$78:$AJ$101)+IF(AP$76="P6",SUMPRODUCT(($F$75:$AJ$75="P6")*$F$78:$AJ$101),0))/(SUMPRODUCT(($B$78:$B$101=AP$76)*($F$75:$AJ$75=""))+IF(AP$76="P6",COUNTIF($F$75:$AJ$75,"P6")*ROWS($B$78:$B$101),0)),"")</f>
        <v>1.0539015343915337</v>
      </c>
      <c r="AQ100" s="6" cm="1">
        <f t="array" ref="AQ100">IFERROR((SUMPRODUCT(($B$78:$B$101=AQ$76)*($F$75:$AJ$75="")*$F$78:$AJ$101)+IF(AQ$76="P6",SUMPRODUCT(($F$75:$AJ$75="P6")*$F$78:$AJ$101),0))/(SUMPRODUCT(($B$78:$B$101=AQ$76)*($F$75:$AJ$75=""))+IF(AQ$76="P6",COUNTIF($F$75:$AJ$75,"P6")*ROWS($B$78:$B$101),0)),"")</f>
        <v>1.1529163265306128</v>
      </c>
      <c r="AR100" s="6" cm="1">
        <f t="array" ref="AR100">IFERROR((SUMPRODUCT(($B$78:$B$101=AR$76)*($F$75:$AJ$75="")*$F$78:$AJ$101)+IF(AR$76="P6",SUMPRODUCT(($F$75:$AJ$75="P6")*$F$78:$AJ$101),0))/(SUMPRODUCT(($B$78:$B$101=AR$76)*($F$75:$AJ$75=""))+IF(AR$76="P6",COUNTIF($F$75:$AJ$75,"P6")*ROWS($B$78:$B$101),0)),"")</f>
        <v>1.2101434313725492</v>
      </c>
    </row>
    <row r="101" spans="1:44" ht="14.25" customHeight="1" x14ac:dyDescent="0.35">
      <c r="A101" s="1" t="s">
        <v>16</v>
      </c>
      <c r="B101" s="1" t="s">
        <v>17</v>
      </c>
      <c r="C101" s="1" t="s">
        <v>14</v>
      </c>
      <c r="D101" s="1" t="s">
        <v>15</v>
      </c>
      <c r="E101" s="1" t="s">
        <v>42</v>
      </c>
      <c r="F101" s="1">
        <v>1.2325999999999999</v>
      </c>
      <c r="G101" s="1">
        <v>1.20763</v>
      </c>
      <c r="H101" s="1">
        <v>1.3242499999999999</v>
      </c>
      <c r="I101" s="1">
        <v>1.3291599999999999</v>
      </c>
      <c r="J101" s="1">
        <v>1.3529199999999999</v>
      </c>
      <c r="K101" s="1">
        <v>1.37035</v>
      </c>
      <c r="L101" s="1">
        <v>1.35483</v>
      </c>
      <c r="M101" s="1">
        <v>1.2325999999999999</v>
      </c>
      <c r="N101" s="1">
        <v>1.20763</v>
      </c>
      <c r="O101" s="1">
        <v>1.3242499999999999</v>
      </c>
      <c r="P101" s="1">
        <v>1.3291599999999999</v>
      </c>
      <c r="Q101" s="1">
        <v>1.3529199999999999</v>
      </c>
      <c r="R101" s="1">
        <v>1.37035</v>
      </c>
      <c r="S101" s="1">
        <v>1.35483</v>
      </c>
      <c r="T101" s="1">
        <v>1.2325999999999999</v>
      </c>
      <c r="U101" s="1">
        <v>1.20763</v>
      </c>
      <c r="V101" s="1">
        <v>1.3242499999999999</v>
      </c>
      <c r="W101" s="1">
        <v>1.3291599999999999</v>
      </c>
      <c r="X101" s="1">
        <v>1.3529199999999999</v>
      </c>
      <c r="Y101" s="1">
        <v>1.37035</v>
      </c>
      <c r="Z101" s="1">
        <v>1.35483</v>
      </c>
      <c r="AA101" s="1">
        <v>1.2325999999999999</v>
      </c>
      <c r="AB101" s="1">
        <v>1.20763</v>
      </c>
      <c r="AC101" s="1">
        <v>1.3242499999999999</v>
      </c>
      <c r="AD101" s="1">
        <v>1.3291599999999999</v>
      </c>
      <c r="AE101" s="1">
        <v>1.3529199999999999</v>
      </c>
      <c r="AF101" s="1">
        <v>1.37035</v>
      </c>
      <c r="AG101" s="1">
        <v>1.35483</v>
      </c>
      <c r="AH101" s="1">
        <v>1.2325999999999999</v>
      </c>
      <c r="AI101" s="1">
        <v>1.19634</v>
      </c>
      <c r="AJ101" s="1">
        <v>1.3242499999999999</v>
      </c>
      <c r="AL101" s="4" t="s">
        <v>27</v>
      </c>
      <c r="AM101" s="6" t="str" cm="1">
        <f t="array" ref="AM101">IFERROR((SUMPRODUCT(($B$78:$B$101=AM$76)*($F$75:$AJ$75="")*$F$78:$AJ$101)+IF(AM$76="P6",SUMPRODUCT(($F$75:$AJ$75="P6")*$F$78:$AJ$101),0))/(SUMPRODUCT(($B$78:$B$101=AM$76)*($F$75:$AJ$75=""))+IF(AM$76="P6",COUNTIF($F$75:$AJ$75,"P6")*ROWS($B$78:$B$101),0)),"")</f>
        <v/>
      </c>
      <c r="AN101" s="6" t="str" cm="1">
        <f t="array" ref="AN101">IFERROR((SUMPRODUCT(($B$78:$B$101=AN$76)*($F$75:$AJ$75="")*$F$78:$AJ$101)+IF(AN$76="P6",SUMPRODUCT(($F$75:$AJ$75="P6")*$F$78:$AJ$101),0))/(SUMPRODUCT(($B$78:$B$101=AN$76)*($F$75:$AJ$75=""))+IF(AN$76="P6",COUNTIF($F$75:$AJ$75,"P6")*ROWS($B$78:$B$101),0)),"")</f>
        <v/>
      </c>
      <c r="AO101" s="6" t="str" cm="1">
        <f t="array" ref="AO101">IFERROR((SUMPRODUCT(($B$78:$B$101=AO$76)*($F$75:$AJ$75="")*$F$78:$AJ$101)+IF(AO$76="P6",SUMPRODUCT(($F$75:$AJ$75="P6")*$F$78:$AJ$101),0))/(SUMPRODUCT(($B$78:$B$101=AO$76)*($F$75:$AJ$75=""))+IF(AO$76="P6",COUNTIF($F$75:$AJ$75,"P6")*ROWS($B$78:$B$101),0)),"")</f>
        <v/>
      </c>
      <c r="AP101" s="6" cm="1">
        <f t="array" ref="AP101">IFERROR((SUMPRODUCT(($B$78:$B$101=AP$76)*($F$75:$AJ$75="")*$F$78:$AJ$101)+IF(AP$76="P6",SUMPRODUCT(($F$75:$AJ$75="P6")*$F$78:$AJ$101),0))/(SUMPRODUCT(($B$78:$B$101=AP$76)*($F$75:$AJ$75=""))+IF(AP$76="P6",COUNTIF($F$75:$AJ$75,"P6")*ROWS($B$78:$B$101),0)),"")</f>
        <v>1.0539015343915337</v>
      </c>
      <c r="AQ101" s="6" cm="1">
        <f t="array" ref="AQ101">IFERROR((SUMPRODUCT(($B$78:$B$101=AQ$76)*($F$75:$AJ$75="")*$F$78:$AJ$101)+IF(AQ$76="P6",SUMPRODUCT(($F$75:$AJ$75="P6")*$F$78:$AJ$101),0))/(SUMPRODUCT(($B$78:$B$101=AQ$76)*($F$75:$AJ$75=""))+IF(AQ$76="P6",COUNTIF($F$75:$AJ$75,"P6")*ROWS($B$78:$B$101),0)),"")</f>
        <v>1.1529163265306128</v>
      </c>
      <c r="AR101" s="6" cm="1">
        <f t="array" ref="AR101">IFERROR((SUMPRODUCT(($B$78:$B$101=AR$76)*($F$75:$AJ$75="")*$F$78:$AJ$101)+IF(AR$76="P6",SUMPRODUCT(($F$75:$AJ$75="P6")*$F$78:$AJ$101),0))/(SUMPRODUCT(($B$78:$B$101=AR$76)*($F$75:$AJ$75=""))+IF(AR$76="P6",COUNTIF($F$75:$AJ$75,"P6")*ROWS($B$78:$B$101),0)),"")</f>
        <v>1.2101434313725492</v>
      </c>
    </row>
    <row r="102" spans="1:44" ht="14.25" customHeight="1" x14ac:dyDescent="0.35">
      <c r="AL102" s="4" t="s">
        <v>29</v>
      </c>
      <c r="AM102" s="6" t="str" cm="1">
        <f t="array" ref="AM102">IFERROR((SUMPRODUCT(($B$78:$B$101=AM$76)*($F$75:$AJ$75="")*$F$78:$AJ$101)+IF(AM$76="P6",SUMPRODUCT(($F$75:$AJ$75="P6")*$F$78:$AJ$101),0))/(SUMPRODUCT(($B$78:$B$101=AM$76)*($F$75:$AJ$75=""))+IF(AM$76="P6",COUNTIF($F$75:$AJ$75,"P6")*ROWS($B$78:$B$101),0)),"")</f>
        <v/>
      </c>
      <c r="AN102" s="6" t="str" cm="1">
        <f t="array" ref="AN102">IFERROR((SUMPRODUCT(($B$78:$B$101=AN$76)*($F$75:$AJ$75="")*$F$78:$AJ$101)+IF(AN$76="P6",SUMPRODUCT(($F$75:$AJ$75="P6")*$F$78:$AJ$101),0))/(SUMPRODUCT(($B$78:$B$101=AN$76)*($F$75:$AJ$75=""))+IF(AN$76="P6",COUNTIF($F$75:$AJ$75,"P6")*ROWS($B$78:$B$101),0)),"")</f>
        <v/>
      </c>
      <c r="AO102" s="6" t="str" cm="1">
        <f t="array" ref="AO102">IFERROR((SUMPRODUCT(($B$78:$B$101=AO$76)*($F$75:$AJ$75="")*$F$78:$AJ$101)+IF(AO$76="P6",SUMPRODUCT(($F$75:$AJ$75="P6")*$F$78:$AJ$101),0))/(SUMPRODUCT(($B$78:$B$101=AO$76)*($F$75:$AJ$75=""))+IF(AO$76="P6",COUNTIF($F$75:$AJ$75,"P6")*ROWS($B$78:$B$101),0)),"")</f>
        <v/>
      </c>
      <c r="AP102" s="6" cm="1">
        <f t="array" ref="AP102">IFERROR((SUMPRODUCT(($B$78:$B$101=AP$76)*($F$75:$AJ$75="")*$F$78:$AJ$101)+IF(AP$76="P6",SUMPRODUCT(($F$75:$AJ$75="P6")*$F$78:$AJ$101),0))/(SUMPRODUCT(($B$78:$B$101=AP$76)*($F$75:$AJ$75=""))+IF(AP$76="P6",COUNTIF($F$75:$AJ$75,"P6")*ROWS($B$78:$B$101),0)),"")</f>
        <v>1.0539015343915337</v>
      </c>
      <c r="AQ102" s="6" cm="1">
        <f t="array" ref="AQ102">IFERROR((SUMPRODUCT(($B$78:$B$101=AQ$76)*($F$75:$AJ$75="")*$F$78:$AJ$101)+IF(AQ$76="P6",SUMPRODUCT(($F$75:$AJ$75="P6")*$F$78:$AJ$101),0))/(SUMPRODUCT(($B$78:$B$101=AQ$76)*($F$75:$AJ$75=""))+IF(AQ$76="P6",COUNTIF($F$75:$AJ$75,"P6")*ROWS($B$78:$B$101),0)),"")</f>
        <v>1.1529163265306128</v>
      </c>
      <c r="AR102" s="6" cm="1">
        <f t="array" ref="AR102">IFERROR((SUMPRODUCT(($B$78:$B$101=AR$76)*($F$75:$AJ$75="")*$F$78:$AJ$101)+IF(AR$76="P6",SUMPRODUCT(($F$75:$AJ$75="P6")*$F$78:$AJ$101),0))/(SUMPRODUCT(($B$78:$B$101=AR$76)*($F$75:$AJ$75=""))+IF(AR$76="P6",COUNTIF($F$75:$AJ$75,"P6")*ROWS($B$78:$B$101),0)),"")</f>
        <v>1.2101434313725492</v>
      </c>
    </row>
    <row r="106" spans="1:44" ht="14.25" customHeight="1" x14ac:dyDescent="0.35">
      <c r="A106" s="15" t="s">
        <v>46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</row>
    <row r="107" spans="1:44" ht="14.25" customHeight="1" x14ac:dyDescent="0.3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</row>
    <row r="108" spans="1:44" ht="14.25" customHeight="1" x14ac:dyDescent="0.35">
      <c r="AL108" s="10"/>
      <c r="AM108" s="10"/>
      <c r="AN108" s="10"/>
      <c r="AO108" s="10"/>
      <c r="AP108" s="10"/>
      <c r="AQ108" s="10"/>
      <c r="AR108" s="10"/>
    </row>
    <row r="109" spans="1:44" ht="14.25" customHeight="1" x14ac:dyDescent="0.35">
      <c r="F109" s="1" t="str">
        <f>IF(OR(F111="S",F111="D"),"P3","")</f>
        <v/>
      </c>
      <c r="G109" s="1" t="str">
        <f t="shared" ref="G109:AI109" si="18">IF(OR(G111="S",G111="D"),"P3","")</f>
        <v/>
      </c>
      <c r="H109" s="1" t="str">
        <f t="shared" si="18"/>
        <v/>
      </c>
      <c r="I109" s="1" t="str">
        <f t="shared" si="18"/>
        <v/>
      </c>
      <c r="J109" s="1" t="str">
        <f t="shared" si="18"/>
        <v>P3</v>
      </c>
      <c r="K109" s="1" t="str">
        <f t="shared" si="18"/>
        <v>P3</v>
      </c>
      <c r="L109" s="1" t="str">
        <f t="shared" si="18"/>
        <v/>
      </c>
      <c r="M109" s="1" t="str">
        <f t="shared" si="18"/>
        <v/>
      </c>
      <c r="N109" s="1" t="str">
        <f t="shared" si="18"/>
        <v/>
      </c>
      <c r="O109" s="1" t="str">
        <f t="shared" si="18"/>
        <v/>
      </c>
      <c r="P109" s="1" t="str">
        <f t="shared" si="18"/>
        <v/>
      </c>
      <c r="Q109" s="1" t="str">
        <f t="shared" si="18"/>
        <v>P3</v>
      </c>
      <c r="R109" s="1" t="str">
        <f t="shared" si="18"/>
        <v>P3</v>
      </c>
      <c r="S109" s="1" t="str">
        <f t="shared" si="18"/>
        <v/>
      </c>
      <c r="T109" s="1" t="str">
        <f t="shared" si="18"/>
        <v/>
      </c>
      <c r="U109" s="1" t="str">
        <f t="shared" si="18"/>
        <v/>
      </c>
      <c r="V109" s="1" t="str">
        <f t="shared" si="18"/>
        <v/>
      </c>
      <c r="W109" s="1" t="str">
        <f t="shared" si="18"/>
        <v/>
      </c>
      <c r="X109" s="1" t="str">
        <f t="shared" si="18"/>
        <v>P3</v>
      </c>
      <c r="Y109" s="1" t="str">
        <f t="shared" si="18"/>
        <v>P3</v>
      </c>
      <c r="Z109" s="1" t="str">
        <f t="shared" si="18"/>
        <v/>
      </c>
      <c r="AA109" s="1" t="str">
        <f t="shared" si="18"/>
        <v/>
      </c>
      <c r="AB109" s="1" t="str">
        <f t="shared" si="18"/>
        <v/>
      </c>
      <c r="AC109" s="1" t="str">
        <f t="shared" si="18"/>
        <v/>
      </c>
      <c r="AD109" s="1" t="str">
        <f t="shared" si="18"/>
        <v/>
      </c>
      <c r="AE109" s="1" t="str">
        <f t="shared" si="18"/>
        <v>P3</v>
      </c>
      <c r="AF109" s="1" t="str">
        <f t="shared" si="18"/>
        <v>P3</v>
      </c>
      <c r="AG109" s="1" t="str">
        <f t="shared" si="18"/>
        <v/>
      </c>
      <c r="AH109" s="1" t="str">
        <f t="shared" si="18"/>
        <v/>
      </c>
      <c r="AI109" s="1" t="str">
        <f t="shared" si="18"/>
        <v/>
      </c>
      <c r="AL109" s="10"/>
      <c r="AM109" s="10"/>
      <c r="AN109" s="10"/>
      <c r="AO109" s="10"/>
      <c r="AP109" s="10"/>
      <c r="AQ109" s="10"/>
      <c r="AR109" s="10"/>
    </row>
    <row r="110" spans="1:44" ht="14.25" customHeight="1" x14ac:dyDescent="0.35">
      <c r="F110" s="1" t="str">
        <f>IF(OR(F111="S",F111="D"),"P6","")</f>
        <v/>
      </c>
      <c r="G110" s="1" t="str">
        <f t="shared" ref="G110:AI110" si="19">IF(OR(G111="S",G111="D"),"P6","")</f>
        <v/>
      </c>
      <c r="H110" s="1" t="str">
        <f t="shared" si="19"/>
        <v/>
      </c>
      <c r="I110" s="1" t="str">
        <f t="shared" si="19"/>
        <v/>
      </c>
      <c r="J110" s="1" t="str">
        <f t="shared" si="19"/>
        <v>P6</v>
      </c>
      <c r="K110" s="1" t="str">
        <f t="shared" si="19"/>
        <v>P6</v>
      </c>
      <c r="L110" s="1" t="str">
        <f t="shared" si="19"/>
        <v/>
      </c>
      <c r="M110" s="1" t="str">
        <f t="shared" si="19"/>
        <v/>
      </c>
      <c r="N110" s="1" t="str">
        <f t="shared" si="19"/>
        <v/>
      </c>
      <c r="O110" s="1" t="str">
        <f t="shared" si="19"/>
        <v/>
      </c>
      <c r="P110" s="1" t="str">
        <f t="shared" si="19"/>
        <v/>
      </c>
      <c r="Q110" s="1" t="str">
        <f t="shared" si="19"/>
        <v>P6</v>
      </c>
      <c r="R110" s="1" t="str">
        <f t="shared" si="19"/>
        <v>P6</v>
      </c>
      <c r="S110" s="1" t="str">
        <f t="shared" si="19"/>
        <v/>
      </c>
      <c r="T110" s="1" t="str">
        <f t="shared" si="19"/>
        <v/>
      </c>
      <c r="U110" s="1" t="str">
        <f t="shared" si="19"/>
        <v/>
      </c>
      <c r="V110" s="1" t="str">
        <f t="shared" si="19"/>
        <v/>
      </c>
      <c r="W110" s="1" t="str">
        <f t="shared" si="19"/>
        <v/>
      </c>
      <c r="X110" s="1" t="str">
        <f t="shared" si="19"/>
        <v>P6</v>
      </c>
      <c r="Y110" s="1" t="str">
        <f t="shared" si="19"/>
        <v>P6</v>
      </c>
      <c r="Z110" s="1" t="str">
        <f t="shared" si="19"/>
        <v/>
      </c>
      <c r="AA110" s="1" t="str">
        <f t="shared" si="19"/>
        <v/>
      </c>
      <c r="AB110" s="1" t="str">
        <f t="shared" si="19"/>
        <v/>
      </c>
      <c r="AC110" s="1" t="str">
        <f t="shared" si="19"/>
        <v/>
      </c>
      <c r="AD110" s="1" t="str">
        <f t="shared" si="19"/>
        <v/>
      </c>
      <c r="AE110" s="1" t="str">
        <f t="shared" si="19"/>
        <v>P6</v>
      </c>
      <c r="AF110" s="1" t="str">
        <f t="shared" si="19"/>
        <v>P6</v>
      </c>
      <c r="AG110" s="1" t="str">
        <f t="shared" si="19"/>
        <v/>
      </c>
      <c r="AH110" s="1" t="str">
        <f t="shared" si="19"/>
        <v/>
      </c>
      <c r="AI110" s="1" t="str">
        <f t="shared" si="19"/>
        <v/>
      </c>
      <c r="AL110" s="14" t="s">
        <v>87</v>
      </c>
      <c r="AM110" s="14"/>
      <c r="AN110" s="14"/>
      <c r="AO110" s="14"/>
      <c r="AP110" s="14"/>
      <c r="AQ110" s="14"/>
      <c r="AR110" s="14"/>
    </row>
    <row r="111" spans="1:44" ht="14.25" customHeight="1" x14ac:dyDescent="0.35">
      <c r="F111" s="1" t="str">
        <f>CHOOSE(WEEKDAY(F112,2),"L","M","X","J","V","S","D")</f>
        <v>M</v>
      </c>
      <c r="G111" s="1" t="str">
        <f t="shared" ref="G111:AI111" si="20">CHOOSE(WEEKDAY(G112,2),"L","M","X","J","V","S","D")</f>
        <v>X</v>
      </c>
      <c r="H111" s="1" t="str">
        <f t="shared" si="20"/>
        <v>J</v>
      </c>
      <c r="I111" s="1" t="str">
        <f t="shared" si="20"/>
        <v>V</v>
      </c>
      <c r="J111" s="1" t="str">
        <f t="shared" si="20"/>
        <v>S</v>
      </c>
      <c r="K111" s="1" t="str">
        <f t="shared" si="20"/>
        <v>D</v>
      </c>
      <c r="L111" s="1" t="str">
        <f t="shared" si="20"/>
        <v>L</v>
      </c>
      <c r="M111" s="1" t="str">
        <f t="shared" si="20"/>
        <v>M</v>
      </c>
      <c r="N111" s="1" t="str">
        <f t="shared" si="20"/>
        <v>X</v>
      </c>
      <c r="O111" s="1" t="str">
        <f t="shared" si="20"/>
        <v>J</v>
      </c>
      <c r="P111" s="1" t="str">
        <f t="shared" si="20"/>
        <v>V</v>
      </c>
      <c r="Q111" s="1" t="str">
        <f t="shared" si="20"/>
        <v>S</v>
      </c>
      <c r="R111" s="1" t="str">
        <f t="shared" si="20"/>
        <v>D</v>
      </c>
      <c r="S111" s="1" t="str">
        <f t="shared" si="20"/>
        <v>L</v>
      </c>
      <c r="T111" s="1" t="str">
        <f t="shared" si="20"/>
        <v>M</v>
      </c>
      <c r="U111" s="1" t="str">
        <f t="shared" si="20"/>
        <v>X</v>
      </c>
      <c r="V111" s="1" t="str">
        <f t="shared" si="20"/>
        <v>J</v>
      </c>
      <c r="W111" s="1" t="str">
        <f t="shared" si="20"/>
        <v>V</v>
      </c>
      <c r="X111" s="1" t="str">
        <f t="shared" si="20"/>
        <v>S</v>
      </c>
      <c r="Y111" s="1" t="str">
        <f t="shared" si="20"/>
        <v>D</v>
      </c>
      <c r="Z111" s="1" t="str">
        <f t="shared" si="20"/>
        <v>L</v>
      </c>
      <c r="AA111" s="1" t="str">
        <f t="shared" si="20"/>
        <v>M</v>
      </c>
      <c r="AB111" s="1" t="str">
        <f t="shared" si="20"/>
        <v>X</v>
      </c>
      <c r="AC111" s="1" t="str">
        <f t="shared" si="20"/>
        <v>J</v>
      </c>
      <c r="AD111" s="1" t="str">
        <f t="shared" si="20"/>
        <v>V</v>
      </c>
      <c r="AE111" s="1" t="str">
        <f t="shared" si="20"/>
        <v>S</v>
      </c>
      <c r="AF111" s="1" t="str">
        <f t="shared" si="20"/>
        <v>D</v>
      </c>
      <c r="AG111" s="1" t="str">
        <f t="shared" si="20"/>
        <v>L</v>
      </c>
      <c r="AH111" s="1" t="str">
        <f t="shared" si="20"/>
        <v>M</v>
      </c>
      <c r="AI111" s="1" t="str">
        <f t="shared" si="20"/>
        <v>X</v>
      </c>
      <c r="AL111" s="4"/>
      <c r="AM111" s="4" t="s">
        <v>13</v>
      </c>
      <c r="AN111" s="4" t="s">
        <v>14</v>
      </c>
      <c r="AO111" s="4" t="s">
        <v>15</v>
      </c>
      <c r="AP111" s="4" t="s">
        <v>16</v>
      </c>
      <c r="AQ111" s="4" t="s">
        <v>17</v>
      </c>
      <c r="AR111" s="4" t="s">
        <v>7</v>
      </c>
    </row>
    <row r="112" spans="1:44" ht="14.25" customHeight="1" x14ac:dyDescent="0.35">
      <c r="A112" s="3" t="s">
        <v>76</v>
      </c>
      <c r="B112" s="3" t="s">
        <v>77</v>
      </c>
      <c r="C112" s="3" t="s">
        <v>75</v>
      </c>
      <c r="D112" s="3" t="s">
        <v>74</v>
      </c>
      <c r="F112" s="8">
        <v>45748</v>
      </c>
      <c r="G112" s="8">
        <v>45749</v>
      </c>
      <c r="H112" s="8">
        <v>45750</v>
      </c>
      <c r="I112" s="8">
        <v>45751</v>
      </c>
      <c r="J112" s="8">
        <v>45752</v>
      </c>
      <c r="K112" s="8">
        <v>45753</v>
      </c>
      <c r="L112" s="8">
        <v>45754</v>
      </c>
      <c r="M112" s="8">
        <v>45755</v>
      </c>
      <c r="N112" s="8">
        <v>45756</v>
      </c>
      <c r="O112" s="8">
        <v>45757</v>
      </c>
      <c r="P112" s="8">
        <v>45758</v>
      </c>
      <c r="Q112" s="8">
        <v>45759</v>
      </c>
      <c r="R112" s="8">
        <v>45760</v>
      </c>
      <c r="S112" s="8">
        <v>45761</v>
      </c>
      <c r="T112" s="8">
        <v>45762</v>
      </c>
      <c r="U112" s="8">
        <v>45763</v>
      </c>
      <c r="V112" s="8">
        <v>45764</v>
      </c>
      <c r="W112" s="8">
        <v>45765</v>
      </c>
      <c r="X112" s="8">
        <v>45766</v>
      </c>
      <c r="Y112" s="8">
        <v>45767</v>
      </c>
      <c r="Z112" s="8">
        <v>45768</v>
      </c>
      <c r="AA112" s="8">
        <v>45769</v>
      </c>
      <c r="AB112" s="8">
        <v>45770</v>
      </c>
      <c r="AC112" s="8">
        <v>45771</v>
      </c>
      <c r="AD112" s="8">
        <v>45772</v>
      </c>
      <c r="AE112" s="8">
        <v>45773</v>
      </c>
      <c r="AF112" s="8">
        <v>45774</v>
      </c>
      <c r="AG112" s="8">
        <v>45775</v>
      </c>
      <c r="AH112" s="8">
        <v>45776</v>
      </c>
      <c r="AI112" s="8">
        <v>45777</v>
      </c>
      <c r="AL112" s="4" t="s">
        <v>19</v>
      </c>
      <c r="AM112" s="6" cm="1">
        <f t="array" ref="AM112">IFERROR((SUMPRODUCT(($C$113:$C$136=AM$111)*($F$109:$AI$109="")*$F$113:$AI$136)+IF(AM$111="P3",SUMPRODUCT(($F$109:$AI$109="P3")*$F$113:$AI$136),0))/(SUMPRODUCT(($C$113:$C$136=AM$111)*($F$109:$AI$109=""))+IF(AM$111="P3",COUNTIF($F$109:$AI$109,"P3")*ROWS($C$113:$C$136),0)),"")</f>
        <v>1.0121303977272733</v>
      </c>
      <c r="AN112" s="6" cm="1">
        <f t="array" ref="AN112">IFERROR((SUMPRODUCT(($C$113:$C$136=AN$111)*($F$109:$AI$109="")*$F$113:$AI$136)+IF(AN$111="P3",SUMPRODUCT(($F$109:$AI$109="P3")*$F$113:$AI$136),0))/(SUMPRODUCT(($C$113:$C$136=AN$111)*($F$109:$AI$109=""))+IF(AN$111="P3",COUNTIF($F$109:$AI$109,"P3")*ROWS($C$113:$C$136),0)),"")</f>
        <v>1.1733411363636364</v>
      </c>
      <c r="AO112" s="6" cm="1">
        <f t="array" ref="AO112">IFERROR((SUMPRODUCT(($C$113:$C$136=AO$111)*($F$109:$AI$109="")*$F$113:$AI$136)+IF(AO$111="P3",SUMPRODUCT(($F$109:$AI$109="P3")*$F$113:$AI$136),0))/(SUMPRODUCT(($C$113:$C$136=AO$111)*($F$109:$AI$109=""))+IF(AO$111="P3",COUNTIF($F$109:$AI$109,"P3")*ROWS($C$113:$C$136),0)),"")</f>
        <v>1.091930869565217</v>
      </c>
      <c r="AP112" s="6" t="str" cm="1">
        <f t="array" ref="AP112">IFERROR((SUMPRODUCT(($C$113:$C$136=AP$111)*($F$109:$AI$109="")*$F$113:$AI$136)+IF(AP$111="P3",SUMPRODUCT(($F$109:$AI$109="P3")*$F$113:$AI$136),0))/(SUMPRODUCT(($C$113:$C$136=AP$111)*($F$109:$AI$109=""))+IF(AP$111="P3",COUNTIF($F$109:$AI$109,"P3")*ROWS($C$113:$C$136),0)),"")</f>
        <v/>
      </c>
      <c r="AQ112" s="6" t="str" cm="1">
        <f t="array" ref="AQ112">IFERROR((SUMPRODUCT(($C$113:$C$136=AQ$111)*($F$109:$AI$109="")*$F$113:$AI$136)+IF(AQ$111="P3",SUMPRODUCT(($F$109:$AI$109="P3")*$F$113:$AI$136),0))/(SUMPRODUCT(($C$113:$C$136=AQ$111)*($F$109:$AI$109=""))+IF(AQ$111="P3",COUNTIF($F$109:$AI$109,"P3")*ROWS($C$113:$C$136),0)),"")</f>
        <v/>
      </c>
      <c r="AR112" s="6" t="str" cm="1">
        <f t="array" ref="AR112">IFERROR((SUMPRODUCT(($C$113:$C$136=AR$111)*($F$109:$AI$109="")*$F$113:$AI$136)+IF(AR$111="P3",SUMPRODUCT(($F$109:$AI$109="P3")*$F$113:$AI$136),0))/(SUMPRODUCT(($C$113:$C$136=AR$111)*($F$109:$AI$109=""))+IF(AR$111="P3",COUNTIF($F$109:$AI$109,"P3")*ROWS($C$113:$C$136),0)),"")</f>
        <v/>
      </c>
    </row>
    <row r="113" spans="1:44" ht="14.25" customHeight="1" x14ac:dyDescent="0.35">
      <c r="A113" s="1" t="s">
        <v>7</v>
      </c>
      <c r="B113" s="1" t="s">
        <v>7</v>
      </c>
      <c r="C113" s="1" t="s">
        <v>15</v>
      </c>
      <c r="D113" s="1" t="s">
        <v>7</v>
      </c>
      <c r="E113" s="1" t="s">
        <v>8</v>
      </c>
      <c r="F113" s="1">
        <v>1.15909</v>
      </c>
      <c r="G113" s="1">
        <v>1.1966600000000001</v>
      </c>
      <c r="H113" s="1">
        <v>1.1575</v>
      </c>
      <c r="I113" s="1">
        <v>1.1813499999999999</v>
      </c>
      <c r="J113" s="1">
        <v>1.09544</v>
      </c>
      <c r="K113" s="1">
        <v>1.12229</v>
      </c>
      <c r="L113" s="1">
        <v>1.22482</v>
      </c>
      <c r="M113" s="1">
        <v>1.15909</v>
      </c>
      <c r="N113" s="1">
        <v>1.1966600000000001</v>
      </c>
      <c r="O113" s="1">
        <v>1.1575</v>
      </c>
      <c r="P113" s="1">
        <v>1.1813499999999999</v>
      </c>
      <c r="Q113" s="1">
        <v>1.09544</v>
      </c>
      <c r="R113" s="1">
        <v>1.12229</v>
      </c>
      <c r="S113" s="1">
        <v>1.22482</v>
      </c>
      <c r="T113" s="1">
        <v>1.15909</v>
      </c>
      <c r="U113" s="1">
        <v>1.1966600000000001</v>
      </c>
      <c r="V113" s="1">
        <v>1.1575</v>
      </c>
      <c r="W113" s="1">
        <v>1.1813499999999999</v>
      </c>
      <c r="X113" s="1">
        <v>1.09544</v>
      </c>
      <c r="Y113" s="1">
        <v>1.12229</v>
      </c>
      <c r="Z113" s="1">
        <v>1.22482</v>
      </c>
      <c r="AA113" s="1">
        <v>1.15909</v>
      </c>
      <c r="AB113" s="1">
        <v>1.1966600000000001</v>
      </c>
      <c r="AC113" s="1">
        <v>1.1575</v>
      </c>
      <c r="AD113" s="1">
        <v>1.1813499999999999</v>
      </c>
      <c r="AE113" s="1">
        <v>1.09544</v>
      </c>
      <c r="AF113" s="1">
        <v>1.12229</v>
      </c>
      <c r="AG113" s="1">
        <v>1.22482</v>
      </c>
      <c r="AH113" s="1">
        <v>1.15909</v>
      </c>
      <c r="AI113" s="1">
        <v>1.1966600000000001</v>
      </c>
      <c r="AL113" s="4" t="s">
        <v>21</v>
      </c>
      <c r="AM113" s="6" t="str" cm="1">
        <f t="array" ref="AM113">IFERROR((SUMPRODUCT(($D$113:$D$136=AM$111)*($F$110:$AI$110="")*$F$113:$AI$136)+IF(AM$111="P6",SUMPRODUCT(($F$110:$AI$110="P6")*$F$113:$AI$136),0))/(SUMPRODUCT(($D$113:$D$136=AM$111)*($F$110:$AI$110=""))+IF(AM$111="P6",COUNTIF($F$110:$AI$110,"P6")*ROWS($D$113:$D$136),0)),"")</f>
        <v/>
      </c>
      <c r="AN113" s="6" t="str" cm="1">
        <f t="array" ref="AN113">IFERROR((SUMPRODUCT(($D$113:$D$136=AN$111)*($F$110:$AI$110="")*$F$113:$AI$136)+IF(AN$111="P6",SUMPRODUCT(($F$110:$AI$110="P6")*$F$113:$AI$136),0))/(SUMPRODUCT(($D$113:$D$136=AN$111)*($F$110:$AI$110=""))+IF(AN$111="P6",COUNTIF($F$110:$AI$110,"P6")*ROWS($D$113:$D$136),0)),"")</f>
        <v/>
      </c>
      <c r="AO113" s="6" t="str" cm="1">
        <f t="array" ref="AO113">IFERROR((SUMPRODUCT(($D$113:$D$136=AO$111)*($F$110:$AI$110="")*$F$113:$AI$136)+IF(AO$111="P6",SUMPRODUCT(($F$110:$AI$110="P6")*$F$113:$AI$136),0))/(SUMPRODUCT(($D$113:$D$136=AO$111)*($F$110:$AI$110=""))+IF(AO$111="P6",COUNTIF($F$110:$AI$110,"P6")*ROWS($D$113:$D$136),0)),"")</f>
        <v/>
      </c>
      <c r="AP113" s="6" cm="1">
        <f t="array" ref="AP113">IFERROR((SUMPRODUCT(($D$113:$D$136=AP$111)*($F$110:$AI$110="")*$F$113:$AI$136)+IF(AP$111="P6",SUMPRODUCT(($F$110:$AI$110="P6")*$F$113:$AI$136),0))/(SUMPRODUCT(($D$113:$D$136=AP$111)*($F$110:$AI$110=""))+IF(AP$111="P6",COUNTIF($F$110:$AI$110,"P6")*ROWS($D$113:$D$136),0)),"")</f>
        <v>1.0108168181818169</v>
      </c>
      <c r="AQ113" s="6" cm="1">
        <f t="array" ref="AQ113">IFERROR((SUMPRODUCT(($D$113:$D$136=AQ$111)*($F$110:$AI$110="")*$F$113:$AI$136)+IF(AQ$111="P6",SUMPRODUCT(($F$110:$AI$110="P6")*$F$113:$AI$136),0))/(SUMPRODUCT(($D$113:$D$136=AQ$111)*($F$110:$AI$110=""))+IF(AQ$111="P6",COUNTIF($F$110:$AI$110,"P6")*ROWS($D$113:$D$136),0)),"")</f>
        <v>1.1980601298701294</v>
      </c>
      <c r="AR113" s="6" cm="1">
        <f t="array" ref="AR113">IFERROR((SUMPRODUCT(($D$113:$D$136=AR$111)*($F$110:$AI$110="")*$F$113:$AI$136)+IF(AR$111="P6",SUMPRODUCT(($F$110:$AI$110="P6")*$F$113:$AI$136),0))/(SUMPRODUCT(($D$113:$D$136=AR$111)*($F$110:$AI$110=""))+IF(AR$111="P6",COUNTIF($F$110:$AI$110,"P6")*ROWS($D$113:$D$136),0)),"")</f>
        <v>1.091930869565217</v>
      </c>
    </row>
    <row r="114" spans="1:44" ht="14.25" customHeight="1" x14ac:dyDescent="0.35">
      <c r="A114" s="1" t="s">
        <v>7</v>
      </c>
      <c r="B114" s="1" t="s">
        <v>7</v>
      </c>
      <c r="C114" s="1" t="s">
        <v>15</v>
      </c>
      <c r="D114" s="1" t="s">
        <v>7</v>
      </c>
      <c r="E114" s="1" t="s">
        <v>9</v>
      </c>
      <c r="F114" s="1">
        <v>1.19641</v>
      </c>
      <c r="G114" s="1">
        <v>1.2277899999999999</v>
      </c>
      <c r="H114" s="1">
        <v>1.20418</v>
      </c>
      <c r="I114" s="1">
        <v>1.2246900000000001</v>
      </c>
      <c r="J114" s="1">
        <v>1.1254500000000001</v>
      </c>
      <c r="K114" s="1">
        <v>1.16699</v>
      </c>
      <c r="L114" s="1">
        <v>1.2400899999999999</v>
      </c>
      <c r="M114" s="1">
        <v>1.19641</v>
      </c>
      <c r="N114" s="1">
        <v>1.2277899999999999</v>
      </c>
      <c r="O114" s="1">
        <v>1.20418</v>
      </c>
      <c r="P114" s="1">
        <v>1.2246900000000001</v>
      </c>
      <c r="Q114" s="1">
        <v>1.1254500000000001</v>
      </c>
      <c r="R114" s="1">
        <v>1.16699</v>
      </c>
      <c r="S114" s="1">
        <v>1.2400899999999999</v>
      </c>
      <c r="T114" s="1">
        <v>1.19641</v>
      </c>
      <c r="U114" s="1">
        <v>1.2277899999999999</v>
      </c>
      <c r="V114" s="1">
        <v>1.20418</v>
      </c>
      <c r="W114" s="1">
        <v>1.2246900000000001</v>
      </c>
      <c r="X114" s="1">
        <v>1.1254500000000001</v>
      </c>
      <c r="Y114" s="1">
        <v>1.16699</v>
      </c>
      <c r="Z114" s="1">
        <v>1.2400899999999999</v>
      </c>
      <c r="AA114" s="1">
        <v>1.19641</v>
      </c>
      <c r="AB114" s="1">
        <v>1.2277899999999999</v>
      </c>
      <c r="AC114" s="1">
        <v>1.20418</v>
      </c>
      <c r="AD114" s="1">
        <v>1.2246900000000001</v>
      </c>
      <c r="AE114" s="1">
        <v>1.1254500000000001</v>
      </c>
      <c r="AF114" s="1">
        <v>1.16699</v>
      </c>
      <c r="AG114" s="1">
        <v>1.2400899999999999</v>
      </c>
      <c r="AH114" s="1">
        <v>1.19641</v>
      </c>
      <c r="AI114" s="1">
        <v>1.2277899999999999</v>
      </c>
      <c r="AL114" s="4" t="s">
        <v>23</v>
      </c>
      <c r="AM114" s="6" t="str" cm="1">
        <f t="array" ref="AM114">IFERROR((SUMPRODUCT(($D$113:$D$136=AM$111)*($F$110:$AI$110="")*$F$113:$AI$136)+IF(AM$111="P6",SUMPRODUCT(($F$110:$AI$110="P6")*$F$113:$AI$136),0))/(SUMPRODUCT(($D$113:$D$136=AM$111)*($F$110:$AI$110=""))+IF(AM$111="P6",COUNTIF($F$110:$AI$110,"P6")*ROWS($D$113:$D$136),0)),"")</f>
        <v/>
      </c>
      <c r="AN114" s="6" t="str" cm="1">
        <f t="array" ref="AN114">IFERROR((SUMPRODUCT(($D$113:$D$136=AN$111)*($F$110:$AI$110="")*$F$113:$AI$136)+IF(AN$111="P6",SUMPRODUCT(($F$110:$AI$110="P6")*$F$113:$AI$136),0))/(SUMPRODUCT(($D$113:$D$136=AN$111)*($F$110:$AI$110=""))+IF(AN$111="P6",COUNTIF($F$110:$AI$110,"P6")*ROWS($D$113:$D$136),0)),"")</f>
        <v/>
      </c>
      <c r="AO114" s="5" t="str" cm="1">
        <f t="array" ref="AO114">IFERROR((SUMPRODUCT(($D$113:$D$136=AO$111)*($F$110:$AI$110="")*$F$113:$AI$136)+IF(AO$111="P6",SUMPRODUCT(($F$110:$AI$110="P6")*$F$113:$AI$136),0))/(SUMPRODUCT(($D$113:$D$136=AO$111)*($F$110:$AI$110=""))+IF(AO$111="P6",COUNTIF($F$110:$AI$110,"P6")*ROWS($D$113:$D$136),0)),"")</f>
        <v/>
      </c>
      <c r="AP114" s="5" cm="1">
        <f t="array" ref="AP114">IFERROR((SUMPRODUCT(($D$113:$D$136=AP$111)*($F$110:$AI$110="")*$F$113:$AI$136)+IF(AP$111="P6",SUMPRODUCT(($F$110:$AI$110="P6")*$F$113:$AI$136),0))/(SUMPRODUCT(($D$113:$D$136=AP$111)*($F$110:$AI$110=""))+IF(AP$111="P6",COUNTIF($F$110:$AI$110,"P6")*ROWS($D$113:$D$136),0)),"")</f>
        <v>1.0108168181818169</v>
      </c>
      <c r="AQ114" s="5" cm="1">
        <f t="array" ref="AQ114">IFERROR((SUMPRODUCT(($D$113:$D$136=AQ$111)*($F$110:$AI$110="")*$F$113:$AI$136)+IF(AQ$111="P6",SUMPRODUCT(($F$110:$AI$110="P6")*$F$113:$AI$136),0))/(SUMPRODUCT(($D$113:$D$136=AQ$111)*($F$110:$AI$110=""))+IF(AQ$111="P6",COUNTIF($F$110:$AI$110,"P6")*ROWS($D$113:$D$136),0)),"")</f>
        <v>1.1980601298701294</v>
      </c>
      <c r="AR114" s="6" cm="1">
        <f t="array" ref="AR114">IFERROR((SUMPRODUCT(($D$113:$D$136=AR$111)*($F$110:$AI$110="")*$F$113:$AI$136)+IF(AR$111="P6",SUMPRODUCT(($F$110:$AI$110="P6")*$F$113:$AI$136),0))/(SUMPRODUCT(($D$113:$D$136=AR$111)*($F$110:$AI$110=""))+IF(AR$111="P6",COUNTIF($F$110:$AI$110,"P6")*ROWS($D$113:$D$136),0)),"")</f>
        <v>1.091930869565217</v>
      </c>
    </row>
    <row r="115" spans="1:44" ht="14.25" customHeight="1" x14ac:dyDescent="0.35">
      <c r="A115" s="1" t="s">
        <v>7</v>
      </c>
      <c r="B115" s="1" t="s">
        <v>7</v>
      </c>
      <c r="C115" s="1" t="s">
        <v>15</v>
      </c>
      <c r="D115" s="1" t="s">
        <v>7</v>
      </c>
      <c r="E115" s="1" t="s">
        <v>10</v>
      </c>
      <c r="F115" s="1">
        <v>1.2107699999999999</v>
      </c>
      <c r="G115" s="1">
        <v>1.24299</v>
      </c>
      <c r="H115" s="1">
        <v>1.2404200000000001</v>
      </c>
      <c r="I115" s="1">
        <v>1.2364200000000001</v>
      </c>
      <c r="J115" s="1">
        <v>1.15944</v>
      </c>
      <c r="K115" s="1">
        <v>1.1851</v>
      </c>
      <c r="L115" s="1">
        <v>1.2519199999999999</v>
      </c>
      <c r="M115" s="1">
        <v>1.2107699999999999</v>
      </c>
      <c r="N115" s="1">
        <v>1.24299</v>
      </c>
      <c r="O115" s="1">
        <v>1.2404200000000001</v>
      </c>
      <c r="P115" s="1">
        <v>1.2364200000000001</v>
      </c>
      <c r="Q115" s="1">
        <v>1.15944</v>
      </c>
      <c r="R115" s="1">
        <v>1.1851</v>
      </c>
      <c r="S115" s="1">
        <v>1.2519199999999999</v>
      </c>
      <c r="T115" s="1">
        <v>1.2107699999999999</v>
      </c>
      <c r="U115" s="1">
        <v>1.24299</v>
      </c>
      <c r="V115" s="1">
        <v>1.2404200000000001</v>
      </c>
      <c r="W115" s="1">
        <v>1.2364200000000001</v>
      </c>
      <c r="X115" s="1">
        <v>1.15944</v>
      </c>
      <c r="Y115" s="1">
        <v>1.1851</v>
      </c>
      <c r="Z115" s="1">
        <v>1.2519199999999999</v>
      </c>
      <c r="AA115" s="1">
        <v>1.2107699999999999</v>
      </c>
      <c r="AB115" s="1">
        <v>1.24299</v>
      </c>
      <c r="AC115" s="1">
        <v>1.2404200000000001</v>
      </c>
      <c r="AD115" s="1">
        <v>1.2364200000000001</v>
      </c>
      <c r="AE115" s="1">
        <v>1.15944</v>
      </c>
      <c r="AF115" s="1">
        <v>1.1851</v>
      </c>
      <c r="AG115" s="1">
        <v>1.2519199999999999</v>
      </c>
      <c r="AH115" s="1">
        <v>1.2107699999999999</v>
      </c>
      <c r="AI115" s="1">
        <v>1.24299</v>
      </c>
      <c r="AL115" s="4" t="s">
        <v>25</v>
      </c>
      <c r="AM115" s="6" t="str" cm="1">
        <f t="array" ref="AM115">IFERROR((SUMPRODUCT(($D$113:$D$136=AM$111)*($F$110:$AI$110="")*$F$113:$AI$136)+IF(AM$111="P6",SUMPRODUCT(($F$110:$AI$110="P6")*$F$113:$AI$136),0))/(SUMPRODUCT(($D$113:$D$136=AM$111)*($F$110:$AI$110=""))+IF(AM$111="P6",COUNTIF($F$110:$AI$110,"P6")*ROWS($D$113:$D$136),0)),"")</f>
        <v/>
      </c>
      <c r="AN115" s="6" t="str" cm="1">
        <f t="array" ref="AN115">IFERROR((SUMPRODUCT(($D$113:$D$136=AN$111)*($F$110:$AI$110="")*$F$113:$AI$136)+IF(AN$111="P6",SUMPRODUCT(($F$110:$AI$110="P6")*$F$113:$AI$136),0))/(SUMPRODUCT(($D$113:$D$136=AN$111)*($F$110:$AI$110=""))+IF(AN$111="P6",COUNTIF($F$110:$AI$110,"P6")*ROWS($D$113:$D$136),0)),"")</f>
        <v/>
      </c>
      <c r="AO115" s="5" t="str" cm="1">
        <f t="array" ref="AO115">IFERROR((SUMPRODUCT(($D$113:$D$136=AO$111)*($F$110:$AI$110="")*$F$113:$AI$136)+IF(AO$111="P6",SUMPRODUCT(($F$110:$AI$110="P6")*$F$113:$AI$136),0))/(SUMPRODUCT(($D$113:$D$136=AO$111)*($F$110:$AI$110=""))+IF(AO$111="P6",COUNTIF($F$110:$AI$110,"P6")*ROWS($D$113:$D$136),0)),"")</f>
        <v/>
      </c>
      <c r="AP115" s="5" cm="1">
        <f t="array" ref="AP115">IFERROR((SUMPRODUCT(($D$113:$D$136=AP$111)*($F$110:$AI$110="")*$F$113:$AI$136)+IF(AP$111="P6",SUMPRODUCT(($F$110:$AI$110="P6")*$F$113:$AI$136),0))/(SUMPRODUCT(($D$113:$D$136=AP$111)*($F$110:$AI$110=""))+IF(AP$111="P6",COUNTIF($F$110:$AI$110,"P6")*ROWS($D$113:$D$136),0)),"")</f>
        <v>1.0108168181818169</v>
      </c>
      <c r="AQ115" s="5" cm="1">
        <f t="array" ref="AQ115">IFERROR((SUMPRODUCT(($D$113:$D$136=AQ$111)*($F$110:$AI$110="")*$F$113:$AI$136)+IF(AQ$111="P6",SUMPRODUCT(($F$110:$AI$110="P6")*$F$113:$AI$136),0))/(SUMPRODUCT(($D$113:$D$136=AQ$111)*($F$110:$AI$110=""))+IF(AQ$111="P6",COUNTIF($F$110:$AI$110,"P6")*ROWS($D$113:$D$136),0)),"")</f>
        <v>1.1980601298701294</v>
      </c>
      <c r="AR115" s="6" cm="1">
        <f t="array" ref="AR115">IFERROR((SUMPRODUCT(($D$113:$D$136=AR$111)*($F$110:$AI$110="")*$F$113:$AI$136)+IF(AR$111="P6",SUMPRODUCT(($F$110:$AI$110="P6")*$F$113:$AI$136),0))/(SUMPRODUCT(($D$113:$D$136=AR$111)*($F$110:$AI$110=""))+IF(AR$111="P6",COUNTIF($F$110:$AI$110,"P6")*ROWS($D$113:$D$136),0)),"")</f>
        <v>1.091930869565217</v>
      </c>
    </row>
    <row r="116" spans="1:44" ht="14.25" customHeight="1" x14ac:dyDescent="0.35">
      <c r="A116" s="1" t="s">
        <v>7</v>
      </c>
      <c r="B116" s="1" t="s">
        <v>7</v>
      </c>
      <c r="C116" s="1" t="s">
        <v>15</v>
      </c>
      <c r="D116" s="1" t="s">
        <v>7</v>
      </c>
      <c r="E116" s="1" t="s">
        <v>11</v>
      </c>
      <c r="F116" s="1">
        <v>1.1994800000000001</v>
      </c>
      <c r="G116" s="1">
        <v>1.2455799999999999</v>
      </c>
      <c r="H116" s="1">
        <v>1.2441599999999999</v>
      </c>
      <c r="I116" s="1">
        <v>1.24352</v>
      </c>
      <c r="J116" s="1">
        <v>1.1552800000000001</v>
      </c>
      <c r="K116" s="1">
        <v>1.18773</v>
      </c>
      <c r="L116" s="1">
        <v>1.2513099999999999</v>
      </c>
      <c r="M116" s="1">
        <v>1.1994800000000001</v>
      </c>
      <c r="N116" s="1">
        <v>1.2455799999999999</v>
      </c>
      <c r="O116" s="1">
        <v>1.2441599999999999</v>
      </c>
      <c r="P116" s="1">
        <v>1.24352</v>
      </c>
      <c r="Q116" s="1">
        <v>1.1552800000000001</v>
      </c>
      <c r="R116" s="1">
        <v>1.18773</v>
      </c>
      <c r="S116" s="1">
        <v>1.2513099999999999</v>
      </c>
      <c r="T116" s="1">
        <v>1.1994800000000001</v>
      </c>
      <c r="U116" s="1">
        <v>1.2455799999999999</v>
      </c>
      <c r="V116" s="1">
        <v>1.2441599999999999</v>
      </c>
      <c r="W116" s="1">
        <v>1.24352</v>
      </c>
      <c r="X116" s="1">
        <v>1.1552800000000001</v>
      </c>
      <c r="Y116" s="1">
        <v>1.18773</v>
      </c>
      <c r="Z116" s="1">
        <v>1.2513099999999999</v>
      </c>
      <c r="AA116" s="1">
        <v>1.1994800000000001</v>
      </c>
      <c r="AB116" s="1">
        <v>1.2455799999999999</v>
      </c>
      <c r="AC116" s="1">
        <v>1.2441599999999999</v>
      </c>
      <c r="AD116" s="1">
        <v>1.24352</v>
      </c>
      <c r="AE116" s="1">
        <v>1.1552800000000001</v>
      </c>
      <c r="AF116" s="1">
        <v>1.18773</v>
      </c>
      <c r="AG116" s="1">
        <v>1.2513099999999999</v>
      </c>
      <c r="AH116" s="1">
        <v>1.1994800000000001</v>
      </c>
      <c r="AI116" s="1">
        <v>1.2455799999999999</v>
      </c>
      <c r="AL116" s="4" t="s">
        <v>27</v>
      </c>
      <c r="AM116" s="6" t="str" cm="1">
        <f t="array" ref="AM116">IFERROR((SUMPRODUCT(($D$113:$D$136=AM$111)*($F$110:$AI$110="")*$F$113:$AI$136)+IF(AM$111="P6",SUMPRODUCT(($F$110:$AI$110="P6")*$F$113:$AI$136),0))/(SUMPRODUCT(($D$113:$D$136=AM$111)*($F$110:$AI$110=""))+IF(AM$111="P6",COUNTIF($F$110:$AI$110,"P6")*ROWS($D$113:$D$136),0)),"")</f>
        <v/>
      </c>
      <c r="AN116" s="6" t="str" cm="1">
        <f t="array" ref="AN116">IFERROR((SUMPRODUCT(($D$113:$D$136=AN$111)*($F$110:$AI$110="")*$F$113:$AI$136)+IF(AN$111="P6",SUMPRODUCT(($F$110:$AI$110="P6")*$F$113:$AI$136),0))/(SUMPRODUCT(($D$113:$D$136=AN$111)*($F$110:$AI$110=""))+IF(AN$111="P6",COUNTIF($F$110:$AI$110,"P6")*ROWS($D$113:$D$136),0)),"")</f>
        <v/>
      </c>
      <c r="AO116" s="5" t="str" cm="1">
        <f t="array" ref="AO116">IFERROR((SUMPRODUCT(($D$113:$D$136=AO$111)*($F$110:$AI$110="")*$F$113:$AI$136)+IF(AO$111="P6",SUMPRODUCT(($F$110:$AI$110="P6")*$F$113:$AI$136),0))/(SUMPRODUCT(($D$113:$D$136=AO$111)*($F$110:$AI$110=""))+IF(AO$111="P6",COUNTIF($F$110:$AI$110,"P6")*ROWS($D$113:$D$136),0)),"")</f>
        <v/>
      </c>
      <c r="AP116" s="5" cm="1">
        <f t="array" ref="AP116">IFERROR((SUMPRODUCT(($D$113:$D$136=AP$111)*($F$110:$AI$110="")*$F$113:$AI$136)+IF(AP$111="P6",SUMPRODUCT(($F$110:$AI$110="P6")*$F$113:$AI$136),0))/(SUMPRODUCT(($D$113:$D$136=AP$111)*($F$110:$AI$110=""))+IF(AP$111="P6",COUNTIF($F$110:$AI$110,"P6")*ROWS($D$113:$D$136),0)),"")</f>
        <v>1.0108168181818169</v>
      </c>
      <c r="AQ116" s="5" cm="1">
        <f t="array" ref="AQ116">IFERROR((SUMPRODUCT(($D$113:$D$136=AQ$111)*($F$110:$AI$110="")*$F$113:$AI$136)+IF(AQ$111="P6",SUMPRODUCT(($F$110:$AI$110="P6")*$F$113:$AI$136),0))/(SUMPRODUCT(($D$113:$D$136=AQ$111)*($F$110:$AI$110=""))+IF(AQ$111="P6",COUNTIF($F$110:$AI$110,"P6")*ROWS($D$113:$D$136),0)),"")</f>
        <v>1.1980601298701294</v>
      </c>
      <c r="AR116" s="6" cm="1">
        <f t="array" ref="AR116">IFERROR((SUMPRODUCT(($D$113:$D$136=AR$111)*($F$110:$AI$110="")*$F$113:$AI$136)+IF(AR$111="P6",SUMPRODUCT(($F$110:$AI$110="P6")*$F$113:$AI$136),0))/(SUMPRODUCT(($D$113:$D$136=AR$111)*($F$110:$AI$110=""))+IF(AR$111="P6",COUNTIF($F$110:$AI$110,"P6")*ROWS($D$113:$D$136),0)),"")</f>
        <v>1.091930869565217</v>
      </c>
    </row>
    <row r="117" spans="1:44" ht="14.25" customHeight="1" x14ac:dyDescent="0.35">
      <c r="A117" s="1" t="s">
        <v>7</v>
      </c>
      <c r="B117" s="1" t="s">
        <v>7</v>
      </c>
      <c r="C117" s="1" t="s">
        <v>15</v>
      </c>
      <c r="D117" s="1" t="s">
        <v>7</v>
      </c>
      <c r="E117" s="1" t="s">
        <v>12</v>
      </c>
      <c r="F117" s="1">
        <v>1.2215100000000001</v>
      </c>
      <c r="G117" s="1">
        <v>1.2611000000000001</v>
      </c>
      <c r="H117" s="1">
        <v>1.2538100000000001</v>
      </c>
      <c r="I117" s="1">
        <v>1.2346999999999999</v>
      </c>
      <c r="J117" s="1">
        <v>1.1620999999999999</v>
      </c>
      <c r="K117" s="1">
        <v>1.1969399999999999</v>
      </c>
      <c r="L117" s="1">
        <v>1.25519</v>
      </c>
      <c r="M117" s="1">
        <v>1.2215100000000001</v>
      </c>
      <c r="N117" s="1">
        <v>1.2611000000000001</v>
      </c>
      <c r="O117" s="1">
        <v>1.2538100000000001</v>
      </c>
      <c r="P117" s="1">
        <v>1.2346999999999999</v>
      </c>
      <c r="Q117" s="1">
        <v>1.1620999999999999</v>
      </c>
      <c r="R117" s="1">
        <v>1.1969399999999999</v>
      </c>
      <c r="S117" s="1">
        <v>1.25519</v>
      </c>
      <c r="T117" s="1">
        <v>1.2215100000000001</v>
      </c>
      <c r="U117" s="1">
        <v>1.2611000000000001</v>
      </c>
      <c r="V117" s="1">
        <v>1.2538100000000001</v>
      </c>
      <c r="W117" s="1">
        <v>1.2346999999999999</v>
      </c>
      <c r="X117" s="1">
        <v>1.1620999999999999</v>
      </c>
      <c r="Y117" s="1">
        <v>1.1969399999999999</v>
      </c>
      <c r="Z117" s="1">
        <v>1.25519</v>
      </c>
      <c r="AA117" s="1">
        <v>1.2215100000000001</v>
      </c>
      <c r="AB117" s="1">
        <v>1.2611000000000001</v>
      </c>
      <c r="AC117" s="1">
        <v>1.2538100000000001</v>
      </c>
      <c r="AD117" s="1">
        <v>1.2346999999999999</v>
      </c>
      <c r="AE117" s="1">
        <v>1.1620999999999999</v>
      </c>
      <c r="AF117" s="1">
        <v>1.1969399999999999</v>
      </c>
      <c r="AG117" s="1">
        <v>1.25519</v>
      </c>
      <c r="AH117" s="1">
        <v>1.2215100000000001</v>
      </c>
      <c r="AI117" s="1">
        <v>1.2611000000000001</v>
      </c>
      <c r="AL117" s="4" t="s">
        <v>29</v>
      </c>
      <c r="AM117" s="6" t="str" cm="1">
        <f t="array" ref="AM117">IFERROR((SUMPRODUCT(($D$113:$D$136=AM$111)*($F$110:$AI$110="")*$F$113:$AI$136)+IF(AM$111="P6",SUMPRODUCT(($F$110:$AI$110="P6")*$F$113:$AI$136),0))/(SUMPRODUCT(($D$113:$D$136=AM$111)*($F$110:$AI$110=""))+IF(AM$111="P6",COUNTIF($F$110:$AI$110,"P6")*ROWS($D$113:$D$136),0)),"")</f>
        <v/>
      </c>
      <c r="AN117" s="6" t="str" cm="1">
        <f t="array" ref="AN117">IFERROR((SUMPRODUCT(($D$113:$D$136=AN$111)*($F$110:$AI$110="")*$F$113:$AI$136)+IF(AN$111="P6",SUMPRODUCT(($F$110:$AI$110="P6")*$F$113:$AI$136),0))/(SUMPRODUCT(($D$113:$D$136=AN$111)*($F$110:$AI$110=""))+IF(AN$111="P6",COUNTIF($F$110:$AI$110,"P6")*ROWS($D$113:$D$136),0)),"")</f>
        <v/>
      </c>
      <c r="AO117" s="5" t="str" cm="1">
        <f t="array" ref="AO117">IFERROR((SUMPRODUCT(($D$113:$D$136=AO$111)*($F$110:$AI$110="")*$F$113:$AI$136)+IF(AO$111="P6",SUMPRODUCT(($F$110:$AI$110="P6")*$F$113:$AI$136),0))/(SUMPRODUCT(($D$113:$D$136=AO$111)*($F$110:$AI$110=""))+IF(AO$111="P6",COUNTIF($F$110:$AI$110,"P6")*ROWS($D$113:$D$136),0)),"")</f>
        <v/>
      </c>
      <c r="AP117" s="5" cm="1">
        <f t="array" ref="AP117">IFERROR((SUMPRODUCT(($D$113:$D$136=AP$111)*($F$110:$AI$110="")*$F$113:$AI$136)+IF(AP$111="P6",SUMPRODUCT(($F$110:$AI$110="P6")*$F$113:$AI$136),0))/(SUMPRODUCT(($D$113:$D$136=AP$111)*($F$110:$AI$110=""))+IF(AP$111="P6",COUNTIF($F$110:$AI$110,"P6")*ROWS($D$113:$D$136),0)),"")</f>
        <v>1.0108168181818169</v>
      </c>
      <c r="AQ117" s="5" cm="1">
        <f t="array" ref="AQ117">IFERROR((SUMPRODUCT(($D$113:$D$136=AQ$111)*($F$110:$AI$110="")*$F$113:$AI$136)+IF(AQ$111="P6",SUMPRODUCT(($F$110:$AI$110="P6")*$F$113:$AI$136),0))/(SUMPRODUCT(($D$113:$D$136=AQ$111)*($F$110:$AI$110=""))+IF(AQ$111="P6",COUNTIF($F$110:$AI$110,"P6")*ROWS($D$113:$D$136),0)),"")</f>
        <v>1.1980601298701294</v>
      </c>
      <c r="AR117" s="6" cm="1">
        <f t="array" ref="AR117">IFERROR((SUMPRODUCT(($D$113:$D$136=AR$111)*($F$110:$AI$110="")*$F$113:$AI$136)+IF(AR$111="P6",SUMPRODUCT(($F$110:$AI$110="P6")*$F$113:$AI$136),0))/(SUMPRODUCT(($D$113:$D$136=AR$111)*($F$110:$AI$110=""))+IF(AR$111="P6",COUNTIF($F$110:$AI$110,"P6")*ROWS($D$113:$D$136),0)),"")</f>
        <v>1.091930869565217</v>
      </c>
    </row>
    <row r="118" spans="1:44" ht="14.25" customHeight="1" x14ac:dyDescent="0.35">
      <c r="A118" s="1" t="s">
        <v>7</v>
      </c>
      <c r="B118" s="1" t="s">
        <v>7</v>
      </c>
      <c r="C118" s="1" t="s">
        <v>15</v>
      </c>
      <c r="D118" s="1" t="s">
        <v>7</v>
      </c>
      <c r="E118" s="1" t="s">
        <v>18</v>
      </c>
      <c r="F118" s="1">
        <v>1.20207</v>
      </c>
      <c r="G118" s="1">
        <v>1.2335400000000001</v>
      </c>
      <c r="H118" s="1">
        <v>1.24665</v>
      </c>
      <c r="I118" s="1">
        <v>1.2183299999999999</v>
      </c>
      <c r="J118" s="1">
        <v>1.1690700000000001</v>
      </c>
      <c r="K118" s="1">
        <v>1.19912</v>
      </c>
      <c r="L118" s="1">
        <v>1.2252700000000001</v>
      </c>
      <c r="M118" s="1">
        <v>1.20207</v>
      </c>
      <c r="N118" s="1">
        <v>1.2335400000000001</v>
      </c>
      <c r="O118" s="1">
        <v>1.24665</v>
      </c>
      <c r="P118" s="1">
        <v>1.2183299999999999</v>
      </c>
      <c r="Q118" s="1">
        <v>1.1690700000000001</v>
      </c>
      <c r="R118" s="1">
        <v>1.19912</v>
      </c>
      <c r="S118" s="1">
        <v>1.2252700000000001</v>
      </c>
      <c r="T118" s="1">
        <v>1.20207</v>
      </c>
      <c r="U118" s="1">
        <v>1.2335400000000001</v>
      </c>
      <c r="V118" s="1">
        <v>1.24665</v>
      </c>
      <c r="W118" s="1">
        <v>1.2183299999999999</v>
      </c>
      <c r="X118" s="1">
        <v>1.1690700000000001</v>
      </c>
      <c r="Y118" s="1">
        <v>1.19912</v>
      </c>
      <c r="Z118" s="1">
        <v>1.2252700000000001</v>
      </c>
      <c r="AA118" s="1">
        <v>1.20207</v>
      </c>
      <c r="AB118" s="1">
        <v>1.2335400000000001</v>
      </c>
      <c r="AC118" s="1">
        <v>1.24665</v>
      </c>
      <c r="AD118" s="1">
        <v>1.2183299999999999</v>
      </c>
      <c r="AE118" s="1">
        <v>1.1690700000000001</v>
      </c>
      <c r="AF118" s="1">
        <v>1.19912</v>
      </c>
      <c r="AG118" s="1">
        <v>1.2252700000000001</v>
      </c>
      <c r="AH118" s="1">
        <v>1.20207</v>
      </c>
      <c r="AI118" s="1">
        <v>1.2335400000000001</v>
      </c>
      <c r="AL118" s="10"/>
      <c r="AM118" s="10"/>
      <c r="AN118" s="10"/>
      <c r="AO118" s="10"/>
      <c r="AP118" s="10"/>
      <c r="AQ118" s="10"/>
      <c r="AR118" s="10"/>
    </row>
    <row r="119" spans="1:44" ht="14.25" customHeight="1" x14ac:dyDescent="0.35">
      <c r="A119" s="1" t="s">
        <v>7</v>
      </c>
      <c r="B119" s="1" t="s">
        <v>7</v>
      </c>
      <c r="C119" s="1" t="s">
        <v>15</v>
      </c>
      <c r="D119" s="1" t="s">
        <v>7</v>
      </c>
      <c r="E119" s="1" t="s">
        <v>20</v>
      </c>
      <c r="F119" s="1">
        <v>1.0929500000000001</v>
      </c>
      <c r="G119" s="1">
        <v>1.13147</v>
      </c>
      <c r="H119" s="1">
        <v>1.1303000000000001</v>
      </c>
      <c r="I119" s="1">
        <v>1.1137999999999999</v>
      </c>
      <c r="J119" s="1">
        <v>1.16282</v>
      </c>
      <c r="K119" s="1">
        <v>1.1903300000000001</v>
      </c>
      <c r="L119" s="1">
        <v>1.1232800000000001</v>
      </c>
      <c r="M119" s="1">
        <v>1.0929500000000001</v>
      </c>
      <c r="N119" s="1">
        <v>1.13147</v>
      </c>
      <c r="O119" s="1">
        <v>1.1303000000000001</v>
      </c>
      <c r="P119" s="1">
        <v>1.1137999999999999</v>
      </c>
      <c r="Q119" s="1">
        <v>1.16282</v>
      </c>
      <c r="R119" s="1">
        <v>1.1903300000000001</v>
      </c>
      <c r="S119" s="1">
        <v>1.1232800000000001</v>
      </c>
      <c r="T119" s="1">
        <v>1.0929500000000001</v>
      </c>
      <c r="U119" s="1">
        <v>1.13147</v>
      </c>
      <c r="V119" s="1">
        <v>1.1303000000000001</v>
      </c>
      <c r="W119" s="1">
        <v>1.1137999999999999</v>
      </c>
      <c r="X119" s="1">
        <v>1.16282</v>
      </c>
      <c r="Y119" s="1">
        <v>1.1903300000000001</v>
      </c>
      <c r="Z119" s="1">
        <v>1.1232800000000001</v>
      </c>
      <c r="AA119" s="1">
        <v>1.0929500000000001</v>
      </c>
      <c r="AB119" s="1">
        <v>1.13147</v>
      </c>
      <c r="AC119" s="1">
        <v>1.1303000000000001</v>
      </c>
      <c r="AD119" s="1">
        <v>1.1137999999999999</v>
      </c>
      <c r="AE119" s="1">
        <v>1.16282</v>
      </c>
      <c r="AF119" s="1">
        <v>1.1903300000000001</v>
      </c>
      <c r="AG119" s="1">
        <v>1.1232800000000001</v>
      </c>
      <c r="AH119" s="1">
        <v>1.0929500000000001</v>
      </c>
      <c r="AI119" s="1">
        <v>1.13147</v>
      </c>
      <c r="AL119" s="10"/>
      <c r="AM119" s="10"/>
      <c r="AN119" s="10"/>
      <c r="AO119" s="10"/>
      <c r="AP119" s="10"/>
      <c r="AQ119" s="10"/>
      <c r="AR119" s="10"/>
    </row>
    <row r="120" spans="1:44" ht="14.25" customHeight="1" x14ac:dyDescent="0.35">
      <c r="A120" s="1" t="s">
        <v>7</v>
      </c>
      <c r="B120" s="1" t="s">
        <v>7</v>
      </c>
      <c r="C120" s="1" t="s">
        <v>15</v>
      </c>
      <c r="D120" s="1" t="s">
        <v>7</v>
      </c>
      <c r="E120" s="1" t="s">
        <v>22</v>
      </c>
      <c r="F120" s="1">
        <v>1.0206299999999999</v>
      </c>
      <c r="G120" s="1">
        <v>1.03312</v>
      </c>
      <c r="H120" s="1">
        <v>1.0305200000000001</v>
      </c>
      <c r="I120" s="1">
        <v>1.0114799999999999</v>
      </c>
      <c r="J120" s="1">
        <v>1.1254900000000001</v>
      </c>
      <c r="K120" s="1">
        <v>1.16659</v>
      </c>
      <c r="L120" s="1">
        <v>1.04484</v>
      </c>
      <c r="M120" s="1">
        <v>1.0206299999999999</v>
      </c>
      <c r="N120" s="1">
        <v>1.03312</v>
      </c>
      <c r="O120" s="1">
        <v>1.0305200000000001</v>
      </c>
      <c r="P120" s="1">
        <v>1.0114799999999999</v>
      </c>
      <c r="Q120" s="1">
        <v>1.1254900000000001</v>
      </c>
      <c r="R120" s="1">
        <v>1.16659</v>
      </c>
      <c r="S120" s="1">
        <v>1.04484</v>
      </c>
      <c r="T120" s="1">
        <v>1.0206299999999999</v>
      </c>
      <c r="U120" s="1">
        <v>1.03312</v>
      </c>
      <c r="V120" s="1">
        <v>1.0305200000000001</v>
      </c>
      <c r="W120" s="1">
        <v>1.0114799999999999</v>
      </c>
      <c r="X120" s="1">
        <v>1.1254900000000001</v>
      </c>
      <c r="Y120" s="1">
        <v>1.16659</v>
      </c>
      <c r="Z120" s="1">
        <v>1.04484</v>
      </c>
      <c r="AA120" s="1">
        <v>1.0206299999999999</v>
      </c>
      <c r="AB120" s="1">
        <v>1.03312</v>
      </c>
      <c r="AC120" s="1">
        <v>1.0305200000000001</v>
      </c>
      <c r="AD120" s="1">
        <v>1.0114799999999999</v>
      </c>
      <c r="AE120" s="1">
        <v>1.1254900000000001</v>
      </c>
      <c r="AF120" s="1">
        <v>1.16659</v>
      </c>
      <c r="AG120" s="1">
        <v>1.04484</v>
      </c>
      <c r="AH120" s="1">
        <v>1.0206299999999999</v>
      </c>
      <c r="AI120" s="1">
        <v>1.03312</v>
      </c>
      <c r="AL120" s="14" t="s">
        <v>88</v>
      </c>
      <c r="AM120" s="14"/>
      <c r="AN120" s="14"/>
      <c r="AO120" s="14"/>
      <c r="AP120" s="14"/>
      <c r="AQ120" s="14"/>
      <c r="AR120" s="14"/>
    </row>
    <row r="121" spans="1:44" ht="14.25" customHeight="1" x14ac:dyDescent="0.35">
      <c r="A121" s="1" t="s">
        <v>17</v>
      </c>
      <c r="B121" s="1" t="s">
        <v>17</v>
      </c>
      <c r="C121" s="1" t="s">
        <v>14</v>
      </c>
      <c r="D121" s="1" t="s">
        <v>17</v>
      </c>
      <c r="E121" s="1" t="s">
        <v>24</v>
      </c>
      <c r="F121" s="1">
        <v>1.25058</v>
      </c>
      <c r="G121" s="1">
        <v>1.2663899999999999</v>
      </c>
      <c r="H121" s="1">
        <v>1.2704299999999999</v>
      </c>
      <c r="I121" s="1">
        <v>1.23037</v>
      </c>
      <c r="J121" s="1">
        <v>1.0409900000000001</v>
      </c>
      <c r="K121" s="1">
        <v>1.0569</v>
      </c>
      <c r="L121" s="1">
        <v>1.2737400000000001</v>
      </c>
      <c r="M121" s="1">
        <v>1.25058</v>
      </c>
      <c r="N121" s="1">
        <v>1.2663899999999999</v>
      </c>
      <c r="O121" s="1">
        <v>1.2704299999999999</v>
      </c>
      <c r="P121" s="1">
        <v>1.23037</v>
      </c>
      <c r="Q121" s="1">
        <v>1.0409900000000001</v>
      </c>
      <c r="R121" s="1">
        <v>1.0569</v>
      </c>
      <c r="S121" s="1">
        <v>1.2737400000000001</v>
      </c>
      <c r="T121" s="1">
        <v>1.25058</v>
      </c>
      <c r="U121" s="1">
        <v>1.2663899999999999</v>
      </c>
      <c r="V121" s="1">
        <v>1.2704299999999999</v>
      </c>
      <c r="W121" s="1">
        <v>1.23037</v>
      </c>
      <c r="X121" s="1">
        <v>1.0409900000000001</v>
      </c>
      <c r="Y121" s="1">
        <v>1.0569</v>
      </c>
      <c r="Z121" s="1">
        <v>1.2737400000000001</v>
      </c>
      <c r="AA121" s="1">
        <v>1.25058</v>
      </c>
      <c r="AB121" s="1">
        <v>1.2663899999999999</v>
      </c>
      <c r="AC121" s="1">
        <v>1.2704299999999999</v>
      </c>
      <c r="AD121" s="1">
        <v>1.23037</v>
      </c>
      <c r="AE121" s="1">
        <v>1.0409900000000001</v>
      </c>
      <c r="AF121" s="1">
        <v>1.0569</v>
      </c>
      <c r="AG121" s="1">
        <v>1.2737400000000001</v>
      </c>
      <c r="AH121" s="1">
        <v>1.25058</v>
      </c>
      <c r="AI121" s="1">
        <v>1.2663899999999999</v>
      </c>
      <c r="AL121" s="4"/>
      <c r="AM121" s="4" t="s">
        <v>13</v>
      </c>
      <c r="AN121" s="4" t="s">
        <v>14</v>
      </c>
      <c r="AO121" s="4" t="s">
        <v>15</v>
      </c>
      <c r="AP121" s="4" t="s">
        <v>16</v>
      </c>
      <c r="AQ121" s="4" t="s">
        <v>17</v>
      </c>
      <c r="AR121" s="4" t="s">
        <v>7</v>
      </c>
    </row>
    <row r="122" spans="1:44" ht="14.25" customHeight="1" x14ac:dyDescent="0.35">
      <c r="A122" s="1" t="s">
        <v>17</v>
      </c>
      <c r="B122" s="1" t="s">
        <v>17</v>
      </c>
      <c r="C122" s="1" t="s">
        <v>14</v>
      </c>
      <c r="D122" s="1" t="s">
        <v>16</v>
      </c>
      <c r="E122" s="1" t="s">
        <v>26</v>
      </c>
      <c r="F122" s="1">
        <v>0.98131999999999997</v>
      </c>
      <c r="G122" s="1">
        <v>0.98921999999999999</v>
      </c>
      <c r="H122" s="1">
        <v>0.99475999999999998</v>
      </c>
      <c r="I122" s="1">
        <v>1.0355399999999999</v>
      </c>
      <c r="J122" s="1">
        <v>0.92713000000000001</v>
      </c>
      <c r="K122" s="1">
        <v>0.92020999999999997</v>
      </c>
      <c r="L122" s="1">
        <v>1.0082199999999999</v>
      </c>
      <c r="M122" s="1">
        <v>0.98131999999999997</v>
      </c>
      <c r="N122" s="1">
        <v>0.98921999999999999</v>
      </c>
      <c r="O122" s="1">
        <v>0.99475999999999998</v>
      </c>
      <c r="P122" s="1">
        <v>1.0355399999999999</v>
      </c>
      <c r="Q122" s="1">
        <v>0.92713000000000001</v>
      </c>
      <c r="R122" s="1">
        <v>0.92020999999999997</v>
      </c>
      <c r="S122" s="1">
        <v>1.0082199999999999</v>
      </c>
      <c r="T122" s="1">
        <v>0.98131999999999997</v>
      </c>
      <c r="U122" s="1">
        <v>0.98921999999999999</v>
      </c>
      <c r="V122" s="1">
        <v>0.99475999999999998</v>
      </c>
      <c r="W122" s="1">
        <v>1.0355399999999999</v>
      </c>
      <c r="X122" s="1">
        <v>0.92713000000000001</v>
      </c>
      <c r="Y122" s="1">
        <v>0.92020999999999997</v>
      </c>
      <c r="Z122" s="1">
        <v>1.0082199999999999</v>
      </c>
      <c r="AA122" s="1">
        <v>0.98131999999999997</v>
      </c>
      <c r="AB122" s="1">
        <v>0.98921999999999999</v>
      </c>
      <c r="AC122" s="1">
        <v>0.99475999999999998</v>
      </c>
      <c r="AD122" s="1">
        <v>1.0355399999999999</v>
      </c>
      <c r="AE122" s="1">
        <v>0.92713000000000001</v>
      </c>
      <c r="AF122" s="1">
        <v>0.92020999999999997</v>
      </c>
      <c r="AG122" s="1">
        <v>1.0082199999999999</v>
      </c>
      <c r="AH122" s="1">
        <v>0.98131999999999997</v>
      </c>
      <c r="AI122" s="1">
        <v>0.98921999999999999</v>
      </c>
      <c r="AL122" s="4" t="s">
        <v>19</v>
      </c>
      <c r="AM122" s="6" cm="1">
        <f t="array" ref="AM122">IFERROR((SUMPRODUCT(($C$113:$C$136=AM$111)*($F$109:$AI$109="")*$F$113:$AI$136)+IF(AM$111="P3",SUMPRODUCT(($F$109:$AI$109="P3")*$F$113:$AI$136),0))/(SUMPRODUCT(($C$113:$C$136=AM$111)*($F$109:$AI$109=""))+IF(AM$111="P3",COUNTIF($F$109:$AI$109,"P3")*ROWS($C$113:$C$136),0)),"")</f>
        <v>1.0121303977272733</v>
      </c>
      <c r="AN122" s="6" cm="1">
        <f t="array" ref="AN122">IFERROR((SUMPRODUCT(($C$113:$C$136=AN$111)*($F$109:$AI$109="")*$F$113:$AI$136)+IF(AN$111="P3",SUMPRODUCT(($F$109:$AI$109="P3")*$F$113:$AI$136),0))/(SUMPRODUCT(($C$113:$C$136=AN$111)*($F$109:$AI$109=""))+IF(AN$111="P3",COUNTIF($F$109:$AI$109,"P3")*ROWS($C$113:$C$136),0)),"")</f>
        <v>1.1733411363636364</v>
      </c>
      <c r="AO122" s="6" cm="1">
        <f t="array" ref="AO122">IFERROR((SUMPRODUCT(($C$113:$C$136=AO$111)*($F$109:$AI$109="")*$F$113:$AI$136)+IF(AO$111="P3",SUMPRODUCT(($F$109:$AI$109="P3")*$F$113:$AI$136),0))/(SUMPRODUCT(($C$113:$C$136=AO$111)*($F$109:$AI$109=""))+IF(AO$111="P3",COUNTIF($F$109:$AI$109,"P3")*ROWS($C$113:$C$136),0)),"")</f>
        <v>1.091930869565217</v>
      </c>
      <c r="AP122" s="6" t="str" cm="1">
        <f t="array" ref="AP122">IFERROR((SUMPRODUCT(($C$113:$C$136=AP$111)*($F$109:$AI$109="")*$F$113:$AI$136)+IF(AP$111="P3",SUMPRODUCT(($F$109:$AI$109="P3")*$F$113:$AI$136),0))/(SUMPRODUCT(($C$113:$C$136=AP$111)*($F$109:$AI$109=""))+IF(AP$111="P3",COUNTIF($F$109:$AI$109,"P3")*ROWS($C$113:$C$136),0)),"")</f>
        <v/>
      </c>
      <c r="AQ122" s="6" t="str" cm="1">
        <f t="array" ref="AQ122">IFERROR((SUMPRODUCT(($C$113:$C$136=AQ$111)*($F$109:$AI$109="")*$F$113:$AI$136)+IF(AQ$111="P3",SUMPRODUCT(($F$109:$AI$109="P3")*$F$113:$AI$136),0))/(SUMPRODUCT(($C$113:$C$136=AQ$111)*($F$109:$AI$109=""))+IF(AQ$111="P3",COUNTIF($F$109:$AI$109,"P3")*ROWS($C$113:$C$136),0)),"")</f>
        <v/>
      </c>
      <c r="AR122" s="6" t="str" cm="1">
        <f t="array" ref="AR122">IFERROR((SUMPRODUCT(($C$113:$C$136=AR$111)*($F$109:$AI$109="")*$F$113:$AI$136)+IF(AR$111="P3",SUMPRODUCT(($F$109:$AI$109="P3")*$F$113:$AI$136),0))/(SUMPRODUCT(($C$113:$C$136=AR$111)*($F$109:$AI$109=""))+IF(AR$111="P3",COUNTIF($F$109:$AI$109,"P3")*ROWS($C$113:$C$136),0)),"")</f>
        <v/>
      </c>
    </row>
    <row r="123" spans="1:44" ht="14.25" customHeight="1" x14ac:dyDescent="0.35">
      <c r="A123" s="1" t="s">
        <v>16</v>
      </c>
      <c r="B123" s="1" t="s">
        <v>16</v>
      </c>
      <c r="C123" s="1" t="s">
        <v>13</v>
      </c>
      <c r="D123" s="1" t="s">
        <v>16</v>
      </c>
      <c r="E123" s="1" t="s">
        <v>28</v>
      </c>
      <c r="F123" s="1">
        <v>0.94338</v>
      </c>
      <c r="G123" s="1">
        <v>0.95391999999999999</v>
      </c>
      <c r="H123" s="1">
        <v>0.96753</v>
      </c>
      <c r="I123" s="1">
        <v>0.98558000000000001</v>
      </c>
      <c r="J123" s="1">
        <v>0.84721999999999997</v>
      </c>
      <c r="K123" s="1">
        <v>0.85058</v>
      </c>
      <c r="L123" s="1">
        <v>0.97282000000000002</v>
      </c>
      <c r="M123" s="1">
        <v>0.94338</v>
      </c>
      <c r="N123" s="1">
        <v>0.95391999999999999</v>
      </c>
      <c r="O123" s="1">
        <v>0.96753</v>
      </c>
      <c r="P123" s="1">
        <v>0.98558000000000001</v>
      </c>
      <c r="Q123" s="1">
        <v>0.84721999999999997</v>
      </c>
      <c r="R123" s="1">
        <v>0.85058</v>
      </c>
      <c r="S123" s="1">
        <v>0.97282000000000002</v>
      </c>
      <c r="T123" s="1">
        <v>0.94338</v>
      </c>
      <c r="U123" s="1">
        <v>0.95391999999999999</v>
      </c>
      <c r="V123" s="1">
        <v>0.96753</v>
      </c>
      <c r="W123" s="1">
        <v>0.98558000000000001</v>
      </c>
      <c r="X123" s="1">
        <v>0.84721999999999997</v>
      </c>
      <c r="Y123" s="1">
        <v>0.85058</v>
      </c>
      <c r="Z123" s="1">
        <v>0.97282000000000002</v>
      </c>
      <c r="AA123" s="1">
        <v>0.94338</v>
      </c>
      <c r="AB123" s="1">
        <v>0.95391999999999999</v>
      </c>
      <c r="AC123" s="1">
        <v>0.96753</v>
      </c>
      <c r="AD123" s="1">
        <v>0.98558000000000001</v>
      </c>
      <c r="AE123" s="1">
        <v>0.84721999999999997</v>
      </c>
      <c r="AF123" s="1">
        <v>0.85058</v>
      </c>
      <c r="AG123" s="1">
        <v>0.97282000000000002</v>
      </c>
      <c r="AH123" s="1">
        <v>0.94338</v>
      </c>
      <c r="AI123" s="1">
        <v>0.95391999999999999</v>
      </c>
      <c r="AL123" s="4" t="s">
        <v>21</v>
      </c>
      <c r="AM123" s="6" t="str" cm="1">
        <f t="array" ref="AM123">IFERROR((SUMPRODUCT(($A$113:$A$136=AM$111)*($F$110:$AI$110="")*$F$113:$AI$136)+IF(AM$111="P6",SUMPRODUCT(($F$110:$AI$110="P6")*$F$113:$AI$136),0))/(SUMPRODUCT(($A$113:$A$136=AM$111)*($F$110:$AI$110=""))+IF(AM$111="P6",COUNTIF($F$110:$AI$110,"P6")*ROWS($A$113:$A$136),0)),"")</f>
        <v/>
      </c>
      <c r="AN123" s="6" t="str" cm="1">
        <f t="array" ref="AN123">IFERROR((SUMPRODUCT(($A$113:$A$136=AN$111)*($F$110:$AI$110="")*$F$113:$AI$136)+IF(AN$111="P6",SUMPRODUCT(($F$110:$AI$110="P6")*$F$113:$AI$136),0))/(SUMPRODUCT(($A$113:$A$136=AN$111)*($F$110:$AI$110=""))+IF(AN$111="P6",COUNTIF($F$110:$AI$110,"P6")*ROWS($A$113:$A$136),0)),"")</f>
        <v/>
      </c>
      <c r="AO123" s="6" t="str" cm="1">
        <f t="array" ref="AO123">IFERROR((SUMPRODUCT(($A$113:$A$136=AO$111)*($F$110:$AI$110="")*$F$113:$AI$136)+IF(AO$111="P6",SUMPRODUCT(($F$110:$AI$110="P6")*$F$113:$AI$136),0))/(SUMPRODUCT(($A$113:$A$136=AO$111)*($F$110:$AI$110=""))+IF(AO$111="P6",COUNTIF($F$110:$AI$110,"P6")*ROWS($A$113:$A$136),0)),"")</f>
        <v/>
      </c>
      <c r="AP123" s="6" cm="1">
        <f t="array" ref="AP123">IFERROR((SUMPRODUCT(($A$113:$A$136=AP$111)*($F$110:$AI$110="")*$F$113:$AI$136)+IF(AP$111="P6",SUMPRODUCT(($F$110:$AI$110="P6")*$F$113:$AI$136),0))/(SUMPRODUCT(($A$113:$A$136=AP$111)*($F$110:$AI$110=""))+IF(AP$111="P6",COUNTIF($F$110:$AI$110,"P6")*ROWS($A$113:$A$136),0)),"")</f>
        <v>1.0117968686868679</v>
      </c>
      <c r="AQ123" s="6" cm="1">
        <f t="array" ref="AQ123">IFERROR((SUMPRODUCT(($A$113:$A$136=AQ$111)*($F$110:$AI$110="")*$F$113:$AI$136)+IF(AQ$111="P6",SUMPRODUCT(($F$110:$AI$110="P6")*$F$113:$AI$136),0))/(SUMPRODUCT(($A$113:$A$136=AQ$111)*($F$110:$AI$110=""))+IF(AQ$111="P6",COUNTIF($F$110:$AI$110,"P6")*ROWS($A$113:$A$136),0)),"")</f>
        <v>1.1968000649350645</v>
      </c>
      <c r="AR123" s="6" cm="1">
        <f t="array" ref="AR123">IFERROR((SUMPRODUCT(($A$113:$A$136=AR$111)*($F$110:$AI$110="")*$F$113:$AI$136)+IF(AR$111="P6",SUMPRODUCT(($F$110:$AI$110="P6")*$F$113:$AI$136),0))/(SUMPRODUCT(($A$113:$A$136=AR$111)*($F$110:$AI$110=""))+IF(AR$111="P6",COUNTIF($F$110:$AI$110,"P6")*ROWS($A$113:$A$136),0)),"")</f>
        <v>1.091930869565217</v>
      </c>
    </row>
    <row r="124" spans="1:44" ht="14.25" customHeight="1" x14ac:dyDescent="0.35">
      <c r="A124" s="1" t="s">
        <v>16</v>
      </c>
      <c r="B124" s="1" t="s">
        <v>16</v>
      </c>
      <c r="C124" s="1" t="s">
        <v>13</v>
      </c>
      <c r="D124" s="1" t="s">
        <v>16</v>
      </c>
      <c r="E124" s="1" t="s">
        <v>30</v>
      </c>
      <c r="F124" s="1">
        <v>0.93630000000000002</v>
      </c>
      <c r="G124" s="1">
        <v>0.91571999999999998</v>
      </c>
      <c r="H124" s="1">
        <v>0.95513999999999999</v>
      </c>
      <c r="I124" s="1">
        <v>0.96367000000000003</v>
      </c>
      <c r="J124" s="1">
        <v>0.79522999999999999</v>
      </c>
      <c r="K124" s="1">
        <v>0.82250999999999996</v>
      </c>
      <c r="L124" s="1">
        <v>0.93332999999999999</v>
      </c>
      <c r="M124" s="1">
        <v>0.93630000000000002</v>
      </c>
      <c r="N124" s="1">
        <v>0.91571999999999998</v>
      </c>
      <c r="O124" s="1">
        <v>0.95513999999999999</v>
      </c>
      <c r="P124" s="1">
        <v>0.96367000000000003</v>
      </c>
      <c r="Q124" s="1">
        <v>0.79522999999999999</v>
      </c>
      <c r="R124" s="1">
        <v>0.82250999999999996</v>
      </c>
      <c r="S124" s="1">
        <v>0.93332999999999999</v>
      </c>
      <c r="T124" s="1">
        <v>0.93630000000000002</v>
      </c>
      <c r="U124" s="1">
        <v>0.91571999999999998</v>
      </c>
      <c r="V124" s="1">
        <v>0.95513999999999999</v>
      </c>
      <c r="W124" s="1">
        <v>0.96367000000000003</v>
      </c>
      <c r="X124" s="1">
        <v>0.79522999999999999</v>
      </c>
      <c r="Y124" s="1">
        <v>0.82250999999999996</v>
      </c>
      <c r="Z124" s="1">
        <v>0.93332999999999999</v>
      </c>
      <c r="AA124" s="1">
        <v>0.93630000000000002</v>
      </c>
      <c r="AB124" s="1">
        <v>0.91571999999999998</v>
      </c>
      <c r="AC124" s="1">
        <v>0.95513999999999999</v>
      </c>
      <c r="AD124" s="1">
        <v>0.96367000000000003</v>
      </c>
      <c r="AE124" s="1">
        <v>0.79522999999999999</v>
      </c>
      <c r="AF124" s="1">
        <v>0.82250999999999996</v>
      </c>
      <c r="AG124" s="1">
        <v>0.93332999999999999</v>
      </c>
      <c r="AH124" s="1">
        <v>0.93630000000000002</v>
      </c>
      <c r="AI124" s="1">
        <v>0.91571999999999998</v>
      </c>
      <c r="AL124" s="4" t="s">
        <v>23</v>
      </c>
      <c r="AM124" s="6" t="str" cm="1">
        <f t="array" ref="AM124">IFERROR((SUMPRODUCT(($A$113:$A$136=AM$111)*($F$110:$AI$110="")*$F$113:$AI$136)+IF(AM$111="P6",SUMPRODUCT(($F$110:$AI$110="P6")*$F$113:$AI$136),0))/(SUMPRODUCT(($A$113:$A$136=AM$111)*($F$110:$AI$110=""))+IF(AM$111="P6",COUNTIF($F$110:$AI$110,"P6")*ROWS($A$113:$A$136),0)),"")</f>
        <v/>
      </c>
      <c r="AN124" s="6" t="str" cm="1">
        <f t="array" ref="AN124">IFERROR((SUMPRODUCT(($A$113:$A$136=AN$111)*($F$110:$AI$110="")*$F$113:$AI$136)+IF(AN$111="P6",SUMPRODUCT(($F$110:$AI$110="P6")*$F$113:$AI$136),0))/(SUMPRODUCT(($A$113:$A$136=AN$111)*($F$110:$AI$110=""))+IF(AN$111="P6",COUNTIF($F$110:$AI$110,"P6")*ROWS($A$113:$A$136),0)),"")</f>
        <v/>
      </c>
      <c r="AO124" s="6" t="str" cm="1">
        <f t="array" ref="AO124">IFERROR((SUMPRODUCT(($A$113:$A$136=AO$111)*($F$110:$AI$110="")*$F$113:$AI$136)+IF(AO$111="P6",SUMPRODUCT(($F$110:$AI$110="P6")*$F$113:$AI$136),0))/(SUMPRODUCT(($A$113:$A$136=AO$111)*($F$110:$AI$110=""))+IF(AO$111="P6",COUNTIF($F$110:$AI$110,"P6")*ROWS($A$113:$A$136),0)),"")</f>
        <v/>
      </c>
      <c r="AP124" s="6" cm="1">
        <f t="array" ref="AP124">IFERROR((SUMPRODUCT(($A$113:$A$136=AP$111)*($F$110:$AI$110="")*$F$113:$AI$136)+IF(AP$111="P6",SUMPRODUCT(($F$110:$AI$110="P6")*$F$113:$AI$136),0))/(SUMPRODUCT(($A$113:$A$136=AP$111)*($F$110:$AI$110=""))+IF(AP$111="P6",COUNTIF($F$110:$AI$110,"P6")*ROWS($A$113:$A$136),0)),"")</f>
        <v>1.0117968686868679</v>
      </c>
      <c r="AQ124" s="6" cm="1">
        <f t="array" ref="AQ124">IFERROR((SUMPRODUCT(($A$113:$A$136=AQ$111)*($F$110:$AI$110="")*$F$113:$AI$136)+IF(AQ$111="P6",SUMPRODUCT(($F$110:$AI$110="P6")*$F$113:$AI$136),0))/(SUMPRODUCT(($A$113:$A$136=AQ$111)*($F$110:$AI$110=""))+IF(AQ$111="P6",COUNTIF($F$110:$AI$110,"P6")*ROWS($A$113:$A$136),0)),"")</f>
        <v>1.1968000649350645</v>
      </c>
      <c r="AR124" s="6" cm="1">
        <f t="array" ref="AR124">IFERROR((SUMPRODUCT(($A$113:$A$136=AR$111)*($F$110:$AI$110="")*$F$113:$AI$136)+IF(AR$111="P6",SUMPRODUCT(($F$110:$AI$110="P6")*$F$113:$AI$136),0))/(SUMPRODUCT(($A$113:$A$136=AR$111)*($F$110:$AI$110=""))+IF(AR$111="P6",COUNTIF($F$110:$AI$110,"P6")*ROWS($A$113:$A$136),0)),"")</f>
        <v>1.091930869565217</v>
      </c>
    </row>
    <row r="125" spans="1:44" ht="14.25" customHeight="1" x14ac:dyDescent="0.35">
      <c r="A125" s="1" t="s">
        <v>16</v>
      </c>
      <c r="B125" s="1" t="s">
        <v>16</v>
      </c>
      <c r="C125" s="1" t="s">
        <v>13</v>
      </c>
      <c r="D125" s="1" t="s">
        <v>16</v>
      </c>
      <c r="E125" s="1" t="s">
        <v>31</v>
      </c>
      <c r="F125" s="1">
        <v>0.90713999999999995</v>
      </c>
      <c r="G125" s="1">
        <v>0.88737999999999995</v>
      </c>
      <c r="H125" s="1">
        <v>0.93644000000000005</v>
      </c>
      <c r="I125" s="1">
        <v>0.93193000000000004</v>
      </c>
      <c r="J125" s="1">
        <v>0.77163999999999999</v>
      </c>
      <c r="K125" s="1">
        <v>0.77849999999999997</v>
      </c>
      <c r="L125" s="1">
        <v>0.91459999999999997</v>
      </c>
      <c r="M125" s="1">
        <v>0.90713999999999995</v>
      </c>
      <c r="N125" s="1">
        <v>0.88737999999999995</v>
      </c>
      <c r="O125" s="1">
        <v>0.93644000000000005</v>
      </c>
      <c r="P125" s="1">
        <v>0.93193000000000004</v>
      </c>
      <c r="Q125" s="1">
        <v>0.77163999999999999</v>
      </c>
      <c r="R125" s="1">
        <v>0.77849999999999997</v>
      </c>
      <c r="S125" s="1">
        <v>0.91459999999999997</v>
      </c>
      <c r="T125" s="1">
        <v>0.90713999999999995</v>
      </c>
      <c r="U125" s="1">
        <v>0.88737999999999995</v>
      </c>
      <c r="V125" s="1">
        <v>0.93644000000000005</v>
      </c>
      <c r="W125" s="1">
        <v>0.93193000000000004</v>
      </c>
      <c r="X125" s="1">
        <v>0.77163999999999999</v>
      </c>
      <c r="Y125" s="1">
        <v>0.77849999999999997</v>
      </c>
      <c r="Z125" s="1">
        <v>0.91459999999999997</v>
      </c>
      <c r="AA125" s="1">
        <v>0.90713999999999995</v>
      </c>
      <c r="AB125" s="1">
        <v>0.88737999999999995</v>
      </c>
      <c r="AC125" s="1">
        <v>0.93644000000000005</v>
      </c>
      <c r="AD125" s="1">
        <v>0.93193000000000004</v>
      </c>
      <c r="AE125" s="1">
        <v>0.77163999999999999</v>
      </c>
      <c r="AF125" s="1">
        <v>0.77849999999999997</v>
      </c>
      <c r="AG125" s="1">
        <v>0.91459999999999997</v>
      </c>
      <c r="AH125" s="1">
        <v>0.90713999999999995</v>
      </c>
      <c r="AI125" s="1">
        <v>0.88737999999999995</v>
      </c>
      <c r="AL125" s="4" t="s">
        <v>25</v>
      </c>
      <c r="AM125" s="6" t="str" cm="1">
        <f t="array" ref="AM125">IFERROR((SUMPRODUCT(($A$113:$A$136=AM$111)*($F$110:$AI$110="")*$F$113:$AI$136)+IF(AM$111="P6",SUMPRODUCT(($F$110:$AI$110="P6")*$F$113:$AI$136),0))/(SUMPRODUCT(($A$113:$A$136=AM$111)*($F$110:$AI$110=""))+IF(AM$111="P6",COUNTIF($F$110:$AI$110,"P6")*ROWS($A$113:$A$136),0)),"")</f>
        <v/>
      </c>
      <c r="AN125" s="6" t="str" cm="1">
        <f t="array" ref="AN125">IFERROR((SUMPRODUCT(($A$113:$A$136=AN$111)*($F$110:$AI$110="")*$F$113:$AI$136)+IF(AN$111="P6",SUMPRODUCT(($F$110:$AI$110="P6")*$F$113:$AI$136),0))/(SUMPRODUCT(($A$113:$A$136=AN$111)*($F$110:$AI$110=""))+IF(AN$111="P6",COUNTIF($F$110:$AI$110,"P6")*ROWS($A$113:$A$136),0)),"")</f>
        <v/>
      </c>
      <c r="AO125" s="6" t="str" cm="1">
        <f t="array" ref="AO125">IFERROR((SUMPRODUCT(($A$113:$A$136=AO$111)*($F$110:$AI$110="")*$F$113:$AI$136)+IF(AO$111="P6",SUMPRODUCT(($F$110:$AI$110="P6")*$F$113:$AI$136),0))/(SUMPRODUCT(($A$113:$A$136=AO$111)*($F$110:$AI$110=""))+IF(AO$111="P6",COUNTIF($F$110:$AI$110,"P6")*ROWS($A$113:$A$136),0)),"")</f>
        <v/>
      </c>
      <c r="AP125" s="6" cm="1">
        <f t="array" ref="AP125">IFERROR((SUMPRODUCT(($A$113:$A$136=AP$111)*($F$110:$AI$110="")*$F$113:$AI$136)+IF(AP$111="P6",SUMPRODUCT(($F$110:$AI$110="P6")*$F$113:$AI$136),0))/(SUMPRODUCT(($A$113:$A$136=AP$111)*($F$110:$AI$110=""))+IF(AP$111="P6",COUNTIF($F$110:$AI$110,"P6")*ROWS($A$113:$A$136),0)),"")</f>
        <v>1.0117968686868679</v>
      </c>
      <c r="AQ125" s="6" cm="1">
        <f t="array" ref="AQ125">IFERROR((SUMPRODUCT(($A$113:$A$136=AQ$111)*($F$110:$AI$110="")*$F$113:$AI$136)+IF(AQ$111="P6",SUMPRODUCT(($F$110:$AI$110="P6")*$F$113:$AI$136),0))/(SUMPRODUCT(($A$113:$A$136=AQ$111)*($F$110:$AI$110=""))+IF(AQ$111="P6",COUNTIF($F$110:$AI$110,"P6")*ROWS($A$113:$A$136),0)),"")</f>
        <v>1.1968000649350645</v>
      </c>
      <c r="AR125" s="6" cm="1">
        <f t="array" ref="AR125">IFERROR((SUMPRODUCT(($A$113:$A$136=AR$111)*($F$110:$AI$110="")*$F$113:$AI$136)+IF(AR$111="P6",SUMPRODUCT(($F$110:$AI$110="P6")*$F$113:$AI$136),0))/(SUMPRODUCT(($A$113:$A$136=AR$111)*($F$110:$AI$110=""))+IF(AR$111="P6",COUNTIF($F$110:$AI$110,"P6")*ROWS($A$113:$A$136),0)),"")</f>
        <v>1.091930869565217</v>
      </c>
    </row>
    <row r="126" spans="1:44" ht="14.25" customHeight="1" x14ac:dyDescent="0.35">
      <c r="A126" s="1" t="s">
        <v>16</v>
      </c>
      <c r="B126" s="1" t="s">
        <v>16</v>
      </c>
      <c r="C126" s="1" t="s">
        <v>13</v>
      </c>
      <c r="D126" s="1" t="s">
        <v>16</v>
      </c>
      <c r="E126" s="1" t="s">
        <v>32</v>
      </c>
      <c r="F126" s="1">
        <v>0.87129000000000001</v>
      </c>
      <c r="G126" s="1">
        <v>0.87451999999999996</v>
      </c>
      <c r="H126" s="1">
        <v>0.90085000000000004</v>
      </c>
      <c r="I126" s="1">
        <v>0.85385999999999995</v>
      </c>
      <c r="J126" s="1">
        <v>0.74917999999999996</v>
      </c>
      <c r="K126" s="1">
        <v>0.74495999999999996</v>
      </c>
      <c r="L126" s="1">
        <v>0.89461999999999997</v>
      </c>
      <c r="M126" s="1">
        <v>0.87129000000000001</v>
      </c>
      <c r="N126" s="1">
        <v>0.87451999999999996</v>
      </c>
      <c r="O126" s="1">
        <v>0.90085000000000004</v>
      </c>
      <c r="P126" s="1">
        <v>0.85385999999999995</v>
      </c>
      <c r="Q126" s="1">
        <v>0.74917999999999996</v>
      </c>
      <c r="R126" s="1">
        <v>0.74495999999999996</v>
      </c>
      <c r="S126" s="1">
        <v>0.89461999999999997</v>
      </c>
      <c r="T126" s="1">
        <v>0.87129000000000001</v>
      </c>
      <c r="U126" s="1">
        <v>0.87451999999999996</v>
      </c>
      <c r="V126" s="1">
        <v>0.90085000000000004</v>
      </c>
      <c r="W126" s="1">
        <v>0.85385999999999995</v>
      </c>
      <c r="X126" s="1">
        <v>0.74917999999999996</v>
      </c>
      <c r="Y126" s="1">
        <v>0.74495999999999996</v>
      </c>
      <c r="Z126" s="1">
        <v>0.89461999999999997</v>
      </c>
      <c r="AA126" s="1">
        <v>0.87129000000000001</v>
      </c>
      <c r="AB126" s="1">
        <v>0.87451999999999996</v>
      </c>
      <c r="AC126" s="1">
        <v>0.90085000000000004</v>
      </c>
      <c r="AD126" s="1">
        <v>0.85385999999999995</v>
      </c>
      <c r="AE126" s="1">
        <v>0.74917999999999996</v>
      </c>
      <c r="AF126" s="1">
        <v>0.74495999999999996</v>
      </c>
      <c r="AG126" s="1">
        <v>0.89461999999999997</v>
      </c>
      <c r="AH126" s="1">
        <v>0.87129000000000001</v>
      </c>
      <c r="AI126" s="1">
        <v>0.87451999999999996</v>
      </c>
      <c r="AL126" s="4" t="s">
        <v>27</v>
      </c>
      <c r="AM126" s="6" t="str" cm="1">
        <f t="array" ref="AM126">IFERROR((SUMPRODUCT(($A$113:$A$136=AM$111)*($F$110:$AI$110="")*$F$113:$AI$136)+IF(AM$111="P6",SUMPRODUCT(($F$110:$AI$110="P6")*$F$113:$AI$136),0))/(SUMPRODUCT(($A$113:$A$136=AM$111)*($F$110:$AI$110=""))+IF(AM$111="P6",COUNTIF($F$110:$AI$110,"P6")*ROWS($A$113:$A$136),0)),"")</f>
        <v/>
      </c>
      <c r="AN126" s="6" t="str" cm="1">
        <f t="array" ref="AN126">IFERROR((SUMPRODUCT(($A$113:$A$136=AN$111)*($F$110:$AI$110="")*$F$113:$AI$136)+IF(AN$111="P6",SUMPRODUCT(($F$110:$AI$110="P6")*$F$113:$AI$136),0))/(SUMPRODUCT(($A$113:$A$136=AN$111)*($F$110:$AI$110=""))+IF(AN$111="P6",COUNTIF($F$110:$AI$110,"P6")*ROWS($A$113:$A$136),0)),"")</f>
        <v/>
      </c>
      <c r="AO126" s="6" t="str" cm="1">
        <f t="array" ref="AO126">IFERROR((SUMPRODUCT(($A$113:$A$136=AO$111)*($F$110:$AI$110="")*$F$113:$AI$136)+IF(AO$111="P6",SUMPRODUCT(($F$110:$AI$110="P6")*$F$113:$AI$136),0))/(SUMPRODUCT(($A$113:$A$136=AO$111)*($F$110:$AI$110=""))+IF(AO$111="P6",COUNTIF($F$110:$AI$110,"P6")*ROWS($A$113:$A$136),0)),"")</f>
        <v/>
      </c>
      <c r="AP126" s="6" cm="1">
        <f t="array" ref="AP126">IFERROR((SUMPRODUCT(($A$113:$A$136=AP$111)*($F$110:$AI$110="")*$F$113:$AI$136)+IF(AP$111="P6",SUMPRODUCT(($F$110:$AI$110="P6")*$F$113:$AI$136),0))/(SUMPRODUCT(($A$113:$A$136=AP$111)*($F$110:$AI$110=""))+IF(AP$111="P6",COUNTIF($F$110:$AI$110,"P6")*ROWS($A$113:$A$136),0)),"")</f>
        <v>1.0117968686868679</v>
      </c>
      <c r="AQ126" s="6" cm="1">
        <f t="array" ref="AQ126">IFERROR((SUMPRODUCT(($A$113:$A$136=AQ$111)*($F$110:$AI$110="")*$F$113:$AI$136)+IF(AQ$111="P6",SUMPRODUCT(($F$110:$AI$110="P6")*$F$113:$AI$136),0))/(SUMPRODUCT(($A$113:$A$136=AQ$111)*($F$110:$AI$110=""))+IF(AQ$111="P6",COUNTIF($F$110:$AI$110,"P6")*ROWS($A$113:$A$136),0)),"")</f>
        <v>1.1968000649350645</v>
      </c>
      <c r="AR126" s="6" cm="1">
        <f t="array" ref="AR126">IFERROR((SUMPRODUCT(($A$113:$A$136=AR$111)*($F$110:$AI$110="")*$F$113:$AI$136)+IF(AR$111="P6",SUMPRODUCT(($F$110:$AI$110="P6")*$F$113:$AI$136),0))/(SUMPRODUCT(($A$113:$A$136=AR$111)*($F$110:$AI$110=""))+IF(AR$111="P6",COUNTIF($F$110:$AI$110,"P6")*ROWS($A$113:$A$136),0)),"")</f>
        <v>1.091930869565217</v>
      </c>
    </row>
    <row r="127" spans="1:44" ht="14.25" customHeight="1" x14ac:dyDescent="0.35">
      <c r="A127" s="1" t="s">
        <v>16</v>
      </c>
      <c r="B127" s="1" t="s">
        <v>16</v>
      </c>
      <c r="C127" s="1" t="s">
        <v>14</v>
      </c>
      <c r="D127" s="1" t="s">
        <v>17</v>
      </c>
      <c r="E127" s="1" t="s">
        <v>33</v>
      </c>
      <c r="F127" s="1">
        <v>1.0260199999999999</v>
      </c>
      <c r="G127" s="1">
        <v>1.00081</v>
      </c>
      <c r="H127" s="1">
        <v>1.03556</v>
      </c>
      <c r="I127" s="1">
        <v>0.97124999999999995</v>
      </c>
      <c r="J127" s="1">
        <v>0.74582000000000004</v>
      </c>
      <c r="K127" s="1">
        <v>0.74292999999999998</v>
      </c>
      <c r="L127" s="1">
        <v>1.00986</v>
      </c>
      <c r="M127" s="1">
        <v>1.0260199999999999</v>
      </c>
      <c r="N127" s="1">
        <v>1.00081</v>
      </c>
      <c r="O127" s="1">
        <v>1.03556</v>
      </c>
      <c r="P127" s="1">
        <v>0.97124999999999995</v>
      </c>
      <c r="Q127" s="1">
        <v>0.74582000000000004</v>
      </c>
      <c r="R127" s="1">
        <v>0.74292999999999998</v>
      </c>
      <c r="S127" s="1">
        <v>1.00986</v>
      </c>
      <c r="T127" s="1">
        <v>1.0260199999999999</v>
      </c>
      <c r="U127" s="1">
        <v>1.00081</v>
      </c>
      <c r="V127" s="1">
        <v>1.03556</v>
      </c>
      <c r="W127" s="1">
        <v>0.97124999999999995</v>
      </c>
      <c r="X127" s="1">
        <v>0.74582000000000004</v>
      </c>
      <c r="Y127" s="1">
        <v>0.74292999999999998</v>
      </c>
      <c r="Z127" s="1">
        <v>1.00986</v>
      </c>
      <c r="AA127" s="1">
        <v>1.0260199999999999</v>
      </c>
      <c r="AB127" s="1">
        <v>1.00081</v>
      </c>
      <c r="AC127" s="1">
        <v>1.03556</v>
      </c>
      <c r="AD127" s="1">
        <v>0.97124999999999995</v>
      </c>
      <c r="AE127" s="1">
        <v>0.74582000000000004</v>
      </c>
      <c r="AF127" s="1">
        <v>0.74292999999999998</v>
      </c>
      <c r="AG127" s="1">
        <v>1.00986</v>
      </c>
      <c r="AH127" s="1">
        <v>1.0260199999999999</v>
      </c>
      <c r="AI127" s="1">
        <v>1.00081</v>
      </c>
      <c r="AL127" s="4" t="s">
        <v>29</v>
      </c>
      <c r="AM127" s="6" t="str" cm="1">
        <f t="array" ref="AM127">IFERROR((SUMPRODUCT(($A$113:$A$136=AM$111)*($F$110:$AI$110="")*$F$113:$AI$136)+IF(AM$111="P6",SUMPRODUCT(($F$110:$AI$110="P6")*$F$113:$AI$136),0))/(SUMPRODUCT(($A$113:$A$136=AM$111)*($F$110:$AI$110=""))+IF(AM$111="P6",COUNTIF($F$110:$AI$110,"P6")*ROWS($A$113:$A$136),0)),"")</f>
        <v/>
      </c>
      <c r="AN127" s="6" t="str" cm="1">
        <f t="array" ref="AN127">IFERROR((SUMPRODUCT(($A$113:$A$136=AN$111)*($F$110:$AI$110="")*$F$113:$AI$136)+IF(AN$111="P6",SUMPRODUCT(($F$110:$AI$110="P6")*$F$113:$AI$136),0))/(SUMPRODUCT(($A$113:$A$136=AN$111)*($F$110:$AI$110=""))+IF(AN$111="P6",COUNTIF($F$110:$AI$110,"P6")*ROWS($A$113:$A$136),0)),"")</f>
        <v/>
      </c>
      <c r="AO127" s="6" t="str" cm="1">
        <f t="array" ref="AO127">IFERROR((SUMPRODUCT(($A$113:$A$136=AO$111)*($F$110:$AI$110="")*$F$113:$AI$136)+IF(AO$111="P6",SUMPRODUCT(($F$110:$AI$110="P6")*$F$113:$AI$136),0))/(SUMPRODUCT(($A$113:$A$136=AO$111)*($F$110:$AI$110=""))+IF(AO$111="P6",COUNTIF($F$110:$AI$110,"P6")*ROWS($A$113:$A$136),0)),"")</f>
        <v/>
      </c>
      <c r="AP127" s="6" cm="1">
        <f t="array" ref="AP127">IFERROR((SUMPRODUCT(($A$113:$A$136=AP$111)*($F$110:$AI$110="")*$F$113:$AI$136)+IF(AP$111="P6",SUMPRODUCT(($F$110:$AI$110="P6")*$F$113:$AI$136),0))/(SUMPRODUCT(($A$113:$A$136=AP$111)*($F$110:$AI$110=""))+IF(AP$111="P6",COUNTIF($F$110:$AI$110,"P6")*ROWS($A$113:$A$136),0)),"")</f>
        <v>1.0117968686868679</v>
      </c>
      <c r="AQ127" s="6" cm="1">
        <f t="array" ref="AQ127">IFERROR((SUMPRODUCT(($A$113:$A$136=AQ$111)*($F$110:$AI$110="")*$F$113:$AI$136)+IF(AQ$111="P6",SUMPRODUCT(($F$110:$AI$110="P6")*$F$113:$AI$136),0))/(SUMPRODUCT(($A$113:$A$136=AQ$111)*($F$110:$AI$110=""))+IF(AQ$111="P6",COUNTIF($F$110:$AI$110,"P6")*ROWS($A$113:$A$136),0)),"")</f>
        <v>1.1968000649350645</v>
      </c>
      <c r="AR127" s="6" cm="1">
        <f t="array" ref="AR127">IFERROR((SUMPRODUCT(($A$113:$A$136=AR$111)*($F$110:$AI$110="")*$F$113:$AI$136)+IF(AR$111="P6",SUMPRODUCT(($F$110:$AI$110="P6")*$F$113:$AI$136),0))/(SUMPRODUCT(($A$113:$A$136=AR$111)*($F$110:$AI$110=""))+IF(AR$111="P6",COUNTIF($F$110:$AI$110,"P6")*ROWS($A$113:$A$136),0)),"")</f>
        <v>1.091930869565217</v>
      </c>
    </row>
    <row r="128" spans="1:44" ht="14.25" customHeight="1" x14ac:dyDescent="0.35">
      <c r="A128" s="1" t="s">
        <v>17</v>
      </c>
      <c r="B128" s="1" t="s">
        <v>17</v>
      </c>
      <c r="C128" s="1" t="s">
        <v>14</v>
      </c>
      <c r="D128" s="1" t="s">
        <v>17</v>
      </c>
      <c r="E128" s="1" t="s">
        <v>34</v>
      </c>
      <c r="F128" s="1">
        <v>1.0719700000000001</v>
      </c>
      <c r="G128" s="1">
        <v>1.04036</v>
      </c>
      <c r="H128" s="1">
        <v>1.0974999999999999</v>
      </c>
      <c r="I128" s="1">
        <v>0.98977000000000004</v>
      </c>
      <c r="J128" s="1">
        <v>0.79817000000000005</v>
      </c>
      <c r="K128" s="1">
        <v>0.77775000000000005</v>
      </c>
      <c r="L128" s="1">
        <v>1.06087</v>
      </c>
      <c r="M128" s="1">
        <v>1.0719700000000001</v>
      </c>
      <c r="N128" s="1">
        <v>1.04036</v>
      </c>
      <c r="O128" s="1">
        <v>1.0974999999999999</v>
      </c>
      <c r="P128" s="1">
        <v>0.98977000000000004</v>
      </c>
      <c r="Q128" s="1">
        <v>0.79817000000000005</v>
      </c>
      <c r="R128" s="1">
        <v>0.77775000000000005</v>
      </c>
      <c r="S128" s="1">
        <v>1.06087</v>
      </c>
      <c r="T128" s="1">
        <v>1.0719700000000001</v>
      </c>
      <c r="U128" s="1">
        <v>1.04036</v>
      </c>
      <c r="V128" s="1">
        <v>1.0974999999999999</v>
      </c>
      <c r="W128" s="1">
        <v>0.98977000000000004</v>
      </c>
      <c r="X128" s="1">
        <v>0.79817000000000005</v>
      </c>
      <c r="Y128" s="1">
        <v>0.77775000000000005</v>
      </c>
      <c r="Z128" s="1">
        <v>1.06087</v>
      </c>
      <c r="AA128" s="1">
        <v>1.0719700000000001</v>
      </c>
      <c r="AB128" s="1">
        <v>1.04036</v>
      </c>
      <c r="AC128" s="1">
        <v>1.0974999999999999</v>
      </c>
      <c r="AD128" s="1">
        <v>0.98977000000000004</v>
      </c>
      <c r="AE128" s="1">
        <v>0.79817000000000005</v>
      </c>
      <c r="AF128" s="1">
        <v>0.77775000000000005</v>
      </c>
      <c r="AG128" s="1">
        <v>1.06087</v>
      </c>
      <c r="AH128" s="1">
        <v>1.0719700000000001</v>
      </c>
      <c r="AI128" s="1">
        <v>1.04036</v>
      </c>
      <c r="AL128" s="10"/>
      <c r="AM128" s="10"/>
      <c r="AN128" s="10"/>
      <c r="AO128" s="10"/>
      <c r="AP128" s="10"/>
      <c r="AQ128" s="10"/>
      <c r="AR128" s="10"/>
    </row>
    <row r="129" spans="1:44" ht="14.25" customHeight="1" x14ac:dyDescent="0.35">
      <c r="A129" s="1" t="s">
        <v>17</v>
      </c>
      <c r="B129" s="1" t="s">
        <v>17</v>
      </c>
      <c r="C129" s="1" t="s">
        <v>14</v>
      </c>
      <c r="D129" s="1" t="s">
        <v>17</v>
      </c>
      <c r="E129" s="1" t="s">
        <v>35</v>
      </c>
      <c r="F129" s="1">
        <v>1.1426700000000001</v>
      </c>
      <c r="G129" s="1">
        <v>1.08352</v>
      </c>
      <c r="H129" s="1">
        <v>1.15926</v>
      </c>
      <c r="I129" s="1">
        <v>1.0789899999999999</v>
      </c>
      <c r="J129" s="1">
        <v>0.83945999999999998</v>
      </c>
      <c r="K129" s="1">
        <v>0.83855000000000002</v>
      </c>
      <c r="L129" s="1">
        <v>1.12401</v>
      </c>
      <c r="M129" s="1">
        <v>1.1426700000000001</v>
      </c>
      <c r="N129" s="1">
        <v>1.08352</v>
      </c>
      <c r="O129" s="1">
        <v>1.15926</v>
      </c>
      <c r="P129" s="1">
        <v>1.0789899999999999</v>
      </c>
      <c r="Q129" s="1">
        <v>0.83945999999999998</v>
      </c>
      <c r="R129" s="1">
        <v>0.83855000000000002</v>
      </c>
      <c r="S129" s="1">
        <v>1.12401</v>
      </c>
      <c r="T129" s="1">
        <v>1.1426700000000001</v>
      </c>
      <c r="U129" s="1">
        <v>1.08352</v>
      </c>
      <c r="V129" s="1">
        <v>1.15926</v>
      </c>
      <c r="W129" s="1">
        <v>1.0789899999999999</v>
      </c>
      <c r="X129" s="1">
        <v>0.83945999999999998</v>
      </c>
      <c r="Y129" s="1">
        <v>0.83855000000000002</v>
      </c>
      <c r="Z129" s="1">
        <v>1.12401</v>
      </c>
      <c r="AA129" s="1">
        <v>1.1426700000000001</v>
      </c>
      <c r="AB129" s="1">
        <v>1.08352</v>
      </c>
      <c r="AC129" s="1">
        <v>1.15926</v>
      </c>
      <c r="AD129" s="1">
        <v>1.0789899999999999</v>
      </c>
      <c r="AE129" s="1">
        <v>0.83945999999999998</v>
      </c>
      <c r="AF129" s="1">
        <v>0.83855000000000002</v>
      </c>
      <c r="AG129" s="1">
        <v>1.12401</v>
      </c>
      <c r="AH129" s="1">
        <v>1.1426700000000001</v>
      </c>
      <c r="AI129" s="1">
        <v>1.08352</v>
      </c>
      <c r="AL129" s="10"/>
      <c r="AM129" s="10"/>
      <c r="AN129" s="10"/>
      <c r="AO129" s="10"/>
      <c r="AP129" s="10"/>
      <c r="AQ129" s="10"/>
      <c r="AR129" s="10"/>
    </row>
    <row r="130" spans="1:44" ht="14.25" customHeight="1" x14ac:dyDescent="0.35">
      <c r="A130" s="1" t="s">
        <v>17</v>
      </c>
      <c r="B130" s="1" t="s">
        <v>17</v>
      </c>
      <c r="C130" s="1" t="s">
        <v>14</v>
      </c>
      <c r="D130" s="1" t="s">
        <v>17</v>
      </c>
      <c r="E130" s="1" t="s">
        <v>36</v>
      </c>
      <c r="F130" s="1">
        <v>1.20685</v>
      </c>
      <c r="G130" s="1">
        <v>1.1378999999999999</v>
      </c>
      <c r="H130" s="1">
        <v>1.23706</v>
      </c>
      <c r="I130" s="1">
        <v>1.1492500000000001</v>
      </c>
      <c r="J130" s="1">
        <v>0.92873000000000006</v>
      </c>
      <c r="K130" s="1">
        <v>0.97841</v>
      </c>
      <c r="L130" s="1">
        <v>1.20513</v>
      </c>
      <c r="M130" s="1">
        <v>1.20685</v>
      </c>
      <c r="N130" s="1">
        <v>1.1378999999999999</v>
      </c>
      <c r="O130" s="1">
        <v>1.23706</v>
      </c>
      <c r="P130" s="1">
        <v>1.1492500000000001</v>
      </c>
      <c r="Q130" s="1">
        <v>0.92873000000000006</v>
      </c>
      <c r="R130" s="1">
        <v>0.97841</v>
      </c>
      <c r="S130" s="1">
        <v>1.20513</v>
      </c>
      <c r="T130" s="1">
        <v>1.20685</v>
      </c>
      <c r="U130" s="1">
        <v>1.1378999999999999</v>
      </c>
      <c r="V130" s="1">
        <v>1.23706</v>
      </c>
      <c r="W130" s="1">
        <v>1.1492500000000001</v>
      </c>
      <c r="X130" s="1">
        <v>0.92873000000000006</v>
      </c>
      <c r="Y130" s="1">
        <v>0.97841</v>
      </c>
      <c r="Z130" s="1">
        <v>1.20513</v>
      </c>
      <c r="AA130" s="1">
        <v>1.20685</v>
      </c>
      <c r="AB130" s="1">
        <v>1.1378999999999999</v>
      </c>
      <c r="AC130" s="1">
        <v>1.23706</v>
      </c>
      <c r="AD130" s="1">
        <v>1.1492500000000001</v>
      </c>
      <c r="AE130" s="1">
        <v>0.92873000000000006</v>
      </c>
      <c r="AF130" s="1">
        <v>0.97841</v>
      </c>
      <c r="AG130" s="1">
        <v>1.20513</v>
      </c>
      <c r="AH130" s="1">
        <v>1.20685</v>
      </c>
      <c r="AI130" s="1">
        <v>1.1378999999999999</v>
      </c>
      <c r="AL130" s="14" t="s">
        <v>89</v>
      </c>
      <c r="AM130" s="14"/>
      <c r="AN130" s="14"/>
      <c r="AO130" s="14"/>
      <c r="AP130" s="14"/>
      <c r="AQ130" s="14"/>
      <c r="AR130" s="14"/>
    </row>
    <row r="131" spans="1:44" ht="14.25" customHeight="1" x14ac:dyDescent="0.35">
      <c r="A131" s="1" t="s">
        <v>16</v>
      </c>
      <c r="B131" s="1" t="s">
        <v>16</v>
      </c>
      <c r="C131" s="1" t="s">
        <v>13</v>
      </c>
      <c r="D131" s="1" t="s">
        <v>16</v>
      </c>
      <c r="E131" s="1" t="s">
        <v>37</v>
      </c>
      <c r="F131" s="1">
        <v>1.07073</v>
      </c>
      <c r="G131" s="1">
        <v>1.03295</v>
      </c>
      <c r="H131" s="1">
        <v>1.06786</v>
      </c>
      <c r="I131" s="1">
        <v>1.0528200000000001</v>
      </c>
      <c r="J131" s="1">
        <v>1.00847</v>
      </c>
      <c r="K131" s="1">
        <v>1.0454600000000001</v>
      </c>
      <c r="L131" s="1">
        <v>1.0693600000000001</v>
      </c>
      <c r="M131" s="1">
        <v>1.07073</v>
      </c>
      <c r="N131" s="1">
        <v>1.03295</v>
      </c>
      <c r="O131" s="1">
        <v>1.06786</v>
      </c>
      <c r="P131" s="1">
        <v>1.0528200000000001</v>
      </c>
      <c r="Q131" s="1">
        <v>1.00847</v>
      </c>
      <c r="R131" s="1">
        <v>1.0454600000000001</v>
      </c>
      <c r="S131" s="1">
        <v>1.0693600000000001</v>
      </c>
      <c r="T131" s="1">
        <v>1.07073</v>
      </c>
      <c r="U131" s="1">
        <v>1.03295</v>
      </c>
      <c r="V131" s="1">
        <v>1.06786</v>
      </c>
      <c r="W131" s="1">
        <v>1.0528200000000001</v>
      </c>
      <c r="X131" s="1">
        <v>1.00847</v>
      </c>
      <c r="Y131" s="1">
        <v>1.0454600000000001</v>
      </c>
      <c r="Z131" s="1">
        <v>1.0693600000000001</v>
      </c>
      <c r="AA131" s="1">
        <v>1.07073</v>
      </c>
      <c r="AB131" s="1">
        <v>1.03295</v>
      </c>
      <c r="AC131" s="1">
        <v>1.06786</v>
      </c>
      <c r="AD131" s="1">
        <v>1.0528200000000001</v>
      </c>
      <c r="AE131" s="1">
        <v>1.00847</v>
      </c>
      <c r="AF131" s="1">
        <v>1.0454600000000001</v>
      </c>
      <c r="AG131" s="1">
        <v>1.0693600000000001</v>
      </c>
      <c r="AH131" s="1">
        <v>1.07073</v>
      </c>
      <c r="AI131" s="1">
        <v>1.03295</v>
      </c>
      <c r="AL131" s="4"/>
      <c r="AM131" s="4" t="s">
        <v>13</v>
      </c>
      <c r="AN131" s="4" t="s">
        <v>14</v>
      </c>
      <c r="AO131" s="4" t="s">
        <v>15</v>
      </c>
      <c r="AP131" s="4" t="s">
        <v>16</v>
      </c>
      <c r="AQ131" s="4" t="s">
        <v>17</v>
      </c>
      <c r="AR131" s="4" t="s">
        <v>7</v>
      </c>
    </row>
    <row r="132" spans="1:44" ht="14.25" customHeight="1" x14ac:dyDescent="0.35">
      <c r="A132" s="1" t="s">
        <v>16</v>
      </c>
      <c r="B132" s="1" t="s">
        <v>16</v>
      </c>
      <c r="C132" s="1" t="s">
        <v>13</v>
      </c>
      <c r="D132" s="1" t="s">
        <v>16</v>
      </c>
      <c r="E132" s="1" t="s">
        <v>38</v>
      </c>
      <c r="F132" s="1">
        <v>1.0883499999999999</v>
      </c>
      <c r="G132" s="1">
        <v>1.06569</v>
      </c>
      <c r="H132" s="1">
        <v>1.11368</v>
      </c>
      <c r="I132" s="1">
        <v>1.08745</v>
      </c>
      <c r="J132" s="1">
        <v>1.0620700000000001</v>
      </c>
      <c r="K132" s="1">
        <v>1.0792600000000001</v>
      </c>
      <c r="L132" s="1">
        <v>1.11432</v>
      </c>
      <c r="M132" s="1">
        <v>1.0883499999999999</v>
      </c>
      <c r="N132" s="1">
        <v>1.06569</v>
      </c>
      <c r="O132" s="1">
        <v>1.11368</v>
      </c>
      <c r="P132" s="1">
        <v>1.08745</v>
      </c>
      <c r="Q132" s="1">
        <v>1.0620700000000001</v>
      </c>
      <c r="R132" s="1">
        <v>1.0792600000000001</v>
      </c>
      <c r="S132" s="1">
        <v>1.11432</v>
      </c>
      <c r="T132" s="1">
        <v>1.0883499999999999</v>
      </c>
      <c r="U132" s="1">
        <v>1.06569</v>
      </c>
      <c r="V132" s="1">
        <v>1.11368</v>
      </c>
      <c r="W132" s="1">
        <v>1.08745</v>
      </c>
      <c r="X132" s="1">
        <v>1.0620700000000001</v>
      </c>
      <c r="Y132" s="1">
        <v>1.0792600000000001</v>
      </c>
      <c r="Z132" s="1">
        <v>1.11432</v>
      </c>
      <c r="AA132" s="1">
        <v>1.0883499999999999</v>
      </c>
      <c r="AB132" s="1">
        <v>1.06569</v>
      </c>
      <c r="AC132" s="1">
        <v>1.11368</v>
      </c>
      <c r="AD132" s="1">
        <v>1.08745</v>
      </c>
      <c r="AE132" s="1">
        <v>1.0620700000000001</v>
      </c>
      <c r="AF132" s="1">
        <v>1.0792600000000001</v>
      </c>
      <c r="AG132" s="1">
        <v>1.11432</v>
      </c>
      <c r="AH132" s="1">
        <v>1.0883499999999999</v>
      </c>
      <c r="AI132" s="1">
        <v>1.06569</v>
      </c>
      <c r="AL132" s="4" t="s">
        <v>19</v>
      </c>
      <c r="AM132" s="6" cm="1">
        <f t="array" ref="AM132">IFERROR((SUMPRODUCT(($C$113:$C$136=AM$111)*($F$109:$AI$109="")*$F$113:$AI$136)+IF(AM$111="P3",SUMPRODUCT(($F$109:$AI$109="P3")*$F$113:$AI$136),0))/(SUMPRODUCT(($C$113:$C$136=AM$111)*($F$109:$AI$109=""))+IF(AM$111="P3",COUNTIF($F$109:$AI$109,"P3")*ROWS($C$113:$C$136),0)),"")</f>
        <v>1.0121303977272733</v>
      </c>
      <c r="AN132" s="6" cm="1">
        <f t="array" ref="AN132">IFERROR((SUMPRODUCT(($C$113:$C$136=AN$111)*($F$109:$AI$109="")*$F$113:$AI$136)+IF(AN$111="P3",SUMPRODUCT(($F$109:$AI$109="P3")*$F$113:$AI$136),0))/(SUMPRODUCT(($C$113:$C$136=AN$111)*($F$109:$AI$109=""))+IF(AN$111="P3",COUNTIF($F$109:$AI$109,"P3")*ROWS($C$113:$C$136),0)),"")</f>
        <v>1.1733411363636364</v>
      </c>
      <c r="AO132" s="6" cm="1">
        <f t="array" ref="AO132">IFERROR((SUMPRODUCT(($C$113:$C$136=AO$111)*($F$109:$AI$109="")*$F$113:$AI$136)+IF(AO$111="P3",SUMPRODUCT(($F$109:$AI$109="P3")*$F$113:$AI$136),0))/(SUMPRODUCT(($C$113:$C$136=AO$111)*($F$109:$AI$109=""))+IF(AO$111="P3",COUNTIF($F$109:$AI$109,"P3")*ROWS($C$113:$C$136),0)),"")</f>
        <v>1.091930869565217</v>
      </c>
      <c r="AP132" s="6" t="str" cm="1">
        <f t="array" ref="AP132">IFERROR((SUMPRODUCT(($C$113:$C$136=AP$111)*($F$109:$AI$109="")*$F$113:$AI$136)+IF(AP$111="P3",SUMPRODUCT(($F$109:$AI$109="P3")*$F$113:$AI$136),0))/(SUMPRODUCT(($C$113:$C$136=AP$111)*($F$109:$AI$109=""))+IF(AP$111="P3",COUNTIF($F$109:$AI$109,"P3")*ROWS($C$113:$C$136),0)),"")</f>
        <v/>
      </c>
      <c r="AQ132" s="6" t="str" cm="1">
        <f t="array" ref="AQ132">IFERROR((SUMPRODUCT(($C$113:$C$136=AQ$111)*($F$109:$AI$109="")*$F$113:$AI$136)+IF(AQ$111="P3",SUMPRODUCT(($F$109:$AI$109="P3")*$F$113:$AI$136),0))/(SUMPRODUCT(($C$113:$C$136=AQ$111)*($F$109:$AI$109=""))+IF(AQ$111="P3",COUNTIF($F$109:$AI$109,"P3")*ROWS($C$113:$C$136),0)),"")</f>
        <v/>
      </c>
      <c r="AR132" s="6" t="str" cm="1">
        <f t="array" ref="AR132">IFERROR((SUMPRODUCT(($C$113:$C$136=AR$111)*($F$109:$AI$109="")*$F$113:$AI$136)+IF(AR$111="P3",SUMPRODUCT(($F$109:$AI$109="P3")*$F$113:$AI$136),0))/(SUMPRODUCT(($C$113:$C$136=AR$111)*($F$109:$AI$109=""))+IF(AR$111="P3",COUNTIF($F$109:$AI$109,"P3")*ROWS($C$113:$C$136),0)),"")</f>
        <v/>
      </c>
    </row>
    <row r="133" spans="1:44" ht="14.25" customHeight="1" x14ac:dyDescent="0.35">
      <c r="A133" s="1" t="s">
        <v>16</v>
      </c>
      <c r="B133" s="1" t="s">
        <v>16</v>
      </c>
      <c r="C133" s="1" t="s">
        <v>13</v>
      </c>
      <c r="D133" s="1" t="s">
        <v>16</v>
      </c>
      <c r="E133" s="1" t="s">
        <v>39</v>
      </c>
      <c r="F133" s="1">
        <v>1.1340399999999999</v>
      </c>
      <c r="G133" s="1">
        <v>1.1105799999999999</v>
      </c>
      <c r="H133" s="1">
        <v>1.13222</v>
      </c>
      <c r="I133" s="1">
        <v>1.09345</v>
      </c>
      <c r="J133" s="1">
        <v>1.06901</v>
      </c>
      <c r="K133" s="1">
        <v>1.05871</v>
      </c>
      <c r="L133" s="1">
        <v>1.1438999999999999</v>
      </c>
      <c r="M133" s="1">
        <v>1.1340399999999999</v>
      </c>
      <c r="N133" s="1">
        <v>1.1105799999999999</v>
      </c>
      <c r="O133" s="1">
        <v>1.13222</v>
      </c>
      <c r="P133" s="1">
        <v>1.09345</v>
      </c>
      <c r="Q133" s="1">
        <v>1.06901</v>
      </c>
      <c r="R133" s="1">
        <v>1.05871</v>
      </c>
      <c r="S133" s="1">
        <v>1.1438999999999999</v>
      </c>
      <c r="T133" s="1">
        <v>1.1340399999999999</v>
      </c>
      <c r="U133" s="1">
        <v>1.1105799999999999</v>
      </c>
      <c r="V133" s="1">
        <v>1.13222</v>
      </c>
      <c r="W133" s="1">
        <v>1.09345</v>
      </c>
      <c r="X133" s="1">
        <v>1.06901</v>
      </c>
      <c r="Y133" s="1">
        <v>1.05871</v>
      </c>
      <c r="Z133" s="1">
        <v>1.1438999999999999</v>
      </c>
      <c r="AA133" s="1">
        <v>1.1340399999999999</v>
      </c>
      <c r="AB133" s="1">
        <v>1.1105799999999999</v>
      </c>
      <c r="AC133" s="1">
        <v>1.13222</v>
      </c>
      <c r="AD133" s="1">
        <v>1.09345</v>
      </c>
      <c r="AE133" s="1">
        <v>1.06901</v>
      </c>
      <c r="AF133" s="1">
        <v>1.05871</v>
      </c>
      <c r="AG133" s="1">
        <v>1.1438999999999999</v>
      </c>
      <c r="AH133" s="1">
        <v>1.1340399999999999</v>
      </c>
      <c r="AI133" s="1">
        <v>1.1105799999999999</v>
      </c>
      <c r="AL133" s="4" t="s">
        <v>21</v>
      </c>
      <c r="AM133" s="6" t="str" cm="1">
        <f t="array" ref="AM133">IFERROR((SUMPRODUCT(($B$113:$B$136=AM$111)*($F$110:$AI$110="")*$F$113:$AI$136)+IF(AM$111="P6",SUMPRODUCT(($F$110:$AI$110="P6")*$F$113:$AI$136),0))/(SUMPRODUCT(($B$113:$B$136=AM$111)*($F$110:$AI$110=""))+IF(AM$111="P6",COUNTIF($F$110:$AI$110,"P6")*ROWS($B$113:$B$136),0)),"")</f>
        <v/>
      </c>
      <c r="AN133" s="6" t="str" cm="1">
        <f t="array" ref="AN133">IFERROR((SUMPRODUCT(($B$113:$B$136=AN$111)*($F$110:$AI$110="")*$F$113:$AI$136)+IF(AN$111="P6",SUMPRODUCT(($F$110:$AI$110="P6")*$F$113:$AI$136),0))/(SUMPRODUCT(($B$113:$B$136=AN$111)*($F$110:$AI$110=""))+IF(AN$111="P6",COUNTIF($F$110:$AI$110,"P6")*ROWS($B$113:$B$136),0)),"")</f>
        <v/>
      </c>
      <c r="AO133" s="6" t="str" cm="1">
        <f t="array" ref="AO133">IFERROR((SUMPRODUCT(($B$113:$B$136=AO$111)*($F$110:$AI$110="")*$F$113:$AI$136)+IF(AO$111="P6",SUMPRODUCT(($F$110:$AI$110="P6")*$F$113:$AI$136),0))/(SUMPRODUCT(($B$113:$B$136=AO$111)*($F$110:$AI$110=""))+IF(AO$111="P6",COUNTIF($F$110:$AI$110,"P6")*ROWS($B$113:$B$136),0)),"")</f>
        <v/>
      </c>
      <c r="AP133" s="6" cm="1">
        <f t="array" ref="AP133">IFERROR((SUMPRODUCT(($B$113:$B$136=AP$111)*($F$110:$AI$110="")*$F$113:$AI$136)+IF(AP$111="P6",SUMPRODUCT(($F$110:$AI$110="P6")*$F$113:$AI$136),0))/(SUMPRODUCT(($B$113:$B$136=AP$111)*($F$110:$AI$110=""))+IF(AP$111="P6",COUNTIF($F$110:$AI$110,"P6")*ROWS($B$113:$B$136),0)),"")</f>
        <v>1.0117968686868679</v>
      </c>
      <c r="AQ133" s="6" cm="1">
        <f t="array" ref="AQ133">IFERROR((SUMPRODUCT(($B$113:$B$136=AQ$111)*($F$110:$AI$110="")*$F$113:$AI$136)+IF(AQ$111="P6",SUMPRODUCT(($F$110:$AI$110="P6")*$F$113:$AI$136),0))/(SUMPRODUCT(($B$113:$B$136=AQ$111)*($F$110:$AI$110=""))+IF(AQ$111="P6",COUNTIF($F$110:$AI$110,"P6")*ROWS($B$113:$B$136),0)),"")</f>
        <v>1.1968000649350645</v>
      </c>
      <c r="AR133" s="6" cm="1">
        <f t="array" ref="AR133">IFERROR((SUMPRODUCT(($B$113:$B$136=AR$111)*($F$110:$AI$110="")*$F$113:$AI$136)+IF(AR$111="P6",SUMPRODUCT(($F$110:$AI$110="P6")*$F$113:$AI$136),0))/(SUMPRODUCT(($B$113:$B$136=AR$111)*($F$110:$AI$110=""))+IF(AR$111="P6",COUNTIF($F$110:$AI$110,"P6")*ROWS($B$113:$B$136),0)),"")</f>
        <v>1.091930869565217</v>
      </c>
    </row>
    <row r="134" spans="1:44" ht="14.25" customHeight="1" x14ac:dyDescent="0.35">
      <c r="A134" s="1" t="s">
        <v>16</v>
      </c>
      <c r="B134" s="1" t="s">
        <v>16</v>
      </c>
      <c r="C134" s="1" t="s">
        <v>13</v>
      </c>
      <c r="D134" s="1" t="s">
        <v>16</v>
      </c>
      <c r="E134" s="1" t="s">
        <v>40</v>
      </c>
      <c r="F134" s="1">
        <v>1.1443300000000001</v>
      </c>
      <c r="G134" s="1">
        <v>1.1331500000000001</v>
      </c>
      <c r="H134" s="1">
        <v>1.1275500000000001</v>
      </c>
      <c r="I134" s="1">
        <v>1.0830200000000001</v>
      </c>
      <c r="J134" s="1">
        <v>1.0435399999999999</v>
      </c>
      <c r="K134" s="1">
        <v>1.02007</v>
      </c>
      <c r="L134" s="1">
        <v>1.1509</v>
      </c>
      <c r="M134" s="1">
        <v>1.1443300000000001</v>
      </c>
      <c r="N134" s="1">
        <v>1.1331500000000001</v>
      </c>
      <c r="O134" s="1">
        <v>1.1275500000000001</v>
      </c>
      <c r="P134" s="1">
        <v>1.0830200000000001</v>
      </c>
      <c r="Q134" s="1">
        <v>1.0435399999999999</v>
      </c>
      <c r="R134" s="1">
        <v>1.02007</v>
      </c>
      <c r="S134" s="1">
        <v>1.1509</v>
      </c>
      <c r="T134" s="1">
        <v>1.1443300000000001</v>
      </c>
      <c r="U134" s="1">
        <v>1.1331500000000001</v>
      </c>
      <c r="V134" s="1">
        <v>1.1275500000000001</v>
      </c>
      <c r="W134" s="1">
        <v>1.0830200000000001</v>
      </c>
      <c r="X134" s="1">
        <v>1.0435399999999999</v>
      </c>
      <c r="Y134" s="1">
        <v>1.02007</v>
      </c>
      <c r="Z134" s="1">
        <v>1.1509</v>
      </c>
      <c r="AA134" s="1">
        <v>1.1443300000000001</v>
      </c>
      <c r="AB134" s="1">
        <v>1.1331500000000001</v>
      </c>
      <c r="AC134" s="1">
        <v>1.1275500000000001</v>
      </c>
      <c r="AD134" s="1">
        <v>1.0830200000000001</v>
      </c>
      <c r="AE134" s="1">
        <v>1.0435399999999999</v>
      </c>
      <c r="AF134" s="1">
        <v>1.02007</v>
      </c>
      <c r="AG134" s="1">
        <v>1.1509</v>
      </c>
      <c r="AH134" s="1">
        <v>1.1443300000000001</v>
      </c>
      <c r="AI134" s="1">
        <v>1.1331500000000001</v>
      </c>
      <c r="AL134" s="4" t="s">
        <v>23</v>
      </c>
      <c r="AM134" s="6" t="str" cm="1">
        <f t="array" ref="AM134">IFERROR((SUMPRODUCT(($B$113:$B$136=AM$111)*($F$110:$AI$110="")*$F$113:$AI$136)+IF(AM$111="P6",SUMPRODUCT(($F$110:$AI$110="P6")*$F$113:$AI$136),0))/(SUMPRODUCT(($B$113:$B$136=AM$111)*($F$110:$AI$110=""))+IF(AM$111="P6",COUNTIF($F$110:$AI$110,"P6")*ROWS($B$113:$B$136),0)),"")</f>
        <v/>
      </c>
      <c r="AN134" s="6" t="str" cm="1">
        <f t="array" ref="AN134">IFERROR((SUMPRODUCT(($B$113:$B$136=AN$111)*($F$110:$AI$110="")*$F$113:$AI$136)+IF(AN$111="P6",SUMPRODUCT(($F$110:$AI$110="P6")*$F$113:$AI$136),0))/(SUMPRODUCT(($B$113:$B$136=AN$111)*($F$110:$AI$110=""))+IF(AN$111="P6",COUNTIF($F$110:$AI$110,"P6")*ROWS($B$113:$B$136),0)),"")</f>
        <v/>
      </c>
      <c r="AO134" s="6" t="str" cm="1">
        <f t="array" ref="AO134">IFERROR((SUMPRODUCT(($B$113:$B$136=AO$111)*($F$110:$AI$110="")*$F$113:$AI$136)+IF(AO$111="P6",SUMPRODUCT(($F$110:$AI$110="P6")*$F$113:$AI$136),0))/(SUMPRODUCT(($B$113:$B$136=AO$111)*($F$110:$AI$110=""))+IF(AO$111="P6",COUNTIF($F$110:$AI$110,"P6")*ROWS($B$113:$B$136),0)),"")</f>
        <v/>
      </c>
      <c r="AP134" s="6" cm="1">
        <f t="array" ref="AP134">IFERROR((SUMPRODUCT(($B$113:$B$136=AP$111)*($F$110:$AI$110="")*$F$113:$AI$136)+IF(AP$111="P6",SUMPRODUCT(($F$110:$AI$110="P6")*$F$113:$AI$136),0))/(SUMPRODUCT(($B$113:$B$136=AP$111)*($F$110:$AI$110=""))+IF(AP$111="P6",COUNTIF($F$110:$AI$110,"P6")*ROWS($B$113:$B$136),0)),"")</f>
        <v>1.0117968686868679</v>
      </c>
      <c r="AQ134" s="6" cm="1">
        <f t="array" ref="AQ134">IFERROR((SUMPRODUCT(($B$113:$B$136=AQ$111)*($F$110:$AI$110="")*$F$113:$AI$136)+IF(AQ$111="P6",SUMPRODUCT(($F$110:$AI$110="P6")*$F$113:$AI$136),0))/(SUMPRODUCT(($B$113:$B$136=AQ$111)*($F$110:$AI$110=""))+IF(AQ$111="P6",COUNTIF($F$110:$AI$110,"P6")*ROWS($B$113:$B$136),0)),"")</f>
        <v>1.1968000649350645</v>
      </c>
      <c r="AR134" s="6" cm="1">
        <f t="array" ref="AR134">IFERROR((SUMPRODUCT(($B$113:$B$136=AR$111)*($F$110:$AI$110="")*$F$113:$AI$136)+IF(AR$111="P6",SUMPRODUCT(($F$110:$AI$110="P6")*$F$113:$AI$136),0))/(SUMPRODUCT(($B$113:$B$136=AR$111)*($F$110:$AI$110=""))+IF(AR$111="P6",COUNTIF($F$110:$AI$110,"P6")*ROWS($B$113:$B$136),0)),"")</f>
        <v>1.091930869565217</v>
      </c>
    </row>
    <row r="135" spans="1:44" ht="14.25" customHeight="1" x14ac:dyDescent="0.35">
      <c r="A135" s="1" t="s">
        <v>17</v>
      </c>
      <c r="B135" s="1" t="s">
        <v>17</v>
      </c>
      <c r="C135" s="1" t="s">
        <v>14</v>
      </c>
      <c r="D135" s="1" t="s">
        <v>17</v>
      </c>
      <c r="E135" s="1" t="s">
        <v>41</v>
      </c>
      <c r="F135" s="1">
        <v>1.36026</v>
      </c>
      <c r="G135" s="1">
        <v>1.3558600000000001</v>
      </c>
      <c r="H135" s="1">
        <v>1.3371999999999999</v>
      </c>
      <c r="I135" s="1">
        <v>1.29118</v>
      </c>
      <c r="J135" s="1">
        <v>1.0706500000000001</v>
      </c>
      <c r="K135" s="1">
        <v>1.0658399999999999</v>
      </c>
      <c r="L135" s="1">
        <v>1.3637600000000001</v>
      </c>
      <c r="M135" s="1">
        <v>1.36026</v>
      </c>
      <c r="N135" s="1">
        <v>1.3558600000000001</v>
      </c>
      <c r="O135" s="1">
        <v>1.3371999999999999</v>
      </c>
      <c r="P135" s="1">
        <v>1.29118</v>
      </c>
      <c r="Q135" s="1">
        <v>1.0706500000000001</v>
      </c>
      <c r="R135" s="1">
        <v>1.0658399999999999</v>
      </c>
      <c r="S135" s="1">
        <v>1.3637600000000001</v>
      </c>
      <c r="T135" s="1">
        <v>1.36026</v>
      </c>
      <c r="U135" s="1">
        <v>1.3558600000000001</v>
      </c>
      <c r="V135" s="1">
        <v>1.3371999999999999</v>
      </c>
      <c r="W135" s="1">
        <v>1.29118</v>
      </c>
      <c r="X135" s="1">
        <v>1.0706500000000001</v>
      </c>
      <c r="Y135" s="1">
        <v>1.0658399999999999</v>
      </c>
      <c r="Z135" s="1">
        <v>1.3637600000000001</v>
      </c>
      <c r="AA135" s="1">
        <v>1.36026</v>
      </c>
      <c r="AB135" s="1">
        <v>1.3558600000000001</v>
      </c>
      <c r="AC135" s="1">
        <v>1.3371999999999999</v>
      </c>
      <c r="AD135" s="1">
        <v>1.29118</v>
      </c>
      <c r="AE135" s="1">
        <v>1.0706500000000001</v>
      </c>
      <c r="AF135" s="1">
        <v>1.0658399999999999</v>
      </c>
      <c r="AG135" s="1">
        <v>1.3637600000000001</v>
      </c>
      <c r="AH135" s="1">
        <v>1.36026</v>
      </c>
      <c r="AI135" s="1">
        <v>1.3558600000000001</v>
      </c>
      <c r="AL135" s="4" t="s">
        <v>25</v>
      </c>
      <c r="AM135" s="6" t="str" cm="1">
        <f t="array" ref="AM135">IFERROR((SUMPRODUCT(($B$113:$B$136=AM$111)*($F$110:$AI$110="")*$F$113:$AI$136)+IF(AM$111="P6",SUMPRODUCT(($F$110:$AI$110="P6")*$F$113:$AI$136),0))/(SUMPRODUCT(($B$113:$B$136=AM$111)*($F$110:$AI$110=""))+IF(AM$111="P6",COUNTIF($F$110:$AI$110,"P6")*ROWS($B$113:$B$136),0)),"")</f>
        <v/>
      </c>
      <c r="AN135" s="6" t="str" cm="1">
        <f t="array" ref="AN135">IFERROR((SUMPRODUCT(($B$113:$B$136=AN$111)*($F$110:$AI$110="")*$F$113:$AI$136)+IF(AN$111="P6",SUMPRODUCT(($F$110:$AI$110="P6")*$F$113:$AI$136),0))/(SUMPRODUCT(($B$113:$B$136=AN$111)*($F$110:$AI$110=""))+IF(AN$111="P6",COUNTIF($F$110:$AI$110,"P6")*ROWS($B$113:$B$136),0)),"")</f>
        <v/>
      </c>
      <c r="AO135" s="6" t="str" cm="1">
        <f t="array" ref="AO135">IFERROR((SUMPRODUCT(($B$113:$B$136=AO$111)*($F$110:$AI$110="")*$F$113:$AI$136)+IF(AO$111="P6",SUMPRODUCT(($F$110:$AI$110="P6")*$F$113:$AI$136),0))/(SUMPRODUCT(($B$113:$B$136=AO$111)*($F$110:$AI$110=""))+IF(AO$111="P6",COUNTIF($F$110:$AI$110,"P6")*ROWS($B$113:$B$136),0)),"")</f>
        <v/>
      </c>
      <c r="AP135" s="6" cm="1">
        <f t="array" ref="AP135">IFERROR((SUMPRODUCT(($B$113:$B$136=AP$111)*($F$110:$AI$110="")*$F$113:$AI$136)+IF(AP$111="P6",SUMPRODUCT(($F$110:$AI$110="P6")*$F$113:$AI$136),0))/(SUMPRODUCT(($B$113:$B$136=AP$111)*($F$110:$AI$110=""))+IF(AP$111="P6",COUNTIF($F$110:$AI$110,"P6")*ROWS($B$113:$B$136),0)),"")</f>
        <v>1.0117968686868679</v>
      </c>
      <c r="AQ135" s="6" cm="1">
        <f t="array" ref="AQ135">IFERROR((SUMPRODUCT(($B$113:$B$136=AQ$111)*($F$110:$AI$110="")*$F$113:$AI$136)+IF(AQ$111="P6",SUMPRODUCT(($F$110:$AI$110="P6")*$F$113:$AI$136),0))/(SUMPRODUCT(($B$113:$B$136=AQ$111)*($F$110:$AI$110=""))+IF(AQ$111="P6",COUNTIF($F$110:$AI$110,"P6")*ROWS($B$113:$B$136),0)),"")</f>
        <v>1.1968000649350645</v>
      </c>
      <c r="AR135" s="6" cm="1">
        <f t="array" ref="AR135">IFERROR((SUMPRODUCT(($B$113:$B$136=AR$111)*($F$110:$AI$110="")*$F$113:$AI$136)+IF(AR$111="P6",SUMPRODUCT(($F$110:$AI$110="P6")*$F$113:$AI$136),0))/(SUMPRODUCT(($B$113:$B$136=AR$111)*($F$110:$AI$110=""))+IF(AR$111="P6",COUNTIF($F$110:$AI$110,"P6")*ROWS($B$113:$B$136),0)),"")</f>
        <v>1.091930869565217</v>
      </c>
    </row>
    <row r="136" spans="1:44" ht="14.25" customHeight="1" x14ac:dyDescent="0.35">
      <c r="A136" s="1" t="s">
        <v>17</v>
      </c>
      <c r="B136" s="1" t="s">
        <v>17</v>
      </c>
      <c r="C136" s="1" t="s">
        <v>14</v>
      </c>
      <c r="D136" s="1" t="s">
        <v>17</v>
      </c>
      <c r="E136" s="1" t="s">
        <v>42</v>
      </c>
      <c r="F136" s="1">
        <v>1.43615</v>
      </c>
      <c r="G136" s="1">
        <v>1.4132800000000001</v>
      </c>
      <c r="H136" s="1">
        <v>1.43093</v>
      </c>
      <c r="I136" s="1">
        <v>1.3681000000000001</v>
      </c>
      <c r="J136" s="1">
        <v>1.1062000000000001</v>
      </c>
      <c r="K136" s="1">
        <v>1.1208100000000001</v>
      </c>
      <c r="L136" s="1">
        <v>1.4503200000000001</v>
      </c>
      <c r="M136" s="1">
        <v>1.43615</v>
      </c>
      <c r="N136" s="1">
        <v>1.4132800000000001</v>
      </c>
      <c r="O136" s="1">
        <v>1.43093</v>
      </c>
      <c r="P136" s="1">
        <v>1.3681000000000001</v>
      </c>
      <c r="Q136" s="1">
        <v>1.1062000000000001</v>
      </c>
      <c r="R136" s="1">
        <v>1.1208100000000001</v>
      </c>
      <c r="S136" s="1">
        <v>1.4503200000000001</v>
      </c>
      <c r="T136" s="1">
        <v>1.43615</v>
      </c>
      <c r="U136" s="1">
        <v>1.4132800000000001</v>
      </c>
      <c r="V136" s="1">
        <v>1.43093</v>
      </c>
      <c r="W136" s="1">
        <v>1.3681000000000001</v>
      </c>
      <c r="X136" s="1">
        <v>1.1062000000000001</v>
      </c>
      <c r="Y136" s="1">
        <v>1.1208100000000001</v>
      </c>
      <c r="Z136" s="1">
        <v>1.4503200000000001</v>
      </c>
      <c r="AA136" s="1">
        <v>1.43615</v>
      </c>
      <c r="AB136" s="1">
        <v>1.4132800000000001</v>
      </c>
      <c r="AC136" s="1">
        <v>1.43093</v>
      </c>
      <c r="AD136" s="1">
        <v>1.3681000000000001</v>
      </c>
      <c r="AE136" s="1">
        <v>1.1062000000000001</v>
      </c>
      <c r="AF136" s="1">
        <v>1.1208100000000001</v>
      </c>
      <c r="AG136" s="1">
        <v>1.4503200000000001</v>
      </c>
      <c r="AH136" s="1">
        <v>1.43615</v>
      </c>
      <c r="AI136" s="1">
        <v>1.4132800000000001</v>
      </c>
      <c r="AL136" s="4" t="s">
        <v>27</v>
      </c>
      <c r="AM136" s="6" t="str" cm="1">
        <f t="array" ref="AM136">IFERROR((SUMPRODUCT(($B$113:$B$136=AM$111)*($F$110:$AI$110="")*$F$113:$AI$136)+IF(AM$111="P6",SUMPRODUCT(($F$110:$AI$110="P6")*$F$113:$AI$136),0))/(SUMPRODUCT(($B$113:$B$136=AM$111)*($F$110:$AI$110=""))+IF(AM$111="P6",COUNTIF($F$110:$AI$110,"P6")*ROWS($B$113:$B$136),0)),"")</f>
        <v/>
      </c>
      <c r="AN136" s="6" t="str" cm="1">
        <f t="array" ref="AN136">IFERROR((SUMPRODUCT(($B$113:$B$136=AN$111)*($F$110:$AI$110="")*$F$113:$AI$136)+IF(AN$111="P6",SUMPRODUCT(($F$110:$AI$110="P6")*$F$113:$AI$136),0))/(SUMPRODUCT(($B$113:$B$136=AN$111)*($F$110:$AI$110=""))+IF(AN$111="P6",COUNTIF($F$110:$AI$110,"P6")*ROWS($B$113:$B$136),0)),"")</f>
        <v/>
      </c>
      <c r="AO136" s="6" t="str" cm="1">
        <f t="array" ref="AO136">IFERROR((SUMPRODUCT(($B$113:$B$136=AO$111)*($F$110:$AI$110="")*$F$113:$AI$136)+IF(AO$111="P6",SUMPRODUCT(($F$110:$AI$110="P6")*$F$113:$AI$136),0))/(SUMPRODUCT(($B$113:$B$136=AO$111)*($F$110:$AI$110=""))+IF(AO$111="P6",COUNTIF($F$110:$AI$110,"P6")*ROWS($B$113:$B$136),0)),"")</f>
        <v/>
      </c>
      <c r="AP136" s="6" cm="1">
        <f t="array" ref="AP136">IFERROR((SUMPRODUCT(($B$113:$B$136=AP$111)*($F$110:$AI$110="")*$F$113:$AI$136)+IF(AP$111="P6",SUMPRODUCT(($F$110:$AI$110="P6")*$F$113:$AI$136),0))/(SUMPRODUCT(($B$113:$B$136=AP$111)*($F$110:$AI$110=""))+IF(AP$111="P6",COUNTIF($F$110:$AI$110,"P6")*ROWS($B$113:$B$136),0)),"")</f>
        <v>1.0117968686868679</v>
      </c>
      <c r="AQ136" s="6" cm="1">
        <f t="array" ref="AQ136">IFERROR((SUMPRODUCT(($B$113:$B$136=AQ$111)*($F$110:$AI$110="")*$F$113:$AI$136)+IF(AQ$111="P6",SUMPRODUCT(($F$110:$AI$110="P6")*$F$113:$AI$136),0))/(SUMPRODUCT(($B$113:$B$136=AQ$111)*($F$110:$AI$110=""))+IF(AQ$111="P6",COUNTIF($F$110:$AI$110,"P6")*ROWS($B$113:$B$136),0)),"")</f>
        <v>1.1968000649350645</v>
      </c>
      <c r="AR136" s="6" cm="1">
        <f t="array" ref="AR136">IFERROR((SUMPRODUCT(($B$113:$B$136=AR$111)*($F$110:$AI$110="")*$F$113:$AI$136)+IF(AR$111="P6",SUMPRODUCT(($F$110:$AI$110="P6")*$F$113:$AI$136),0))/(SUMPRODUCT(($B$113:$B$136=AR$111)*($F$110:$AI$110=""))+IF(AR$111="P6",COUNTIF($F$110:$AI$110,"P6")*ROWS($B$113:$B$136),0)),"")</f>
        <v>1.091930869565217</v>
      </c>
    </row>
    <row r="137" spans="1:44" ht="14.25" customHeight="1" x14ac:dyDescent="0.35">
      <c r="AL137" s="4" t="s">
        <v>29</v>
      </c>
      <c r="AM137" s="6" t="str" cm="1">
        <f t="array" ref="AM137">IFERROR((SUMPRODUCT(($B$113:$B$136=AM$111)*($F$110:$AI$110="")*$F$113:$AI$136)+IF(AM$111="P6",SUMPRODUCT(($F$110:$AI$110="P6")*$F$113:$AI$136),0))/(SUMPRODUCT(($B$113:$B$136=AM$111)*($F$110:$AI$110=""))+IF(AM$111="P6",COUNTIF($F$110:$AI$110,"P6")*ROWS($B$113:$B$136),0)),"")</f>
        <v/>
      </c>
      <c r="AN137" s="6" t="str" cm="1">
        <f t="array" ref="AN137">IFERROR((SUMPRODUCT(($B$113:$B$136=AN$111)*($F$110:$AI$110="")*$F$113:$AI$136)+IF(AN$111="P6",SUMPRODUCT(($F$110:$AI$110="P6")*$F$113:$AI$136),0))/(SUMPRODUCT(($B$113:$B$136=AN$111)*($F$110:$AI$110=""))+IF(AN$111="P6",COUNTIF($F$110:$AI$110,"P6")*ROWS($B$113:$B$136),0)),"")</f>
        <v/>
      </c>
      <c r="AO137" s="6" t="str" cm="1">
        <f t="array" ref="AO137">IFERROR((SUMPRODUCT(($B$113:$B$136=AO$111)*($F$110:$AI$110="")*$F$113:$AI$136)+IF(AO$111="P6",SUMPRODUCT(($F$110:$AI$110="P6")*$F$113:$AI$136),0))/(SUMPRODUCT(($B$113:$B$136=AO$111)*($F$110:$AI$110=""))+IF(AO$111="P6",COUNTIF($F$110:$AI$110,"P6")*ROWS($B$113:$B$136),0)),"")</f>
        <v/>
      </c>
      <c r="AP137" s="6" cm="1">
        <f t="array" ref="AP137">IFERROR((SUMPRODUCT(($B$113:$B$136=AP$111)*($F$110:$AI$110="")*$F$113:$AI$136)+IF(AP$111="P6",SUMPRODUCT(($F$110:$AI$110="P6")*$F$113:$AI$136),0))/(SUMPRODUCT(($B$113:$B$136=AP$111)*($F$110:$AI$110=""))+IF(AP$111="P6",COUNTIF($F$110:$AI$110,"P6")*ROWS($B$113:$B$136),0)),"")</f>
        <v>1.0117968686868679</v>
      </c>
      <c r="AQ137" s="6" cm="1">
        <f t="array" ref="AQ137">IFERROR((SUMPRODUCT(($B$113:$B$136=AQ$111)*($F$110:$AI$110="")*$F$113:$AI$136)+IF(AQ$111="P6",SUMPRODUCT(($F$110:$AI$110="P6")*$F$113:$AI$136),0))/(SUMPRODUCT(($B$113:$B$136=AQ$111)*($F$110:$AI$110=""))+IF(AQ$111="P6",COUNTIF($F$110:$AI$110,"P6")*ROWS($B$113:$B$136),0)),"")</f>
        <v>1.1968000649350645</v>
      </c>
      <c r="AR137" s="6" cm="1">
        <f t="array" ref="AR137">IFERROR((SUMPRODUCT(($B$113:$B$136=AR$111)*($F$110:$AI$110="")*$F$113:$AI$136)+IF(AR$111="P6",SUMPRODUCT(($F$110:$AI$110="P6")*$F$113:$AI$136),0))/(SUMPRODUCT(($B$113:$B$136=AR$111)*($F$110:$AI$110=""))+IF(AR$111="P6",COUNTIF($F$110:$AI$110,"P6")*ROWS($B$113:$B$136),0)),"")</f>
        <v>1.091930869565217</v>
      </c>
    </row>
    <row r="141" spans="1:44" ht="14.25" customHeight="1" x14ac:dyDescent="0.35">
      <c r="A141" s="15" t="s">
        <v>47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</row>
    <row r="142" spans="1:44" ht="14.25" customHeight="1" x14ac:dyDescent="0.3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</row>
    <row r="143" spans="1:44" ht="14.25" customHeight="1" x14ac:dyDescent="0.35">
      <c r="AL143" s="10"/>
      <c r="AM143" s="10"/>
      <c r="AN143" s="10"/>
      <c r="AO143" s="10"/>
      <c r="AP143" s="10"/>
      <c r="AQ143" s="10"/>
      <c r="AR143" s="10"/>
    </row>
    <row r="144" spans="1:44" ht="14.25" customHeight="1" x14ac:dyDescent="0.35">
      <c r="F144" s="1" t="str">
        <f>IF(OR(F146="S",F146="D",F147=DATE(2025,5,1)),"P3","")</f>
        <v>P3</v>
      </c>
      <c r="G144" s="1" t="str">
        <f t="shared" ref="G144:AJ144" si="21">IF(OR(G146="S",G146="D"),"P3","")</f>
        <v/>
      </c>
      <c r="H144" s="1" t="str">
        <f t="shared" si="21"/>
        <v>P3</v>
      </c>
      <c r="I144" s="1" t="str">
        <f t="shared" si="21"/>
        <v>P3</v>
      </c>
      <c r="J144" s="1" t="str">
        <f t="shared" si="21"/>
        <v/>
      </c>
      <c r="K144" s="1" t="str">
        <f t="shared" si="21"/>
        <v/>
      </c>
      <c r="L144" s="1" t="str">
        <f t="shared" si="21"/>
        <v/>
      </c>
      <c r="M144" s="1" t="str">
        <f t="shared" si="21"/>
        <v/>
      </c>
      <c r="N144" s="1" t="str">
        <f t="shared" si="21"/>
        <v/>
      </c>
      <c r="O144" s="1" t="str">
        <f t="shared" si="21"/>
        <v>P3</v>
      </c>
      <c r="P144" s="1" t="str">
        <f t="shared" si="21"/>
        <v>P3</v>
      </c>
      <c r="Q144" s="1" t="str">
        <f t="shared" si="21"/>
        <v/>
      </c>
      <c r="R144" s="1" t="str">
        <f t="shared" si="21"/>
        <v/>
      </c>
      <c r="S144" s="1" t="str">
        <f t="shared" si="21"/>
        <v/>
      </c>
      <c r="T144" s="1" t="str">
        <f t="shared" si="21"/>
        <v/>
      </c>
      <c r="U144" s="1" t="str">
        <f t="shared" si="21"/>
        <v/>
      </c>
      <c r="V144" s="1" t="str">
        <f t="shared" si="21"/>
        <v>P3</v>
      </c>
      <c r="W144" s="1" t="str">
        <f t="shared" si="21"/>
        <v>P3</v>
      </c>
      <c r="X144" s="1" t="str">
        <f t="shared" si="21"/>
        <v/>
      </c>
      <c r="Y144" s="1" t="str">
        <f t="shared" si="21"/>
        <v/>
      </c>
      <c r="Z144" s="1" t="str">
        <f t="shared" si="21"/>
        <v/>
      </c>
      <c r="AA144" s="1" t="str">
        <f t="shared" si="21"/>
        <v/>
      </c>
      <c r="AB144" s="1" t="str">
        <f t="shared" si="21"/>
        <v/>
      </c>
      <c r="AC144" s="1" t="str">
        <f t="shared" si="21"/>
        <v>P3</v>
      </c>
      <c r="AD144" s="1" t="str">
        <f t="shared" si="21"/>
        <v>P3</v>
      </c>
      <c r="AE144" s="1" t="str">
        <f t="shared" si="21"/>
        <v/>
      </c>
      <c r="AF144" s="1" t="str">
        <f t="shared" si="21"/>
        <v/>
      </c>
      <c r="AG144" s="1" t="str">
        <f t="shared" si="21"/>
        <v/>
      </c>
      <c r="AH144" s="1" t="str">
        <f t="shared" si="21"/>
        <v/>
      </c>
      <c r="AI144" s="1" t="str">
        <f t="shared" si="21"/>
        <v/>
      </c>
      <c r="AJ144" s="1" t="str">
        <f t="shared" si="21"/>
        <v>P3</v>
      </c>
      <c r="AL144" s="10"/>
      <c r="AM144" s="10"/>
      <c r="AN144" s="10"/>
      <c r="AO144" s="10"/>
      <c r="AP144" s="10"/>
      <c r="AQ144" s="10"/>
      <c r="AR144" s="10"/>
    </row>
    <row r="145" spans="1:44" ht="14.25" customHeight="1" x14ac:dyDescent="0.35">
      <c r="F145" s="1" t="str">
        <f>IF(OR(F146="S",F146="D",F147=DATE(2025,5,1)),"P6","")</f>
        <v>P6</v>
      </c>
      <c r="G145" s="1" t="str">
        <f t="shared" ref="G145:AJ145" si="22">IF(OR(G146="S",G146="D"),"P6","")</f>
        <v/>
      </c>
      <c r="H145" s="1" t="str">
        <f t="shared" si="22"/>
        <v>P6</v>
      </c>
      <c r="I145" s="1" t="str">
        <f t="shared" si="22"/>
        <v>P6</v>
      </c>
      <c r="J145" s="1" t="str">
        <f t="shared" si="22"/>
        <v/>
      </c>
      <c r="K145" s="1" t="str">
        <f t="shared" si="22"/>
        <v/>
      </c>
      <c r="L145" s="1" t="str">
        <f t="shared" si="22"/>
        <v/>
      </c>
      <c r="M145" s="1" t="str">
        <f t="shared" si="22"/>
        <v/>
      </c>
      <c r="N145" s="1" t="str">
        <f t="shared" si="22"/>
        <v/>
      </c>
      <c r="O145" s="1" t="str">
        <f t="shared" si="22"/>
        <v>P6</v>
      </c>
      <c r="P145" s="1" t="str">
        <f t="shared" si="22"/>
        <v>P6</v>
      </c>
      <c r="Q145" s="1" t="str">
        <f t="shared" si="22"/>
        <v/>
      </c>
      <c r="R145" s="1" t="str">
        <f t="shared" si="22"/>
        <v/>
      </c>
      <c r="S145" s="1" t="str">
        <f t="shared" si="22"/>
        <v/>
      </c>
      <c r="T145" s="1" t="str">
        <f t="shared" si="22"/>
        <v/>
      </c>
      <c r="U145" s="1" t="str">
        <f t="shared" si="22"/>
        <v/>
      </c>
      <c r="V145" s="1" t="str">
        <f t="shared" si="22"/>
        <v>P6</v>
      </c>
      <c r="W145" s="1" t="str">
        <f t="shared" si="22"/>
        <v>P6</v>
      </c>
      <c r="X145" s="1" t="str">
        <f t="shared" si="22"/>
        <v/>
      </c>
      <c r="Y145" s="1" t="str">
        <f t="shared" si="22"/>
        <v/>
      </c>
      <c r="Z145" s="1" t="str">
        <f t="shared" si="22"/>
        <v/>
      </c>
      <c r="AA145" s="1" t="str">
        <f t="shared" si="22"/>
        <v/>
      </c>
      <c r="AB145" s="1" t="str">
        <f t="shared" si="22"/>
        <v/>
      </c>
      <c r="AC145" s="1" t="str">
        <f t="shared" si="22"/>
        <v>P6</v>
      </c>
      <c r="AD145" s="1" t="str">
        <f t="shared" si="22"/>
        <v>P6</v>
      </c>
      <c r="AE145" s="1" t="str">
        <f t="shared" si="22"/>
        <v/>
      </c>
      <c r="AF145" s="1" t="str">
        <f t="shared" si="22"/>
        <v/>
      </c>
      <c r="AG145" s="1" t="str">
        <f t="shared" si="22"/>
        <v/>
      </c>
      <c r="AH145" s="1" t="str">
        <f t="shared" si="22"/>
        <v/>
      </c>
      <c r="AI145" s="1" t="str">
        <f t="shared" si="22"/>
        <v/>
      </c>
      <c r="AJ145" s="1" t="str">
        <f t="shared" si="22"/>
        <v>P6</v>
      </c>
      <c r="AL145" s="14" t="s">
        <v>90</v>
      </c>
      <c r="AM145" s="14"/>
      <c r="AN145" s="14"/>
      <c r="AO145" s="14"/>
      <c r="AP145" s="14"/>
      <c r="AQ145" s="14"/>
      <c r="AR145" s="14"/>
    </row>
    <row r="146" spans="1:44" ht="14.25" customHeight="1" x14ac:dyDescent="0.35">
      <c r="F146" s="1" t="str">
        <f>CHOOSE(WEEKDAY(F147,2),"L","M","X","J","V","S","D")</f>
        <v>J</v>
      </c>
      <c r="G146" s="1" t="str">
        <f t="shared" ref="G146:AJ146" si="23">CHOOSE(WEEKDAY(G147,2),"L","M","X","J","V","S","D")</f>
        <v>V</v>
      </c>
      <c r="H146" s="1" t="str">
        <f t="shared" si="23"/>
        <v>S</v>
      </c>
      <c r="I146" s="1" t="str">
        <f t="shared" si="23"/>
        <v>D</v>
      </c>
      <c r="J146" s="1" t="str">
        <f t="shared" si="23"/>
        <v>L</v>
      </c>
      <c r="K146" s="1" t="str">
        <f t="shared" si="23"/>
        <v>M</v>
      </c>
      <c r="L146" s="1" t="str">
        <f t="shared" si="23"/>
        <v>X</v>
      </c>
      <c r="M146" s="1" t="str">
        <f t="shared" si="23"/>
        <v>J</v>
      </c>
      <c r="N146" s="1" t="str">
        <f t="shared" si="23"/>
        <v>V</v>
      </c>
      <c r="O146" s="1" t="str">
        <f t="shared" si="23"/>
        <v>S</v>
      </c>
      <c r="P146" s="1" t="str">
        <f t="shared" si="23"/>
        <v>D</v>
      </c>
      <c r="Q146" s="1" t="str">
        <f t="shared" si="23"/>
        <v>L</v>
      </c>
      <c r="R146" s="1" t="str">
        <f t="shared" si="23"/>
        <v>M</v>
      </c>
      <c r="S146" s="1" t="str">
        <f t="shared" si="23"/>
        <v>X</v>
      </c>
      <c r="T146" s="1" t="str">
        <f t="shared" si="23"/>
        <v>J</v>
      </c>
      <c r="U146" s="1" t="str">
        <f t="shared" si="23"/>
        <v>V</v>
      </c>
      <c r="V146" s="1" t="str">
        <f t="shared" si="23"/>
        <v>S</v>
      </c>
      <c r="W146" s="1" t="str">
        <f t="shared" si="23"/>
        <v>D</v>
      </c>
      <c r="X146" s="1" t="str">
        <f t="shared" si="23"/>
        <v>L</v>
      </c>
      <c r="Y146" s="1" t="str">
        <f t="shared" si="23"/>
        <v>M</v>
      </c>
      <c r="Z146" s="1" t="str">
        <f t="shared" si="23"/>
        <v>X</v>
      </c>
      <c r="AA146" s="1" t="str">
        <f t="shared" si="23"/>
        <v>J</v>
      </c>
      <c r="AB146" s="1" t="str">
        <f t="shared" si="23"/>
        <v>V</v>
      </c>
      <c r="AC146" s="1" t="str">
        <f t="shared" si="23"/>
        <v>S</v>
      </c>
      <c r="AD146" s="1" t="str">
        <f t="shared" si="23"/>
        <v>D</v>
      </c>
      <c r="AE146" s="1" t="str">
        <f t="shared" si="23"/>
        <v>L</v>
      </c>
      <c r="AF146" s="1" t="str">
        <f t="shared" si="23"/>
        <v>M</v>
      </c>
      <c r="AG146" s="1" t="str">
        <f t="shared" si="23"/>
        <v>X</v>
      </c>
      <c r="AH146" s="1" t="str">
        <f t="shared" si="23"/>
        <v>J</v>
      </c>
      <c r="AI146" s="1" t="str">
        <f t="shared" si="23"/>
        <v>V</v>
      </c>
      <c r="AJ146" s="1" t="str">
        <f t="shared" si="23"/>
        <v>S</v>
      </c>
      <c r="AL146" s="4"/>
      <c r="AM146" s="4" t="s">
        <v>13</v>
      </c>
      <c r="AN146" s="4" t="s">
        <v>14</v>
      </c>
      <c r="AO146" s="4" t="s">
        <v>15</v>
      </c>
      <c r="AP146" s="4" t="s">
        <v>16</v>
      </c>
      <c r="AQ146" s="4" t="s">
        <v>17</v>
      </c>
      <c r="AR146" s="4" t="s">
        <v>7</v>
      </c>
    </row>
    <row r="147" spans="1:44" s="8" customFormat="1" ht="14.25" customHeight="1" x14ac:dyDescent="0.35">
      <c r="A147" s="3" t="s">
        <v>76</v>
      </c>
      <c r="B147" s="3" t="s">
        <v>77</v>
      </c>
      <c r="C147" s="3" t="s">
        <v>75</v>
      </c>
      <c r="D147" s="3" t="s">
        <v>74</v>
      </c>
      <c r="F147" s="8">
        <v>45778</v>
      </c>
      <c r="G147" s="8">
        <v>45779</v>
      </c>
      <c r="H147" s="8">
        <v>45780</v>
      </c>
      <c r="I147" s="8">
        <v>45781</v>
      </c>
      <c r="J147" s="8">
        <v>45782</v>
      </c>
      <c r="K147" s="8">
        <v>45783</v>
      </c>
      <c r="L147" s="8">
        <v>45784</v>
      </c>
      <c r="M147" s="8">
        <v>45785</v>
      </c>
      <c r="N147" s="8">
        <v>45786</v>
      </c>
      <c r="O147" s="8">
        <v>45787</v>
      </c>
      <c r="P147" s="8">
        <v>45788</v>
      </c>
      <c r="Q147" s="8">
        <v>45789</v>
      </c>
      <c r="R147" s="8">
        <v>45790</v>
      </c>
      <c r="S147" s="8">
        <v>45791</v>
      </c>
      <c r="T147" s="8">
        <v>45792</v>
      </c>
      <c r="U147" s="8">
        <v>45793</v>
      </c>
      <c r="V147" s="8">
        <v>45794</v>
      </c>
      <c r="W147" s="8">
        <v>45795</v>
      </c>
      <c r="X147" s="8">
        <v>45796</v>
      </c>
      <c r="Y147" s="8">
        <v>45797</v>
      </c>
      <c r="Z147" s="8">
        <v>45798</v>
      </c>
      <c r="AA147" s="8">
        <v>45799</v>
      </c>
      <c r="AB147" s="8">
        <v>45800</v>
      </c>
      <c r="AC147" s="8">
        <v>45801</v>
      </c>
      <c r="AD147" s="8">
        <v>45802</v>
      </c>
      <c r="AE147" s="8">
        <v>45803</v>
      </c>
      <c r="AF147" s="8">
        <v>45804</v>
      </c>
      <c r="AG147" s="8">
        <v>45805</v>
      </c>
      <c r="AH147" s="8">
        <v>45806</v>
      </c>
      <c r="AI147" s="8">
        <v>45807</v>
      </c>
      <c r="AJ147" s="8">
        <v>45808</v>
      </c>
      <c r="AL147" s="4" t="s">
        <v>19</v>
      </c>
      <c r="AM147" s="6" cm="1">
        <f t="array" ref="AM147">IFERROR((SUMPRODUCT(($C$148:$C$171=AM$146)*($F$144:$AJ$144="")*$F$148:$AJ$171)+IF(AM$146="P3",SUMPRODUCT(($F$144:$AJ$144="P3")*$F$148:$AJ$171),0))/(SUMPRODUCT(($C$148:$C$171=AM$146)*($F$144:$AJ$144=""))+IF(AM$146="P3",COUNTIF($F$144:$AJ$144,"P3")*ROWS($C$148:$C$171),0)),"")</f>
        <v>0.92227315476190508</v>
      </c>
      <c r="AN147" s="6" cm="1">
        <f t="array" ref="AN147">IFERROR((SUMPRODUCT(($C$148:$C$171=AN$146)*($F$144:$AJ$144="")*$F$148:$AJ$171)+IF(AN$146="P3",SUMPRODUCT(($F$144:$AJ$144="P3")*$F$148:$AJ$171),0))/(SUMPRODUCT(($C$148:$C$171=AN$146)*($F$144:$AJ$144=""))+IF(AN$146="P3",COUNTIF($F$144:$AJ$144,"P3")*ROWS($C$148:$C$171),0)),"")</f>
        <v>1.0678957142857139</v>
      </c>
      <c r="AO147" s="6" cm="1">
        <f t="array" ref="AO147">IFERROR((SUMPRODUCT(($C$148:$C$171=AO$146)*($F$144:$AJ$144="")*$F$148:$AJ$171)+IF(AO$146="P3",SUMPRODUCT(($F$144:$AJ$144="P3")*$F$148:$AJ$171),0))/(SUMPRODUCT(($C$148:$C$171=AO$146)*($F$144:$AJ$144=""))+IF(AO$146="P3",COUNTIF($F$144:$AJ$144,"P3")*ROWS($C$148:$C$171),0)),"")</f>
        <v>0.99264144607843074</v>
      </c>
      <c r="AP147" s="6" t="str" cm="1">
        <f t="array" ref="AP147">IFERROR((SUMPRODUCT(($C$148:$C$171=AP$146)*($F$144:$AJ$144="")*$F$148:$AJ$171)+IF(AP$146="P3",SUMPRODUCT(($F$144:$AJ$144="P3")*$F$148:$AJ$171),0))/(SUMPRODUCT(($C$148:$C$171=AP$146)*($F$144:$AJ$144=""))+IF(AP$146="P3",COUNTIF($F$144:$AJ$144,"P3")*ROWS($C$148:$C$171),0)),"")</f>
        <v/>
      </c>
      <c r="AQ147" s="6" t="str" cm="1">
        <f t="array" ref="AQ147">IFERROR((SUMPRODUCT(($C$148:$C$171=AQ$146)*($F$144:$AJ$144="")*$F$148:$AJ$171)+IF(AQ$146="P3",SUMPRODUCT(($F$144:$AJ$144="P3")*$F$148:$AJ$171),0))/(SUMPRODUCT(($C$148:$C$171=AQ$146)*($F$144:$AJ$144=""))+IF(AQ$146="P3",COUNTIF($F$144:$AJ$144,"P3")*ROWS($C$148:$C$171),0)),"")</f>
        <v/>
      </c>
      <c r="AR147" s="6" t="str" cm="1">
        <f t="array" ref="AR147">IFERROR((SUMPRODUCT(($C$148:$C$171=AR$146)*($F$144:$AJ$144="")*$F$148:$AJ$171)+IF(AR$146="P3",SUMPRODUCT(($F$144:$AJ$144="P3")*$F$148:$AJ$171),0))/(SUMPRODUCT(($C$148:$C$171=AR$146)*($F$144:$AJ$144=""))+IF(AR$146="P3",COUNTIF($F$144:$AJ$144,"P3")*ROWS($C$148:$C$171),0)),"")</f>
        <v/>
      </c>
    </row>
    <row r="148" spans="1:44" ht="14.25" customHeight="1" x14ac:dyDescent="0.35">
      <c r="A148" s="1" t="s">
        <v>7</v>
      </c>
      <c r="B148" s="1" t="s">
        <v>7</v>
      </c>
      <c r="C148" s="1" t="s">
        <v>15</v>
      </c>
      <c r="D148" s="1" t="s">
        <v>7</v>
      </c>
      <c r="E148" s="1" t="s">
        <v>8</v>
      </c>
      <c r="F148" s="1">
        <v>1.11771</v>
      </c>
      <c r="G148" s="1">
        <v>1.0249600000000001</v>
      </c>
      <c r="H148" s="1">
        <v>1.03657</v>
      </c>
      <c r="I148" s="1">
        <v>1.05952</v>
      </c>
      <c r="J148" s="1">
        <v>1.05742</v>
      </c>
      <c r="K148" s="1">
        <v>1.0086299999999999</v>
      </c>
      <c r="L148" s="1">
        <v>0.99853999999999998</v>
      </c>
      <c r="M148" s="1">
        <v>1.04443</v>
      </c>
      <c r="N148" s="1">
        <v>1.0249600000000001</v>
      </c>
      <c r="O148" s="1">
        <v>1.03657</v>
      </c>
      <c r="P148" s="1">
        <v>1.05952</v>
      </c>
      <c r="Q148" s="1">
        <v>1.05742</v>
      </c>
      <c r="R148" s="1">
        <v>1.0086299999999999</v>
      </c>
      <c r="S148" s="1">
        <v>0.99853999999999998</v>
      </c>
      <c r="T148" s="1">
        <v>1.04443</v>
      </c>
      <c r="U148" s="1">
        <v>1.0249600000000001</v>
      </c>
      <c r="V148" s="1">
        <v>1.03657</v>
      </c>
      <c r="W148" s="1">
        <v>1.05952</v>
      </c>
      <c r="X148" s="1">
        <v>1.05742</v>
      </c>
      <c r="Y148" s="1">
        <v>1.0086299999999999</v>
      </c>
      <c r="Z148" s="1">
        <v>0.99853999999999998</v>
      </c>
      <c r="AA148" s="1">
        <v>1.04443</v>
      </c>
      <c r="AB148" s="1">
        <v>1.0249600000000001</v>
      </c>
      <c r="AC148" s="1">
        <v>1.03657</v>
      </c>
      <c r="AD148" s="1">
        <v>1.05952</v>
      </c>
      <c r="AE148" s="1">
        <v>1.05742</v>
      </c>
      <c r="AF148" s="1">
        <v>1.0086299999999999</v>
      </c>
      <c r="AG148" s="1">
        <v>0.99853999999999998</v>
      </c>
      <c r="AH148" s="1">
        <v>1.04443</v>
      </c>
      <c r="AI148" s="1">
        <v>1.0249600000000001</v>
      </c>
      <c r="AJ148" s="1">
        <v>1.03657</v>
      </c>
      <c r="AL148" s="4" t="s">
        <v>21</v>
      </c>
      <c r="AM148" s="6" t="str" cm="1">
        <f t="array" ref="AM148">IFERROR((SUMPRODUCT(($D$148:$D$171=AM$146)*($F$145:$AJ$145="")*$F$148:$AJ$171)+IF(AM$146="P6",SUMPRODUCT(($F$145:$AJ$145="P6")*$F$148:$AJ$171),0))/(SUMPRODUCT(($D$148:$D$171=AM$146)*($F$145:$AJ$145=""))+IF(AM$146="P6",COUNTIF($F$145:$AJ$145,"P6")*ROWS($D$148:$D$171),0)),"")</f>
        <v/>
      </c>
      <c r="AN148" s="6" t="str" cm="1">
        <f t="array" ref="AN148">IFERROR((SUMPRODUCT(($D$148:$D$171=AN$146)*($F$145:$AJ$145="")*$F$148:$AJ$171)+IF(AN$146="P6",SUMPRODUCT(($F$145:$AJ$145="P6")*$F$148:$AJ$171),0))/(SUMPRODUCT(($D$148:$D$171=AN$146)*($F$145:$AJ$145=""))+IF(AN$146="P6",COUNTIF($F$145:$AJ$145,"P6")*ROWS($D$148:$D$171),0)),"")</f>
        <v/>
      </c>
      <c r="AO148" s="6" t="str" cm="1">
        <f t="array" ref="AO148">IFERROR((SUMPRODUCT(($D$148:$D$171=AO$146)*($F$145:$AJ$145="")*$F$148:$AJ$171)+IF(AO$146="P6",SUMPRODUCT(($F$145:$AJ$145="P6")*$F$148:$AJ$171),0))/(SUMPRODUCT(($D$148:$D$171=AO$146)*($F$145:$AJ$145=""))+IF(AO$146="P6",COUNTIF($F$145:$AJ$145,"P6")*ROWS($D$148:$D$171),0)),"")</f>
        <v/>
      </c>
      <c r="AP148" s="6" cm="1">
        <f t="array" ref="AP148">IFERROR((SUMPRODUCT(($D$148:$D$171=AP$146)*($F$145:$AJ$145="")*$F$148:$AJ$171)+IF(AP$146="P6",SUMPRODUCT(($F$145:$AJ$145="P6")*$F$148:$AJ$171),0))/(SUMPRODUCT(($D$148:$D$171=AP$146)*($F$145:$AJ$145=""))+IF(AP$146="P6",COUNTIF($F$145:$AJ$145,"P6")*ROWS($D$148:$D$171),0)),"")</f>
        <v>0.91791486772486808</v>
      </c>
      <c r="AQ148" s="6" cm="1">
        <f t="array" ref="AQ148">IFERROR((SUMPRODUCT(($D$148:$D$171=AQ$146)*($F$145:$AJ$145="")*$F$148:$AJ$171)+IF(AQ$146="P6",SUMPRODUCT(($F$145:$AJ$145="P6")*$F$148:$AJ$171),0))/(SUMPRODUCT(($D$148:$D$171=AQ$146)*($F$145:$AJ$145=""))+IF(AQ$146="P6",COUNTIF($F$145:$AJ$145,"P6")*ROWS($D$148:$D$171),0)),"")</f>
        <v>1.0943024489795929</v>
      </c>
      <c r="AR148" s="6" cm="1">
        <f t="array" ref="AR148">IFERROR((SUMPRODUCT(($D$148:$D$171=AR$146)*($F$145:$AJ$145="")*$F$148:$AJ$171)+IF(AR$146="P6",SUMPRODUCT(($F$145:$AJ$145="P6")*$F$148:$AJ$171),0))/(SUMPRODUCT(($D$148:$D$171=AR$146)*($F$145:$AJ$145=""))+IF(AR$146="P6",COUNTIF($F$145:$AJ$145,"P6")*ROWS($D$148:$D$171),0)),"")</f>
        <v>0.99264144607843074</v>
      </c>
    </row>
    <row r="149" spans="1:44" ht="14.25" customHeight="1" x14ac:dyDescent="0.35">
      <c r="A149" s="1" t="s">
        <v>7</v>
      </c>
      <c r="B149" s="1" t="s">
        <v>7</v>
      </c>
      <c r="C149" s="1" t="s">
        <v>15</v>
      </c>
      <c r="D149" s="1" t="s">
        <v>7</v>
      </c>
      <c r="E149" s="1" t="s">
        <v>9</v>
      </c>
      <c r="F149" s="1">
        <v>1.14696</v>
      </c>
      <c r="G149" s="1">
        <v>1.0512999999999999</v>
      </c>
      <c r="H149" s="1">
        <v>1.06752</v>
      </c>
      <c r="I149" s="1">
        <v>1.10066</v>
      </c>
      <c r="J149" s="1">
        <v>1.0654999999999999</v>
      </c>
      <c r="K149" s="1">
        <v>1.03392</v>
      </c>
      <c r="L149" s="1">
        <v>1.0168600000000001</v>
      </c>
      <c r="M149" s="1">
        <v>1.0671600000000001</v>
      </c>
      <c r="N149" s="1">
        <v>1.0512999999999999</v>
      </c>
      <c r="O149" s="1">
        <v>1.06752</v>
      </c>
      <c r="P149" s="1">
        <v>1.10066</v>
      </c>
      <c r="Q149" s="1">
        <v>1.0654999999999999</v>
      </c>
      <c r="R149" s="1">
        <v>1.03392</v>
      </c>
      <c r="S149" s="1">
        <v>1.0168600000000001</v>
      </c>
      <c r="T149" s="1">
        <v>1.0671600000000001</v>
      </c>
      <c r="U149" s="1">
        <v>1.0512999999999999</v>
      </c>
      <c r="V149" s="1">
        <v>1.06752</v>
      </c>
      <c r="W149" s="1">
        <v>1.10066</v>
      </c>
      <c r="X149" s="1">
        <v>1.0654999999999999</v>
      </c>
      <c r="Y149" s="1">
        <v>1.03392</v>
      </c>
      <c r="Z149" s="1">
        <v>1.0168600000000001</v>
      </c>
      <c r="AA149" s="1">
        <v>1.0671600000000001</v>
      </c>
      <c r="AB149" s="1">
        <v>1.0512999999999999</v>
      </c>
      <c r="AC149" s="1">
        <v>1.06752</v>
      </c>
      <c r="AD149" s="1">
        <v>1.10066</v>
      </c>
      <c r="AE149" s="1">
        <v>1.0654999999999999</v>
      </c>
      <c r="AF149" s="1">
        <v>1.03392</v>
      </c>
      <c r="AG149" s="1">
        <v>1.0168600000000001</v>
      </c>
      <c r="AH149" s="1">
        <v>1.0671600000000001</v>
      </c>
      <c r="AI149" s="1">
        <v>1.0512999999999999</v>
      </c>
      <c r="AJ149" s="1">
        <v>1.06752</v>
      </c>
      <c r="AL149" s="4" t="s">
        <v>23</v>
      </c>
      <c r="AM149" s="6" t="str" cm="1">
        <f t="array" ref="AM149">IFERROR((SUMPRODUCT(($D$148:$D$171=AM$146)*($F$145:$AJ$145="")*$F$148:$AJ$171)+IF(AM$146="P6",SUMPRODUCT(($F$145:$AJ$145="P6")*$F$148:$AJ$171),0))/(SUMPRODUCT(($D$148:$D$171=AM$146)*($F$145:$AJ$145=""))+IF(AM$146="P6",COUNTIF($F$145:$AJ$145,"P6")*ROWS($D$148:$D$171),0)),"")</f>
        <v/>
      </c>
      <c r="AN149" s="6" t="str" cm="1">
        <f t="array" ref="AN149">IFERROR((SUMPRODUCT(($D$148:$D$171=AN$146)*($F$145:$AJ$145="")*$F$148:$AJ$171)+IF(AN$146="P6",SUMPRODUCT(($F$145:$AJ$145="P6")*$F$148:$AJ$171),0))/(SUMPRODUCT(($D$148:$D$171=AN$146)*($F$145:$AJ$145=""))+IF(AN$146="P6",COUNTIF($F$145:$AJ$145,"P6")*ROWS($D$148:$D$171),0)),"")</f>
        <v/>
      </c>
      <c r="AO149" s="5" t="str" cm="1">
        <f t="array" ref="AO149">IFERROR((SUMPRODUCT(($D$148:$D$171=AO$146)*($F$145:$AJ$145="")*$F$148:$AJ$171)+IF(AO$146="P6",SUMPRODUCT(($F$145:$AJ$145="P6")*$F$148:$AJ$171),0))/(SUMPRODUCT(($D$148:$D$171=AO$146)*($F$145:$AJ$145=""))+IF(AO$146="P6",COUNTIF($F$145:$AJ$145,"P6")*ROWS($D$148:$D$171),0)),"")</f>
        <v/>
      </c>
      <c r="AP149" s="5" cm="1">
        <f t="array" ref="AP149">IFERROR((SUMPRODUCT(($D$148:$D$171=AP$146)*($F$145:$AJ$145="")*$F$148:$AJ$171)+IF(AP$146="P6",SUMPRODUCT(($F$145:$AJ$145="P6")*$F$148:$AJ$171),0))/(SUMPRODUCT(($D$148:$D$171=AP$146)*($F$145:$AJ$145=""))+IF(AP$146="P6",COUNTIF($F$145:$AJ$145,"P6")*ROWS($D$148:$D$171),0)),"")</f>
        <v>0.91791486772486808</v>
      </c>
      <c r="AQ149" s="5" cm="1">
        <f t="array" ref="AQ149">IFERROR((SUMPRODUCT(($D$148:$D$171=AQ$146)*($F$145:$AJ$145="")*$F$148:$AJ$171)+IF(AQ$146="P6",SUMPRODUCT(($F$145:$AJ$145="P6")*$F$148:$AJ$171),0))/(SUMPRODUCT(($D$148:$D$171=AQ$146)*($F$145:$AJ$145=""))+IF(AQ$146="P6",COUNTIF($F$145:$AJ$145,"P6")*ROWS($D$148:$D$171),0)),"")</f>
        <v>1.0943024489795929</v>
      </c>
      <c r="AR149" s="6" cm="1">
        <f t="array" ref="AR149">IFERROR((SUMPRODUCT(($D$148:$D$171=AR$146)*($F$145:$AJ$145="")*$F$148:$AJ$171)+IF(AR$146="P6",SUMPRODUCT(($F$145:$AJ$145="P6")*$F$148:$AJ$171),0))/(SUMPRODUCT(($D$148:$D$171=AR$146)*($F$145:$AJ$145=""))+IF(AR$146="P6",COUNTIF($F$145:$AJ$145,"P6")*ROWS($D$148:$D$171),0)),"")</f>
        <v>0.99264144607843074</v>
      </c>
    </row>
    <row r="150" spans="1:44" ht="14.25" customHeight="1" x14ac:dyDescent="0.35">
      <c r="A150" s="1" t="s">
        <v>7</v>
      </c>
      <c r="B150" s="1" t="s">
        <v>7</v>
      </c>
      <c r="C150" s="1" t="s">
        <v>15</v>
      </c>
      <c r="D150" s="1" t="s">
        <v>7</v>
      </c>
      <c r="E150" s="1" t="s">
        <v>10</v>
      </c>
      <c r="F150" s="1">
        <v>1.17371</v>
      </c>
      <c r="G150" s="1">
        <v>1.07152</v>
      </c>
      <c r="H150" s="1">
        <v>1.0877399999999999</v>
      </c>
      <c r="I150" s="1">
        <v>1.1319900000000001</v>
      </c>
      <c r="J150" s="1">
        <v>1.07464</v>
      </c>
      <c r="K150" s="1">
        <v>1.0447</v>
      </c>
      <c r="L150" s="1">
        <v>1.02572</v>
      </c>
      <c r="M150" s="1">
        <v>1.0701499999999999</v>
      </c>
      <c r="N150" s="1">
        <v>1.07152</v>
      </c>
      <c r="O150" s="1">
        <v>1.0877399999999999</v>
      </c>
      <c r="P150" s="1">
        <v>1.1319900000000001</v>
      </c>
      <c r="Q150" s="1">
        <v>1.07464</v>
      </c>
      <c r="R150" s="1">
        <v>1.0447</v>
      </c>
      <c r="S150" s="1">
        <v>1.02572</v>
      </c>
      <c r="T150" s="1">
        <v>1.0701499999999999</v>
      </c>
      <c r="U150" s="1">
        <v>1.07152</v>
      </c>
      <c r="V150" s="1">
        <v>1.0877399999999999</v>
      </c>
      <c r="W150" s="1">
        <v>1.1319900000000001</v>
      </c>
      <c r="X150" s="1">
        <v>1.07464</v>
      </c>
      <c r="Y150" s="1">
        <v>1.0447</v>
      </c>
      <c r="Z150" s="1">
        <v>1.02572</v>
      </c>
      <c r="AA150" s="1">
        <v>1.0701499999999999</v>
      </c>
      <c r="AB150" s="1">
        <v>1.07152</v>
      </c>
      <c r="AC150" s="1">
        <v>1.0877399999999999</v>
      </c>
      <c r="AD150" s="1">
        <v>1.1319900000000001</v>
      </c>
      <c r="AE150" s="1">
        <v>1.07464</v>
      </c>
      <c r="AF150" s="1">
        <v>1.0447</v>
      </c>
      <c r="AG150" s="1">
        <v>1.02572</v>
      </c>
      <c r="AH150" s="1">
        <v>1.0701499999999999</v>
      </c>
      <c r="AI150" s="1">
        <v>1.07152</v>
      </c>
      <c r="AJ150" s="1">
        <v>1.0877399999999999</v>
      </c>
      <c r="AL150" s="4" t="s">
        <v>25</v>
      </c>
      <c r="AM150" s="6" t="str" cm="1">
        <f t="array" ref="AM150">IFERROR((SUMPRODUCT(($D$148:$D$171=AM$146)*($F$145:$AJ$145="")*$F$148:$AJ$171)+IF(AM$146="P6",SUMPRODUCT(($F$145:$AJ$145="P6")*$F$148:$AJ$171),0))/(SUMPRODUCT(($D$148:$D$171=AM$146)*($F$145:$AJ$145=""))+IF(AM$146="P6",COUNTIF($F$145:$AJ$145,"P6")*ROWS($D$148:$D$171),0)),"")</f>
        <v/>
      </c>
      <c r="AN150" s="6" t="str" cm="1">
        <f t="array" ref="AN150">IFERROR((SUMPRODUCT(($D$148:$D$171=AN$146)*($F$145:$AJ$145="")*$F$148:$AJ$171)+IF(AN$146="P6",SUMPRODUCT(($F$145:$AJ$145="P6")*$F$148:$AJ$171),0))/(SUMPRODUCT(($D$148:$D$171=AN$146)*($F$145:$AJ$145=""))+IF(AN$146="P6",COUNTIF($F$145:$AJ$145,"P6")*ROWS($D$148:$D$171),0)),"")</f>
        <v/>
      </c>
      <c r="AO150" s="5" t="str" cm="1">
        <f t="array" ref="AO150">IFERROR((SUMPRODUCT(($D$148:$D$171=AO$146)*($F$145:$AJ$145="")*$F$148:$AJ$171)+IF(AO$146="P6",SUMPRODUCT(($F$145:$AJ$145="P6")*$F$148:$AJ$171),0))/(SUMPRODUCT(($D$148:$D$171=AO$146)*($F$145:$AJ$145=""))+IF(AO$146="P6",COUNTIF($F$145:$AJ$145,"P6")*ROWS($D$148:$D$171),0)),"")</f>
        <v/>
      </c>
      <c r="AP150" s="5" cm="1">
        <f t="array" ref="AP150">IFERROR((SUMPRODUCT(($D$148:$D$171=AP$146)*($F$145:$AJ$145="")*$F$148:$AJ$171)+IF(AP$146="P6",SUMPRODUCT(($F$145:$AJ$145="P6")*$F$148:$AJ$171),0))/(SUMPRODUCT(($D$148:$D$171=AP$146)*($F$145:$AJ$145=""))+IF(AP$146="P6",COUNTIF($F$145:$AJ$145,"P6")*ROWS($D$148:$D$171),0)),"")</f>
        <v>0.91791486772486808</v>
      </c>
      <c r="AQ150" s="5" cm="1">
        <f t="array" ref="AQ150">IFERROR((SUMPRODUCT(($D$148:$D$171=AQ$146)*($F$145:$AJ$145="")*$F$148:$AJ$171)+IF(AQ$146="P6",SUMPRODUCT(($F$145:$AJ$145="P6")*$F$148:$AJ$171),0))/(SUMPRODUCT(($D$148:$D$171=AQ$146)*($F$145:$AJ$145=""))+IF(AQ$146="P6",COUNTIF($F$145:$AJ$145,"P6")*ROWS($D$148:$D$171),0)),"")</f>
        <v>1.0943024489795929</v>
      </c>
      <c r="AR150" s="6" cm="1">
        <f t="array" ref="AR150">IFERROR((SUMPRODUCT(($D$148:$D$171=AR$146)*($F$145:$AJ$145="")*$F$148:$AJ$171)+IF(AR$146="P6",SUMPRODUCT(($F$145:$AJ$145="P6")*$F$148:$AJ$171),0))/(SUMPRODUCT(($D$148:$D$171=AR$146)*($F$145:$AJ$145=""))+IF(AR$146="P6",COUNTIF($F$145:$AJ$145,"P6")*ROWS($D$148:$D$171),0)),"")</f>
        <v>0.99264144607843074</v>
      </c>
    </row>
    <row r="151" spans="1:44" ht="14.25" customHeight="1" x14ac:dyDescent="0.35">
      <c r="A151" s="1" t="s">
        <v>7</v>
      </c>
      <c r="B151" s="1" t="s">
        <v>7</v>
      </c>
      <c r="C151" s="1" t="s">
        <v>15</v>
      </c>
      <c r="D151" s="1" t="s">
        <v>7</v>
      </c>
      <c r="E151" s="1" t="s">
        <v>11</v>
      </c>
      <c r="F151" s="1">
        <v>1.17838</v>
      </c>
      <c r="G151" s="1">
        <v>1.07698</v>
      </c>
      <c r="H151" s="1">
        <v>1.10198</v>
      </c>
      <c r="I151" s="1">
        <v>1.14717</v>
      </c>
      <c r="J151" s="1">
        <v>1.08022</v>
      </c>
      <c r="K151" s="1">
        <v>1.03081</v>
      </c>
      <c r="L151" s="1">
        <v>1.0311300000000001</v>
      </c>
      <c r="M151" s="1">
        <v>1.07538</v>
      </c>
      <c r="N151" s="1">
        <v>1.07698</v>
      </c>
      <c r="O151" s="1">
        <v>1.10198</v>
      </c>
      <c r="P151" s="1">
        <v>1.14717</v>
      </c>
      <c r="Q151" s="1">
        <v>1.08022</v>
      </c>
      <c r="R151" s="1">
        <v>1.03081</v>
      </c>
      <c r="S151" s="1">
        <v>1.0311300000000001</v>
      </c>
      <c r="T151" s="1">
        <v>1.07538</v>
      </c>
      <c r="U151" s="1">
        <v>1.07698</v>
      </c>
      <c r="V151" s="1">
        <v>1.10198</v>
      </c>
      <c r="W151" s="1">
        <v>1.14717</v>
      </c>
      <c r="X151" s="1">
        <v>1.08022</v>
      </c>
      <c r="Y151" s="1">
        <v>1.03081</v>
      </c>
      <c r="Z151" s="1">
        <v>1.0311300000000001</v>
      </c>
      <c r="AA151" s="1">
        <v>1.07538</v>
      </c>
      <c r="AB151" s="1">
        <v>1.07698</v>
      </c>
      <c r="AC151" s="1">
        <v>1.10198</v>
      </c>
      <c r="AD151" s="1">
        <v>1.14717</v>
      </c>
      <c r="AE151" s="1">
        <v>1.08022</v>
      </c>
      <c r="AF151" s="1">
        <v>1.03081</v>
      </c>
      <c r="AG151" s="1">
        <v>1.0311300000000001</v>
      </c>
      <c r="AH151" s="1">
        <v>1.07538</v>
      </c>
      <c r="AI151" s="1">
        <v>1.07698</v>
      </c>
      <c r="AJ151" s="1">
        <v>1.10198</v>
      </c>
      <c r="AL151" s="4" t="s">
        <v>27</v>
      </c>
      <c r="AM151" s="6" t="str" cm="1">
        <f t="array" ref="AM151">IFERROR((SUMPRODUCT(($D$148:$D$171=AM$146)*($F$145:$AJ$145="")*$F$148:$AJ$171)+IF(AM$146="P6",SUMPRODUCT(($F$145:$AJ$145="P6")*$F$148:$AJ$171),0))/(SUMPRODUCT(($D$148:$D$171=AM$146)*($F$145:$AJ$145=""))+IF(AM$146="P6",COUNTIF($F$145:$AJ$145,"P6")*ROWS($D$148:$D$171),0)),"")</f>
        <v/>
      </c>
      <c r="AN151" s="6" t="str" cm="1">
        <f t="array" ref="AN151">IFERROR((SUMPRODUCT(($D$148:$D$171=AN$146)*($F$145:$AJ$145="")*$F$148:$AJ$171)+IF(AN$146="P6",SUMPRODUCT(($F$145:$AJ$145="P6")*$F$148:$AJ$171),0))/(SUMPRODUCT(($D$148:$D$171=AN$146)*($F$145:$AJ$145=""))+IF(AN$146="P6",COUNTIF($F$145:$AJ$145,"P6")*ROWS($D$148:$D$171),0)),"")</f>
        <v/>
      </c>
      <c r="AO151" s="5" t="str" cm="1">
        <f t="array" ref="AO151">IFERROR((SUMPRODUCT(($D$148:$D$171=AO$146)*($F$145:$AJ$145="")*$F$148:$AJ$171)+IF(AO$146="P6",SUMPRODUCT(($F$145:$AJ$145="P6")*$F$148:$AJ$171),0))/(SUMPRODUCT(($D$148:$D$171=AO$146)*($F$145:$AJ$145=""))+IF(AO$146="P6",COUNTIF($F$145:$AJ$145,"P6")*ROWS($D$148:$D$171),0)),"")</f>
        <v/>
      </c>
      <c r="AP151" s="5" cm="1">
        <f t="array" ref="AP151">IFERROR((SUMPRODUCT(($D$148:$D$171=AP$146)*($F$145:$AJ$145="")*$F$148:$AJ$171)+IF(AP$146="P6",SUMPRODUCT(($F$145:$AJ$145="P6")*$F$148:$AJ$171),0))/(SUMPRODUCT(($D$148:$D$171=AP$146)*($F$145:$AJ$145=""))+IF(AP$146="P6",COUNTIF($F$145:$AJ$145,"P6")*ROWS($D$148:$D$171),0)),"")</f>
        <v>0.91791486772486808</v>
      </c>
      <c r="AQ151" s="5" cm="1">
        <f t="array" ref="AQ151">IFERROR((SUMPRODUCT(($D$148:$D$171=AQ$146)*($F$145:$AJ$145="")*$F$148:$AJ$171)+IF(AQ$146="P6",SUMPRODUCT(($F$145:$AJ$145="P6")*$F$148:$AJ$171),0))/(SUMPRODUCT(($D$148:$D$171=AQ$146)*($F$145:$AJ$145=""))+IF(AQ$146="P6",COUNTIF($F$145:$AJ$145,"P6")*ROWS($D$148:$D$171),0)),"")</f>
        <v>1.0943024489795929</v>
      </c>
      <c r="AR151" s="6" cm="1">
        <f t="array" ref="AR151">IFERROR((SUMPRODUCT(($D$148:$D$171=AR$146)*($F$145:$AJ$145="")*$F$148:$AJ$171)+IF(AR$146="P6",SUMPRODUCT(($F$145:$AJ$145="P6")*$F$148:$AJ$171),0))/(SUMPRODUCT(($D$148:$D$171=AR$146)*($F$145:$AJ$145=""))+IF(AR$146="P6",COUNTIF($F$145:$AJ$145,"P6")*ROWS($D$148:$D$171),0)),"")</f>
        <v>0.99264144607843074</v>
      </c>
    </row>
    <row r="152" spans="1:44" ht="14.25" customHeight="1" x14ac:dyDescent="0.35">
      <c r="A152" s="1" t="s">
        <v>7</v>
      </c>
      <c r="B152" s="1" t="s">
        <v>7</v>
      </c>
      <c r="C152" s="1" t="s">
        <v>15</v>
      </c>
      <c r="D152" s="1" t="s">
        <v>7</v>
      </c>
      <c r="E152" s="1" t="s">
        <v>12</v>
      </c>
      <c r="F152" s="1">
        <v>1.1812100000000001</v>
      </c>
      <c r="G152" s="1">
        <v>1.0785499999999999</v>
      </c>
      <c r="H152" s="1">
        <v>1.10666</v>
      </c>
      <c r="I152" s="1">
        <v>1.1519600000000001</v>
      </c>
      <c r="J152" s="1">
        <v>1.0719099999999999</v>
      </c>
      <c r="K152" s="1">
        <v>1.0382400000000001</v>
      </c>
      <c r="L152" s="1">
        <v>1.0311699999999999</v>
      </c>
      <c r="M152" s="1">
        <v>1.07029</v>
      </c>
      <c r="N152" s="1">
        <v>1.0785499999999999</v>
      </c>
      <c r="O152" s="1">
        <v>1.10666</v>
      </c>
      <c r="P152" s="1">
        <v>1.1519600000000001</v>
      </c>
      <c r="Q152" s="1">
        <v>1.0719099999999999</v>
      </c>
      <c r="R152" s="1">
        <v>1.0382400000000001</v>
      </c>
      <c r="S152" s="1">
        <v>1.0311699999999999</v>
      </c>
      <c r="T152" s="1">
        <v>1.07029</v>
      </c>
      <c r="U152" s="1">
        <v>1.0785499999999999</v>
      </c>
      <c r="V152" s="1">
        <v>1.10666</v>
      </c>
      <c r="W152" s="1">
        <v>1.1519600000000001</v>
      </c>
      <c r="X152" s="1">
        <v>1.0719099999999999</v>
      </c>
      <c r="Y152" s="1">
        <v>1.0382400000000001</v>
      </c>
      <c r="Z152" s="1">
        <v>1.0311699999999999</v>
      </c>
      <c r="AA152" s="1">
        <v>1.07029</v>
      </c>
      <c r="AB152" s="1">
        <v>1.0785499999999999</v>
      </c>
      <c r="AC152" s="1">
        <v>1.10666</v>
      </c>
      <c r="AD152" s="1">
        <v>1.1519600000000001</v>
      </c>
      <c r="AE152" s="1">
        <v>1.0719099999999999</v>
      </c>
      <c r="AF152" s="1">
        <v>1.0382400000000001</v>
      </c>
      <c r="AG152" s="1">
        <v>1.0311699999999999</v>
      </c>
      <c r="AH152" s="1">
        <v>1.07029</v>
      </c>
      <c r="AI152" s="1">
        <v>1.0785499999999999</v>
      </c>
      <c r="AJ152" s="1">
        <v>1.10666</v>
      </c>
      <c r="AL152" s="4" t="s">
        <v>29</v>
      </c>
      <c r="AM152" s="6" t="str" cm="1">
        <f t="array" ref="AM152">IFERROR((SUMPRODUCT(($D$148:$D$171=AM$146)*($F$145:$AJ$145="")*$F$148:$AJ$171)+IF(AM$146="P6",SUMPRODUCT(($F$145:$AJ$145="P6")*$F$148:$AJ$171),0))/(SUMPRODUCT(($D$148:$D$171=AM$146)*($F$145:$AJ$145=""))+IF(AM$146="P6",COUNTIF($F$145:$AJ$145,"P6")*ROWS($D$148:$D$171),0)),"")</f>
        <v/>
      </c>
      <c r="AN152" s="6" t="str" cm="1">
        <f t="array" ref="AN152">IFERROR((SUMPRODUCT(($D$148:$D$171=AN$146)*($F$145:$AJ$145="")*$F$148:$AJ$171)+IF(AN$146="P6",SUMPRODUCT(($F$145:$AJ$145="P6")*$F$148:$AJ$171),0))/(SUMPRODUCT(($D$148:$D$171=AN$146)*($F$145:$AJ$145=""))+IF(AN$146="P6",COUNTIF($F$145:$AJ$145,"P6")*ROWS($D$148:$D$171),0)),"")</f>
        <v/>
      </c>
      <c r="AO152" s="5" t="str" cm="1">
        <f t="array" ref="AO152">IFERROR((SUMPRODUCT(($D$148:$D$171=AO$146)*($F$145:$AJ$145="")*$F$148:$AJ$171)+IF(AO$146="P6",SUMPRODUCT(($F$145:$AJ$145="P6")*$F$148:$AJ$171),0))/(SUMPRODUCT(($D$148:$D$171=AO$146)*($F$145:$AJ$145=""))+IF(AO$146="P6",COUNTIF($F$145:$AJ$145,"P6")*ROWS($D$148:$D$171),0)),"")</f>
        <v/>
      </c>
      <c r="AP152" s="5" cm="1">
        <f t="array" ref="AP152">IFERROR((SUMPRODUCT(($D$148:$D$171=AP$146)*($F$145:$AJ$145="")*$F$148:$AJ$171)+IF(AP$146="P6",SUMPRODUCT(($F$145:$AJ$145="P6")*$F$148:$AJ$171),0))/(SUMPRODUCT(($D$148:$D$171=AP$146)*($F$145:$AJ$145=""))+IF(AP$146="P6",COUNTIF($F$145:$AJ$145,"P6")*ROWS($D$148:$D$171),0)),"")</f>
        <v>0.91791486772486808</v>
      </c>
      <c r="AQ152" s="5" cm="1">
        <f t="array" ref="AQ152">IFERROR((SUMPRODUCT(($D$148:$D$171=AQ$146)*($F$145:$AJ$145="")*$F$148:$AJ$171)+IF(AQ$146="P6",SUMPRODUCT(($F$145:$AJ$145="P6")*$F$148:$AJ$171),0))/(SUMPRODUCT(($D$148:$D$171=AQ$146)*($F$145:$AJ$145=""))+IF(AQ$146="P6",COUNTIF($F$145:$AJ$145,"P6")*ROWS($D$148:$D$171),0)),"")</f>
        <v>1.0943024489795929</v>
      </c>
      <c r="AR152" s="6" cm="1">
        <f t="array" ref="AR152">IFERROR((SUMPRODUCT(($D$148:$D$171=AR$146)*($F$145:$AJ$145="")*$F$148:$AJ$171)+IF(AR$146="P6",SUMPRODUCT(($F$145:$AJ$145="P6")*$F$148:$AJ$171),0))/(SUMPRODUCT(($D$148:$D$171=AR$146)*($F$145:$AJ$145=""))+IF(AR$146="P6",COUNTIF($F$145:$AJ$145,"P6")*ROWS($D$148:$D$171),0)),"")</f>
        <v>0.99264144607843074</v>
      </c>
    </row>
    <row r="153" spans="1:44" ht="14.25" customHeight="1" x14ac:dyDescent="0.35">
      <c r="A153" s="1" t="s">
        <v>7</v>
      </c>
      <c r="B153" s="1" t="s">
        <v>7</v>
      </c>
      <c r="C153" s="1" t="s">
        <v>15</v>
      </c>
      <c r="D153" s="1" t="s">
        <v>7</v>
      </c>
      <c r="E153" s="1" t="s">
        <v>18</v>
      </c>
      <c r="F153" s="1">
        <v>1.1852400000000001</v>
      </c>
      <c r="G153" s="1">
        <v>1.05802</v>
      </c>
      <c r="H153" s="1">
        <v>1.1158999999999999</v>
      </c>
      <c r="I153" s="1">
        <v>1.14839</v>
      </c>
      <c r="J153" s="1">
        <v>1.04386</v>
      </c>
      <c r="K153" s="1">
        <v>1.0143500000000001</v>
      </c>
      <c r="L153" s="1">
        <v>1.0152399999999999</v>
      </c>
      <c r="M153" s="1">
        <v>1.04192</v>
      </c>
      <c r="N153" s="1">
        <v>1.05802</v>
      </c>
      <c r="O153" s="1">
        <v>1.1158999999999999</v>
      </c>
      <c r="P153" s="1">
        <v>1.14839</v>
      </c>
      <c r="Q153" s="1">
        <v>1.04386</v>
      </c>
      <c r="R153" s="1">
        <v>1.0143500000000001</v>
      </c>
      <c r="S153" s="1">
        <v>1.0152399999999999</v>
      </c>
      <c r="T153" s="1">
        <v>1.04192</v>
      </c>
      <c r="U153" s="1">
        <v>1.05802</v>
      </c>
      <c r="V153" s="1">
        <v>1.1158999999999999</v>
      </c>
      <c r="W153" s="1">
        <v>1.14839</v>
      </c>
      <c r="X153" s="1">
        <v>1.04386</v>
      </c>
      <c r="Y153" s="1">
        <v>1.0143500000000001</v>
      </c>
      <c r="Z153" s="1">
        <v>1.0152399999999999</v>
      </c>
      <c r="AA153" s="1">
        <v>1.04192</v>
      </c>
      <c r="AB153" s="1">
        <v>1.05802</v>
      </c>
      <c r="AC153" s="1">
        <v>1.1158999999999999</v>
      </c>
      <c r="AD153" s="1">
        <v>1.14839</v>
      </c>
      <c r="AE153" s="1">
        <v>1.04386</v>
      </c>
      <c r="AF153" s="1">
        <v>1.0143500000000001</v>
      </c>
      <c r="AG153" s="1">
        <v>1.0152399999999999</v>
      </c>
      <c r="AH153" s="1">
        <v>1.04192</v>
      </c>
      <c r="AI153" s="1">
        <v>1.05802</v>
      </c>
      <c r="AJ153" s="1">
        <v>1.1158999999999999</v>
      </c>
      <c r="AL153" s="10"/>
      <c r="AM153" s="10"/>
      <c r="AN153" s="10"/>
      <c r="AO153" s="10"/>
      <c r="AP153" s="10"/>
      <c r="AQ153" s="10"/>
      <c r="AR153" s="10"/>
    </row>
    <row r="154" spans="1:44" ht="14.25" customHeight="1" x14ac:dyDescent="0.35">
      <c r="A154" s="1" t="s">
        <v>7</v>
      </c>
      <c r="B154" s="1" t="s">
        <v>7</v>
      </c>
      <c r="C154" s="1" t="s">
        <v>15</v>
      </c>
      <c r="D154" s="1" t="s">
        <v>7</v>
      </c>
      <c r="E154" s="1" t="s">
        <v>20</v>
      </c>
      <c r="F154" s="1">
        <v>1.18313</v>
      </c>
      <c r="G154" s="1">
        <v>0.99675999999999998</v>
      </c>
      <c r="H154" s="1">
        <v>1.11209</v>
      </c>
      <c r="I154" s="1">
        <v>1.13592</v>
      </c>
      <c r="J154" s="1">
        <v>0.96731999999999996</v>
      </c>
      <c r="K154" s="1">
        <v>0.94755999999999996</v>
      </c>
      <c r="L154" s="1">
        <v>0.95543</v>
      </c>
      <c r="M154" s="1">
        <v>0.98111999999999999</v>
      </c>
      <c r="N154" s="1">
        <v>0.99675999999999998</v>
      </c>
      <c r="O154" s="1">
        <v>1.11209</v>
      </c>
      <c r="P154" s="1">
        <v>1.13592</v>
      </c>
      <c r="Q154" s="1">
        <v>0.96731999999999996</v>
      </c>
      <c r="R154" s="1">
        <v>0.94755999999999996</v>
      </c>
      <c r="S154" s="1">
        <v>0.95543</v>
      </c>
      <c r="T154" s="1">
        <v>0.98111999999999999</v>
      </c>
      <c r="U154" s="1">
        <v>0.99675999999999998</v>
      </c>
      <c r="V154" s="1">
        <v>1.11209</v>
      </c>
      <c r="W154" s="1">
        <v>1.13592</v>
      </c>
      <c r="X154" s="1">
        <v>0.96731999999999996</v>
      </c>
      <c r="Y154" s="1">
        <v>0.94755999999999996</v>
      </c>
      <c r="Z154" s="1">
        <v>0.95543</v>
      </c>
      <c r="AA154" s="1">
        <v>0.98111999999999999</v>
      </c>
      <c r="AB154" s="1">
        <v>0.99675999999999998</v>
      </c>
      <c r="AC154" s="1">
        <v>1.11209</v>
      </c>
      <c r="AD154" s="1">
        <v>1.13592</v>
      </c>
      <c r="AE154" s="1">
        <v>0.96731999999999996</v>
      </c>
      <c r="AF154" s="1">
        <v>0.94755999999999996</v>
      </c>
      <c r="AG154" s="1">
        <v>0.95543</v>
      </c>
      <c r="AH154" s="1">
        <v>0.98111999999999999</v>
      </c>
      <c r="AI154" s="1">
        <v>0.99675999999999998</v>
      </c>
      <c r="AJ154" s="1">
        <v>1.11209</v>
      </c>
      <c r="AL154" s="10"/>
      <c r="AM154" s="10"/>
      <c r="AN154" s="10"/>
      <c r="AO154" s="10"/>
      <c r="AP154" s="10"/>
      <c r="AQ154" s="10"/>
      <c r="AR154" s="10"/>
    </row>
    <row r="155" spans="1:44" ht="14.25" customHeight="1" x14ac:dyDescent="0.35">
      <c r="A155" s="1" t="s">
        <v>7</v>
      </c>
      <c r="B155" s="1" t="s">
        <v>7</v>
      </c>
      <c r="C155" s="1" t="s">
        <v>15</v>
      </c>
      <c r="D155" s="1" t="s">
        <v>7</v>
      </c>
      <c r="E155" s="1" t="s">
        <v>22</v>
      </c>
      <c r="F155" s="1">
        <v>1.15771</v>
      </c>
      <c r="G155" s="1">
        <v>0.91356000000000004</v>
      </c>
      <c r="H155" s="1">
        <v>1.06881</v>
      </c>
      <c r="I155" s="1">
        <v>1.1106499999999999</v>
      </c>
      <c r="J155" s="1">
        <v>0.90261000000000002</v>
      </c>
      <c r="K155" s="1">
        <v>0.87966</v>
      </c>
      <c r="L155" s="1">
        <v>0.88126000000000004</v>
      </c>
      <c r="M155" s="1">
        <v>0.90712999999999999</v>
      </c>
      <c r="N155" s="1">
        <v>0.91356000000000004</v>
      </c>
      <c r="O155" s="1">
        <v>1.06881</v>
      </c>
      <c r="P155" s="1">
        <v>1.1106499999999999</v>
      </c>
      <c r="Q155" s="1">
        <v>0.90261000000000002</v>
      </c>
      <c r="R155" s="1">
        <v>0.87966</v>
      </c>
      <c r="S155" s="1">
        <v>0.88126000000000004</v>
      </c>
      <c r="T155" s="1">
        <v>0.90712999999999999</v>
      </c>
      <c r="U155" s="1">
        <v>0.91356000000000004</v>
      </c>
      <c r="V155" s="1">
        <v>1.06881</v>
      </c>
      <c r="W155" s="1">
        <v>1.1106499999999999</v>
      </c>
      <c r="X155" s="1">
        <v>0.90261000000000002</v>
      </c>
      <c r="Y155" s="1">
        <v>0.87966</v>
      </c>
      <c r="Z155" s="1">
        <v>0.88126000000000004</v>
      </c>
      <c r="AA155" s="1">
        <v>0.90712999999999999</v>
      </c>
      <c r="AB155" s="1">
        <v>0.91356000000000004</v>
      </c>
      <c r="AC155" s="1">
        <v>1.06881</v>
      </c>
      <c r="AD155" s="1">
        <v>1.1106499999999999</v>
      </c>
      <c r="AE155" s="1">
        <v>0.90261000000000002</v>
      </c>
      <c r="AF155" s="1">
        <v>0.87966</v>
      </c>
      <c r="AG155" s="1">
        <v>0.88126000000000004</v>
      </c>
      <c r="AH155" s="1">
        <v>0.90712999999999999</v>
      </c>
      <c r="AI155" s="1">
        <v>0.91356000000000004</v>
      </c>
      <c r="AJ155" s="1">
        <v>1.06881</v>
      </c>
      <c r="AL155" s="14" t="s">
        <v>91</v>
      </c>
      <c r="AM155" s="14"/>
      <c r="AN155" s="14"/>
      <c r="AO155" s="14"/>
      <c r="AP155" s="14"/>
      <c r="AQ155" s="14"/>
      <c r="AR155" s="14"/>
    </row>
    <row r="156" spans="1:44" ht="14.25" customHeight="1" x14ac:dyDescent="0.35">
      <c r="A156" s="1" t="s">
        <v>17</v>
      </c>
      <c r="B156" s="1" t="s">
        <v>15</v>
      </c>
      <c r="C156" s="1" t="s">
        <v>14</v>
      </c>
      <c r="D156" s="1" t="s">
        <v>17</v>
      </c>
      <c r="E156" s="1" t="s">
        <v>24</v>
      </c>
      <c r="F156" s="1">
        <v>1.0346599999999999</v>
      </c>
      <c r="G156" s="1">
        <v>1.0759799999999999</v>
      </c>
      <c r="H156" s="1">
        <v>0.92149999999999999</v>
      </c>
      <c r="I156" s="1">
        <v>0.97155000000000002</v>
      </c>
      <c r="J156" s="1">
        <v>1.0678000000000001</v>
      </c>
      <c r="K156" s="1">
        <v>1.0591200000000001</v>
      </c>
      <c r="L156" s="1">
        <v>1.0334399999999999</v>
      </c>
      <c r="M156" s="1">
        <v>1.08386</v>
      </c>
      <c r="N156" s="1">
        <v>1.0759799999999999</v>
      </c>
      <c r="O156" s="1">
        <v>0.92149999999999999</v>
      </c>
      <c r="P156" s="1">
        <v>0.97155000000000002</v>
      </c>
      <c r="Q156" s="1">
        <v>1.0678000000000001</v>
      </c>
      <c r="R156" s="1">
        <v>1.0591200000000001</v>
      </c>
      <c r="S156" s="1">
        <v>1.0334399999999999</v>
      </c>
      <c r="T156" s="1">
        <v>1.08386</v>
      </c>
      <c r="U156" s="1">
        <v>1.0759799999999999</v>
      </c>
      <c r="V156" s="1">
        <v>0.92149999999999999</v>
      </c>
      <c r="W156" s="1">
        <v>0.97155000000000002</v>
      </c>
      <c r="X156" s="1">
        <v>1.0678000000000001</v>
      </c>
      <c r="Y156" s="1">
        <v>1.0591200000000001</v>
      </c>
      <c r="Z156" s="1">
        <v>1.0334399999999999</v>
      </c>
      <c r="AA156" s="1">
        <v>1.08386</v>
      </c>
      <c r="AB156" s="1">
        <v>1.0759799999999999</v>
      </c>
      <c r="AC156" s="1">
        <v>0.92149999999999999</v>
      </c>
      <c r="AD156" s="1">
        <v>0.97155000000000002</v>
      </c>
      <c r="AE156" s="1">
        <v>1.0678000000000001</v>
      </c>
      <c r="AF156" s="1">
        <v>1.0591200000000001</v>
      </c>
      <c r="AG156" s="1">
        <v>1.0334399999999999</v>
      </c>
      <c r="AH156" s="1">
        <v>1.08386</v>
      </c>
      <c r="AI156" s="1">
        <v>1.0759799999999999</v>
      </c>
      <c r="AJ156" s="1">
        <v>0.92149999999999999</v>
      </c>
      <c r="AL156" s="4"/>
      <c r="AM156" s="4" t="s">
        <v>13</v>
      </c>
      <c r="AN156" s="4" t="s">
        <v>14</v>
      </c>
      <c r="AO156" s="4" t="s">
        <v>15</v>
      </c>
      <c r="AP156" s="4" t="s">
        <v>16</v>
      </c>
      <c r="AQ156" s="4" t="s">
        <v>17</v>
      </c>
      <c r="AR156" s="4" t="s">
        <v>7</v>
      </c>
    </row>
    <row r="157" spans="1:44" ht="14.25" customHeight="1" x14ac:dyDescent="0.35">
      <c r="A157" s="1" t="s">
        <v>17</v>
      </c>
      <c r="B157" s="1" t="s">
        <v>15</v>
      </c>
      <c r="C157" s="1" t="s">
        <v>14</v>
      </c>
      <c r="D157" s="1" t="s">
        <v>16</v>
      </c>
      <c r="E157" s="1" t="s">
        <v>26</v>
      </c>
      <c r="F157" s="1">
        <v>0.96725000000000005</v>
      </c>
      <c r="G157" s="1">
        <v>0.87461999999999995</v>
      </c>
      <c r="H157" s="1">
        <v>0.85621999999999998</v>
      </c>
      <c r="I157" s="1">
        <v>0.88104000000000005</v>
      </c>
      <c r="J157" s="1">
        <v>0.88180000000000003</v>
      </c>
      <c r="K157" s="1">
        <v>0.88756000000000002</v>
      </c>
      <c r="L157" s="1">
        <v>0.88005</v>
      </c>
      <c r="M157" s="1">
        <v>0.89332</v>
      </c>
      <c r="N157" s="1">
        <v>0.87461999999999995</v>
      </c>
      <c r="O157" s="1">
        <v>0.85621999999999998</v>
      </c>
      <c r="P157" s="1">
        <v>0.88104000000000005</v>
      </c>
      <c r="Q157" s="1">
        <v>0.88180000000000003</v>
      </c>
      <c r="R157" s="1">
        <v>0.88756000000000002</v>
      </c>
      <c r="S157" s="1">
        <v>0.88005</v>
      </c>
      <c r="T157" s="1">
        <v>0.89332</v>
      </c>
      <c r="U157" s="1">
        <v>0.87461999999999995</v>
      </c>
      <c r="V157" s="1">
        <v>0.85621999999999998</v>
      </c>
      <c r="W157" s="1">
        <v>0.88104000000000005</v>
      </c>
      <c r="X157" s="1">
        <v>0.88180000000000003</v>
      </c>
      <c r="Y157" s="1">
        <v>0.88756000000000002</v>
      </c>
      <c r="Z157" s="1">
        <v>0.88005</v>
      </c>
      <c r="AA157" s="1">
        <v>0.89332</v>
      </c>
      <c r="AB157" s="1">
        <v>0.87461999999999995</v>
      </c>
      <c r="AC157" s="1">
        <v>0.85621999999999998</v>
      </c>
      <c r="AD157" s="1">
        <v>0.88104000000000005</v>
      </c>
      <c r="AE157" s="1">
        <v>0.88180000000000003</v>
      </c>
      <c r="AF157" s="1">
        <v>0.88756000000000002</v>
      </c>
      <c r="AG157" s="1">
        <v>0.88005</v>
      </c>
      <c r="AH157" s="1">
        <v>0.89332</v>
      </c>
      <c r="AI157" s="1">
        <v>0.87461999999999995</v>
      </c>
      <c r="AJ157" s="1">
        <v>0.85621999999999998</v>
      </c>
      <c r="AL157" s="4" t="s">
        <v>19</v>
      </c>
      <c r="AM157" s="6" cm="1">
        <f t="array" ref="AM157">IFERROR((SUMPRODUCT(($C$148:$C$171=AM$146)*($F$144:$AJ$144="")*$F$148:$AJ$171)+IF(AM$146="P3",SUMPRODUCT(($F$144:$AJ$144="P3")*$F$148:$AJ$171),0))/(SUMPRODUCT(($C$148:$C$171=AM$146)*($F$144:$AJ$144=""))+IF(AM$146="P3",COUNTIF($F$144:$AJ$144,"P3")*ROWS($C$148:$C$171),0)),"")</f>
        <v>0.92227315476190508</v>
      </c>
      <c r="AN157" s="6" cm="1">
        <f t="array" ref="AN157">IFERROR((SUMPRODUCT(($C$148:$C$171=AN$146)*($F$144:$AJ$144="")*$F$148:$AJ$171)+IF(AN$146="P3",SUMPRODUCT(($F$144:$AJ$144="P3")*$F$148:$AJ$171),0))/(SUMPRODUCT(($C$148:$C$171=AN$146)*($F$144:$AJ$144=""))+IF(AN$146="P3",COUNTIF($F$144:$AJ$144,"P3")*ROWS($C$148:$C$171),0)),"")</f>
        <v>1.0678957142857139</v>
      </c>
      <c r="AO157" s="6" cm="1">
        <f t="array" ref="AO157">IFERROR((SUMPRODUCT(($C$148:$C$171=AO$146)*($F$144:$AJ$144="")*$F$148:$AJ$171)+IF(AO$146="P3",SUMPRODUCT(($F$144:$AJ$144="P3")*$F$148:$AJ$171),0))/(SUMPRODUCT(($C$148:$C$171=AO$146)*($F$144:$AJ$144=""))+IF(AO$146="P3",COUNTIF($F$144:$AJ$144,"P3")*ROWS($C$148:$C$171),0)),"")</f>
        <v>0.99264144607843074</v>
      </c>
      <c r="AP157" s="6" t="str" cm="1">
        <f t="array" ref="AP157">IFERROR((SUMPRODUCT(($C$148:$C$171=AP$146)*($F$144:$AJ$144="")*$F$148:$AJ$171)+IF(AP$146="P3",SUMPRODUCT(($F$144:$AJ$144="P3")*$F$148:$AJ$171),0))/(SUMPRODUCT(($C$148:$C$171=AP$146)*($F$144:$AJ$144=""))+IF(AP$146="P3",COUNTIF($F$144:$AJ$144,"P3")*ROWS($C$148:$C$171),0)),"")</f>
        <v/>
      </c>
      <c r="AQ157" s="6" t="str" cm="1">
        <f t="array" ref="AQ157">IFERROR((SUMPRODUCT(($C$148:$C$171=AQ$146)*($F$144:$AJ$144="")*$F$148:$AJ$171)+IF(AQ$146="P3",SUMPRODUCT(($F$144:$AJ$144="P3")*$F$148:$AJ$171),0))/(SUMPRODUCT(($C$148:$C$171=AQ$146)*($F$144:$AJ$144=""))+IF(AQ$146="P3",COUNTIF($F$144:$AJ$144,"P3")*ROWS($C$148:$C$171),0)),"")</f>
        <v/>
      </c>
      <c r="AR157" s="6" t="str" cm="1">
        <f t="array" ref="AR157">IFERROR((SUMPRODUCT(($C$148:$C$171=AR$146)*($F$144:$AJ$144="")*$F$148:$AJ$171)+IF(AR$146="P3",SUMPRODUCT(($F$144:$AJ$144="P3")*$F$148:$AJ$171),0))/(SUMPRODUCT(($C$148:$C$171=AR$146)*($F$144:$AJ$144=""))+IF(AR$146="P3",COUNTIF($F$144:$AJ$144,"P3")*ROWS($C$148:$C$171),0)),"")</f>
        <v/>
      </c>
    </row>
    <row r="158" spans="1:44" ht="14.25" customHeight="1" x14ac:dyDescent="0.35">
      <c r="A158" s="1" t="s">
        <v>16</v>
      </c>
      <c r="B158" s="1" t="s">
        <v>14</v>
      </c>
      <c r="C158" s="1" t="s">
        <v>13</v>
      </c>
      <c r="D158" s="1" t="s">
        <v>16</v>
      </c>
      <c r="E158" s="1" t="s">
        <v>28</v>
      </c>
      <c r="F158" s="1">
        <v>0.90900000000000003</v>
      </c>
      <c r="G158" s="1">
        <v>0.87468999999999997</v>
      </c>
      <c r="H158" s="1">
        <v>0.84240000000000004</v>
      </c>
      <c r="I158" s="1">
        <v>0.81906000000000001</v>
      </c>
      <c r="J158" s="1">
        <v>0.83826999999999996</v>
      </c>
      <c r="K158" s="1">
        <v>0.87814000000000003</v>
      </c>
      <c r="L158" s="1">
        <v>0.88117999999999996</v>
      </c>
      <c r="M158" s="1">
        <v>0.87444999999999995</v>
      </c>
      <c r="N158" s="1">
        <v>0.87468999999999997</v>
      </c>
      <c r="O158" s="1">
        <v>0.84240000000000004</v>
      </c>
      <c r="P158" s="1">
        <v>0.81906000000000001</v>
      </c>
      <c r="Q158" s="1">
        <v>0.83826999999999996</v>
      </c>
      <c r="R158" s="1">
        <v>0.87814000000000003</v>
      </c>
      <c r="S158" s="1">
        <v>0.88117999999999996</v>
      </c>
      <c r="T158" s="1">
        <v>0.87444999999999995</v>
      </c>
      <c r="U158" s="1">
        <v>0.87468999999999997</v>
      </c>
      <c r="V158" s="1">
        <v>0.84240000000000004</v>
      </c>
      <c r="W158" s="1">
        <v>0.81906000000000001</v>
      </c>
      <c r="X158" s="1">
        <v>0.83826999999999996</v>
      </c>
      <c r="Y158" s="1">
        <v>0.87814000000000003</v>
      </c>
      <c r="Z158" s="1">
        <v>0.88117999999999996</v>
      </c>
      <c r="AA158" s="1">
        <v>0.87444999999999995</v>
      </c>
      <c r="AB158" s="1">
        <v>0.87468999999999997</v>
      </c>
      <c r="AC158" s="1">
        <v>0.84240000000000004</v>
      </c>
      <c r="AD158" s="1">
        <v>0.81906000000000001</v>
      </c>
      <c r="AE158" s="1">
        <v>0.83826999999999996</v>
      </c>
      <c r="AF158" s="1">
        <v>0.87814000000000003</v>
      </c>
      <c r="AG158" s="1">
        <v>0.88117999999999996</v>
      </c>
      <c r="AH158" s="1">
        <v>0.87444999999999995</v>
      </c>
      <c r="AI158" s="1">
        <v>0.87468999999999997</v>
      </c>
      <c r="AJ158" s="1">
        <v>0.84240000000000004</v>
      </c>
      <c r="AL158" s="4" t="s">
        <v>21</v>
      </c>
      <c r="AM158" s="6" t="str" cm="1">
        <f t="array" ref="AM158">IFERROR((SUMPRODUCT(($A$148:$A$171=AM$146)*($F$145:$AJ$145="")*$F$148:$AJ$171)+IF(AM$146="P6",SUMPRODUCT(($F$145:$AJ$145="P6")*$F$148:$AJ$171),0))/(SUMPRODUCT(($A$148:$A$171=AM$146)*($F$145:$AJ$145=""))+IF(AM$146="P6",COUNTIF($F$145:$AJ$145,"P6")*ROWS($A$148:$A$171),0)),"")</f>
        <v/>
      </c>
      <c r="AN158" s="6" t="str" cm="1">
        <f t="array" ref="AN158">IFERROR((SUMPRODUCT(($A$148:$A$171=AN$146)*($F$145:$AJ$145="")*$F$148:$AJ$171)+IF(AN$146="P6",SUMPRODUCT(($F$145:$AJ$145="P6")*$F$148:$AJ$171),0))/(SUMPRODUCT(($A$148:$A$171=AN$146)*($F$145:$AJ$145=""))+IF(AN$146="P6",COUNTIF($F$145:$AJ$145,"P6")*ROWS($A$148:$A$171),0)),"")</f>
        <v/>
      </c>
      <c r="AO158" s="6" t="str" cm="1">
        <f t="array" ref="AO158">IFERROR((SUMPRODUCT(($A$148:$A$171=AO$146)*($F$145:$AJ$145="")*$F$148:$AJ$171)+IF(AO$146="P6",SUMPRODUCT(($F$145:$AJ$145="P6")*$F$148:$AJ$171),0))/(SUMPRODUCT(($A$148:$A$171=AO$146)*($F$145:$AJ$145=""))+IF(AO$146="P6",COUNTIF($F$145:$AJ$145,"P6")*ROWS($A$148:$A$171),0)),"")</f>
        <v/>
      </c>
      <c r="AP158" s="6" cm="1">
        <f t="array" ref="AP158">IFERROR((SUMPRODUCT(($A$148:$A$171=AP$146)*($F$145:$AJ$145="")*$F$148:$AJ$171)+IF(AP$146="P6",SUMPRODUCT(($F$145:$AJ$145="P6")*$F$148:$AJ$171),0))/(SUMPRODUCT(($A$148:$A$171=AP$146)*($F$145:$AJ$145=""))+IF(AP$146="P6",COUNTIF($F$145:$AJ$145,"P6")*ROWS($A$148:$A$171),0)),"")</f>
        <v>0.92722830687830715</v>
      </c>
      <c r="AQ158" s="6" cm="1">
        <f t="array" ref="AQ158">IFERROR((SUMPRODUCT(($A$148:$A$171=AQ$146)*($F$145:$AJ$145="")*$F$148:$AJ$171)+IF(AQ$146="P6",SUMPRODUCT(($F$145:$AJ$145="P6")*$F$148:$AJ$171),0))/(SUMPRODUCT(($A$148:$A$171=AQ$146)*($F$145:$AJ$145=""))+IF(AQ$146="P6",COUNTIF($F$145:$AJ$145,"P6")*ROWS($A$148:$A$171),0)),"")</f>
        <v>1.0823280272108857</v>
      </c>
      <c r="AR158" s="6" cm="1">
        <f t="array" ref="AR158">IFERROR((SUMPRODUCT(($A$148:$A$171=AR$146)*($F$145:$AJ$145="")*$F$148:$AJ$171)+IF(AR$146="P6",SUMPRODUCT(($F$145:$AJ$145="P6")*$F$148:$AJ$171),0))/(SUMPRODUCT(($A$148:$A$171=AR$146)*($F$145:$AJ$145=""))+IF(AR$146="P6",COUNTIF($F$145:$AJ$145,"P6")*ROWS($A$148:$A$171),0)),"")</f>
        <v>0.99264144607843074</v>
      </c>
    </row>
    <row r="159" spans="1:44" ht="14.25" customHeight="1" x14ac:dyDescent="0.35">
      <c r="A159" s="1" t="s">
        <v>16</v>
      </c>
      <c r="B159" s="1" t="s">
        <v>14</v>
      </c>
      <c r="C159" s="1" t="s">
        <v>13</v>
      </c>
      <c r="D159" s="1" t="s">
        <v>16</v>
      </c>
      <c r="E159" s="1" t="s">
        <v>30</v>
      </c>
      <c r="F159" s="1">
        <v>0.87583999999999995</v>
      </c>
      <c r="G159" s="1">
        <v>0.87744999999999995</v>
      </c>
      <c r="H159" s="1">
        <v>0.82359000000000004</v>
      </c>
      <c r="I159" s="1">
        <v>0.77173999999999998</v>
      </c>
      <c r="J159" s="1">
        <v>0.83667999999999998</v>
      </c>
      <c r="K159" s="1">
        <v>0.85016000000000003</v>
      </c>
      <c r="L159" s="1">
        <v>0.87192000000000003</v>
      </c>
      <c r="M159" s="1">
        <v>0.87880999999999998</v>
      </c>
      <c r="N159" s="1">
        <v>0.87744999999999995</v>
      </c>
      <c r="O159" s="1">
        <v>0.82359000000000004</v>
      </c>
      <c r="P159" s="1">
        <v>0.77173999999999998</v>
      </c>
      <c r="Q159" s="1">
        <v>0.83667999999999998</v>
      </c>
      <c r="R159" s="1">
        <v>0.85016000000000003</v>
      </c>
      <c r="S159" s="1">
        <v>0.87192000000000003</v>
      </c>
      <c r="T159" s="1">
        <v>0.87880999999999998</v>
      </c>
      <c r="U159" s="1">
        <v>0.87744999999999995</v>
      </c>
      <c r="V159" s="1">
        <v>0.82359000000000004</v>
      </c>
      <c r="W159" s="1">
        <v>0.77173999999999998</v>
      </c>
      <c r="X159" s="1">
        <v>0.83667999999999998</v>
      </c>
      <c r="Y159" s="1">
        <v>0.85016000000000003</v>
      </c>
      <c r="Z159" s="1">
        <v>0.87192000000000003</v>
      </c>
      <c r="AA159" s="1">
        <v>0.87880999999999998</v>
      </c>
      <c r="AB159" s="1">
        <v>0.87744999999999995</v>
      </c>
      <c r="AC159" s="1">
        <v>0.82359000000000004</v>
      </c>
      <c r="AD159" s="1">
        <v>0.77173999999999998</v>
      </c>
      <c r="AE159" s="1">
        <v>0.83667999999999998</v>
      </c>
      <c r="AF159" s="1">
        <v>0.85016000000000003</v>
      </c>
      <c r="AG159" s="1">
        <v>0.87192000000000003</v>
      </c>
      <c r="AH159" s="1">
        <v>0.87880999999999998</v>
      </c>
      <c r="AI159" s="1">
        <v>0.87744999999999995</v>
      </c>
      <c r="AJ159" s="1">
        <v>0.82359000000000004</v>
      </c>
      <c r="AL159" s="4" t="s">
        <v>23</v>
      </c>
      <c r="AM159" s="6" t="str" cm="1">
        <f t="array" ref="AM159">IFERROR((SUMPRODUCT(($A$148:$A$171=AM$146)*($F$145:$AJ$145="")*$F$148:$AJ$171)+IF(AM$146="P6",SUMPRODUCT(($F$145:$AJ$145="P6")*$F$148:$AJ$171),0))/(SUMPRODUCT(($A$148:$A$171=AM$146)*($F$145:$AJ$145=""))+IF(AM$146="P6",COUNTIF($F$145:$AJ$145,"P6")*ROWS($A$148:$A$171),0)),"")</f>
        <v/>
      </c>
      <c r="AN159" s="6" t="str" cm="1">
        <f t="array" ref="AN159">IFERROR((SUMPRODUCT(($A$148:$A$171=AN$146)*($F$145:$AJ$145="")*$F$148:$AJ$171)+IF(AN$146="P6",SUMPRODUCT(($F$145:$AJ$145="P6")*$F$148:$AJ$171),0))/(SUMPRODUCT(($A$148:$A$171=AN$146)*($F$145:$AJ$145=""))+IF(AN$146="P6",COUNTIF($F$145:$AJ$145,"P6")*ROWS($A$148:$A$171),0)),"")</f>
        <v/>
      </c>
      <c r="AO159" s="6" t="str" cm="1">
        <f t="array" ref="AO159">IFERROR((SUMPRODUCT(($A$148:$A$171=AO$146)*($F$145:$AJ$145="")*$F$148:$AJ$171)+IF(AO$146="P6",SUMPRODUCT(($F$145:$AJ$145="P6")*$F$148:$AJ$171),0))/(SUMPRODUCT(($A$148:$A$171=AO$146)*($F$145:$AJ$145=""))+IF(AO$146="P6",COUNTIF($F$145:$AJ$145,"P6")*ROWS($A$148:$A$171),0)),"")</f>
        <v/>
      </c>
      <c r="AP159" s="6" cm="1">
        <f t="array" ref="AP159">IFERROR((SUMPRODUCT(($A$148:$A$171=AP$146)*($F$145:$AJ$145="")*$F$148:$AJ$171)+IF(AP$146="P6",SUMPRODUCT(($F$145:$AJ$145="P6")*$F$148:$AJ$171),0))/(SUMPRODUCT(($A$148:$A$171=AP$146)*($F$145:$AJ$145=""))+IF(AP$146="P6",COUNTIF($F$145:$AJ$145,"P6")*ROWS($A$148:$A$171),0)),"")</f>
        <v>0.92722830687830715</v>
      </c>
      <c r="AQ159" s="6" cm="1">
        <f t="array" ref="AQ159">IFERROR((SUMPRODUCT(($A$148:$A$171=AQ$146)*($F$145:$AJ$145="")*$F$148:$AJ$171)+IF(AQ$146="P6",SUMPRODUCT(($F$145:$AJ$145="P6")*$F$148:$AJ$171),0))/(SUMPRODUCT(($A$148:$A$171=AQ$146)*($F$145:$AJ$145=""))+IF(AQ$146="P6",COUNTIF($F$145:$AJ$145,"P6")*ROWS($A$148:$A$171),0)),"")</f>
        <v>1.0823280272108857</v>
      </c>
      <c r="AR159" s="6" cm="1">
        <f t="array" ref="AR159">IFERROR((SUMPRODUCT(($A$148:$A$171=AR$146)*($F$145:$AJ$145="")*$F$148:$AJ$171)+IF(AR$146="P6",SUMPRODUCT(($F$145:$AJ$145="P6")*$F$148:$AJ$171),0))/(SUMPRODUCT(($A$148:$A$171=AR$146)*($F$145:$AJ$145=""))+IF(AR$146="P6",COUNTIF($F$145:$AJ$145,"P6")*ROWS($A$148:$A$171),0)),"")</f>
        <v>0.99264144607843074</v>
      </c>
    </row>
    <row r="160" spans="1:44" ht="14.25" customHeight="1" x14ac:dyDescent="0.35">
      <c r="A160" s="1" t="s">
        <v>16</v>
      </c>
      <c r="B160" s="1" t="s">
        <v>14</v>
      </c>
      <c r="C160" s="1" t="s">
        <v>13</v>
      </c>
      <c r="D160" s="1" t="s">
        <v>16</v>
      </c>
      <c r="E160" s="1" t="s">
        <v>31</v>
      </c>
      <c r="F160" s="1">
        <v>0.88527</v>
      </c>
      <c r="G160" s="1">
        <v>0.86372000000000004</v>
      </c>
      <c r="H160" s="1">
        <v>0.81418999999999997</v>
      </c>
      <c r="I160" s="1">
        <v>0.75849999999999995</v>
      </c>
      <c r="J160" s="1">
        <v>0.82911000000000001</v>
      </c>
      <c r="K160" s="1">
        <v>0.83275999999999994</v>
      </c>
      <c r="L160" s="1">
        <v>0.86817</v>
      </c>
      <c r="M160" s="1">
        <v>0.87029000000000001</v>
      </c>
      <c r="N160" s="1">
        <v>0.86372000000000004</v>
      </c>
      <c r="O160" s="1">
        <v>0.81418999999999997</v>
      </c>
      <c r="P160" s="1">
        <v>0.75849999999999995</v>
      </c>
      <c r="Q160" s="1">
        <v>0.82911000000000001</v>
      </c>
      <c r="R160" s="1">
        <v>0.83275999999999994</v>
      </c>
      <c r="S160" s="1">
        <v>0.86817</v>
      </c>
      <c r="T160" s="1">
        <v>0.87029000000000001</v>
      </c>
      <c r="U160" s="1">
        <v>0.86372000000000004</v>
      </c>
      <c r="V160" s="1">
        <v>0.81418999999999997</v>
      </c>
      <c r="W160" s="1">
        <v>0.75849999999999995</v>
      </c>
      <c r="X160" s="1">
        <v>0.82911000000000001</v>
      </c>
      <c r="Y160" s="1">
        <v>0.83275999999999994</v>
      </c>
      <c r="Z160" s="1">
        <v>0.86817</v>
      </c>
      <c r="AA160" s="1">
        <v>0.87029000000000001</v>
      </c>
      <c r="AB160" s="1">
        <v>0.86372000000000004</v>
      </c>
      <c r="AC160" s="1">
        <v>0.81418999999999997</v>
      </c>
      <c r="AD160" s="1">
        <v>0.75849999999999995</v>
      </c>
      <c r="AE160" s="1">
        <v>0.82911000000000001</v>
      </c>
      <c r="AF160" s="1">
        <v>0.83275999999999994</v>
      </c>
      <c r="AG160" s="1">
        <v>0.86817</v>
      </c>
      <c r="AH160" s="1">
        <v>0.87029000000000001</v>
      </c>
      <c r="AI160" s="1">
        <v>0.86372000000000004</v>
      </c>
      <c r="AJ160" s="1">
        <v>0.81418999999999997</v>
      </c>
      <c r="AL160" s="4" t="s">
        <v>25</v>
      </c>
      <c r="AM160" s="6" t="str" cm="1">
        <f t="array" ref="AM160">IFERROR((SUMPRODUCT(($A$148:$A$171=AM$146)*($F$145:$AJ$145="")*$F$148:$AJ$171)+IF(AM$146="P6",SUMPRODUCT(($F$145:$AJ$145="P6")*$F$148:$AJ$171),0))/(SUMPRODUCT(($A$148:$A$171=AM$146)*($F$145:$AJ$145=""))+IF(AM$146="P6",COUNTIF($F$145:$AJ$145,"P6")*ROWS($A$148:$A$171),0)),"")</f>
        <v/>
      </c>
      <c r="AN160" s="6" t="str" cm="1">
        <f t="array" ref="AN160">IFERROR((SUMPRODUCT(($A$148:$A$171=AN$146)*($F$145:$AJ$145="")*$F$148:$AJ$171)+IF(AN$146="P6",SUMPRODUCT(($F$145:$AJ$145="P6")*$F$148:$AJ$171),0))/(SUMPRODUCT(($A$148:$A$171=AN$146)*($F$145:$AJ$145=""))+IF(AN$146="P6",COUNTIF($F$145:$AJ$145,"P6")*ROWS($A$148:$A$171),0)),"")</f>
        <v/>
      </c>
      <c r="AO160" s="6" t="str" cm="1">
        <f t="array" ref="AO160">IFERROR((SUMPRODUCT(($A$148:$A$171=AO$146)*($F$145:$AJ$145="")*$F$148:$AJ$171)+IF(AO$146="P6",SUMPRODUCT(($F$145:$AJ$145="P6")*$F$148:$AJ$171),0))/(SUMPRODUCT(($A$148:$A$171=AO$146)*($F$145:$AJ$145=""))+IF(AO$146="P6",COUNTIF($F$145:$AJ$145,"P6")*ROWS($A$148:$A$171),0)),"")</f>
        <v/>
      </c>
      <c r="AP160" s="6" cm="1">
        <f t="array" ref="AP160">IFERROR((SUMPRODUCT(($A$148:$A$171=AP$146)*($F$145:$AJ$145="")*$F$148:$AJ$171)+IF(AP$146="P6",SUMPRODUCT(($F$145:$AJ$145="P6")*$F$148:$AJ$171),0))/(SUMPRODUCT(($A$148:$A$171=AP$146)*($F$145:$AJ$145=""))+IF(AP$146="P6",COUNTIF($F$145:$AJ$145,"P6")*ROWS($A$148:$A$171),0)),"")</f>
        <v>0.92722830687830715</v>
      </c>
      <c r="AQ160" s="6" cm="1">
        <f t="array" ref="AQ160">IFERROR((SUMPRODUCT(($A$148:$A$171=AQ$146)*($F$145:$AJ$145="")*$F$148:$AJ$171)+IF(AQ$146="P6",SUMPRODUCT(($F$145:$AJ$145="P6")*$F$148:$AJ$171),0))/(SUMPRODUCT(($A$148:$A$171=AQ$146)*($F$145:$AJ$145=""))+IF(AQ$146="P6",COUNTIF($F$145:$AJ$145,"P6")*ROWS($A$148:$A$171),0)),"")</f>
        <v>1.0823280272108857</v>
      </c>
      <c r="AR160" s="6" cm="1">
        <f t="array" ref="AR160">IFERROR((SUMPRODUCT(($A$148:$A$171=AR$146)*($F$145:$AJ$145="")*$F$148:$AJ$171)+IF(AR$146="P6",SUMPRODUCT(($F$145:$AJ$145="P6")*$F$148:$AJ$171),0))/(SUMPRODUCT(($A$148:$A$171=AR$146)*($F$145:$AJ$145=""))+IF(AR$146="P6",COUNTIF($F$145:$AJ$145,"P6")*ROWS($A$148:$A$171),0)),"")</f>
        <v>0.99264144607843074</v>
      </c>
    </row>
    <row r="161" spans="1:44" ht="14.25" customHeight="1" x14ac:dyDescent="0.35">
      <c r="A161" s="1" t="s">
        <v>16</v>
      </c>
      <c r="B161" s="1" t="s">
        <v>14</v>
      </c>
      <c r="C161" s="1" t="s">
        <v>13</v>
      </c>
      <c r="D161" s="1" t="s">
        <v>16</v>
      </c>
      <c r="E161" s="1" t="s">
        <v>32</v>
      </c>
      <c r="F161" s="1">
        <v>0.85021000000000002</v>
      </c>
      <c r="G161" s="1">
        <v>0.83791000000000004</v>
      </c>
      <c r="H161" s="1">
        <v>0.77088000000000001</v>
      </c>
      <c r="I161" s="1">
        <v>0.73941000000000001</v>
      </c>
      <c r="J161" s="1">
        <v>0.82264999999999999</v>
      </c>
      <c r="K161" s="1">
        <v>0.82032000000000005</v>
      </c>
      <c r="L161" s="1">
        <v>0.85250999999999999</v>
      </c>
      <c r="M161" s="1">
        <v>0.85468999999999995</v>
      </c>
      <c r="N161" s="1">
        <v>0.83791000000000004</v>
      </c>
      <c r="O161" s="1">
        <v>0.77088000000000001</v>
      </c>
      <c r="P161" s="1">
        <v>0.73941000000000001</v>
      </c>
      <c r="Q161" s="1">
        <v>0.82264999999999999</v>
      </c>
      <c r="R161" s="1">
        <v>0.82032000000000005</v>
      </c>
      <c r="S161" s="1">
        <v>0.85250999999999999</v>
      </c>
      <c r="T161" s="1">
        <v>0.85468999999999995</v>
      </c>
      <c r="U161" s="1">
        <v>0.83791000000000004</v>
      </c>
      <c r="V161" s="1">
        <v>0.77088000000000001</v>
      </c>
      <c r="W161" s="1">
        <v>0.73941000000000001</v>
      </c>
      <c r="X161" s="1">
        <v>0.82264999999999999</v>
      </c>
      <c r="Y161" s="1">
        <v>0.82032000000000005</v>
      </c>
      <c r="Z161" s="1">
        <v>0.85250999999999999</v>
      </c>
      <c r="AA161" s="1">
        <v>0.85468999999999995</v>
      </c>
      <c r="AB161" s="1">
        <v>0.83791000000000004</v>
      </c>
      <c r="AC161" s="1">
        <v>0.77088000000000001</v>
      </c>
      <c r="AD161" s="1">
        <v>0.73941000000000001</v>
      </c>
      <c r="AE161" s="1">
        <v>0.82264999999999999</v>
      </c>
      <c r="AF161" s="1">
        <v>0.82032000000000005</v>
      </c>
      <c r="AG161" s="1">
        <v>0.85250999999999999</v>
      </c>
      <c r="AH161" s="1">
        <v>0.85468999999999995</v>
      </c>
      <c r="AI161" s="1">
        <v>0.83791000000000004</v>
      </c>
      <c r="AJ161" s="1">
        <v>0.77088000000000001</v>
      </c>
      <c r="AL161" s="4" t="s">
        <v>27</v>
      </c>
      <c r="AM161" s="6" t="str" cm="1">
        <f t="array" ref="AM161">IFERROR((SUMPRODUCT(($A$148:$A$171=AM$146)*($F$145:$AJ$145="")*$F$148:$AJ$171)+IF(AM$146="P6",SUMPRODUCT(($F$145:$AJ$145="P6")*$F$148:$AJ$171),0))/(SUMPRODUCT(($A$148:$A$171=AM$146)*($F$145:$AJ$145=""))+IF(AM$146="P6",COUNTIF($F$145:$AJ$145,"P6")*ROWS($A$148:$A$171),0)),"")</f>
        <v/>
      </c>
      <c r="AN161" s="6" t="str" cm="1">
        <f t="array" ref="AN161">IFERROR((SUMPRODUCT(($A$148:$A$171=AN$146)*($F$145:$AJ$145="")*$F$148:$AJ$171)+IF(AN$146="P6",SUMPRODUCT(($F$145:$AJ$145="P6")*$F$148:$AJ$171),0))/(SUMPRODUCT(($A$148:$A$171=AN$146)*($F$145:$AJ$145=""))+IF(AN$146="P6",COUNTIF($F$145:$AJ$145,"P6")*ROWS($A$148:$A$171),0)),"")</f>
        <v/>
      </c>
      <c r="AO161" s="6" t="str" cm="1">
        <f t="array" ref="AO161">IFERROR((SUMPRODUCT(($A$148:$A$171=AO$146)*($F$145:$AJ$145="")*$F$148:$AJ$171)+IF(AO$146="P6",SUMPRODUCT(($F$145:$AJ$145="P6")*$F$148:$AJ$171),0))/(SUMPRODUCT(($A$148:$A$171=AO$146)*($F$145:$AJ$145=""))+IF(AO$146="P6",COUNTIF($F$145:$AJ$145,"P6")*ROWS($A$148:$A$171),0)),"")</f>
        <v/>
      </c>
      <c r="AP161" s="6" cm="1">
        <f t="array" ref="AP161">IFERROR((SUMPRODUCT(($A$148:$A$171=AP$146)*($F$145:$AJ$145="")*$F$148:$AJ$171)+IF(AP$146="P6",SUMPRODUCT(($F$145:$AJ$145="P6")*$F$148:$AJ$171),0))/(SUMPRODUCT(($A$148:$A$171=AP$146)*($F$145:$AJ$145=""))+IF(AP$146="P6",COUNTIF($F$145:$AJ$145,"P6")*ROWS($A$148:$A$171),0)),"")</f>
        <v>0.92722830687830715</v>
      </c>
      <c r="AQ161" s="6" cm="1">
        <f t="array" ref="AQ161">IFERROR((SUMPRODUCT(($A$148:$A$171=AQ$146)*($F$145:$AJ$145="")*$F$148:$AJ$171)+IF(AQ$146="P6",SUMPRODUCT(($F$145:$AJ$145="P6")*$F$148:$AJ$171),0))/(SUMPRODUCT(($A$148:$A$171=AQ$146)*($F$145:$AJ$145=""))+IF(AQ$146="P6",COUNTIF($F$145:$AJ$145,"P6")*ROWS($A$148:$A$171),0)),"")</f>
        <v>1.0823280272108857</v>
      </c>
      <c r="AR161" s="6" cm="1">
        <f t="array" ref="AR161">IFERROR((SUMPRODUCT(($A$148:$A$171=AR$146)*($F$145:$AJ$145="")*$F$148:$AJ$171)+IF(AR$146="P6",SUMPRODUCT(($F$145:$AJ$145="P6")*$F$148:$AJ$171),0))/(SUMPRODUCT(($A$148:$A$171=AR$146)*($F$145:$AJ$145=""))+IF(AR$146="P6",COUNTIF($F$145:$AJ$145,"P6")*ROWS($A$148:$A$171),0)),"")</f>
        <v>0.99264144607843074</v>
      </c>
    </row>
    <row r="162" spans="1:44" ht="14.25" customHeight="1" x14ac:dyDescent="0.35">
      <c r="A162" s="1" t="s">
        <v>16</v>
      </c>
      <c r="B162" s="1" t="s">
        <v>14</v>
      </c>
      <c r="C162" s="1" t="s">
        <v>14</v>
      </c>
      <c r="D162" s="1" t="s">
        <v>17</v>
      </c>
      <c r="E162" s="1" t="s">
        <v>33</v>
      </c>
      <c r="F162" s="1">
        <v>0.85558000000000001</v>
      </c>
      <c r="G162" s="1">
        <v>0.96765999999999996</v>
      </c>
      <c r="H162" s="1">
        <v>0.77685000000000004</v>
      </c>
      <c r="I162" s="1">
        <v>0.74016000000000004</v>
      </c>
      <c r="J162" s="1">
        <v>0.95857000000000003</v>
      </c>
      <c r="K162" s="1">
        <v>0.94737000000000005</v>
      </c>
      <c r="L162" s="1">
        <v>0.99575000000000002</v>
      </c>
      <c r="M162" s="1">
        <v>0.96479999999999999</v>
      </c>
      <c r="N162" s="1">
        <v>0.96765999999999996</v>
      </c>
      <c r="O162" s="1">
        <v>0.77685000000000004</v>
      </c>
      <c r="P162" s="1">
        <v>0.74016000000000004</v>
      </c>
      <c r="Q162" s="1">
        <v>0.95857000000000003</v>
      </c>
      <c r="R162" s="1">
        <v>0.94737000000000005</v>
      </c>
      <c r="S162" s="1">
        <v>0.99575000000000002</v>
      </c>
      <c r="T162" s="1">
        <v>0.96479999999999999</v>
      </c>
      <c r="U162" s="1">
        <v>0.96765999999999996</v>
      </c>
      <c r="V162" s="1">
        <v>0.77685000000000004</v>
      </c>
      <c r="W162" s="1">
        <v>0.74016000000000004</v>
      </c>
      <c r="X162" s="1">
        <v>0.95857000000000003</v>
      </c>
      <c r="Y162" s="1">
        <v>0.94737000000000005</v>
      </c>
      <c r="Z162" s="1">
        <v>0.99575000000000002</v>
      </c>
      <c r="AA162" s="1">
        <v>0.96479999999999999</v>
      </c>
      <c r="AB162" s="1">
        <v>0.96765999999999996</v>
      </c>
      <c r="AC162" s="1">
        <v>0.77685000000000004</v>
      </c>
      <c r="AD162" s="1">
        <v>0.74016000000000004</v>
      </c>
      <c r="AE162" s="1">
        <v>0.95857000000000003</v>
      </c>
      <c r="AF162" s="1">
        <v>0.94737000000000005</v>
      </c>
      <c r="AG162" s="1">
        <v>0.99575000000000002</v>
      </c>
      <c r="AH162" s="1">
        <v>0.96479999999999999</v>
      </c>
      <c r="AI162" s="1">
        <v>0.96765999999999996</v>
      </c>
      <c r="AJ162" s="1">
        <v>0.77685000000000004</v>
      </c>
      <c r="AL162" s="4" t="s">
        <v>29</v>
      </c>
      <c r="AM162" s="6" t="str" cm="1">
        <f t="array" ref="AM162">IFERROR((SUMPRODUCT(($A$148:$A$171=AM$146)*($F$145:$AJ$145="")*$F$148:$AJ$171)+IF(AM$146="P6",SUMPRODUCT(($F$145:$AJ$145="P6")*$F$148:$AJ$171),0))/(SUMPRODUCT(($A$148:$A$171=AM$146)*($F$145:$AJ$145=""))+IF(AM$146="P6",COUNTIF($F$145:$AJ$145,"P6")*ROWS($A$148:$A$171),0)),"")</f>
        <v/>
      </c>
      <c r="AN162" s="6" t="str" cm="1">
        <f t="array" ref="AN162">IFERROR((SUMPRODUCT(($A$148:$A$171=AN$146)*($F$145:$AJ$145="")*$F$148:$AJ$171)+IF(AN$146="P6",SUMPRODUCT(($F$145:$AJ$145="P6")*$F$148:$AJ$171),0))/(SUMPRODUCT(($A$148:$A$171=AN$146)*($F$145:$AJ$145=""))+IF(AN$146="P6",COUNTIF($F$145:$AJ$145,"P6")*ROWS($A$148:$A$171),0)),"")</f>
        <v/>
      </c>
      <c r="AO162" s="6" t="str" cm="1">
        <f t="array" ref="AO162">IFERROR((SUMPRODUCT(($A$148:$A$171=AO$146)*($F$145:$AJ$145="")*$F$148:$AJ$171)+IF(AO$146="P6",SUMPRODUCT(($F$145:$AJ$145="P6")*$F$148:$AJ$171),0))/(SUMPRODUCT(($A$148:$A$171=AO$146)*($F$145:$AJ$145=""))+IF(AO$146="P6",COUNTIF($F$145:$AJ$145,"P6")*ROWS($A$148:$A$171),0)),"")</f>
        <v/>
      </c>
      <c r="AP162" s="6" cm="1">
        <f t="array" ref="AP162">IFERROR((SUMPRODUCT(($A$148:$A$171=AP$146)*($F$145:$AJ$145="")*$F$148:$AJ$171)+IF(AP$146="P6",SUMPRODUCT(($F$145:$AJ$145="P6")*$F$148:$AJ$171),0))/(SUMPRODUCT(($A$148:$A$171=AP$146)*($F$145:$AJ$145=""))+IF(AP$146="P6",COUNTIF($F$145:$AJ$145,"P6")*ROWS($A$148:$A$171),0)),"")</f>
        <v>0.92722830687830715</v>
      </c>
      <c r="AQ162" s="6" cm="1">
        <f t="array" ref="AQ162">IFERROR((SUMPRODUCT(($A$148:$A$171=AQ$146)*($F$145:$AJ$145="")*$F$148:$AJ$171)+IF(AQ$146="P6",SUMPRODUCT(($F$145:$AJ$145="P6")*$F$148:$AJ$171),0))/(SUMPRODUCT(($A$148:$A$171=AQ$146)*($F$145:$AJ$145=""))+IF(AQ$146="P6",COUNTIF($F$145:$AJ$145,"P6")*ROWS($A$148:$A$171),0)),"")</f>
        <v>1.0823280272108857</v>
      </c>
      <c r="AR162" s="6" cm="1">
        <f t="array" ref="AR162">IFERROR((SUMPRODUCT(($A$148:$A$171=AR$146)*($F$145:$AJ$145="")*$F$148:$AJ$171)+IF(AR$146="P6",SUMPRODUCT(($F$145:$AJ$145="P6")*$F$148:$AJ$171),0))/(SUMPRODUCT(($A$148:$A$171=AR$146)*($F$145:$AJ$145=""))+IF(AR$146="P6",COUNTIF($F$145:$AJ$145,"P6")*ROWS($A$148:$A$171),0)),"")</f>
        <v>0.99264144607843074</v>
      </c>
    </row>
    <row r="163" spans="1:44" ht="14.25" customHeight="1" x14ac:dyDescent="0.35">
      <c r="A163" s="1" t="s">
        <v>17</v>
      </c>
      <c r="B163" s="1" t="s">
        <v>15</v>
      </c>
      <c r="C163" s="1" t="s">
        <v>14</v>
      </c>
      <c r="D163" s="1" t="s">
        <v>17</v>
      </c>
      <c r="E163" s="1" t="s">
        <v>34</v>
      </c>
      <c r="F163" s="1">
        <v>0.90125999999999995</v>
      </c>
      <c r="G163" s="1">
        <v>1.0187999999999999</v>
      </c>
      <c r="H163" s="1">
        <v>0.81542999999999999</v>
      </c>
      <c r="I163" s="1">
        <v>0.75902000000000003</v>
      </c>
      <c r="J163" s="1">
        <v>0.99314999999999998</v>
      </c>
      <c r="K163" s="1">
        <v>0.97702</v>
      </c>
      <c r="L163" s="1">
        <v>1.0361100000000001</v>
      </c>
      <c r="M163" s="1">
        <v>1.01677</v>
      </c>
      <c r="N163" s="1">
        <v>1.0187999999999999</v>
      </c>
      <c r="O163" s="1">
        <v>0.81542999999999999</v>
      </c>
      <c r="P163" s="1">
        <v>0.75902000000000003</v>
      </c>
      <c r="Q163" s="1">
        <v>0.99314999999999998</v>
      </c>
      <c r="R163" s="1">
        <v>0.97702</v>
      </c>
      <c r="S163" s="1">
        <v>1.0361100000000001</v>
      </c>
      <c r="T163" s="1">
        <v>1.01677</v>
      </c>
      <c r="U163" s="1">
        <v>1.0187999999999999</v>
      </c>
      <c r="V163" s="1">
        <v>0.81542999999999999</v>
      </c>
      <c r="W163" s="1">
        <v>0.75902000000000003</v>
      </c>
      <c r="X163" s="1">
        <v>0.99314999999999998</v>
      </c>
      <c r="Y163" s="1">
        <v>0.97702</v>
      </c>
      <c r="Z163" s="1">
        <v>1.0361100000000001</v>
      </c>
      <c r="AA163" s="1">
        <v>1.01677</v>
      </c>
      <c r="AB163" s="1">
        <v>1.0187999999999999</v>
      </c>
      <c r="AC163" s="1">
        <v>0.81542999999999999</v>
      </c>
      <c r="AD163" s="1">
        <v>0.75902000000000003</v>
      </c>
      <c r="AE163" s="1">
        <v>0.99314999999999998</v>
      </c>
      <c r="AF163" s="1">
        <v>0.97702</v>
      </c>
      <c r="AG163" s="1">
        <v>1.0361100000000001</v>
      </c>
      <c r="AH163" s="1">
        <v>1.01677</v>
      </c>
      <c r="AI163" s="1">
        <v>1.0187999999999999</v>
      </c>
      <c r="AJ163" s="1">
        <v>0.81542999999999999</v>
      </c>
      <c r="AL163" s="10"/>
      <c r="AM163" s="10"/>
      <c r="AN163" s="10"/>
      <c r="AO163" s="10"/>
      <c r="AP163" s="10"/>
      <c r="AQ163" s="10"/>
      <c r="AR163" s="10"/>
    </row>
    <row r="164" spans="1:44" ht="14.25" customHeight="1" x14ac:dyDescent="0.35">
      <c r="A164" s="1" t="s">
        <v>17</v>
      </c>
      <c r="B164" s="1" t="s">
        <v>15</v>
      </c>
      <c r="C164" s="1" t="s">
        <v>14</v>
      </c>
      <c r="D164" s="1" t="s">
        <v>17</v>
      </c>
      <c r="E164" s="1" t="s">
        <v>35</v>
      </c>
      <c r="F164" s="1">
        <v>0.93879000000000001</v>
      </c>
      <c r="G164" s="1">
        <v>1.0906800000000001</v>
      </c>
      <c r="H164" s="1">
        <v>0.88390000000000002</v>
      </c>
      <c r="I164" s="1">
        <v>0.85085999999999995</v>
      </c>
      <c r="J164" s="1">
        <v>1.0475300000000001</v>
      </c>
      <c r="K164" s="1">
        <v>1.0345599999999999</v>
      </c>
      <c r="L164" s="1">
        <v>1.06311</v>
      </c>
      <c r="M164" s="1">
        <v>1.0466200000000001</v>
      </c>
      <c r="N164" s="1">
        <v>1.0906800000000001</v>
      </c>
      <c r="O164" s="1">
        <v>0.88390000000000002</v>
      </c>
      <c r="P164" s="1">
        <v>0.85085999999999995</v>
      </c>
      <c r="Q164" s="1">
        <v>1.0475300000000001</v>
      </c>
      <c r="R164" s="1">
        <v>1.0345599999999999</v>
      </c>
      <c r="S164" s="1">
        <v>1.06311</v>
      </c>
      <c r="T164" s="1">
        <v>1.0466200000000001</v>
      </c>
      <c r="U164" s="1">
        <v>1.0906800000000001</v>
      </c>
      <c r="V164" s="1">
        <v>0.88390000000000002</v>
      </c>
      <c r="W164" s="1">
        <v>0.85085999999999995</v>
      </c>
      <c r="X164" s="1">
        <v>1.0475300000000001</v>
      </c>
      <c r="Y164" s="1">
        <v>1.0345599999999999</v>
      </c>
      <c r="Z164" s="1">
        <v>1.06311</v>
      </c>
      <c r="AA164" s="1">
        <v>1.0466200000000001</v>
      </c>
      <c r="AB164" s="1">
        <v>1.0906800000000001</v>
      </c>
      <c r="AC164" s="1">
        <v>0.88390000000000002</v>
      </c>
      <c r="AD164" s="1">
        <v>0.85085999999999995</v>
      </c>
      <c r="AE164" s="1">
        <v>1.0475300000000001</v>
      </c>
      <c r="AF164" s="1">
        <v>1.0345599999999999</v>
      </c>
      <c r="AG164" s="1">
        <v>1.06311</v>
      </c>
      <c r="AH164" s="1">
        <v>1.0466200000000001</v>
      </c>
      <c r="AI164" s="1">
        <v>1.0906800000000001</v>
      </c>
      <c r="AJ164" s="1">
        <v>0.88390000000000002</v>
      </c>
      <c r="AL164" s="10"/>
      <c r="AM164" s="10"/>
      <c r="AN164" s="10"/>
      <c r="AO164" s="10"/>
      <c r="AP164" s="10"/>
      <c r="AQ164" s="10"/>
      <c r="AR164" s="10"/>
    </row>
    <row r="165" spans="1:44" ht="14.25" customHeight="1" x14ac:dyDescent="0.35">
      <c r="A165" s="1" t="s">
        <v>17</v>
      </c>
      <c r="B165" s="1" t="s">
        <v>15</v>
      </c>
      <c r="C165" s="1" t="s">
        <v>14</v>
      </c>
      <c r="D165" s="1" t="s">
        <v>17</v>
      </c>
      <c r="E165" s="1" t="s">
        <v>36</v>
      </c>
      <c r="F165" s="1">
        <v>1.0066999999999999</v>
      </c>
      <c r="G165" s="1">
        <v>1.1321300000000001</v>
      </c>
      <c r="H165" s="1">
        <v>0.94440999999999997</v>
      </c>
      <c r="I165" s="1">
        <v>0.96335999999999999</v>
      </c>
      <c r="J165" s="1">
        <v>1.07988</v>
      </c>
      <c r="K165" s="1">
        <v>1.0610299999999999</v>
      </c>
      <c r="L165" s="1">
        <v>1.0925199999999999</v>
      </c>
      <c r="M165" s="1">
        <v>1.06036</v>
      </c>
      <c r="N165" s="1">
        <v>1.1321300000000001</v>
      </c>
      <c r="O165" s="1">
        <v>0.94440999999999997</v>
      </c>
      <c r="P165" s="1">
        <v>0.96335999999999999</v>
      </c>
      <c r="Q165" s="1">
        <v>1.07988</v>
      </c>
      <c r="R165" s="1">
        <v>1.0610299999999999</v>
      </c>
      <c r="S165" s="1">
        <v>1.0925199999999999</v>
      </c>
      <c r="T165" s="1">
        <v>1.06036</v>
      </c>
      <c r="U165" s="1">
        <v>1.1321300000000001</v>
      </c>
      <c r="V165" s="1">
        <v>0.94440999999999997</v>
      </c>
      <c r="W165" s="1">
        <v>0.96335999999999999</v>
      </c>
      <c r="X165" s="1">
        <v>1.07988</v>
      </c>
      <c r="Y165" s="1">
        <v>1.0610299999999999</v>
      </c>
      <c r="Z165" s="1">
        <v>1.0925199999999999</v>
      </c>
      <c r="AA165" s="1">
        <v>1.06036</v>
      </c>
      <c r="AB165" s="1">
        <v>1.1321300000000001</v>
      </c>
      <c r="AC165" s="1">
        <v>0.94440999999999997</v>
      </c>
      <c r="AD165" s="1">
        <v>0.96335999999999999</v>
      </c>
      <c r="AE165" s="1">
        <v>1.07988</v>
      </c>
      <c r="AF165" s="1">
        <v>1.0610299999999999</v>
      </c>
      <c r="AG165" s="1">
        <v>1.0925199999999999</v>
      </c>
      <c r="AH165" s="1">
        <v>1.06036</v>
      </c>
      <c r="AI165" s="1">
        <v>1.1321300000000001</v>
      </c>
      <c r="AJ165" s="1">
        <v>0.94440999999999997</v>
      </c>
      <c r="AL165" s="14" t="s">
        <v>92</v>
      </c>
      <c r="AM165" s="14"/>
      <c r="AN165" s="14"/>
      <c r="AO165" s="14"/>
      <c r="AP165" s="14"/>
      <c r="AQ165" s="14"/>
      <c r="AR165" s="14"/>
    </row>
    <row r="166" spans="1:44" ht="14.25" customHeight="1" x14ac:dyDescent="0.35">
      <c r="A166" s="1" t="s">
        <v>16</v>
      </c>
      <c r="B166" s="1" t="s">
        <v>14</v>
      </c>
      <c r="C166" s="1" t="s">
        <v>13</v>
      </c>
      <c r="D166" s="1" t="s">
        <v>16</v>
      </c>
      <c r="E166" s="1" t="s">
        <v>37</v>
      </c>
      <c r="F166" s="1">
        <v>1.0521</v>
      </c>
      <c r="G166" s="1">
        <v>0.99102000000000001</v>
      </c>
      <c r="H166" s="1">
        <v>1.01755</v>
      </c>
      <c r="I166" s="1">
        <v>1.04853</v>
      </c>
      <c r="J166" s="1">
        <v>0.95948</v>
      </c>
      <c r="K166" s="1">
        <v>0.94055</v>
      </c>
      <c r="L166" s="1">
        <v>0.97511000000000003</v>
      </c>
      <c r="M166" s="1">
        <v>0.94940999999999998</v>
      </c>
      <c r="N166" s="1">
        <v>0.99102000000000001</v>
      </c>
      <c r="O166" s="1">
        <v>1.01755</v>
      </c>
      <c r="P166" s="1">
        <v>1.04853</v>
      </c>
      <c r="Q166" s="1">
        <v>0.95948</v>
      </c>
      <c r="R166" s="1">
        <v>0.94055</v>
      </c>
      <c r="S166" s="1">
        <v>0.97511000000000003</v>
      </c>
      <c r="T166" s="1">
        <v>0.94940999999999998</v>
      </c>
      <c r="U166" s="1">
        <v>0.99102000000000001</v>
      </c>
      <c r="V166" s="1">
        <v>1.01755</v>
      </c>
      <c r="W166" s="1">
        <v>1.04853</v>
      </c>
      <c r="X166" s="1">
        <v>0.95948</v>
      </c>
      <c r="Y166" s="1">
        <v>0.94055</v>
      </c>
      <c r="Z166" s="1">
        <v>0.97511000000000003</v>
      </c>
      <c r="AA166" s="1">
        <v>0.94940999999999998</v>
      </c>
      <c r="AB166" s="1">
        <v>0.99102000000000001</v>
      </c>
      <c r="AC166" s="1">
        <v>1.01755</v>
      </c>
      <c r="AD166" s="1">
        <v>1.04853</v>
      </c>
      <c r="AE166" s="1">
        <v>0.95948</v>
      </c>
      <c r="AF166" s="1">
        <v>0.94055</v>
      </c>
      <c r="AG166" s="1">
        <v>0.97511000000000003</v>
      </c>
      <c r="AH166" s="1">
        <v>0.94940999999999998</v>
      </c>
      <c r="AI166" s="1">
        <v>0.99102000000000001</v>
      </c>
      <c r="AJ166" s="1">
        <v>1.01755</v>
      </c>
      <c r="AL166" s="4"/>
      <c r="AM166" s="4" t="s">
        <v>13</v>
      </c>
      <c r="AN166" s="4" t="s">
        <v>14</v>
      </c>
      <c r="AO166" s="4" t="s">
        <v>15</v>
      </c>
      <c r="AP166" s="4" t="s">
        <v>16</v>
      </c>
      <c r="AQ166" s="4" t="s">
        <v>17</v>
      </c>
      <c r="AR166" s="4" t="s">
        <v>7</v>
      </c>
    </row>
    <row r="167" spans="1:44" ht="14.25" customHeight="1" x14ac:dyDescent="0.35">
      <c r="A167" s="1" t="s">
        <v>16</v>
      </c>
      <c r="B167" s="1" t="s">
        <v>14</v>
      </c>
      <c r="C167" s="1" t="s">
        <v>13</v>
      </c>
      <c r="D167" s="1" t="s">
        <v>16</v>
      </c>
      <c r="E167" s="1" t="s">
        <v>38</v>
      </c>
      <c r="F167" s="1">
        <v>1.0703800000000001</v>
      </c>
      <c r="G167" s="1">
        <v>1.0079899999999999</v>
      </c>
      <c r="H167" s="1">
        <v>1.00193</v>
      </c>
      <c r="I167" s="1">
        <v>1.0130999999999999</v>
      </c>
      <c r="J167" s="1">
        <v>0.95884000000000003</v>
      </c>
      <c r="K167" s="1">
        <v>0.94884999999999997</v>
      </c>
      <c r="L167" s="1">
        <v>0.95682</v>
      </c>
      <c r="M167" s="1">
        <v>0.98102999999999996</v>
      </c>
      <c r="N167" s="1">
        <v>1.0079899999999999</v>
      </c>
      <c r="O167" s="1">
        <v>1.00193</v>
      </c>
      <c r="P167" s="1">
        <v>1.0130999999999999</v>
      </c>
      <c r="Q167" s="1">
        <v>0.95884000000000003</v>
      </c>
      <c r="R167" s="1">
        <v>0.94884999999999997</v>
      </c>
      <c r="S167" s="1">
        <v>0.95682</v>
      </c>
      <c r="T167" s="1">
        <v>0.98102999999999996</v>
      </c>
      <c r="U167" s="1">
        <v>1.0079899999999999</v>
      </c>
      <c r="V167" s="1">
        <v>1.00193</v>
      </c>
      <c r="W167" s="1">
        <v>1.0130999999999999</v>
      </c>
      <c r="X167" s="1">
        <v>0.95884000000000003</v>
      </c>
      <c r="Y167" s="1">
        <v>0.94884999999999997</v>
      </c>
      <c r="Z167" s="1">
        <v>0.95682</v>
      </c>
      <c r="AA167" s="1">
        <v>0.98102999999999996</v>
      </c>
      <c r="AB167" s="1">
        <v>1.0079899999999999</v>
      </c>
      <c r="AC167" s="1">
        <v>1.00193</v>
      </c>
      <c r="AD167" s="1">
        <v>1.0130999999999999</v>
      </c>
      <c r="AE167" s="1">
        <v>0.95884000000000003</v>
      </c>
      <c r="AF167" s="1">
        <v>0.94884999999999997</v>
      </c>
      <c r="AG167" s="1">
        <v>0.95682</v>
      </c>
      <c r="AH167" s="1">
        <v>0.98102999999999996</v>
      </c>
      <c r="AI167" s="1">
        <v>1.0079899999999999</v>
      </c>
      <c r="AJ167" s="1">
        <v>1.00193</v>
      </c>
      <c r="AL167" s="4" t="s">
        <v>19</v>
      </c>
      <c r="AM167" s="6" cm="1">
        <f t="array" ref="AM167">IFERROR((SUMPRODUCT(($C$148:$C$171=AM$146)*($F$144:$AJ$144="")*$F$148:$AJ$171)+IF(AM$146="P3",SUMPRODUCT(($F$144:$AJ$144="P3")*$F$148:$AJ$171),0))/(SUMPRODUCT(($C$148:$C$171=AM$146)*($F$144:$AJ$144=""))+IF(AM$146="P3",COUNTIF($F$144:$AJ$144,"P3")*ROWS($C$148:$C$171),0)),"")</f>
        <v>0.92227315476190508</v>
      </c>
      <c r="AN167" s="6" cm="1">
        <f t="array" ref="AN167">IFERROR((SUMPRODUCT(($C$148:$C$171=AN$146)*($F$144:$AJ$144="")*$F$148:$AJ$171)+IF(AN$146="P3",SUMPRODUCT(($F$144:$AJ$144="P3")*$F$148:$AJ$171),0))/(SUMPRODUCT(($C$148:$C$171=AN$146)*($F$144:$AJ$144=""))+IF(AN$146="P3",COUNTIF($F$144:$AJ$144,"P3")*ROWS($C$148:$C$171),0)),"")</f>
        <v>1.0678957142857139</v>
      </c>
      <c r="AO167" s="6" cm="1">
        <f t="array" ref="AO167">IFERROR((SUMPRODUCT(($C$148:$C$171=AO$146)*($F$144:$AJ$144="")*$F$148:$AJ$171)+IF(AO$146="P3",SUMPRODUCT(($F$144:$AJ$144="P3")*$F$148:$AJ$171),0))/(SUMPRODUCT(($C$148:$C$171=AO$146)*($F$144:$AJ$144=""))+IF(AO$146="P3",COUNTIF($F$144:$AJ$144,"P3")*ROWS($C$148:$C$171),0)),"")</f>
        <v>0.99264144607843074</v>
      </c>
      <c r="AP167" s="6" t="str" cm="1">
        <f t="array" ref="AP167">IFERROR((SUMPRODUCT(($C$148:$C$171=AP$146)*($F$144:$AJ$144="")*$F$148:$AJ$171)+IF(AP$146="P3",SUMPRODUCT(($F$144:$AJ$144="P3")*$F$148:$AJ$171),0))/(SUMPRODUCT(($C$148:$C$171=AP$146)*($F$144:$AJ$144=""))+IF(AP$146="P3",COUNTIF($F$144:$AJ$144,"P3")*ROWS($C$148:$C$171),0)),"")</f>
        <v/>
      </c>
      <c r="AQ167" s="6" t="str" cm="1">
        <f t="array" ref="AQ167">IFERROR((SUMPRODUCT(($C$148:$C$171=AQ$146)*($F$144:$AJ$144="")*$F$148:$AJ$171)+IF(AQ$146="P3",SUMPRODUCT(($F$144:$AJ$144="P3")*$F$148:$AJ$171),0))/(SUMPRODUCT(($C$148:$C$171=AQ$146)*($F$144:$AJ$144=""))+IF(AQ$146="P3",COUNTIF($F$144:$AJ$144,"P3")*ROWS($C$148:$C$171),0)),"")</f>
        <v/>
      </c>
      <c r="AR167" s="6" t="str" cm="1">
        <f t="array" ref="AR167">IFERROR((SUMPRODUCT(($C$148:$C$171=AR$146)*($F$144:$AJ$144="")*$F$148:$AJ$171)+IF(AR$146="P3",SUMPRODUCT(($F$144:$AJ$144="P3")*$F$148:$AJ$171),0))/(SUMPRODUCT(($C$148:$C$171=AR$146)*($F$144:$AJ$144=""))+IF(AR$146="P3",COUNTIF($F$144:$AJ$144,"P3")*ROWS($C$148:$C$171),0)),"")</f>
        <v/>
      </c>
    </row>
    <row r="168" spans="1:44" ht="14.25" customHeight="1" x14ac:dyDescent="0.35">
      <c r="A168" s="1" t="s">
        <v>16</v>
      </c>
      <c r="B168" s="1" t="s">
        <v>14</v>
      </c>
      <c r="C168" s="1" t="s">
        <v>13</v>
      </c>
      <c r="D168" s="1" t="s">
        <v>16</v>
      </c>
      <c r="E168" s="1" t="s">
        <v>39</v>
      </c>
      <c r="F168" s="1">
        <v>1.04522</v>
      </c>
      <c r="G168" s="1">
        <v>1.0212699999999999</v>
      </c>
      <c r="H168" s="1">
        <v>0.98190999999999995</v>
      </c>
      <c r="I168" s="1">
        <v>0.97358999999999996</v>
      </c>
      <c r="J168" s="1">
        <v>0.96645000000000003</v>
      </c>
      <c r="K168" s="1">
        <v>0.96745999999999999</v>
      </c>
      <c r="L168" s="1">
        <v>0.96948999999999996</v>
      </c>
      <c r="M168" s="1">
        <v>1.0184800000000001</v>
      </c>
      <c r="N168" s="1">
        <v>1.0212699999999999</v>
      </c>
      <c r="O168" s="1">
        <v>0.98190999999999995</v>
      </c>
      <c r="P168" s="1">
        <v>0.97358999999999996</v>
      </c>
      <c r="Q168" s="1">
        <v>0.96645000000000003</v>
      </c>
      <c r="R168" s="1">
        <v>0.96745999999999999</v>
      </c>
      <c r="S168" s="1">
        <v>0.96948999999999996</v>
      </c>
      <c r="T168" s="1">
        <v>1.0184800000000001</v>
      </c>
      <c r="U168" s="1">
        <v>1.0212699999999999</v>
      </c>
      <c r="V168" s="1">
        <v>0.98190999999999995</v>
      </c>
      <c r="W168" s="1">
        <v>0.97358999999999996</v>
      </c>
      <c r="X168" s="1">
        <v>0.96645000000000003</v>
      </c>
      <c r="Y168" s="1">
        <v>0.96745999999999999</v>
      </c>
      <c r="Z168" s="1">
        <v>0.96948999999999996</v>
      </c>
      <c r="AA168" s="1">
        <v>1.0184800000000001</v>
      </c>
      <c r="AB168" s="1">
        <v>1.0212699999999999</v>
      </c>
      <c r="AC168" s="1">
        <v>0.98190999999999995</v>
      </c>
      <c r="AD168" s="1">
        <v>0.97358999999999996</v>
      </c>
      <c r="AE168" s="1">
        <v>0.96645000000000003</v>
      </c>
      <c r="AF168" s="1">
        <v>0.96745999999999999</v>
      </c>
      <c r="AG168" s="1">
        <v>0.96948999999999996</v>
      </c>
      <c r="AH168" s="1">
        <v>1.0184800000000001</v>
      </c>
      <c r="AI168" s="1">
        <v>1.0212699999999999</v>
      </c>
      <c r="AJ168" s="1">
        <v>0.98190999999999995</v>
      </c>
      <c r="AL168" s="4" t="s">
        <v>21</v>
      </c>
      <c r="AM168" s="6" t="str" cm="1">
        <f t="array" ref="AM168">IFERROR((SUMPRODUCT(($B$148:$B$171=AM$146)*($F$145:$AJ$145="")*$F$148:$AJ$171)+IF(AM$146="P6",SUMPRODUCT(($F$145:$AJ$145="P6")*$F$148:$AJ$171),0))/(SUMPRODUCT(($B$148:$B$171=AM$146)*($F$145:$AJ$145=""))+IF(AM$146="P6",COUNTIF($F$145:$AJ$145,"P6")*ROWS($B$148:$B$171),0)),"")</f>
        <v/>
      </c>
      <c r="AN168" s="6" cm="1">
        <f t="array" ref="AN168">IFERROR((SUMPRODUCT(($B$148:$B$171=AN$146)*($F$145:$AJ$145="")*$F$148:$AJ$171)+IF(AN$146="P6",SUMPRODUCT(($F$145:$AJ$145="P6")*$F$148:$AJ$171),0))/(SUMPRODUCT(($B$148:$B$171=AN$146)*($F$145:$AJ$145=""))+IF(AN$146="P6",COUNTIF($F$145:$AJ$145,"P6")*ROWS($B$148:$B$171),0)),"")</f>
        <v>0.92722830687830715</v>
      </c>
      <c r="AO168" s="6" cm="1">
        <f t="array" ref="AO168">IFERROR((SUMPRODUCT(($B$148:$B$171=AO$146)*($F$145:$AJ$145="")*$F$148:$AJ$171)+IF(AO$146="P6",SUMPRODUCT(($F$145:$AJ$145="P6")*$F$148:$AJ$171),0))/(SUMPRODUCT(($B$148:$B$171=AO$146)*($F$145:$AJ$145=""))+IF(AO$146="P6",COUNTIF($F$145:$AJ$145,"P6")*ROWS($B$148:$B$171),0)),"")</f>
        <v>1.0823280272108857</v>
      </c>
      <c r="AP168" s="6" t="str" cm="1">
        <f t="array" ref="AP168">IFERROR((SUMPRODUCT(($B$148:$B$171=AP$146)*($F$145:$AJ$145="")*$F$148:$AJ$171)+IF(AP$146="P6",SUMPRODUCT(($F$145:$AJ$145="P6")*$F$148:$AJ$171),0))/(SUMPRODUCT(($B$148:$B$171=AP$146)*($F$145:$AJ$145=""))+IF(AP$146="P6",COUNTIF($F$145:$AJ$145,"P6")*ROWS($B$148:$B$171),0)),"")</f>
        <v/>
      </c>
      <c r="AQ168" s="6" t="str" cm="1">
        <f t="array" ref="AQ168">IFERROR((SUMPRODUCT(($B$148:$B$171=AQ$146)*($F$145:$AJ$145="")*$F$148:$AJ$171)+IF(AQ$146="P6",SUMPRODUCT(($F$145:$AJ$145="P6")*$F$148:$AJ$171),0))/(SUMPRODUCT(($B$148:$B$171=AQ$146)*($F$145:$AJ$145=""))+IF(AQ$146="P6",COUNTIF($F$145:$AJ$145,"P6")*ROWS($B$148:$B$171),0)),"")</f>
        <v/>
      </c>
      <c r="AR168" s="6" cm="1">
        <f t="array" ref="AR168">IFERROR((SUMPRODUCT(($B$148:$B$171=AR$146)*($F$145:$AJ$145="")*$F$148:$AJ$171)+IF(AR$146="P6",SUMPRODUCT(($F$145:$AJ$145="P6")*$F$148:$AJ$171),0))/(SUMPRODUCT(($B$148:$B$171=AR$146)*($F$145:$AJ$145=""))+IF(AR$146="P6",COUNTIF($F$145:$AJ$145,"P6")*ROWS($B$148:$B$171),0)),"")</f>
        <v>0.99264144607843074</v>
      </c>
    </row>
    <row r="169" spans="1:44" ht="14.25" customHeight="1" x14ac:dyDescent="0.35">
      <c r="A169" s="1" t="s">
        <v>16</v>
      </c>
      <c r="B169" s="1" t="s">
        <v>14</v>
      </c>
      <c r="C169" s="1" t="s">
        <v>13</v>
      </c>
      <c r="D169" s="1" t="s">
        <v>16</v>
      </c>
      <c r="E169" s="1" t="s">
        <v>40</v>
      </c>
      <c r="F169" s="1">
        <v>1.01271</v>
      </c>
      <c r="G169" s="1">
        <v>1.04728</v>
      </c>
      <c r="H169" s="1">
        <v>0.99665000000000004</v>
      </c>
      <c r="I169" s="1">
        <v>0.97116000000000002</v>
      </c>
      <c r="J169" s="1">
        <v>1.0108699999999999</v>
      </c>
      <c r="K169" s="1">
        <v>1.00675</v>
      </c>
      <c r="L169" s="1">
        <v>1.0119</v>
      </c>
      <c r="M169" s="1">
        <v>1.0522100000000001</v>
      </c>
      <c r="N169" s="1">
        <v>1.04728</v>
      </c>
      <c r="O169" s="1">
        <v>0.99665000000000004</v>
      </c>
      <c r="P169" s="1">
        <v>0.97116000000000002</v>
      </c>
      <c r="Q169" s="1">
        <v>1.0108699999999999</v>
      </c>
      <c r="R169" s="1">
        <v>1.00675</v>
      </c>
      <c r="S169" s="1">
        <v>1.0119</v>
      </c>
      <c r="T169" s="1">
        <v>1.0522100000000001</v>
      </c>
      <c r="U169" s="1">
        <v>1.04728</v>
      </c>
      <c r="V169" s="1">
        <v>0.99665000000000004</v>
      </c>
      <c r="W169" s="1">
        <v>0.97116000000000002</v>
      </c>
      <c r="X169" s="1">
        <v>1.0108699999999999</v>
      </c>
      <c r="Y169" s="1">
        <v>1.00675</v>
      </c>
      <c r="Z169" s="1">
        <v>1.0119</v>
      </c>
      <c r="AA169" s="1">
        <v>1.0522100000000001</v>
      </c>
      <c r="AB169" s="1">
        <v>1.04728</v>
      </c>
      <c r="AC169" s="1">
        <v>0.99665000000000004</v>
      </c>
      <c r="AD169" s="1">
        <v>0.97116000000000002</v>
      </c>
      <c r="AE169" s="1">
        <v>1.0108699999999999</v>
      </c>
      <c r="AF169" s="1">
        <v>1.00675</v>
      </c>
      <c r="AG169" s="1">
        <v>1.0119</v>
      </c>
      <c r="AH169" s="1">
        <v>1.0522100000000001</v>
      </c>
      <c r="AI169" s="1">
        <v>1.04728</v>
      </c>
      <c r="AJ169" s="1">
        <v>0.99665000000000004</v>
      </c>
      <c r="AL169" s="4" t="s">
        <v>23</v>
      </c>
      <c r="AM169" s="6" t="str" cm="1">
        <f t="array" ref="AM169">IFERROR((SUMPRODUCT(($B$148:$B$171=AM$146)*($F$145:$AJ$145="")*$F$148:$AJ$171)+IF(AM$146="P6",SUMPRODUCT(($F$145:$AJ$145="P6")*$F$148:$AJ$171),0))/(SUMPRODUCT(($B$148:$B$171=AM$146)*($F$145:$AJ$145=""))+IF(AM$146="P6",COUNTIF($F$145:$AJ$145,"P6")*ROWS($B$148:$B$171),0)),"")</f>
        <v/>
      </c>
      <c r="AN169" s="6" cm="1">
        <f t="array" ref="AN169">IFERROR((SUMPRODUCT(($B$148:$B$171=AN$146)*($F$145:$AJ$145="")*$F$148:$AJ$171)+IF(AN$146="P6",SUMPRODUCT(($F$145:$AJ$145="P6")*$F$148:$AJ$171),0))/(SUMPRODUCT(($B$148:$B$171=AN$146)*($F$145:$AJ$145=""))+IF(AN$146="P6",COUNTIF($F$145:$AJ$145,"P6")*ROWS($B$148:$B$171),0)),"")</f>
        <v>0.92722830687830715</v>
      </c>
      <c r="AO169" s="6" cm="1">
        <f t="array" ref="AO169">IFERROR((SUMPRODUCT(($B$148:$B$171=AO$146)*($F$145:$AJ$145="")*$F$148:$AJ$171)+IF(AO$146="P6",SUMPRODUCT(($F$145:$AJ$145="P6")*$F$148:$AJ$171),0))/(SUMPRODUCT(($B$148:$B$171=AO$146)*($F$145:$AJ$145=""))+IF(AO$146="P6",COUNTIF($F$145:$AJ$145,"P6")*ROWS($B$148:$B$171),0)),"")</f>
        <v>1.0823280272108857</v>
      </c>
      <c r="AP169" s="6" t="str" cm="1">
        <f t="array" ref="AP169">IFERROR((SUMPRODUCT(($B$148:$B$171=AP$146)*($F$145:$AJ$145="")*$F$148:$AJ$171)+IF(AP$146="P6",SUMPRODUCT(($F$145:$AJ$145="P6")*$F$148:$AJ$171),0))/(SUMPRODUCT(($B$148:$B$171=AP$146)*($F$145:$AJ$145=""))+IF(AP$146="P6",COUNTIF($F$145:$AJ$145,"P6")*ROWS($B$148:$B$171),0)),"")</f>
        <v/>
      </c>
      <c r="AQ169" s="6" t="str" cm="1">
        <f t="array" ref="AQ169">IFERROR((SUMPRODUCT(($B$148:$B$171=AQ$146)*($F$145:$AJ$145="")*$F$148:$AJ$171)+IF(AQ$146="P6",SUMPRODUCT(($F$145:$AJ$145="P6")*$F$148:$AJ$171),0))/(SUMPRODUCT(($B$148:$B$171=AQ$146)*($F$145:$AJ$145=""))+IF(AQ$146="P6",COUNTIF($F$145:$AJ$145,"P6")*ROWS($B$148:$B$171),0)),"")</f>
        <v/>
      </c>
      <c r="AR169" s="6" cm="1">
        <f t="array" ref="AR169">IFERROR((SUMPRODUCT(($B$148:$B$171=AR$146)*($F$145:$AJ$145="")*$F$148:$AJ$171)+IF(AR$146="P6",SUMPRODUCT(($F$145:$AJ$145="P6")*$F$148:$AJ$171),0))/(SUMPRODUCT(($B$148:$B$171=AR$146)*($F$145:$AJ$145=""))+IF(AR$146="P6",COUNTIF($F$145:$AJ$145,"P6")*ROWS($B$148:$B$171),0)),"")</f>
        <v>0.99264144607843074</v>
      </c>
    </row>
    <row r="170" spans="1:44" ht="14.25" customHeight="1" x14ac:dyDescent="0.35">
      <c r="A170" s="1" t="s">
        <v>17</v>
      </c>
      <c r="B170" s="1" t="s">
        <v>15</v>
      </c>
      <c r="C170" s="1" t="s">
        <v>14</v>
      </c>
      <c r="D170" s="1" t="s">
        <v>17</v>
      </c>
      <c r="E170" s="1" t="s">
        <v>41</v>
      </c>
      <c r="F170" s="1">
        <v>1.0468299999999999</v>
      </c>
      <c r="G170" s="1">
        <v>1.2234100000000001</v>
      </c>
      <c r="H170" s="1">
        <v>1.01044</v>
      </c>
      <c r="I170" s="1">
        <v>0.98726000000000003</v>
      </c>
      <c r="J170" s="1">
        <v>1.21217</v>
      </c>
      <c r="K170" s="1">
        <v>1.1862999999999999</v>
      </c>
      <c r="L170" s="1">
        <v>1.18868</v>
      </c>
      <c r="M170" s="1">
        <v>1.22794</v>
      </c>
      <c r="N170" s="1">
        <v>1.2234100000000001</v>
      </c>
      <c r="O170" s="1">
        <v>1.01044</v>
      </c>
      <c r="P170" s="1">
        <v>0.98726000000000003</v>
      </c>
      <c r="Q170" s="1">
        <v>1.21217</v>
      </c>
      <c r="R170" s="1">
        <v>1.1862999999999999</v>
      </c>
      <c r="S170" s="1">
        <v>1.18868</v>
      </c>
      <c r="T170" s="1">
        <v>1.22794</v>
      </c>
      <c r="U170" s="1">
        <v>1.2234100000000001</v>
      </c>
      <c r="V170" s="1">
        <v>1.01044</v>
      </c>
      <c r="W170" s="1">
        <v>0.98726000000000003</v>
      </c>
      <c r="X170" s="1">
        <v>1.21217</v>
      </c>
      <c r="Y170" s="1">
        <v>1.1862999999999999</v>
      </c>
      <c r="Z170" s="1">
        <v>1.18868</v>
      </c>
      <c r="AA170" s="1">
        <v>1.22794</v>
      </c>
      <c r="AB170" s="1">
        <v>1.2234100000000001</v>
      </c>
      <c r="AC170" s="1">
        <v>1.01044</v>
      </c>
      <c r="AD170" s="1">
        <v>0.98726000000000003</v>
      </c>
      <c r="AE170" s="1">
        <v>1.21217</v>
      </c>
      <c r="AF170" s="1">
        <v>1.1862999999999999</v>
      </c>
      <c r="AG170" s="1">
        <v>1.18868</v>
      </c>
      <c r="AH170" s="1">
        <v>1.22794</v>
      </c>
      <c r="AI170" s="1">
        <v>1.2234100000000001</v>
      </c>
      <c r="AJ170" s="1">
        <v>1.01044</v>
      </c>
      <c r="AL170" s="4" t="s">
        <v>25</v>
      </c>
      <c r="AM170" s="6" t="str" cm="1">
        <f t="array" ref="AM170">IFERROR((SUMPRODUCT(($B$148:$B$171=AM$146)*($F$145:$AJ$145="")*$F$148:$AJ$171)+IF(AM$146="P6",SUMPRODUCT(($F$145:$AJ$145="P6")*$F$148:$AJ$171),0))/(SUMPRODUCT(($B$148:$B$171=AM$146)*($F$145:$AJ$145=""))+IF(AM$146="P6",COUNTIF($F$145:$AJ$145,"P6")*ROWS($B$148:$B$171),0)),"")</f>
        <v/>
      </c>
      <c r="AN170" s="6" cm="1">
        <f t="array" ref="AN170">IFERROR((SUMPRODUCT(($B$148:$B$171=AN$146)*($F$145:$AJ$145="")*$F$148:$AJ$171)+IF(AN$146="P6",SUMPRODUCT(($F$145:$AJ$145="P6")*$F$148:$AJ$171),0))/(SUMPRODUCT(($B$148:$B$171=AN$146)*($F$145:$AJ$145=""))+IF(AN$146="P6",COUNTIF($F$145:$AJ$145,"P6")*ROWS($B$148:$B$171),0)),"")</f>
        <v>0.92722830687830715</v>
      </c>
      <c r="AO170" s="6" cm="1">
        <f t="array" ref="AO170">IFERROR((SUMPRODUCT(($B$148:$B$171=AO$146)*($F$145:$AJ$145="")*$F$148:$AJ$171)+IF(AO$146="P6",SUMPRODUCT(($F$145:$AJ$145="P6")*$F$148:$AJ$171),0))/(SUMPRODUCT(($B$148:$B$171=AO$146)*($F$145:$AJ$145=""))+IF(AO$146="P6",COUNTIF($F$145:$AJ$145,"P6")*ROWS($B$148:$B$171),0)),"")</f>
        <v>1.0823280272108857</v>
      </c>
      <c r="AP170" s="6" t="str" cm="1">
        <f t="array" ref="AP170">IFERROR((SUMPRODUCT(($B$148:$B$171=AP$146)*($F$145:$AJ$145="")*$F$148:$AJ$171)+IF(AP$146="P6",SUMPRODUCT(($F$145:$AJ$145="P6")*$F$148:$AJ$171),0))/(SUMPRODUCT(($B$148:$B$171=AP$146)*($F$145:$AJ$145=""))+IF(AP$146="P6",COUNTIF($F$145:$AJ$145,"P6")*ROWS($B$148:$B$171),0)),"")</f>
        <v/>
      </c>
      <c r="AQ170" s="6" t="str" cm="1">
        <f t="array" ref="AQ170">IFERROR((SUMPRODUCT(($B$148:$B$171=AQ$146)*($F$145:$AJ$145="")*$F$148:$AJ$171)+IF(AQ$146="P6",SUMPRODUCT(($F$145:$AJ$145="P6")*$F$148:$AJ$171),0))/(SUMPRODUCT(($B$148:$B$171=AQ$146)*($F$145:$AJ$145=""))+IF(AQ$146="P6",COUNTIF($F$145:$AJ$145,"P6")*ROWS($B$148:$B$171),0)),"")</f>
        <v/>
      </c>
      <c r="AR170" s="6" cm="1">
        <f t="array" ref="AR170">IFERROR((SUMPRODUCT(($B$148:$B$171=AR$146)*($F$145:$AJ$145="")*$F$148:$AJ$171)+IF(AR$146="P6",SUMPRODUCT(($F$145:$AJ$145="P6")*$F$148:$AJ$171),0))/(SUMPRODUCT(($B$148:$B$171=AR$146)*($F$145:$AJ$145=""))+IF(AR$146="P6",COUNTIF($F$145:$AJ$145,"P6")*ROWS($B$148:$B$171),0)),"")</f>
        <v>0.99264144607843074</v>
      </c>
    </row>
    <row r="171" spans="1:44" ht="14.25" customHeight="1" x14ac:dyDescent="0.35">
      <c r="A171" s="1" t="s">
        <v>17</v>
      </c>
      <c r="B171" s="1" t="s">
        <v>15</v>
      </c>
      <c r="C171" s="1" t="s">
        <v>14</v>
      </c>
      <c r="D171" s="1" t="s">
        <v>17</v>
      </c>
      <c r="E171" s="1" t="s">
        <v>42</v>
      </c>
      <c r="F171" s="1">
        <v>1.0863499999999999</v>
      </c>
      <c r="G171" s="1">
        <v>1.2783199999999999</v>
      </c>
      <c r="H171" s="1">
        <v>1.0257799999999999</v>
      </c>
      <c r="I171" s="1">
        <v>1.0093099999999999</v>
      </c>
      <c r="J171" s="1">
        <v>1.25688</v>
      </c>
      <c r="K171" s="1">
        <v>1.25864</v>
      </c>
      <c r="L171" s="1">
        <v>1.25183</v>
      </c>
      <c r="M171" s="1">
        <v>1.2800800000000001</v>
      </c>
      <c r="N171" s="1">
        <v>1.2783199999999999</v>
      </c>
      <c r="O171" s="1">
        <v>1.0257799999999999</v>
      </c>
      <c r="P171" s="1">
        <v>1.0093099999999999</v>
      </c>
      <c r="Q171" s="1">
        <v>1.25688</v>
      </c>
      <c r="R171" s="1">
        <v>1.25864</v>
      </c>
      <c r="S171" s="1">
        <v>1.25183</v>
      </c>
      <c r="T171" s="1">
        <v>1.2800800000000001</v>
      </c>
      <c r="U171" s="1">
        <v>1.2783199999999999</v>
      </c>
      <c r="V171" s="1">
        <v>1.0257799999999999</v>
      </c>
      <c r="W171" s="1">
        <v>1.0093099999999999</v>
      </c>
      <c r="X171" s="1">
        <v>1.25688</v>
      </c>
      <c r="Y171" s="1">
        <v>1.25864</v>
      </c>
      <c r="Z171" s="1">
        <v>1.25183</v>
      </c>
      <c r="AA171" s="1">
        <v>1.2800800000000001</v>
      </c>
      <c r="AB171" s="1">
        <v>1.2783199999999999</v>
      </c>
      <c r="AC171" s="1">
        <v>1.0257799999999999</v>
      </c>
      <c r="AD171" s="1">
        <v>1.0093099999999999</v>
      </c>
      <c r="AE171" s="1">
        <v>1.25688</v>
      </c>
      <c r="AF171" s="1">
        <v>1.25864</v>
      </c>
      <c r="AG171" s="1">
        <v>1.25183</v>
      </c>
      <c r="AH171" s="1">
        <v>1.2800800000000001</v>
      </c>
      <c r="AI171" s="1">
        <v>1.2783199999999999</v>
      </c>
      <c r="AJ171" s="1">
        <v>1.0257799999999999</v>
      </c>
      <c r="AL171" s="4" t="s">
        <v>27</v>
      </c>
      <c r="AM171" s="6" t="str" cm="1">
        <f t="array" ref="AM171">IFERROR((SUMPRODUCT(($B$148:$B$171=AM$146)*($F$145:$AJ$145="")*$F$148:$AJ$171)+IF(AM$146="P6",SUMPRODUCT(($F$145:$AJ$145="P6")*$F$148:$AJ$171),0))/(SUMPRODUCT(($B$148:$B$171=AM$146)*($F$145:$AJ$145=""))+IF(AM$146="P6",COUNTIF($F$145:$AJ$145,"P6")*ROWS($B$148:$B$171),0)),"")</f>
        <v/>
      </c>
      <c r="AN171" s="6" cm="1">
        <f t="array" ref="AN171">IFERROR((SUMPRODUCT(($B$148:$B$171=AN$146)*($F$145:$AJ$145="")*$F$148:$AJ$171)+IF(AN$146="P6",SUMPRODUCT(($F$145:$AJ$145="P6")*$F$148:$AJ$171),0))/(SUMPRODUCT(($B$148:$B$171=AN$146)*($F$145:$AJ$145=""))+IF(AN$146="P6",COUNTIF($F$145:$AJ$145,"P6")*ROWS($B$148:$B$171),0)),"")</f>
        <v>0.92722830687830715</v>
      </c>
      <c r="AO171" s="6" cm="1">
        <f t="array" ref="AO171">IFERROR((SUMPRODUCT(($B$148:$B$171=AO$146)*($F$145:$AJ$145="")*$F$148:$AJ$171)+IF(AO$146="P6",SUMPRODUCT(($F$145:$AJ$145="P6")*$F$148:$AJ$171),0))/(SUMPRODUCT(($B$148:$B$171=AO$146)*($F$145:$AJ$145=""))+IF(AO$146="P6",COUNTIF($F$145:$AJ$145,"P6")*ROWS($B$148:$B$171),0)),"")</f>
        <v>1.0823280272108857</v>
      </c>
      <c r="AP171" s="6" t="str" cm="1">
        <f t="array" ref="AP171">IFERROR((SUMPRODUCT(($B$148:$B$171=AP$146)*($F$145:$AJ$145="")*$F$148:$AJ$171)+IF(AP$146="P6",SUMPRODUCT(($F$145:$AJ$145="P6")*$F$148:$AJ$171),0))/(SUMPRODUCT(($B$148:$B$171=AP$146)*($F$145:$AJ$145=""))+IF(AP$146="P6",COUNTIF($F$145:$AJ$145,"P6")*ROWS($B$148:$B$171),0)),"")</f>
        <v/>
      </c>
      <c r="AQ171" s="6" t="str" cm="1">
        <f t="array" ref="AQ171">IFERROR((SUMPRODUCT(($B$148:$B$171=AQ$146)*($F$145:$AJ$145="")*$F$148:$AJ$171)+IF(AQ$146="P6",SUMPRODUCT(($F$145:$AJ$145="P6")*$F$148:$AJ$171),0))/(SUMPRODUCT(($B$148:$B$171=AQ$146)*($F$145:$AJ$145=""))+IF(AQ$146="P6",COUNTIF($F$145:$AJ$145,"P6")*ROWS($B$148:$B$171),0)),"")</f>
        <v/>
      </c>
      <c r="AR171" s="6" cm="1">
        <f t="array" ref="AR171">IFERROR((SUMPRODUCT(($B$148:$B$171=AR$146)*($F$145:$AJ$145="")*$F$148:$AJ$171)+IF(AR$146="P6",SUMPRODUCT(($F$145:$AJ$145="P6")*$F$148:$AJ$171),0))/(SUMPRODUCT(($B$148:$B$171=AR$146)*($F$145:$AJ$145=""))+IF(AR$146="P6",COUNTIF($F$145:$AJ$145,"P6")*ROWS($B$148:$B$171),0)),"")</f>
        <v>0.99264144607843074</v>
      </c>
    </row>
    <row r="172" spans="1:44" ht="14.25" customHeight="1" x14ac:dyDescent="0.35">
      <c r="AL172" s="4" t="s">
        <v>29</v>
      </c>
      <c r="AM172" s="6" t="str" cm="1">
        <f t="array" ref="AM172">IFERROR((SUMPRODUCT(($B$148:$B$171=AM$146)*($F$145:$AJ$145="")*$F$148:$AJ$171)+IF(AM$146="P6",SUMPRODUCT(($F$145:$AJ$145="P6")*$F$148:$AJ$171),0))/(SUMPRODUCT(($B$148:$B$171=AM$146)*($F$145:$AJ$145=""))+IF(AM$146="P6",COUNTIF($F$145:$AJ$145,"P6")*ROWS($B$148:$B$171),0)),"")</f>
        <v/>
      </c>
      <c r="AN172" s="6" cm="1">
        <f t="array" ref="AN172">IFERROR((SUMPRODUCT(($B$148:$B$171=AN$146)*($F$145:$AJ$145="")*$F$148:$AJ$171)+IF(AN$146="P6",SUMPRODUCT(($F$145:$AJ$145="P6")*$F$148:$AJ$171),0))/(SUMPRODUCT(($B$148:$B$171=AN$146)*($F$145:$AJ$145=""))+IF(AN$146="P6",COUNTIF($F$145:$AJ$145,"P6")*ROWS($B$148:$B$171),0)),"")</f>
        <v>0.92722830687830715</v>
      </c>
      <c r="AO172" s="6" cm="1">
        <f t="array" ref="AO172">IFERROR((SUMPRODUCT(($B$148:$B$171=AO$146)*($F$145:$AJ$145="")*$F$148:$AJ$171)+IF(AO$146="P6",SUMPRODUCT(($F$145:$AJ$145="P6")*$F$148:$AJ$171),0))/(SUMPRODUCT(($B$148:$B$171=AO$146)*($F$145:$AJ$145=""))+IF(AO$146="P6",COUNTIF($F$145:$AJ$145,"P6")*ROWS($B$148:$B$171),0)),"")</f>
        <v>1.0823280272108857</v>
      </c>
      <c r="AP172" s="6" t="str" cm="1">
        <f t="array" ref="AP172">IFERROR((SUMPRODUCT(($B$148:$B$171=AP$146)*($F$145:$AJ$145="")*$F$148:$AJ$171)+IF(AP$146="P6",SUMPRODUCT(($F$145:$AJ$145="P6")*$F$148:$AJ$171),0))/(SUMPRODUCT(($B$148:$B$171=AP$146)*($F$145:$AJ$145=""))+IF(AP$146="P6",COUNTIF($F$145:$AJ$145,"P6")*ROWS($B$148:$B$171),0)),"")</f>
        <v/>
      </c>
      <c r="AQ172" s="6" t="str" cm="1">
        <f t="array" ref="AQ172">IFERROR((SUMPRODUCT(($B$148:$B$171=AQ$146)*($F$145:$AJ$145="")*$F$148:$AJ$171)+IF(AQ$146="P6",SUMPRODUCT(($F$145:$AJ$145="P6")*$F$148:$AJ$171),0))/(SUMPRODUCT(($B$148:$B$171=AQ$146)*($F$145:$AJ$145=""))+IF(AQ$146="P6",COUNTIF($F$145:$AJ$145,"P6")*ROWS($B$148:$B$171),0)),"")</f>
        <v/>
      </c>
      <c r="AR172" s="6" cm="1">
        <f t="array" ref="AR172">IFERROR((SUMPRODUCT(($B$148:$B$171=AR$146)*($F$145:$AJ$145="")*$F$148:$AJ$171)+IF(AR$146="P6",SUMPRODUCT(($F$145:$AJ$145="P6")*$F$148:$AJ$171),0))/(SUMPRODUCT(($B$148:$B$171=AR$146)*($F$145:$AJ$145=""))+IF(AR$146="P6",COUNTIF($F$145:$AJ$145,"P6")*ROWS($B$148:$B$171),0)),"")</f>
        <v>0.99264144607843074</v>
      </c>
    </row>
    <row r="176" spans="1:44" ht="14.25" customHeight="1" x14ac:dyDescent="0.35">
      <c r="A176" s="15" t="s">
        <v>48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</row>
    <row r="177" spans="1:44" ht="14.25" customHeight="1" x14ac:dyDescent="0.3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</row>
    <row r="178" spans="1:44" ht="14.25" customHeight="1" x14ac:dyDescent="0.35">
      <c r="AL178" s="10"/>
      <c r="AM178" s="10"/>
      <c r="AN178" s="10"/>
      <c r="AO178" s="10"/>
      <c r="AP178" s="10"/>
      <c r="AQ178" s="10"/>
      <c r="AR178" s="10"/>
    </row>
    <row r="179" spans="1:44" ht="14.25" customHeight="1" x14ac:dyDescent="0.35">
      <c r="F179" s="1" t="str">
        <f>IF(OR(F181="S",F181="D"),"P3","")</f>
        <v>P3</v>
      </c>
      <c r="G179" s="1" t="str">
        <f t="shared" ref="G179:AI179" si="24">IF(OR(G181="S",G181="D"),"P3","")</f>
        <v/>
      </c>
      <c r="H179" s="1" t="str">
        <f t="shared" si="24"/>
        <v/>
      </c>
      <c r="I179" s="1" t="str">
        <f t="shared" si="24"/>
        <v/>
      </c>
      <c r="J179" s="1" t="str">
        <f t="shared" si="24"/>
        <v/>
      </c>
      <c r="K179" s="1" t="str">
        <f t="shared" si="24"/>
        <v/>
      </c>
      <c r="L179" s="1" t="str">
        <f t="shared" si="24"/>
        <v>P3</v>
      </c>
      <c r="M179" s="1" t="str">
        <f t="shared" si="24"/>
        <v>P3</v>
      </c>
      <c r="N179" s="1" t="str">
        <f t="shared" si="24"/>
        <v/>
      </c>
      <c r="O179" s="1" t="str">
        <f t="shared" si="24"/>
        <v/>
      </c>
      <c r="P179" s="1" t="str">
        <f t="shared" si="24"/>
        <v/>
      </c>
      <c r="Q179" s="1" t="str">
        <f t="shared" si="24"/>
        <v/>
      </c>
      <c r="R179" s="1" t="str">
        <f t="shared" si="24"/>
        <v/>
      </c>
      <c r="S179" s="1" t="str">
        <f t="shared" si="24"/>
        <v>P3</v>
      </c>
      <c r="T179" s="1" t="str">
        <f t="shared" si="24"/>
        <v>P3</v>
      </c>
      <c r="U179" s="1" t="str">
        <f t="shared" si="24"/>
        <v/>
      </c>
      <c r="V179" s="1" t="str">
        <f t="shared" si="24"/>
        <v/>
      </c>
      <c r="W179" s="1" t="str">
        <f t="shared" si="24"/>
        <v/>
      </c>
      <c r="X179" s="1" t="str">
        <f t="shared" si="24"/>
        <v/>
      </c>
      <c r="Y179" s="1" t="str">
        <f t="shared" si="24"/>
        <v/>
      </c>
      <c r="Z179" s="1" t="str">
        <f t="shared" si="24"/>
        <v>P3</v>
      </c>
      <c r="AA179" s="1" t="str">
        <f t="shared" si="24"/>
        <v>P3</v>
      </c>
      <c r="AB179" s="1" t="str">
        <f t="shared" si="24"/>
        <v/>
      </c>
      <c r="AC179" s="1" t="str">
        <f t="shared" si="24"/>
        <v/>
      </c>
      <c r="AD179" s="1" t="str">
        <f t="shared" si="24"/>
        <v/>
      </c>
      <c r="AE179" s="1" t="str">
        <f t="shared" si="24"/>
        <v/>
      </c>
      <c r="AF179" s="1" t="str">
        <f t="shared" si="24"/>
        <v/>
      </c>
      <c r="AG179" s="1" t="str">
        <f t="shared" si="24"/>
        <v>P3</v>
      </c>
      <c r="AH179" s="1" t="str">
        <f t="shared" si="24"/>
        <v>P3</v>
      </c>
      <c r="AI179" s="1" t="str">
        <f t="shared" si="24"/>
        <v/>
      </c>
      <c r="AL179" s="10"/>
      <c r="AM179" s="10"/>
      <c r="AN179" s="10"/>
      <c r="AO179" s="10"/>
      <c r="AP179" s="10"/>
      <c r="AQ179" s="10"/>
      <c r="AR179" s="10"/>
    </row>
    <row r="180" spans="1:44" ht="14.25" customHeight="1" x14ac:dyDescent="0.35">
      <c r="F180" s="1" t="str">
        <f>IF(OR(F181="S",F181="D"),"P6","")</f>
        <v>P6</v>
      </c>
      <c r="G180" s="1" t="str">
        <f t="shared" ref="G180:AI180" si="25">IF(OR(G181="S",G181="D"),"P6","")</f>
        <v/>
      </c>
      <c r="H180" s="1" t="str">
        <f t="shared" si="25"/>
        <v/>
      </c>
      <c r="I180" s="1" t="str">
        <f t="shared" si="25"/>
        <v/>
      </c>
      <c r="J180" s="1" t="str">
        <f t="shared" si="25"/>
        <v/>
      </c>
      <c r="K180" s="1" t="str">
        <f t="shared" si="25"/>
        <v/>
      </c>
      <c r="L180" s="1" t="str">
        <f t="shared" si="25"/>
        <v>P6</v>
      </c>
      <c r="M180" s="1" t="str">
        <f t="shared" si="25"/>
        <v>P6</v>
      </c>
      <c r="N180" s="1" t="str">
        <f t="shared" si="25"/>
        <v/>
      </c>
      <c r="O180" s="1" t="str">
        <f t="shared" si="25"/>
        <v/>
      </c>
      <c r="P180" s="1" t="str">
        <f t="shared" si="25"/>
        <v/>
      </c>
      <c r="Q180" s="1" t="str">
        <f t="shared" si="25"/>
        <v/>
      </c>
      <c r="R180" s="1" t="str">
        <f t="shared" si="25"/>
        <v/>
      </c>
      <c r="S180" s="1" t="str">
        <f t="shared" si="25"/>
        <v>P6</v>
      </c>
      <c r="T180" s="1" t="str">
        <f t="shared" si="25"/>
        <v>P6</v>
      </c>
      <c r="U180" s="1" t="str">
        <f t="shared" si="25"/>
        <v/>
      </c>
      <c r="V180" s="1" t="str">
        <f t="shared" si="25"/>
        <v/>
      </c>
      <c r="W180" s="1" t="str">
        <f t="shared" si="25"/>
        <v/>
      </c>
      <c r="X180" s="1" t="str">
        <f t="shared" si="25"/>
        <v/>
      </c>
      <c r="Y180" s="1" t="str">
        <f t="shared" si="25"/>
        <v/>
      </c>
      <c r="Z180" s="1" t="str">
        <f t="shared" si="25"/>
        <v>P6</v>
      </c>
      <c r="AA180" s="1" t="str">
        <f t="shared" si="25"/>
        <v>P6</v>
      </c>
      <c r="AB180" s="1" t="str">
        <f t="shared" si="25"/>
        <v/>
      </c>
      <c r="AC180" s="1" t="str">
        <f t="shared" si="25"/>
        <v/>
      </c>
      <c r="AD180" s="1" t="str">
        <f t="shared" si="25"/>
        <v/>
      </c>
      <c r="AE180" s="1" t="str">
        <f t="shared" si="25"/>
        <v/>
      </c>
      <c r="AF180" s="1" t="str">
        <f t="shared" si="25"/>
        <v/>
      </c>
      <c r="AG180" s="1" t="str">
        <f t="shared" si="25"/>
        <v>P6</v>
      </c>
      <c r="AH180" s="1" t="str">
        <f t="shared" si="25"/>
        <v>P6</v>
      </c>
      <c r="AI180" s="1" t="str">
        <f t="shared" si="25"/>
        <v/>
      </c>
      <c r="AL180" s="14" t="s">
        <v>93</v>
      </c>
      <c r="AM180" s="14"/>
      <c r="AN180" s="14"/>
      <c r="AO180" s="14"/>
      <c r="AP180" s="14"/>
      <c r="AQ180" s="14"/>
      <c r="AR180" s="14"/>
    </row>
    <row r="181" spans="1:44" ht="14.25" customHeight="1" x14ac:dyDescent="0.35">
      <c r="F181" s="1" t="str">
        <f>CHOOSE(WEEKDAY(F182,2),"L","M","X","J","V","S","D")</f>
        <v>D</v>
      </c>
      <c r="G181" s="1" t="str">
        <f t="shared" ref="G181:AI181" si="26">CHOOSE(WEEKDAY(G182,2),"L","M","X","J","V","S","D")</f>
        <v>L</v>
      </c>
      <c r="H181" s="1" t="str">
        <f t="shared" si="26"/>
        <v>M</v>
      </c>
      <c r="I181" s="1" t="str">
        <f t="shared" si="26"/>
        <v>X</v>
      </c>
      <c r="J181" s="1" t="str">
        <f t="shared" si="26"/>
        <v>J</v>
      </c>
      <c r="K181" s="1" t="str">
        <f t="shared" si="26"/>
        <v>V</v>
      </c>
      <c r="L181" s="1" t="str">
        <f t="shared" si="26"/>
        <v>S</v>
      </c>
      <c r="M181" s="1" t="str">
        <f t="shared" si="26"/>
        <v>D</v>
      </c>
      <c r="N181" s="1" t="str">
        <f t="shared" si="26"/>
        <v>L</v>
      </c>
      <c r="O181" s="1" t="str">
        <f t="shared" si="26"/>
        <v>M</v>
      </c>
      <c r="P181" s="1" t="str">
        <f t="shared" si="26"/>
        <v>X</v>
      </c>
      <c r="Q181" s="1" t="str">
        <f t="shared" si="26"/>
        <v>J</v>
      </c>
      <c r="R181" s="1" t="str">
        <f t="shared" si="26"/>
        <v>V</v>
      </c>
      <c r="S181" s="1" t="str">
        <f t="shared" si="26"/>
        <v>S</v>
      </c>
      <c r="T181" s="1" t="str">
        <f t="shared" si="26"/>
        <v>D</v>
      </c>
      <c r="U181" s="1" t="str">
        <f t="shared" si="26"/>
        <v>L</v>
      </c>
      <c r="V181" s="1" t="str">
        <f t="shared" si="26"/>
        <v>M</v>
      </c>
      <c r="W181" s="1" t="str">
        <f t="shared" si="26"/>
        <v>X</v>
      </c>
      <c r="X181" s="1" t="str">
        <f t="shared" si="26"/>
        <v>J</v>
      </c>
      <c r="Y181" s="1" t="str">
        <f t="shared" si="26"/>
        <v>V</v>
      </c>
      <c r="Z181" s="1" t="str">
        <f t="shared" si="26"/>
        <v>S</v>
      </c>
      <c r="AA181" s="1" t="str">
        <f t="shared" si="26"/>
        <v>D</v>
      </c>
      <c r="AB181" s="1" t="str">
        <f t="shared" si="26"/>
        <v>L</v>
      </c>
      <c r="AC181" s="1" t="str">
        <f t="shared" si="26"/>
        <v>M</v>
      </c>
      <c r="AD181" s="1" t="str">
        <f t="shared" si="26"/>
        <v>X</v>
      </c>
      <c r="AE181" s="1" t="str">
        <f t="shared" si="26"/>
        <v>J</v>
      </c>
      <c r="AF181" s="1" t="str">
        <f t="shared" si="26"/>
        <v>V</v>
      </c>
      <c r="AG181" s="1" t="str">
        <f t="shared" si="26"/>
        <v>S</v>
      </c>
      <c r="AH181" s="1" t="str">
        <f t="shared" si="26"/>
        <v>D</v>
      </c>
      <c r="AI181" s="1" t="str">
        <f t="shared" si="26"/>
        <v>L</v>
      </c>
      <c r="AL181" s="4"/>
      <c r="AM181" s="4" t="s">
        <v>13</v>
      </c>
      <c r="AN181" s="4" t="s">
        <v>14</v>
      </c>
      <c r="AO181" s="4" t="s">
        <v>15</v>
      </c>
      <c r="AP181" s="4" t="s">
        <v>16</v>
      </c>
      <c r="AQ181" s="4" t="s">
        <v>17</v>
      </c>
      <c r="AR181" s="4" t="s">
        <v>7</v>
      </c>
    </row>
    <row r="182" spans="1:44" ht="14.25" customHeight="1" x14ac:dyDescent="0.35">
      <c r="A182" s="3" t="s">
        <v>76</v>
      </c>
      <c r="B182" s="3" t="s">
        <v>77</v>
      </c>
      <c r="C182" s="3" t="s">
        <v>75</v>
      </c>
      <c r="D182" s="3" t="s">
        <v>74</v>
      </c>
      <c r="F182" s="8">
        <v>45809</v>
      </c>
      <c r="G182" s="8">
        <v>45810</v>
      </c>
      <c r="H182" s="8">
        <v>45811</v>
      </c>
      <c r="I182" s="8">
        <v>45812</v>
      </c>
      <c r="J182" s="8">
        <v>45813</v>
      </c>
      <c r="K182" s="8">
        <v>45814</v>
      </c>
      <c r="L182" s="8">
        <v>45815</v>
      </c>
      <c r="M182" s="8">
        <v>45816</v>
      </c>
      <c r="N182" s="8">
        <v>45817</v>
      </c>
      <c r="O182" s="8">
        <v>45818</v>
      </c>
      <c r="P182" s="8">
        <v>45819</v>
      </c>
      <c r="Q182" s="8">
        <v>45820</v>
      </c>
      <c r="R182" s="8">
        <v>45821</v>
      </c>
      <c r="S182" s="8">
        <v>45822</v>
      </c>
      <c r="T182" s="8">
        <v>45823</v>
      </c>
      <c r="U182" s="8">
        <v>45824</v>
      </c>
      <c r="V182" s="8">
        <v>45825</v>
      </c>
      <c r="W182" s="8">
        <v>45826</v>
      </c>
      <c r="X182" s="8">
        <v>45827</v>
      </c>
      <c r="Y182" s="8">
        <v>45828</v>
      </c>
      <c r="Z182" s="8">
        <v>45829</v>
      </c>
      <c r="AA182" s="8">
        <v>45830</v>
      </c>
      <c r="AB182" s="8">
        <v>45831</v>
      </c>
      <c r="AC182" s="8">
        <v>45832</v>
      </c>
      <c r="AD182" s="8">
        <v>45833</v>
      </c>
      <c r="AE182" s="8">
        <v>45834</v>
      </c>
      <c r="AF182" s="8">
        <v>45835</v>
      </c>
      <c r="AG182" s="8">
        <v>45836</v>
      </c>
      <c r="AH182" s="8">
        <v>45837</v>
      </c>
      <c r="AI182" s="8">
        <v>45838</v>
      </c>
      <c r="AL182" s="4" t="s">
        <v>19</v>
      </c>
      <c r="AM182" s="6" cm="1">
        <f t="array" ref="AM182">IFERROR((SUMPRODUCT(($C$183:$C$206=AM$181)*($F$179:$AI$179="")*$F$183:$AI$206)+IF(AM$181="P3",SUMPRODUCT(($F$179:$AI$179="P3")*$F$183:$AI$206),0))/(SUMPRODUCT(($C$183:$C$206=AM$181)*($F$179:$AI$179=""))+IF(AM$181="P3",COUNTIF($F$179:$AI$179,"P3")*ROWS($C$183:$C$206),0)),"")</f>
        <v>0.86315553571428594</v>
      </c>
      <c r="AN182" s="6" cm="1">
        <f t="array" ref="AN182">IFERROR((SUMPRODUCT(($C$183:$C$206=AN$181)*($F$179:$AI$179="")*$F$183:$AI$206)+IF(AN$181="P3",SUMPRODUCT(($F$179:$AI$179="P3")*$F$183:$AI$206),0))/(SUMPRODUCT(($C$183:$C$206=AN$181)*($F$179:$AI$179=""))+IF(AN$181="P3",COUNTIF($F$179:$AI$179,"P3")*ROWS($C$183:$C$206),0)),"")</f>
        <v>0.88175363095238135</v>
      </c>
      <c r="AO182" s="6" cm="1">
        <f t="array" ref="AO182">IFERROR((SUMPRODUCT(($C$183:$C$206=AO$181)*($F$179:$AI$179="")*$F$183:$AI$206)+IF(AO$181="P3",SUMPRODUCT(($F$179:$AI$179="P3")*$F$183:$AI$206),0))/(SUMPRODUCT(($C$183:$C$206=AO$181)*($F$179:$AI$179=""))+IF(AO$181="P3",COUNTIF($F$179:$AI$179,"P3")*ROWS($C$183:$C$206),0)),"")</f>
        <v>0.91759125000000041</v>
      </c>
      <c r="AP182" s="6" t="str" cm="1">
        <f t="array" ref="AP182">IFERROR((SUMPRODUCT(($C$183:$C$206=AP$181)*($F$179:$AI$179="")*$F$183:$AI$206)+IF(AP$181="P3",SUMPRODUCT(($F$179:$AI$179="P3")*$F$183:$AI$206),0))/(SUMPRODUCT(($C$183:$C$206=AP$181)*($F$179:$AI$179=""))+IF(AP$181="P3",COUNTIF($F$179:$AI$179,"P3")*ROWS($C$183:$C$206),0)),"")</f>
        <v/>
      </c>
      <c r="AQ182" s="6" t="str" cm="1">
        <f t="array" ref="AQ182">IFERROR((SUMPRODUCT(($C$183:$C$206=AQ$181)*($F$179:$AI$179="")*$F$183:$AI$206)+IF(AQ$181="P3",SUMPRODUCT(($F$179:$AI$179="P3")*$F$183:$AI$206),0))/(SUMPRODUCT(($C$183:$C$206=AQ$181)*($F$179:$AI$179=""))+IF(AQ$181="P3",COUNTIF($F$179:$AI$179,"P3")*ROWS($C$183:$C$206),0)),"")</f>
        <v/>
      </c>
      <c r="AR182" s="6" t="str" cm="1">
        <f t="array" ref="AR182">IFERROR((SUMPRODUCT(($C$183:$C$206=AR$181)*($F$179:$AI$179="")*$F$183:$AI$206)+IF(AR$181="P3",SUMPRODUCT(($F$179:$AI$179="P3")*$F$183:$AI$206),0))/(SUMPRODUCT(($C$183:$C$206=AR$181)*($F$179:$AI$179=""))+IF(AR$181="P3",COUNTIF($F$179:$AI$179,"P3")*ROWS($C$183:$C$206),0)),"")</f>
        <v/>
      </c>
    </row>
    <row r="183" spans="1:44" ht="14.25" customHeight="1" x14ac:dyDescent="0.35">
      <c r="A183" s="1" t="s">
        <v>7</v>
      </c>
      <c r="B183" s="1" t="s">
        <v>7</v>
      </c>
      <c r="C183" s="1" t="s">
        <v>15</v>
      </c>
      <c r="D183" s="1" t="s">
        <v>7</v>
      </c>
      <c r="E183" s="1" t="s">
        <v>8</v>
      </c>
      <c r="F183" s="1">
        <v>0.97904999999999998</v>
      </c>
      <c r="G183" s="1">
        <v>1.00023</v>
      </c>
      <c r="H183" s="1">
        <v>0.95284999999999997</v>
      </c>
      <c r="I183" s="1">
        <v>0.92983000000000005</v>
      </c>
      <c r="J183" s="1">
        <v>0.91793000000000002</v>
      </c>
      <c r="K183" s="1">
        <v>0.93230000000000002</v>
      </c>
      <c r="L183" s="1">
        <v>0.95143999999999995</v>
      </c>
      <c r="M183" s="1">
        <v>0.97904999999999998</v>
      </c>
      <c r="N183" s="1">
        <v>1.00023</v>
      </c>
      <c r="O183" s="1">
        <v>0.95284999999999997</v>
      </c>
      <c r="P183" s="1">
        <v>0.92983000000000005</v>
      </c>
      <c r="Q183" s="1">
        <v>0.91793000000000002</v>
      </c>
      <c r="R183" s="1">
        <v>0.93230000000000002</v>
      </c>
      <c r="S183" s="1">
        <v>0.95143999999999995</v>
      </c>
      <c r="T183" s="1">
        <v>0.97904999999999998</v>
      </c>
      <c r="U183" s="1">
        <v>1.00023</v>
      </c>
      <c r="V183" s="1">
        <v>0.95284999999999997</v>
      </c>
      <c r="W183" s="1">
        <v>0.92983000000000005</v>
      </c>
      <c r="X183" s="1">
        <v>0.91793000000000002</v>
      </c>
      <c r="Y183" s="1">
        <v>0.93230000000000002</v>
      </c>
      <c r="Z183" s="1">
        <v>0.95143999999999995</v>
      </c>
      <c r="AA183" s="1">
        <v>0.97904999999999998</v>
      </c>
      <c r="AB183" s="1">
        <v>1.00023</v>
      </c>
      <c r="AC183" s="1">
        <v>0.95284999999999997</v>
      </c>
      <c r="AD183" s="1">
        <v>0.92983000000000005</v>
      </c>
      <c r="AE183" s="1">
        <v>0.91793000000000002</v>
      </c>
      <c r="AF183" s="1">
        <v>0.93230000000000002</v>
      </c>
      <c r="AG183" s="1">
        <v>0.95143999999999995</v>
      </c>
      <c r="AH183" s="1">
        <v>0.97904999999999998</v>
      </c>
      <c r="AI183" s="1">
        <v>1.00023</v>
      </c>
      <c r="AL183" s="4" t="s">
        <v>21</v>
      </c>
      <c r="AM183" s="6" t="str" cm="1">
        <f t="array" ref="AM183">IFERROR((SUMPRODUCT(($D$183:$D$206=AM$181)*($F$180:$AI$180="")*$F$183:$AI$206)+IF(AM$181="P6",SUMPRODUCT(($F$180:$AI$180="P6")*$F$183:$AI$206),0))/(SUMPRODUCT(($D$183:$D$206=AM$181)*($F$180:$AI$180=""))+IF(AM$181="P6",COUNTIF($F$180:$AI$180,"P6")*ROWS($D$183:$D$206),0)),"")</f>
        <v/>
      </c>
      <c r="AN183" s="6" t="str" cm="1">
        <f t="array" ref="AN183">IFERROR((SUMPRODUCT(($D$183:$D$206=AN$181)*($F$180:$AI$180="")*$F$183:$AI$206)+IF(AN$181="P6",SUMPRODUCT(($F$180:$AI$180="P6")*$F$183:$AI$206),0))/(SUMPRODUCT(($D$183:$D$206=AN$181)*($F$180:$AI$180=""))+IF(AN$181="P6",COUNTIF($F$180:$AI$180,"P6")*ROWS($D$183:$D$206),0)),"")</f>
        <v/>
      </c>
      <c r="AO183" s="6" cm="1">
        <f t="array" ref="AO183">IFERROR((SUMPRODUCT(($D$183:$D$206=AO$181)*($F$180:$AI$180="")*$F$183:$AI$206)+IF(AO$181="P6",SUMPRODUCT(($F$180:$AI$180="P6")*$F$183:$AI$206),0))/(SUMPRODUCT(($D$183:$D$206=AO$181)*($F$180:$AI$180=""))+IF(AO$181="P6",COUNTIF($F$180:$AI$180,"P6")*ROWS($D$183:$D$206),0)),"")</f>
        <v>0.85903216931216964</v>
      </c>
      <c r="AP183" s="6" cm="1">
        <f t="array" ref="AP183">IFERROR((SUMPRODUCT(($D$183:$D$206=AP$181)*($F$180:$AI$180="")*$F$183:$AI$206)+IF(AP$181="P6",SUMPRODUCT(($F$180:$AI$180="P6")*$F$183:$AI$206),0))/(SUMPRODUCT(($D$183:$D$206=AP$181)*($F$180:$AI$180=""))+IF(AP$181="P6",COUNTIF($F$180:$AI$180,"P6")*ROWS($D$183:$D$206),0)),"")</f>
        <v>0.88971197278911551</v>
      </c>
      <c r="AQ183" s="6" t="str" cm="1">
        <f t="array" ref="AQ183">IFERROR((SUMPRODUCT(($D$183:$D$206=AQ$181)*($F$180:$AI$180="")*$F$183:$AI$206)+IF(AQ$181="P6",SUMPRODUCT(($F$180:$AI$180="P6")*$F$183:$AI$206),0))/(SUMPRODUCT(($D$183:$D$206=AQ$181)*($F$180:$AI$180=""))+IF(AQ$181="P6",COUNTIF($F$180:$AI$180,"P6")*ROWS($D$183:$D$206),0)),"")</f>
        <v/>
      </c>
      <c r="AR183" s="6" cm="1">
        <f t="array" ref="AR183">IFERROR((SUMPRODUCT(($D$183:$D$206=AR$181)*($F$180:$AI$180="")*$F$183:$AI$206)+IF(AR$181="P6",SUMPRODUCT(($F$180:$AI$180="P6")*$F$183:$AI$206),0))/(SUMPRODUCT(($D$183:$D$206=AR$181)*($F$180:$AI$180=""))+IF(AR$181="P6",COUNTIF($F$180:$AI$180,"P6")*ROWS($D$183:$D$206),0)),"")</f>
        <v>0.91759125000000041</v>
      </c>
    </row>
    <row r="184" spans="1:44" ht="14.25" customHeight="1" x14ac:dyDescent="0.35">
      <c r="A184" s="1" t="s">
        <v>7</v>
      </c>
      <c r="B184" s="1" t="s">
        <v>7</v>
      </c>
      <c r="C184" s="1" t="s">
        <v>15</v>
      </c>
      <c r="D184" s="1" t="s">
        <v>7</v>
      </c>
      <c r="E184" s="1" t="s">
        <v>9</v>
      </c>
      <c r="F184" s="1">
        <v>1.0140400000000001</v>
      </c>
      <c r="G184" s="1">
        <v>1.0235000000000001</v>
      </c>
      <c r="H184" s="1">
        <v>0.97538000000000002</v>
      </c>
      <c r="I184" s="1">
        <v>0.94155</v>
      </c>
      <c r="J184" s="1">
        <v>0.92423</v>
      </c>
      <c r="K184" s="1">
        <v>0.94086999999999998</v>
      </c>
      <c r="L184" s="1">
        <v>0.98184000000000005</v>
      </c>
      <c r="M184" s="1">
        <v>1.0140400000000001</v>
      </c>
      <c r="N184" s="1">
        <v>1.0235000000000001</v>
      </c>
      <c r="O184" s="1">
        <v>0.97538000000000002</v>
      </c>
      <c r="P184" s="1">
        <v>0.94155</v>
      </c>
      <c r="Q184" s="1">
        <v>0.92423</v>
      </c>
      <c r="R184" s="1">
        <v>0.94086999999999998</v>
      </c>
      <c r="S184" s="1">
        <v>0.98184000000000005</v>
      </c>
      <c r="T184" s="1">
        <v>1.0140400000000001</v>
      </c>
      <c r="U184" s="1">
        <v>1.0235000000000001</v>
      </c>
      <c r="V184" s="1">
        <v>0.97538000000000002</v>
      </c>
      <c r="W184" s="1">
        <v>0.94155</v>
      </c>
      <c r="X184" s="1">
        <v>0.92423</v>
      </c>
      <c r="Y184" s="1">
        <v>0.94086999999999998</v>
      </c>
      <c r="Z184" s="1">
        <v>0.98184000000000005</v>
      </c>
      <c r="AA184" s="1">
        <v>1.0140400000000001</v>
      </c>
      <c r="AB184" s="1">
        <v>1.0235000000000001</v>
      </c>
      <c r="AC184" s="1">
        <v>0.97538000000000002</v>
      </c>
      <c r="AD184" s="1">
        <v>0.94155</v>
      </c>
      <c r="AE184" s="1">
        <v>0.92423</v>
      </c>
      <c r="AF184" s="1">
        <v>0.94086999999999998</v>
      </c>
      <c r="AG184" s="1">
        <v>0.98184000000000005</v>
      </c>
      <c r="AH184" s="1">
        <v>1.0140400000000001</v>
      </c>
      <c r="AI184" s="1">
        <v>1.0235000000000001</v>
      </c>
      <c r="AL184" s="4" t="s">
        <v>23</v>
      </c>
      <c r="AM184" s="6" t="str" cm="1">
        <f t="array" ref="AM184">IFERROR((SUMPRODUCT(($D$183:$D$206=AM$181)*($F$180:$AI$180="")*$F$183:$AI$206)+IF(AM$181="P6",SUMPRODUCT(($F$180:$AI$180="P6")*$F$183:$AI$206),0))/(SUMPRODUCT(($D$183:$D$206=AM$181)*($F$180:$AI$180=""))+IF(AM$181="P6",COUNTIF($F$180:$AI$180,"P6")*ROWS($D$183:$D$206),0)),"")</f>
        <v/>
      </c>
      <c r="AN184" s="6" t="str" cm="1">
        <f t="array" ref="AN184">IFERROR((SUMPRODUCT(($D$183:$D$206=AN$181)*($F$180:$AI$180="")*$F$183:$AI$206)+IF(AN$181="P6",SUMPRODUCT(($F$180:$AI$180="P6")*$F$183:$AI$206),0))/(SUMPRODUCT(($D$183:$D$206=AN$181)*($F$180:$AI$180=""))+IF(AN$181="P6",COUNTIF($F$180:$AI$180,"P6")*ROWS($D$183:$D$206),0)),"")</f>
        <v/>
      </c>
      <c r="AO184" s="5" cm="1">
        <f t="array" ref="AO184">IFERROR((SUMPRODUCT(($D$183:$D$206=AO$181)*($F$180:$AI$180="")*$F$183:$AI$206)+IF(AO$181="P6",SUMPRODUCT(($F$180:$AI$180="P6")*$F$183:$AI$206),0))/(SUMPRODUCT(($D$183:$D$206=AO$181)*($F$180:$AI$180=""))+IF(AO$181="P6",COUNTIF($F$180:$AI$180,"P6")*ROWS($D$183:$D$206),0)),"")</f>
        <v>0.85903216931216964</v>
      </c>
      <c r="AP184" s="5" cm="1">
        <f t="array" ref="AP184">IFERROR((SUMPRODUCT(($D$183:$D$206=AP$181)*($F$180:$AI$180="")*$F$183:$AI$206)+IF(AP$181="P6",SUMPRODUCT(($F$180:$AI$180="P6")*$F$183:$AI$206),0))/(SUMPRODUCT(($D$183:$D$206=AP$181)*($F$180:$AI$180=""))+IF(AP$181="P6",COUNTIF($F$180:$AI$180,"P6")*ROWS($D$183:$D$206),0)),"")</f>
        <v>0.88971197278911551</v>
      </c>
      <c r="AQ184" s="5" t="str" cm="1">
        <f t="array" ref="AQ184">IFERROR((SUMPRODUCT(($D$183:$D$206=AQ$181)*($F$180:$AI$180="")*$F$183:$AI$206)+IF(AQ$181="P6",SUMPRODUCT(($F$180:$AI$180="P6")*$F$183:$AI$206),0))/(SUMPRODUCT(($D$183:$D$206=AQ$181)*($F$180:$AI$180=""))+IF(AQ$181="P6",COUNTIF($F$180:$AI$180,"P6")*ROWS($D$183:$D$206),0)),"")</f>
        <v/>
      </c>
      <c r="AR184" s="6" cm="1">
        <f t="array" ref="AR184">IFERROR((SUMPRODUCT(($D$183:$D$206=AR$181)*($F$180:$AI$180="")*$F$183:$AI$206)+IF(AR$181="P6",SUMPRODUCT(($F$180:$AI$180="P6")*$F$183:$AI$206),0))/(SUMPRODUCT(($D$183:$D$206=AR$181)*($F$180:$AI$180=""))+IF(AR$181="P6",COUNTIF($F$180:$AI$180,"P6")*ROWS($D$183:$D$206),0)),"")</f>
        <v>0.91759125000000041</v>
      </c>
    </row>
    <row r="185" spans="1:44" ht="14.25" customHeight="1" x14ac:dyDescent="0.35">
      <c r="A185" s="1" t="s">
        <v>7</v>
      </c>
      <c r="B185" s="1" t="s">
        <v>7</v>
      </c>
      <c r="C185" s="1" t="s">
        <v>15</v>
      </c>
      <c r="D185" s="1" t="s">
        <v>7</v>
      </c>
      <c r="E185" s="1" t="s">
        <v>10</v>
      </c>
      <c r="F185" s="1">
        <v>1.0460700000000001</v>
      </c>
      <c r="G185" s="1">
        <v>1.0369699999999999</v>
      </c>
      <c r="H185" s="1">
        <v>0.98018000000000005</v>
      </c>
      <c r="I185" s="1">
        <v>0.94710000000000005</v>
      </c>
      <c r="J185" s="1">
        <v>0.92657999999999996</v>
      </c>
      <c r="K185" s="1">
        <v>0.95631999999999995</v>
      </c>
      <c r="L185" s="1">
        <v>1.0027900000000001</v>
      </c>
      <c r="M185" s="1">
        <v>1.0460700000000001</v>
      </c>
      <c r="N185" s="1">
        <v>1.0369699999999999</v>
      </c>
      <c r="O185" s="1">
        <v>0.98018000000000005</v>
      </c>
      <c r="P185" s="1">
        <v>0.94710000000000005</v>
      </c>
      <c r="Q185" s="1">
        <v>0.92657999999999996</v>
      </c>
      <c r="R185" s="1">
        <v>0.95631999999999995</v>
      </c>
      <c r="S185" s="1">
        <v>1.0027900000000001</v>
      </c>
      <c r="T185" s="1">
        <v>1.0460700000000001</v>
      </c>
      <c r="U185" s="1">
        <v>1.0369699999999999</v>
      </c>
      <c r="V185" s="1">
        <v>0.98018000000000005</v>
      </c>
      <c r="W185" s="1">
        <v>0.94710000000000005</v>
      </c>
      <c r="X185" s="1">
        <v>0.92657999999999996</v>
      </c>
      <c r="Y185" s="1">
        <v>0.95631999999999995</v>
      </c>
      <c r="Z185" s="1">
        <v>1.0027900000000001</v>
      </c>
      <c r="AA185" s="1">
        <v>1.0460700000000001</v>
      </c>
      <c r="AB185" s="1">
        <v>1.0369699999999999</v>
      </c>
      <c r="AC185" s="1">
        <v>0.98018000000000005</v>
      </c>
      <c r="AD185" s="1">
        <v>0.94710000000000005</v>
      </c>
      <c r="AE185" s="1">
        <v>0.92657999999999996</v>
      </c>
      <c r="AF185" s="1">
        <v>0.95631999999999995</v>
      </c>
      <c r="AG185" s="1">
        <v>1.0027900000000001</v>
      </c>
      <c r="AH185" s="1">
        <v>1.0460700000000001</v>
      </c>
      <c r="AI185" s="1">
        <v>1.0369699999999999</v>
      </c>
      <c r="AL185" s="4" t="s">
        <v>25</v>
      </c>
      <c r="AM185" s="6" t="str" cm="1">
        <f t="array" ref="AM185">IFERROR((SUMPRODUCT(($D$183:$D$206=AM$181)*($F$180:$AI$180="")*$F$183:$AI$206)+IF(AM$181="P6",SUMPRODUCT(($F$180:$AI$180="P6")*$F$183:$AI$206),0))/(SUMPRODUCT(($D$183:$D$206=AM$181)*($F$180:$AI$180=""))+IF(AM$181="P6",COUNTIF($F$180:$AI$180,"P6")*ROWS($D$183:$D$206),0)),"")</f>
        <v/>
      </c>
      <c r="AN185" s="6" t="str" cm="1">
        <f t="array" ref="AN185">IFERROR((SUMPRODUCT(($D$183:$D$206=AN$181)*($F$180:$AI$180="")*$F$183:$AI$206)+IF(AN$181="P6",SUMPRODUCT(($F$180:$AI$180="P6")*$F$183:$AI$206),0))/(SUMPRODUCT(($D$183:$D$206=AN$181)*($F$180:$AI$180=""))+IF(AN$181="P6",COUNTIF($F$180:$AI$180,"P6")*ROWS($D$183:$D$206),0)),"")</f>
        <v/>
      </c>
      <c r="AO185" s="5" cm="1">
        <f t="array" ref="AO185">IFERROR((SUMPRODUCT(($D$183:$D$206=AO$181)*($F$180:$AI$180="")*$F$183:$AI$206)+IF(AO$181="P6",SUMPRODUCT(($F$180:$AI$180="P6")*$F$183:$AI$206),0))/(SUMPRODUCT(($D$183:$D$206=AO$181)*($F$180:$AI$180=""))+IF(AO$181="P6",COUNTIF($F$180:$AI$180,"P6")*ROWS($D$183:$D$206),0)),"")</f>
        <v>0.85903216931216964</v>
      </c>
      <c r="AP185" s="5" cm="1">
        <f t="array" ref="AP185">IFERROR((SUMPRODUCT(($D$183:$D$206=AP$181)*($F$180:$AI$180="")*$F$183:$AI$206)+IF(AP$181="P6",SUMPRODUCT(($F$180:$AI$180="P6")*$F$183:$AI$206),0))/(SUMPRODUCT(($D$183:$D$206=AP$181)*($F$180:$AI$180=""))+IF(AP$181="P6",COUNTIF($F$180:$AI$180,"P6")*ROWS($D$183:$D$206),0)),"")</f>
        <v>0.88971197278911551</v>
      </c>
      <c r="AQ185" s="5" t="str" cm="1">
        <f t="array" ref="AQ185">IFERROR((SUMPRODUCT(($D$183:$D$206=AQ$181)*($F$180:$AI$180="")*$F$183:$AI$206)+IF(AQ$181="P6",SUMPRODUCT(($F$180:$AI$180="P6")*$F$183:$AI$206),0))/(SUMPRODUCT(($D$183:$D$206=AQ$181)*($F$180:$AI$180=""))+IF(AQ$181="P6",COUNTIF($F$180:$AI$180,"P6")*ROWS($D$183:$D$206),0)),"")</f>
        <v/>
      </c>
      <c r="AR185" s="6" cm="1">
        <f t="array" ref="AR185">IFERROR((SUMPRODUCT(($D$183:$D$206=AR$181)*($F$180:$AI$180="")*$F$183:$AI$206)+IF(AR$181="P6",SUMPRODUCT(($F$180:$AI$180="P6")*$F$183:$AI$206),0))/(SUMPRODUCT(($D$183:$D$206=AR$181)*($F$180:$AI$180=""))+IF(AR$181="P6",COUNTIF($F$180:$AI$180,"P6")*ROWS($D$183:$D$206),0)),"")</f>
        <v>0.91759125000000041</v>
      </c>
    </row>
    <row r="186" spans="1:44" ht="14.25" customHeight="1" x14ac:dyDescent="0.35">
      <c r="A186" s="1" t="s">
        <v>7</v>
      </c>
      <c r="B186" s="1" t="s">
        <v>7</v>
      </c>
      <c r="C186" s="1" t="s">
        <v>15</v>
      </c>
      <c r="D186" s="1" t="s">
        <v>7</v>
      </c>
      <c r="E186" s="1" t="s">
        <v>11</v>
      </c>
      <c r="F186" s="1">
        <v>1.0690200000000001</v>
      </c>
      <c r="G186" s="1">
        <v>1.0436700000000001</v>
      </c>
      <c r="H186" s="1">
        <v>0.98456999999999995</v>
      </c>
      <c r="I186" s="1">
        <v>0.94893000000000005</v>
      </c>
      <c r="J186" s="1">
        <v>0.92649000000000004</v>
      </c>
      <c r="K186" s="1">
        <v>0.96516000000000002</v>
      </c>
      <c r="L186" s="1">
        <v>1.0048999999999999</v>
      </c>
      <c r="M186" s="1">
        <v>1.0690200000000001</v>
      </c>
      <c r="N186" s="1">
        <v>1.0436700000000001</v>
      </c>
      <c r="O186" s="1">
        <v>0.98456999999999995</v>
      </c>
      <c r="P186" s="1">
        <v>0.94893000000000005</v>
      </c>
      <c r="Q186" s="1">
        <v>0.92649000000000004</v>
      </c>
      <c r="R186" s="1">
        <v>0.96516000000000002</v>
      </c>
      <c r="S186" s="1">
        <v>1.0048999999999999</v>
      </c>
      <c r="T186" s="1">
        <v>1.0690200000000001</v>
      </c>
      <c r="U186" s="1">
        <v>1.0436700000000001</v>
      </c>
      <c r="V186" s="1">
        <v>0.98456999999999995</v>
      </c>
      <c r="W186" s="1">
        <v>0.94893000000000005</v>
      </c>
      <c r="X186" s="1">
        <v>0.92649000000000004</v>
      </c>
      <c r="Y186" s="1">
        <v>0.96516000000000002</v>
      </c>
      <c r="Z186" s="1">
        <v>1.0048999999999999</v>
      </c>
      <c r="AA186" s="1">
        <v>1.0690200000000001</v>
      </c>
      <c r="AB186" s="1">
        <v>1.0436700000000001</v>
      </c>
      <c r="AC186" s="1">
        <v>0.98456999999999995</v>
      </c>
      <c r="AD186" s="1">
        <v>0.94893000000000005</v>
      </c>
      <c r="AE186" s="1">
        <v>0.92649000000000004</v>
      </c>
      <c r="AF186" s="1">
        <v>0.96516000000000002</v>
      </c>
      <c r="AG186" s="1">
        <v>1.0048999999999999</v>
      </c>
      <c r="AH186" s="1">
        <v>1.0690200000000001</v>
      </c>
      <c r="AI186" s="1">
        <v>1.0436700000000001</v>
      </c>
      <c r="AL186" s="4" t="s">
        <v>27</v>
      </c>
      <c r="AM186" s="6" t="str" cm="1">
        <f t="array" ref="AM186">IFERROR((SUMPRODUCT(($D$183:$D$206=AM$181)*($F$180:$AI$180="")*$F$183:$AI$206)+IF(AM$181="P6",SUMPRODUCT(($F$180:$AI$180="P6")*$F$183:$AI$206),0))/(SUMPRODUCT(($D$183:$D$206=AM$181)*($F$180:$AI$180=""))+IF(AM$181="P6",COUNTIF($F$180:$AI$180,"P6")*ROWS($D$183:$D$206),0)),"")</f>
        <v/>
      </c>
      <c r="AN186" s="6" t="str" cm="1">
        <f t="array" ref="AN186">IFERROR((SUMPRODUCT(($D$183:$D$206=AN$181)*($F$180:$AI$180="")*$F$183:$AI$206)+IF(AN$181="P6",SUMPRODUCT(($F$180:$AI$180="P6")*$F$183:$AI$206),0))/(SUMPRODUCT(($D$183:$D$206=AN$181)*($F$180:$AI$180=""))+IF(AN$181="P6",COUNTIF($F$180:$AI$180,"P6")*ROWS($D$183:$D$206),0)),"")</f>
        <v/>
      </c>
      <c r="AO186" s="5" cm="1">
        <f t="array" ref="AO186">IFERROR((SUMPRODUCT(($D$183:$D$206=AO$181)*($F$180:$AI$180="")*$F$183:$AI$206)+IF(AO$181="P6",SUMPRODUCT(($F$180:$AI$180="P6")*$F$183:$AI$206),0))/(SUMPRODUCT(($D$183:$D$206=AO$181)*($F$180:$AI$180=""))+IF(AO$181="P6",COUNTIF($F$180:$AI$180,"P6")*ROWS($D$183:$D$206),0)),"")</f>
        <v>0.85903216931216964</v>
      </c>
      <c r="AP186" s="5" cm="1">
        <f t="array" ref="AP186">IFERROR((SUMPRODUCT(($D$183:$D$206=AP$181)*($F$180:$AI$180="")*$F$183:$AI$206)+IF(AP$181="P6",SUMPRODUCT(($F$180:$AI$180="P6")*$F$183:$AI$206),0))/(SUMPRODUCT(($D$183:$D$206=AP$181)*($F$180:$AI$180=""))+IF(AP$181="P6",COUNTIF($F$180:$AI$180,"P6")*ROWS($D$183:$D$206),0)),"")</f>
        <v>0.88971197278911551</v>
      </c>
      <c r="AQ186" s="5" t="str" cm="1">
        <f t="array" ref="AQ186">IFERROR((SUMPRODUCT(($D$183:$D$206=AQ$181)*($F$180:$AI$180="")*$F$183:$AI$206)+IF(AQ$181="P6",SUMPRODUCT(($F$180:$AI$180="P6")*$F$183:$AI$206),0))/(SUMPRODUCT(($D$183:$D$206=AQ$181)*($F$180:$AI$180=""))+IF(AQ$181="P6",COUNTIF($F$180:$AI$180,"P6")*ROWS($D$183:$D$206),0)),"")</f>
        <v/>
      </c>
      <c r="AR186" s="6" cm="1">
        <f t="array" ref="AR186">IFERROR((SUMPRODUCT(($D$183:$D$206=AR$181)*($F$180:$AI$180="")*$F$183:$AI$206)+IF(AR$181="P6",SUMPRODUCT(($F$180:$AI$180="P6")*$F$183:$AI$206),0))/(SUMPRODUCT(($D$183:$D$206=AR$181)*($F$180:$AI$180=""))+IF(AR$181="P6",COUNTIF($F$180:$AI$180,"P6")*ROWS($D$183:$D$206),0)),"")</f>
        <v>0.91759125000000041</v>
      </c>
    </row>
    <row r="187" spans="1:44" ht="14.25" customHeight="1" x14ac:dyDescent="0.35">
      <c r="A187" s="1" t="s">
        <v>7</v>
      </c>
      <c r="B187" s="1" t="s">
        <v>7</v>
      </c>
      <c r="C187" s="1" t="s">
        <v>15</v>
      </c>
      <c r="D187" s="1" t="s">
        <v>7</v>
      </c>
      <c r="E187" s="1" t="s">
        <v>12</v>
      </c>
      <c r="F187" s="1">
        <v>1.0665100000000001</v>
      </c>
      <c r="G187" s="1">
        <v>1.0381</v>
      </c>
      <c r="H187" s="1">
        <v>0.97616000000000003</v>
      </c>
      <c r="I187" s="1">
        <v>0.94520999999999999</v>
      </c>
      <c r="J187" s="1">
        <v>0.92364999999999997</v>
      </c>
      <c r="K187" s="1">
        <v>0.96287999999999996</v>
      </c>
      <c r="L187" s="1">
        <v>0.99848999999999999</v>
      </c>
      <c r="M187" s="1">
        <v>1.0665100000000001</v>
      </c>
      <c r="N187" s="1">
        <v>1.0381</v>
      </c>
      <c r="O187" s="1">
        <v>0.97616000000000003</v>
      </c>
      <c r="P187" s="1">
        <v>0.94520999999999999</v>
      </c>
      <c r="Q187" s="1">
        <v>0.92364999999999997</v>
      </c>
      <c r="R187" s="1">
        <v>0.96287999999999996</v>
      </c>
      <c r="S187" s="1">
        <v>0.99848999999999999</v>
      </c>
      <c r="T187" s="1">
        <v>1.0665100000000001</v>
      </c>
      <c r="U187" s="1">
        <v>1.0381</v>
      </c>
      <c r="V187" s="1">
        <v>0.97616000000000003</v>
      </c>
      <c r="W187" s="1">
        <v>0.94520999999999999</v>
      </c>
      <c r="X187" s="1">
        <v>0.92364999999999997</v>
      </c>
      <c r="Y187" s="1">
        <v>0.96287999999999996</v>
      </c>
      <c r="Z187" s="1">
        <v>0.99848999999999999</v>
      </c>
      <c r="AA187" s="1">
        <v>1.0665100000000001</v>
      </c>
      <c r="AB187" s="1">
        <v>1.0381</v>
      </c>
      <c r="AC187" s="1">
        <v>0.97616000000000003</v>
      </c>
      <c r="AD187" s="1">
        <v>0.94520999999999999</v>
      </c>
      <c r="AE187" s="1">
        <v>0.92364999999999997</v>
      </c>
      <c r="AF187" s="1">
        <v>0.96287999999999996</v>
      </c>
      <c r="AG187" s="1">
        <v>0.99848999999999999</v>
      </c>
      <c r="AH187" s="1">
        <v>1.0665100000000001</v>
      </c>
      <c r="AI187" s="1">
        <v>1.0381</v>
      </c>
      <c r="AL187" s="4" t="s">
        <v>29</v>
      </c>
      <c r="AM187" s="6" t="str" cm="1">
        <f t="array" ref="AM187">IFERROR((SUMPRODUCT(($D$183:$D$206=AM$181)*($F$180:$AI$180="")*$F$183:$AI$206)+IF(AM$181="P6",SUMPRODUCT(($F$180:$AI$180="P6")*$F$183:$AI$206),0))/(SUMPRODUCT(($D$183:$D$206=AM$181)*($F$180:$AI$180=""))+IF(AM$181="P6",COUNTIF($F$180:$AI$180,"P6")*ROWS($D$183:$D$206),0)),"")</f>
        <v/>
      </c>
      <c r="AN187" s="6" t="str" cm="1">
        <f t="array" ref="AN187">IFERROR((SUMPRODUCT(($D$183:$D$206=AN$181)*($F$180:$AI$180="")*$F$183:$AI$206)+IF(AN$181="P6",SUMPRODUCT(($F$180:$AI$180="P6")*$F$183:$AI$206),0))/(SUMPRODUCT(($D$183:$D$206=AN$181)*($F$180:$AI$180=""))+IF(AN$181="P6",COUNTIF($F$180:$AI$180,"P6")*ROWS($D$183:$D$206),0)),"")</f>
        <v/>
      </c>
      <c r="AO187" s="5" cm="1">
        <f t="array" ref="AO187">IFERROR((SUMPRODUCT(($D$183:$D$206=AO$181)*($F$180:$AI$180="")*$F$183:$AI$206)+IF(AO$181="P6",SUMPRODUCT(($F$180:$AI$180="P6")*$F$183:$AI$206),0))/(SUMPRODUCT(($D$183:$D$206=AO$181)*($F$180:$AI$180=""))+IF(AO$181="P6",COUNTIF($F$180:$AI$180,"P6")*ROWS($D$183:$D$206),0)),"")</f>
        <v>0.85903216931216964</v>
      </c>
      <c r="AP187" s="5" cm="1">
        <f t="array" ref="AP187">IFERROR((SUMPRODUCT(($D$183:$D$206=AP$181)*($F$180:$AI$180="")*$F$183:$AI$206)+IF(AP$181="P6",SUMPRODUCT(($F$180:$AI$180="P6")*$F$183:$AI$206),0))/(SUMPRODUCT(($D$183:$D$206=AP$181)*($F$180:$AI$180=""))+IF(AP$181="P6",COUNTIF($F$180:$AI$180,"P6")*ROWS($D$183:$D$206),0)),"")</f>
        <v>0.88971197278911551</v>
      </c>
      <c r="AQ187" s="5" t="str" cm="1">
        <f t="array" ref="AQ187">IFERROR((SUMPRODUCT(($D$183:$D$206=AQ$181)*($F$180:$AI$180="")*$F$183:$AI$206)+IF(AQ$181="P6",SUMPRODUCT(($F$180:$AI$180="P6")*$F$183:$AI$206),0))/(SUMPRODUCT(($D$183:$D$206=AQ$181)*($F$180:$AI$180=""))+IF(AQ$181="P6",COUNTIF($F$180:$AI$180,"P6")*ROWS($D$183:$D$206),0)),"")</f>
        <v/>
      </c>
      <c r="AR187" s="6" cm="1">
        <f t="array" ref="AR187">IFERROR((SUMPRODUCT(($D$183:$D$206=AR$181)*($F$180:$AI$180="")*$F$183:$AI$206)+IF(AR$181="P6",SUMPRODUCT(($F$180:$AI$180="P6")*$F$183:$AI$206),0))/(SUMPRODUCT(($D$183:$D$206=AR$181)*($F$180:$AI$180=""))+IF(AR$181="P6",COUNTIF($F$180:$AI$180,"P6")*ROWS($D$183:$D$206),0)),"")</f>
        <v>0.91759125000000041</v>
      </c>
    </row>
    <row r="188" spans="1:44" ht="14.25" customHeight="1" x14ac:dyDescent="0.35">
      <c r="A188" s="1" t="s">
        <v>7</v>
      </c>
      <c r="B188" s="1" t="s">
        <v>7</v>
      </c>
      <c r="C188" s="1" t="s">
        <v>15</v>
      </c>
      <c r="D188" s="1" t="s">
        <v>7</v>
      </c>
      <c r="E188" s="1" t="s">
        <v>18</v>
      </c>
      <c r="F188" s="1">
        <v>1.06986</v>
      </c>
      <c r="G188" s="1">
        <v>0.99829999999999997</v>
      </c>
      <c r="H188" s="1">
        <v>0.95552999999999999</v>
      </c>
      <c r="I188" s="1">
        <v>0.92974000000000001</v>
      </c>
      <c r="J188" s="1">
        <v>0.91252999999999995</v>
      </c>
      <c r="K188" s="1">
        <v>0.93927000000000005</v>
      </c>
      <c r="L188" s="1">
        <v>0.99045000000000005</v>
      </c>
      <c r="M188" s="1">
        <v>1.06986</v>
      </c>
      <c r="N188" s="1">
        <v>0.99829999999999997</v>
      </c>
      <c r="O188" s="1">
        <v>0.95552999999999999</v>
      </c>
      <c r="P188" s="1">
        <v>0.92974000000000001</v>
      </c>
      <c r="Q188" s="1">
        <v>0.91252999999999995</v>
      </c>
      <c r="R188" s="1">
        <v>0.93927000000000005</v>
      </c>
      <c r="S188" s="1">
        <v>0.99045000000000005</v>
      </c>
      <c r="T188" s="1">
        <v>1.06986</v>
      </c>
      <c r="U188" s="1">
        <v>0.99829999999999997</v>
      </c>
      <c r="V188" s="1">
        <v>0.95552999999999999</v>
      </c>
      <c r="W188" s="1">
        <v>0.92974000000000001</v>
      </c>
      <c r="X188" s="1">
        <v>0.91252999999999995</v>
      </c>
      <c r="Y188" s="1">
        <v>0.93927000000000005</v>
      </c>
      <c r="Z188" s="1">
        <v>0.99045000000000005</v>
      </c>
      <c r="AA188" s="1">
        <v>1.06986</v>
      </c>
      <c r="AB188" s="1">
        <v>0.99829999999999997</v>
      </c>
      <c r="AC188" s="1">
        <v>0.95552999999999999</v>
      </c>
      <c r="AD188" s="1">
        <v>0.92974000000000001</v>
      </c>
      <c r="AE188" s="1">
        <v>0.91252999999999995</v>
      </c>
      <c r="AF188" s="1">
        <v>0.93927000000000005</v>
      </c>
      <c r="AG188" s="1">
        <v>0.99045000000000005</v>
      </c>
      <c r="AH188" s="1">
        <v>1.06986</v>
      </c>
      <c r="AI188" s="1">
        <v>0.99829999999999997</v>
      </c>
      <c r="AL188" s="10"/>
      <c r="AM188" s="10"/>
      <c r="AN188" s="10"/>
      <c r="AO188" s="10"/>
      <c r="AP188" s="10"/>
      <c r="AQ188" s="10"/>
      <c r="AR188" s="10"/>
    </row>
    <row r="189" spans="1:44" ht="14.25" customHeight="1" x14ac:dyDescent="0.35">
      <c r="A189" s="1" t="s">
        <v>7</v>
      </c>
      <c r="B189" s="1" t="s">
        <v>7</v>
      </c>
      <c r="C189" s="1" t="s">
        <v>15</v>
      </c>
      <c r="D189" s="1" t="s">
        <v>7</v>
      </c>
      <c r="E189" s="1" t="s">
        <v>20</v>
      </c>
      <c r="F189" s="1">
        <v>1.07494</v>
      </c>
      <c r="G189" s="1">
        <v>0.93899999999999995</v>
      </c>
      <c r="H189" s="1">
        <v>0.90561999999999998</v>
      </c>
      <c r="I189" s="1">
        <v>0.88241000000000003</v>
      </c>
      <c r="J189" s="1">
        <v>0.87236000000000002</v>
      </c>
      <c r="K189" s="1">
        <v>0.89885999999999999</v>
      </c>
      <c r="L189" s="1">
        <v>0.99317</v>
      </c>
      <c r="M189" s="1">
        <v>1.07494</v>
      </c>
      <c r="N189" s="1">
        <v>0.93899999999999995</v>
      </c>
      <c r="O189" s="1">
        <v>0.90561999999999998</v>
      </c>
      <c r="P189" s="1">
        <v>0.88241000000000003</v>
      </c>
      <c r="Q189" s="1">
        <v>0.87236000000000002</v>
      </c>
      <c r="R189" s="1">
        <v>0.89885999999999999</v>
      </c>
      <c r="S189" s="1">
        <v>0.99317</v>
      </c>
      <c r="T189" s="1">
        <v>1.07494</v>
      </c>
      <c r="U189" s="1">
        <v>0.93899999999999995</v>
      </c>
      <c r="V189" s="1">
        <v>0.90561999999999998</v>
      </c>
      <c r="W189" s="1">
        <v>0.88241000000000003</v>
      </c>
      <c r="X189" s="1">
        <v>0.87236000000000002</v>
      </c>
      <c r="Y189" s="1">
        <v>0.89885999999999999</v>
      </c>
      <c r="Z189" s="1">
        <v>0.99317</v>
      </c>
      <c r="AA189" s="1">
        <v>1.07494</v>
      </c>
      <c r="AB189" s="1">
        <v>0.93899999999999995</v>
      </c>
      <c r="AC189" s="1">
        <v>0.90561999999999998</v>
      </c>
      <c r="AD189" s="1">
        <v>0.88241000000000003</v>
      </c>
      <c r="AE189" s="1">
        <v>0.87236000000000002</v>
      </c>
      <c r="AF189" s="1">
        <v>0.89885999999999999</v>
      </c>
      <c r="AG189" s="1">
        <v>0.99317</v>
      </c>
      <c r="AH189" s="1">
        <v>1.07494</v>
      </c>
      <c r="AI189" s="1">
        <v>0.93899999999999995</v>
      </c>
      <c r="AL189" s="10"/>
      <c r="AM189" s="10"/>
      <c r="AN189" s="10"/>
      <c r="AO189" s="10"/>
      <c r="AP189" s="10"/>
      <c r="AQ189" s="10"/>
      <c r="AR189" s="10"/>
    </row>
    <row r="190" spans="1:44" ht="14.25" customHeight="1" x14ac:dyDescent="0.35">
      <c r="A190" s="1" t="s">
        <v>7</v>
      </c>
      <c r="B190" s="1" t="s">
        <v>7</v>
      </c>
      <c r="C190" s="1" t="s">
        <v>15</v>
      </c>
      <c r="D190" s="1" t="s">
        <v>7</v>
      </c>
      <c r="E190" s="1" t="s">
        <v>22</v>
      </c>
      <c r="F190" s="1">
        <v>1.0508599999999999</v>
      </c>
      <c r="G190" s="1">
        <v>0.85838999999999999</v>
      </c>
      <c r="H190" s="1">
        <v>0.83674000000000004</v>
      </c>
      <c r="I190" s="1">
        <v>0.82260999999999995</v>
      </c>
      <c r="J190" s="1">
        <v>0.80432000000000003</v>
      </c>
      <c r="K190" s="1">
        <v>0.83484999999999998</v>
      </c>
      <c r="L190" s="1">
        <v>0.96779999999999999</v>
      </c>
      <c r="M190" s="1">
        <v>1.0508599999999999</v>
      </c>
      <c r="N190" s="1">
        <v>0.85838999999999999</v>
      </c>
      <c r="O190" s="1">
        <v>0.83674000000000004</v>
      </c>
      <c r="P190" s="1">
        <v>0.82260999999999995</v>
      </c>
      <c r="Q190" s="1">
        <v>0.80432000000000003</v>
      </c>
      <c r="R190" s="1">
        <v>0.83484999999999998</v>
      </c>
      <c r="S190" s="1">
        <v>0.96779999999999999</v>
      </c>
      <c r="T190" s="1">
        <v>1.0508599999999999</v>
      </c>
      <c r="U190" s="1">
        <v>0.85838999999999999</v>
      </c>
      <c r="V190" s="1">
        <v>0.83674000000000004</v>
      </c>
      <c r="W190" s="1">
        <v>0.82260999999999995</v>
      </c>
      <c r="X190" s="1">
        <v>0.80432000000000003</v>
      </c>
      <c r="Y190" s="1">
        <v>0.83484999999999998</v>
      </c>
      <c r="Z190" s="1">
        <v>0.96779999999999999</v>
      </c>
      <c r="AA190" s="1">
        <v>1.0508599999999999</v>
      </c>
      <c r="AB190" s="1">
        <v>0.85838999999999999</v>
      </c>
      <c r="AC190" s="1">
        <v>0.83674000000000004</v>
      </c>
      <c r="AD190" s="1">
        <v>0.82260999999999995</v>
      </c>
      <c r="AE190" s="1">
        <v>0.80432000000000003</v>
      </c>
      <c r="AF190" s="1">
        <v>0.83484999999999998</v>
      </c>
      <c r="AG190" s="1">
        <v>0.96779999999999999</v>
      </c>
      <c r="AH190" s="1">
        <v>1.0508599999999999</v>
      </c>
      <c r="AI190" s="1">
        <v>0.85838999999999999</v>
      </c>
      <c r="AL190" s="14" t="s">
        <v>94</v>
      </c>
      <c r="AM190" s="14"/>
      <c r="AN190" s="14"/>
      <c r="AO190" s="14"/>
      <c r="AP190" s="14"/>
      <c r="AQ190" s="14"/>
      <c r="AR190" s="14"/>
    </row>
    <row r="191" spans="1:44" ht="14.25" customHeight="1" x14ac:dyDescent="0.35">
      <c r="A191" s="1" t="s">
        <v>17</v>
      </c>
      <c r="B191" s="1" t="s">
        <v>14</v>
      </c>
      <c r="C191" s="1" t="s">
        <v>14</v>
      </c>
      <c r="D191" s="1" t="s">
        <v>16</v>
      </c>
      <c r="E191" s="1" t="s">
        <v>24</v>
      </c>
      <c r="F191" s="1">
        <v>0.92778000000000005</v>
      </c>
      <c r="G191" s="1">
        <v>0.87231999999999998</v>
      </c>
      <c r="H191" s="1">
        <v>0.85133999999999999</v>
      </c>
      <c r="I191" s="1">
        <v>0.83636999999999995</v>
      </c>
      <c r="J191" s="1">
        <v>0.83079000000000003</v>
      </c>
      <c r="K191" s="1">
        <v>0.86097999999999997</v>
      </c>
      <c r="L191" s="1">
        <v>0.87475000000000003</v>
      </c>
      <c r="M191" s="1">
        <v>0.92778000000000005</v>
      </c>
      <c r="N191" s="1">
        <v>0.87231999999999998</v>
      </c>
      <c r="O191" s="1">
        <v>0.85133999999999999</v>
      </c>
      <c r="P191" s="1">
        <v>0.83636999999999995</v>
      </c>
      <c r="Q191" s="1">
        <v>0.83079000000000003</v>
      </c>
      <c r="R191" s="1">
        <v>0.86097999999999997</v>
      </c>
      <c r="S191" s="1">
        <v>0.87475000000000003</v>
      </c>
      <c r="T191" s="1">
        <v>0.92778000000000005</v>
      </c>
      <c r="U191" s="1">
        <v>0.87231999999999998</v>
      </c>
      <c r="V191" s="1">
        <v>0.85133999999999999</v>
      </c>
      <c r="W191" s="1">
        <v>0.83636999999999995</v>
      </c>
      <c r="X191" s="1">
        <v>0.83079000000000003</v>
      </c>
      <c r="Y191" s="1">
        <v>0.86097999999999997</v>
      </c>
      <c r="Z191" s="1">
        <v>0.87475000000000003</v>
      </c>
      <c r="AA191" s="1">
        <v>0.92778000000000005</v>
      </c>
      <c r="AB191" s="1">
        <v>0.87231999999999998</v>
      </c>
      <c r="AC191" s="1">
        <v>0.85133999999999999</v>
      </c>
      <c r="AD191" s="1">
        <v>0.83636999999999995</v>
      </c>
      <c r="AE191" s="1">
        <v>0.83079000000000003</v>
      </c>
      <c r="AF191" s="1">
        <v>0.86097999999999997</v>
      </c>
      <c r="AG191" s="1">
        <v>0.87475000000000003</v>
      </c>
      <c r="AH191" s="1">
        <v>0.92778000000000005</v>
      </c>
      <c r="AI191" s="1">
        <v>0.87231999999999998</v>
      </c>
      <c r="AL191" s="4"/>
      <c r="AM191" s="4" t="s">
        <v>13</v>
      </c>
      <c r="AN191" s="4" t="s">
        <v>14</v>
      </c>
      <c r="AO191" s="4" t="s">
        <v>15</v>
      </c>
      <c r="AP191" s="4" t="s">
        <v>16</v>
      </c>
      <c r="AQ191" s="4" t="s">
        <v>17</v>
      </c>
      <c r="AR191" s="4" t="s">
        <v>7</v>
      </c>
    </row>
    <row r="192" spans="1:44" ht="14.25" customHeight="1" x14ac:dyDescent="0.35">
      <c r="A192" s="1" t="s">
        <v>17</v>
      </c>
      <c r="B192" s="1" t="s">
        <v>14</v>
      </c>
      <c r="C192" s="1" t="s">
        <v>14</v>
      </c>
      <c r="D192" s="1" t="s">
        <v>15</v>
      </c>
      <c r="E192" s="1" t="s">
        <v>26</v>
      </c>
      <c r="F192" s="1">
        <v>0.85097</v>
      </c>
      <c r="G192" s="1">
        <v>0.85711000000000004</v>
      </c>
      <c r="H192" s="1">
        <v>0.81784999999999997</v>
      </c>
      <c r="I192" s="1">
        <v>0.80261000000000005</v>
      </c>
      <c r="J192" s="1">
        <v>0.80010999999999999</v>
      </c>
      <c r="K192" s="1">
        <v>0.84477999999999998</v>
      </c>
      <c r="L192" s="1">
        <v>0.81313000000000002</v>
      </c>
      <c r="M192" s="1">
        <v>0.85097</v>
      </c>
      <c r="N192" s="1">
        <v>0.85711000000000004</v>
      </c>
      <c r="O192" s="1">
        <v>0.81784999999999997</v>
      </c>
      <c r="P192" s="1">
        <v>0.80261000000000005</v>
      </c>
      <c r="Q192" s="1">
        <v>0.80010999999999999</v>
      </c>
      <c r="R192" s="1">
        <v>0.84477999999999998</v>
      </c>
      <c r="S192" s="1">
        <v>0.81313000000000002</v>
      </c>
      <c r="T192" s="1">
        <v>0.85097</v>
      </c>
      <c r="U192" s="1">
        <v>0.85711000000000004</v>
      </c>
      <c r="V192" s="1">
        <v>0.81784999999999997</v>
      </c>
      <c r="W192" s="1">
        <v>0.80261000000000005</v>
      </c>
      <c r="X192" s="1">
        <v>0.80010999999999999</v>
      </c>
      <c r="Y192" s="1">
        <v>0.84477999999999998</v>
      </c>
      <c r="Z192" s="1">
        <v>0.81313000000000002</v>
      </c>
      <c r="AA192" s="1">
        <v>0.85097</v>
      </c>
      <c r="AB192" s="1">
        <v>0.85711000000000004</v>
      </c>
      <c r="AC192" s="1">
        <v>0.81784999999999997</v>
      </c>
      <c r="AD192" s="1">
        <v>0.80261000000000005</v>
      </c>
      <c r="AE192" s="1">
        <v>0.80010999999999999</v>
      </c>
      <c r="AF192" s="1">
        <v>0.84477999999999998</v>
      </c>
      <c r="AG192" s="1">
        <v>0.81313000000000002</v>
      </c>
      <c r="AH192" s="1">
        <v>0.85097</v>
      </c>
      <c r="AI192" s="1">
        <v>0.85711000000000004</v>
      </c>
      <c r="AL192" s="4" t="s">
        <v>19</v>
      </c>
      <c r="AM192" s="6" cm="1">
        <f t="array" ref="AM192">IFERROR((SUMPRODUCT(($C$183:$C$206=AM$181)*($F$179:$AI$179="")*$F$183:$AI$206)+IF(AM$181="P3",SUMPRODUCT(($F$179:$AI$179="P3")*$F$183:$AI$206),0))/(SUMPRODUCT(($C$183:$C$206=AM$181)*($F$179:$AI$179=""))+IF(AM$181="P3",COUNTIF($F$179:$AI$179,"P3")*ROWS($C$183:$C$206),0)),"")</f>
        <v>0.86315553571428594</v>
      </c>
      <c r="AN192" s="6" cm="1">
        <f t="array" ref="AN192">IFERROR((SUMPRODUCT(($C$183:$C$206=AN$181)*($F$179:$AI$179="")*$F$183:$AI$206)+IF(AN$181="P3",SUMPRODUCT(($F$179:$AI$179="P3")*$F$183:$AI$206),0))/(SUMPRODUCT(($C$183:$C$206=AN$181)*($F$179:$AI$179=""))+IF(AN$181="P3",COUNTIF($F$179:$AI$179,"P3")*ROWS($C$183:$C$206),0)),"")</f>
        <v>0.88175363095238135</v>
      </c>
      <c r="AO192" s="6" cm="1">
        <f t="array" ref="AO192">IFERROR((SUMPRODUCT(($C$183:$C$206=AO$181)*($F$179:$AI$179="")*$F$183:$AI$206)+IF(AO$181="P3",SUMPRODUCT(($F$179:$AI$179="P3")*$F$183:$AI$206),0))/(SUMPRODUCT(($C$183:$C$206=AO$181)*($F$179:$AI$179=""))+IF(AO$181="P3",COUNTIF($F$179:$AI$179,"P3")*ROWS($C$183:$C$206),0)),"")</f>
        <v>0.91759125000000041</v>
      </c>
      <c r="AP192" s="6" t="str" cm="1">
        <f t="array" ref="AP192">IFERROR((SUMPRODUCT(($C$183:$C$206=AP$181)*($F$179:$AI$179="")*$F$183:$AI$206)+IF(AP$181="P3",SUMPRODUCT(($F$179:$AI$179="P3")*$F$183:$AI$206),0))/(SUMPRODUCT(($C$183:$C$206=AP$181)*($F$179:$AI$179=""))+IF(AP$181="P3",COUNTIF($F$179:$AI$179,"P3")*ROWS($C$183:$C$206),0)),"")</f>
        <v/>
      </c>
      <c r="AQ192" s="6" t="str" cm="1">
        <f t="array" ref="AQ192">IFERROR((SUMPRODUCT(($C$183:$C$206=AQ$181)*($F$179:$AI$179="")*$F$183:$AI$206)+IF(AQ$181="P3",SUMPRODUCT(($F$179:$AI$179="P3")*$F$183:$AI$206),0))/(SUMPRODUCT(($C$183:$C$206=AQ$181)*($F$179:$AI$179=""))+IF(AQ$181="P3",COUNTIF($F$179:$AI$179,"P3")*ROWS($C$183:$C$206),0)),"")</f>
        <v/>
      </c>
      <c r="AR192" s="6" t="str" cm="1">
        <f t="array" ref="AR192">IFERROR((SUMPRODUCT(($C$183:$C$206=AR$181)*($F$179:$AI$179="")*$F$183:$AI$206)+IF(AR$181="P3",SUMPRODUCT(($F$179:$AI$179="P3")*$F$183:$AI$206),0))/(SUMPRODUCT(($C$183:$C$206=AR$181)*($F$179:$AI$179=""))+IF(AR$181="P3",COUNTIF($F$179:$AI$179,"P3")*ROWS($C$183:$C$206),0)),"")</f>
        <v/>
      </c>
    </row>
    <row r="193" spans="1:44" ht="14.25" customHeight="1" x14ac:dyDescent="0.35">
      <c r="A193" s="1" t="s">
        <v>16</v>
      </c>
      <c r="B193" s="1" t="s">
        <v>13</v>
      </c>
      <c r="C193" s="1" t="s">
        <v>13</v>
      </c>
      <c r="D193" s="1" t="s">
        <v>15</v>
      </c>
      <c r="E193" s="1" t="s">
        <v>28</v>
      </c>
      <c r="F193" s="1">
        <v>0.79110999999999998</v>
      </c>
      <c r="G193" s="1">
        <v>0.83897999999999995</v>
      </c>
      <c r="H193" s="1">
        <v>0.81520999999999999</v>
      </c>
      <c r="I193" s="1">
        <v>0.77200999999999997</v>
      </c>
      <c r="J193" s="1">
        <v>0.78107000000000004</v>
      </c>
      <c r="K193" s="1">
        <v>0.80986999999999998</v>
      </c>
      <c r="L193" s="1">
        <v>0.77681</v>
      </c>
      <c r="M193" s="1">
        <v>0.79110999999999998</v>
      </c>
      <c r="N193" s="1">
        <v>0.83897999999999995</v>
      </c>
      <c r="O193" s="1">
        <v>0.81520999999999999</v>
      </c>
      <c r="P193" s="1">
        <v>0.77200999999999997</v>
      </c>
      <c r="Q193" s="1">
        <v>0.78107000000000004</v>
      </c>
      <c r="R193" s="1">
        <v>0.80986999999999998</v>
      </c>
      <c r="S193" s="1">
        <v>0.77681</v>
      </c>
      <c r="T193" s="1">
        <v>0.79110999999999998</v>
      </c>
      <c r="U193" s="1">
        <v>0.83897999999999995</v>
      </c>
      <c r="V193" s="1">
        <v>0.81520999999999999</v>
      </c>
      <c r="W193" s="1">
        <v>0.77200999999999997</v>
      </c>
      <c r="X193" s="1">
        <v>0.78107000000000004</v>
      </c>
      <c r="Y193" s="1">
        <v>0.80986999999999998</v>
      </c>
      <c r="Z193" s="1">
        <v>0.77681</v>
      </c>
      <c r="AA193" s="1">
        <v>0.79110999999999998</v>
      </c>
      <c r="AB193" s="1">
        <v>0.83897999999999995</v>
      </c>
      <c r="AC193" s="1">
        <v>0.81520999999999999</v>
      </c>
      <c r="AD193" s="1">
        <v>0.77200999999999997</v>
      </c>
      <c r="AE193" s="1">
        <v>0.78107000000000004</v>
      </c>
      <c r="AF193" s="1">
        <v>0.80986999999999998</v>
      </c>
      <c r="AG193" s="1">
        <v>0.77681</v>
      </c>
      <c r="AH193" s="1">
        <v>0.79110999999999998</v>
      </c>
      <c r="AI193" s="1">
        <v>0.83897999999999995</v>
      </c>
      <c r="AL193" s="4" t="s">
        <v>21</v>
      </c>
      <c r="AM193" s="6" t="str" cm="1">
        <f t="array" ref="AM193">IFERROR((SUMPRODUCT(($A$183:$A$206=AM$181)*($F$180:$AI$180="")*$F$183:$AI$206)+IF(AM$181="P6",SUMPRODUCT(($F$180:$AI$180="P6")*$F$183:$AI$206),0))/(SUMPRODUCT(($A$183:$A$206=AM$181)*($F$180:$AI$180=""))+IF(AM$181="P6",COUNTIF($F$180:$AI$180,"P6")*ROWS($A$183:$A$206),0)),"")</f>
        <v/>
      </c>
      <c r="AN193" s="6" t="str" cm="1">
        <f t="array" ref="AN193">IFERROR((SUMPRODUCT(($A$183:$A$206=AN$181)*($F$180:$AI$180="")*$F$183:$AI$206)+IF(AN$181="P6",SUMPRODUCT(($F$180:$AI$180="P6")*$F$183:$AI$206),0))/(SUMPRODUCT(($A$183:$A$206=AN$181)*($F$180:$AI$180=""))+IF(AN$181="P6",COUNTIF($F$180:$AI$180,"P6")*ROWS($A$183:$A$206),0)),"")</f>
        <v/>
      </c>
      <c r="AO193" s="6" t="str" cm="1">
        <f t="array" ref="AO193">IFERROR((SUMPRODUCT(($A$183:$A$206=AO$181)*($F$180:$AI$180="")*$F$183:$AI$206)+IF(AO$181="P6",SUMPRODUCT(($F$180:$AI$180="P6")*$F$183:$AI$206),0))/(SUMPRODUCT(($A$183:$A$206=AO$181)*($F$180:$AI$180=""))+IF(AO$181="P6",COUNTIF($F$180:$AI$180,"P6")*ROWS($A$183:$A$206),0)),"")</f>
        <v/>
      </c>
      <c r="AP193" s="6" cm="1">
        <f t="array" ref="AP193">IFERROR((SUMPRODUCT(($A$183:$A$206=AP$181)*($F$180:$AI$180="")*$F$183:$AI$206)+IF(AP$181="P6",SUMPRODUCT(($F$180:$AI$180="P6")*$F$183:$AI$206),0))/(SUMPRODUCT(($A$183:$A$206=AP$181)*($F$180:$AI$180=""))+IF(AP$181="P6",COUNTIF($F$180:$AI$180,"P6")*ROWS($A$183:$A$206),0)),"")</f>
        <v>0.85647285714285715</v>
      </c>
      <c r="AQ193" s="6" cm="1">
        <f t="array" ref="AQ193">IFERROR((SUMPRODUCT(($A$183:$A$206=AQ$181)*($F$180:$AI$180="")*$F$183:$AI$206)+IF(AQ$181="P6",SUMPRODUCT(($F$180:$AI$180="P6")*$F$183:$AI$206),0))/(SUMPRODUCT(($A$183:$A$206=AQ$181)*($F$180:$AI$180=""))+IF(AQ$181="P6",COUNTIF($F$180:$AI$180,"P6")*ROWS($A$183:$A$206),0)),"")</f>
        <v>0.89300251700680267</v>
      </c>
      <c r="AR193" s="6" cm="1">
        <f t="array" ref="AR193">IFERROR((SUMPRODUCT(($A$183:$A$206=AR$181)*($F$180:$AI$180="")*$F$183:$AI$206)+IF(AR$181="P6",SUMPRODUCT(($F$180:$AI$180="P6")*$F$183:$AI$206),0))/(SUMPRODUCT(($A$183:$A$206=AR$181)*($F$180:$AI$180=""))+IF(AR$181="P6",COUNTIF($F$180:$AI$180,"P6")*ROWS($A$183:$A$206),0)),"")</f>
        <v>0.91759125000000041</v>
      </c>
    </row>
    <row r="194" spans="1:44" ht="14.25" customHeight="1" x14ac:dyDescent="0.35">
      <c r="A194" s="1" t="s">
        <v>16</v>
      </c>
      <c r="B194" s="1" t="s">
        <v>13</v>
      </c>
      <c r="C194" s="1" t="s">
        <v>13</v>
      </c>
      <c r="D194" s="1" t="s">
        <v>15</v>
      </c>
      <c r="E194" s="1" t="s">
        <v>30</v>
      </c>
      <c r="F194" s="1">
        <v>0.75990999999999997</v>
      </c>
      <c r="G194" s="1">
        <v>0.82654000000000005</v>
      </c>
      <c r="H194" s="1">
        <v>0.81123000000000001</v>
      </c>
      <c r="I194" s="1">
        <v>0.76461000000000001</v>
      </c>
      <c r="J194" s="1">
        <v>0.78341000000000005</v>
      </c>
      <c r="K194" s="1">
        <v>0.80110000000000003</v>
      </c>
      <c r="L194" s="1">
        <v>0.75712999999999997</v>
      </c>
      <c r="M194" s="1">
        <v>0.75990999999999997</v>
      </c>
      <c r="N194" s="1">
        <v>0.82654000000000005</v>
      </c>
      <c r="O194" s="1">
        <v>0.81123000000000001</v>
      </c>
      <c r="P194" s="1">
        <v>0.76461000000000001</v>
      </c>
      <c r="Q194" s="1">
        <v>0.78341000000000005</v>
      </c>
      <c r="R194" s="1">
        <v>0.80110000000000003</v>
      </c>
      <c r="S194" s="1">
        <v>0.75712999999999997</v>
      </c>
      <c r="T194" s="1">
        <v>0.75990999999999997</v>
      </c>
      <c r="U194" s="1">
        <v>0.82654000000000005</v>
      </c>
      <c r="V194" s="1">
        <v>0.81123000000000001</v>
      </c>
      <c r="W194" s="1">
        <v>0.76461000000000001</v>
      </c>
      <c r="X194" s="1">
        <v>0.78341000000000005</v>
      </c>
      <c r="Y194" s="1">
        <v>0.80110000000000003</v>
      </c>
      <c r="Z194" s="1">
        <v>0.75712999999999997</v>
      </c>
      <c r="AA194" s="1">
        <v>0.75990999999999997</v>
      </c>
      <c r="AB194" s="1">
        <v>0.82654000000000005</v>
      </c>
      <c r="AC194" s="1">
        <v>0.81123000000000001</v>
      </c>
      <c r="AD194" s="1">
        <v>0.76461000000000001</v>
      </c>
      <c r="AE194" s="1">
        <v>0.78341000000000005</v>
      </c>
      <c r="AF194" s="1">
        <v>0.80110000000000003</v>
      </c>
      <c r="AG194" s="1">
        <v>0.75712999999999997</v>
      </c>
      <c r="AH194" s="1">
        <v>0.75990999999999997</v>
      </c>
      <c r="AI194" s="1">
        <v>0.82654000000000005</v>
      </c>
      <c r="AL194" s="4" t="s">
        <v>23</v>
      </c>
      <c r="AM194" s="6" t="str" cm="1">
        <f t="array" ref="AM194">IFERROR((SUMPRODUCT(($A$183:$A$206=AM$181)*($F$180:$AI$180="")*$F$183:$AI$206)+IF(AM$181="P6",SUMPRODUCT(($F$180:$AI$180="P6")*$F$183:$AI$206),0))/(SUMPRODUCT(($A$183:$A$206=AM$181)*($F$180:$AI$180=""))+IF(AM$181="P6",COUNTIF($F$180:$AI$180,"P6")*ROWS($A$183:$A$206),0)),"")</f>
        <v/>
      </c>
      <c r="AN194" s="6" t="str" cm="1">
        <f t="array" ref="AN194">IFERROR((SUMPRODUCT(($A$183:$A$206=AN$181)*($F$180:$AI$180="")*$F$183:$AI$206)+IF(AN$181="P6",SUMPRODUCT(($F$180:$AI$180="P6")*$F$183:$AI$206),0))/(SUMPRODUCT(($A$183:$A$206=AN$181)*($F$180:$AI$180=""))+IF(AN$181="P6",COUNTIF($F$180:$AI$180,"P6")*ROWS($A$183:$A$206),0)),"")</f>
        <v/>
      </c>
      <c r="AO194" s="6" t="str" cm="1">
        <f t="array" ref="AO194">IFERROR((SUMPRODUCT(($A$183:$A$206=AO$181)*($F$180:$AI$180="")*$F$183:$AI$206)+IF(AO$181="P6",SUMPRODUCT(($F$180:$AI$180="P6")*$F$183:$AI$206),0))/(SUMPRODUCT(($A$183:$A$206=AO$181)*($F$180:$AI$180=""))+IF(AO$181="P6",COUNTIF($F$180:$AI$180,"P6")*ROWS($A$183:$A$206),0)),"")</f>
        <v/>
      </c>
      <c r="AP194" s="6" cm="1">
        <f t="array" ref="AP194">IFERROR((SUMPRODUCT(($A$183:$A$206=AP$181)*($F$180:$AI$180="")*$F$183:$AI$206)+IF(AP$181="P6",SUMPRODUCT(($F$180:$AI$180="P6")*$F$183:$AI$206),0))/(SUMPRODUCT(($A$183:$A$206=AP$181)*($F$180:$AI$180=""))+IF(AP$181="P6",COUNTIF($F$180:$AI$180,"P6")*ROWS($A$183:$A$206),0)),"")</f>
        <v>0.85647285714285715</v>
      </c>
      <c r="AQ194" s="6" cm="1">
        <f t="array" ref="AQ194">IFERROR((SUMPRODUCT(($A$183:$A$206=AQ$181)*($F$180:$AI$180="")*$F$183:$AI$206)+IF(AQ$181="P6",SUMPRODUCT(($F$180:$AI$180="P6")*$F$183:$AI$206),0))/(SUMPRODUCT(($A$183:$A$206=AQ$181)*($F$180:$AI$180=""))+IF(AQ$181="P6",COUNTIF($F$180:$AI$180,"P6")*ROWS($A$183:$A$206),0)),"")</f>
        <v>0.89300251700680267</v>
      </c>
      <c r="AR194" s="6" cm="1">
        <f t="array" ref="AR194">IFERROR((SUMPRODUCT(($A$183:$A$206=AR$181)*($F$180:$AI$180="")*$F$183:$AI$206)+IF(AR$181="P6",SUMPRODUCT(($F$180:$AI$180="P6")*$F$183:$AI$206),0))/(SUMPRODUCT(($A$183:$A$206=AR$181)*($F$180:$AI$180=""))+IF(AR$181="P6",COUNTIF($F$180:$AI$180,"P6")*ROWS($A$183:$A$206),0)),"")</f>
        <v>0.91759125000000041</v>
      </c>
    </row>
    <row r="195" spans="1:44" ht="14.25" customHeight="1" x14ac:dyDescent="0.35">
      <c r="A195" s="1" t="s">
        <v>16</v>
      </c>
      <c r="B195" s="1" t="s">
        <v>13</v>
      </c>
      <c r="C195" s="1" t="s">
        <v>13</v>
      </c>
      <c r="D195" s="1" t="s">
        <v>15</v>
      </c>
      <c r="E195" s="1" t="s">
        <v>31</v>
      </c>
      <c r="F195" s="1">
        <v>0.75727</v>
      </c>
      <c r="G195" s="1">
        <v>0.82221999999999995</v>
      </c>
      <c r="H195" s="1">
        <v>0.80884</v>
      </c>
      <c r="I195" s="1">
        <v>0.76634999999999998</v>
      </c>
      <c r="J195" s="1">
        <v>0.78222999999999998</v>
      </c>
      <c r="K195" s="1">
        <v>0.80042000000000002</v>
      </c>
      <c r="L195" s="1">
        <v>0.74480999999999997</v>
      </c>
      <c r="M195" s="1">
        <v>0.75727</v>
      </c>
      <c r="N195" s="1">
        <v>0.82221999999999995</v>
      </c>
      <c r="O195" s="1">
        <v>0.80884</v>
      </c>
      <c r="P195" s="1">
        <v>0.76634999999999998</v>
      </c>
      <c r="Q195" s="1">
        <v>0.78222999999999998</v>
      </c>
      <c r="R195" s="1">
        <v>0.80042000000000002</v>
      </c>
      <c r="S195" s="1">
        <v>0.74480999999999997</v>
      </c>
      <c r="T195" s="1">
        <v>0.75727</v>
      </c>
      <c r="U195" s="1">
        <v>0.82221999999999995</v>
      </c>
      <c r="V195" s="1">
        <v>0.80884</v>
      </c>
      <c r="W195" s="1">
        <v>0.76634999999999998</v>
      </c>
      <c r="X195" s="1">
        <v>0.78222999999999998</v>
      </c>
      <c r="Y195" s="1">
        <v>0.80042000000000002</v>
      </c>
      <c r="Z195" s="1">
        <v>0.74480999999999997</v>
      </c>
      <c r="AA195" s="1">
        <v>0.75727</v>
      </c>
      <c r="AB195" s="1">
        <v>0.82221999999999995</v>
      </c>
      <c r="AC195" s="1">
        <v>0.80884</v>
      </c>
      <c r="AD195" s="1">
        <v>0.76634999999999998</v>
      </c>
      <c r="AE195" s="1">
        <v>0.78222999999999998</v>
      </c>
      <c r="AF195" s="1">
        <v>0.80042000000000002</v>
      </c>
      <c r="AG195" s="1">
        <v>0.74480999999999997</v>
      </c>
      <c r="AH195" s="1">
        <v>0.75727</v>
      </c>
      <c r="AI195" s="1">
        <v>0.82221999999999995</v>
      </c>
      <c r="AL195" s="4" t="s">
        <v>25</v>
      </c>
      <c r="AM195" s="6" t="str" cm="1">
        <f t="array" ref="AM195">IFERROR((SUMPRODUCT(($A$183:$A$206=AM$181)*($F$180:$AI$180="")*$F$183:$AI$206)+IF(AM$181="P6",SUMPRODUCT(($F$180:$AI$180="P6")*$F$183:$AI$206),0))/(SUMPRODUCT(($A$183:$A$206=AM$181)*($F$180:$AI$180=""))+IF(AM$181="P6",COUNTIF($F$180:$AI$180,"P6")*ROWS($A$183:$A$206),0)),"")</f>
        <v/>
      </c>
      <c r="AN195" s="6" t="str" cm="1">
        <f t="array" ref="AN195">IFERROR((SUMPRODUCT(($A$183:$A$206=AN$181)*($F$180:$AI$180="")*$F$183:$AI$206)+IF(AN$181="P6",SUMPRODUCT(($F$180:$AI$180="P6")*$F$183:$AI$206),0))/(SUMPRODUCT(($A$183:$A$206=AN$181)*($F$180:$AI$180=""))+IF(AN$181="P6",COUNTIF($F$180:$AI$180,"P6")*ROWS($A$183:$A$206),0)),"")</f>
        <v/>
      </c>
      <c r="AO195" s="6" t="str" cm="1">
        <f t="array" ref="AO195">IFERROR((SUMPRODUCT(($A$183:$A$206=AO$181)*($F$180:$AI$180="")*$F$183:$AI$206)+IF(AO$181="P6",SUMPRODUCT(($F$180:$AI$180="P6")*$F$183:$AI$206),0))/(SUMPRODUCT(($A$183:$A$206=AO$181)*($F$180:$AI$180=""))+IF(AO$181="P6",COUNTIF($F$180:$AI$180,"P6")*ROWS($A$183:$A$206),0)),"")</f>
        <v/>
      </c>
      <c r="AP195" s="6" cm="1">
        <f t="array" ref="AP195">IFERROR((SUMPRODUCT(($A$183:$A$206=AP$181)*($F$180:$AI$180="")*$F$183:$AI$206)+IF(AP$181="P6",SUMPRODUCT(($F$180:$AI$180="P6")*$F$183:$AI$206),0))/(SUMPRODUCT(($A$183:$A$206=AP$181)*($F$180:$AI$180=""))+IF(AP$181="P6",COUNTIF($F$180:$AI$180,"P6")*ROWS($A$183:$A$206),0)),"")</f>
        <v>0.85647285714285715</v>
      </c>
      <c r="AQ195" s="6" cm="1">
        <f t="array" ref="AQ195">IFERROR((SUMPRODUCT(($A$183:$A$206=AQ$181)*($F$180:$AI$180="")*$F$183:$AI$206)+IF(AQ$181="P6",SUMPRODUCT(($F$180:$AI$180="P6")*$F$183:$AI$206),0))/(SUMPRODUCT(($A$183:$A$206=AQ$181)*($F$180:$AI$180=""))+IF(AQ$181="P6",COUNTIF($F$180:$AI$180,"P6")*ROWS($A$183:$A$206),0)),"")</f>
        <v>0.89300251700680267</v>
      </c>
      <c r="AR195" s="6" cm="1">
        <f t="array" ref="AR195">IFERROR((SUMPRODUCT(($A$183:$A$206=AR$181)*($F$180:$AI$180="")*$F$183:$AI$206)+IF(AR$181="P6",SUMPRODUCT(($F$180:$AI$180="P6")*$F$183:$AI$206),0))/(SUMPRODUCT(($A$183:$A$206=AR$181)*($F$180:$AI$180=""))+IF(AR$181="P6",COUNTIF($F$180:$AI$180,"P6")*ROWS($A$183:$A$206),0)),"")</f>
        <v>0.91759125000000041</v>
      </c>
    </row>
    <row r="196" spans="1:44" ht="14.25" customHeight="1" x14ac:dyDescent="0.35">
      <c r="A196" s="1" t="s">
        <v>16</v>
      </c>
      <c r="B196" s="1" t="s">
        <v>13</v>
      </c>
      <c r="C196" s="1" t="s">
        <v>13</v>
      </c>
      <c r="D196" s="1" t="s">
        <v>15</v>
      </c>
      <c r="E196" s="1" t="s">
        <v>32</v>
      </c>
      <c r="F196" s="1">
        <v>0.72104999999999997</v>
      </c>
      <c r="G196" s="1">
        <v>0.81330000000000002</v>
      </c>
      <c r="H196" s="1">
        <v>0.79981999999999998</v>
      </c>
      <c r="I196" s="1">
        <v>0.76658000000000004</v>
      </c>
      <c r="J196" s="1">
        <v>0.77829999999999999</v>
      </c>
      <c r="K196" s="1">
        <v>0.79949000000000003</v>
      </c>
      <c r="L196" s="1">
        <v>0.72960000000000003</v>
      </c>
      <c r="M196" s="1">
        <v>0.72104999999999997</v>
      </c>
      <c r="N196" s="1">
        <v>0.81330000000000002</v>
      </c>
      <c r="O196" s="1">
        <v>0.79981999999999998</v>
      </c>
      <c r="P196" s="1">
        <v>0.76658000000000004</v>
      </c>
      <c r="Q196" s="1">
        <v>0.77829999999999999</v>
      </c>
      <c r="R196" s="1">
        <v>0.79949000000000003</v>
      </c>
      <c r="S196" s="1">
        <v>0.72960000000000003</v>
      </c>
      <c r="T196" s="1">
        <v>0.72104999999999997</v>
      </c>
      <c r="U196" s="1">
        <v>0.81330000000000002</v>
      </c>
      <c r="V196" s="1">
        <v>0.79981999999999998</v>
      </c>
      <c r="W196" s="1">
        <v>0.76658000000000004</v>
      </c>
      <c r="X196" s="1">
        <v>0.77829999999999999</v>
      </c>
      <c r="Y196" s="1">
        <v>0.79949000000000003</v>
      </c>
      <c r="Z196" s="1">
        <v>0.72960000000000003</v>
      </c>
      <c r="AA196" s="1">
        <v>0.72104999999999997</v>
      </c>
      <c r="AB196" s="1">
        <v>0.81330000000000002</v>
      </c>
      <c r="AC196" s="1">
        <v>0.79981999999999998</v>
      </c>
      <c r="AD196" s="1">
        <v>0.76658000000000004</v>
      </c>
      <c r="AE196" s="1">
        <v>0.77829999999999999</v>
      </c>
      <c r="AF196" s="1">
        <v>0.79949000000000003</v>
      </c>
      <c r="AG196" s="1">
        <v>0.72960000000000003</v>
      </c>
      <c r="AH196" s="1">
        <v>0.72104999999999997</v>
      </c>
      <c r="AI196" s="1">
        <v>0.81330000000000002</v>
      </c>
      <c r="AL196" s="4" t="s">
        <v>27</v>
      </c>
      <c r="AM196" s="6" t="str" cm="1">
        <f t="array" ref="AM196">IFERROR((SUMPRODUCT(($A$183:$A$206=AM$181)*($F$180:$AI$180="")*$F$183:$AI$206)+IF(AM$181="P6",SUMPRODUCT(($F$180:$AI$180="P6")*$F$183:$AI$206),0))/(SUMPRODUCT(($A$183:$A$206=AM$181)*($F$180:$AI$180=""))+IF(AM$181="P6",COUNTIF($F$180:$AI$180,"P6")*ROWS($A$183:$A$206),0)),"")</f>
        <v/>
      </c>
      <c r="AN196" s="6" t="str" cm="1">
        <f t="array" ref="AN196">IFERROR((SUMPRODUCT(($A$183:$A$206=AN$181)*($F$180:$AI$180="")*$F$183:$AI$206)+IF(AN$181="P6",SUMPRODUCT(($F$180:$AI$180="P6")*$F$183:$AI$206),0))/(SUMPRODUCT(($A$183:$A$206=AN$181)*($F$180:$AI$180=""))+IF(AN$181="P6",COUNTIF($F$180:$AI$180,"P6")*ROWS($A$183:$A$206),0)),"")</f>
        <v/>
      </c>
      <c r="AO196" s="6" t="str" cm="1">
        <f t="array" ref="AO196">IFERROR((SUMPRODUCT(($A$183:$A$206=AO$181)*($F$180:$AI$180="")*$F$183:$AI$206)+IF(AO$181="P6",SUMPRODUCT(($F$180:$AI$180="P6")*$F$183:$AI$206),0))/(SUMPRODUCT(($A$183:$A$206=AO$181)*($F$180:$AI$180=""))+IF(AO$181="P6",COUNTIF($F$180:$AI$180,"P6")*ROWS($A$183:$A$206),0)),"")</f>
        <v/>
      </c>
      <c r="AP196" s="6" cm="1">
        <f t="array" ref="AP196">IFERROR((SUMPRODUCT(($A$183:$A$206=AP$181)*($F$180:$AI$180="")*$F$183:$AI$206)+IF(AP$181="P6",SUMPRODUCT(($F$180:$AI$180="P6")*$F$183:$AI$206),0))/(SUMPRODUCT(($A$183:$A$206=AP$181)*($F$180:$AI$180=""))+IF(AP$181="P6",COUNTIF($F$180:$AI$180,"P6")*ROWS($A$183:$A$206),0)),"")</f>
        <v>0.85647285714285715</v>
      </c>
      <c r="AQ196" s="6" cm="1">
        <f t="array" ref="AQ196">IFERROR((SUMPRODUCT(($A$183:$A$206=AQ$181)*($F$180:$AI$180="")*$F$183:$AI$206)+IF(AQ$181="P6",SUMPRODUCT(($F$180:$AI$180="P6")*$F$183:$AI$206),0))/(SUMPRODUCT(($A$183:$A$206=AQ$181)*($F$180:$AI$180=""))+IF(AQ$181="P6",COUNTIF($F$180:$AI$180,"P6")*ROWS($A$183:$A$206),0)),"")</f>
        <v>0.89300251700680267</v>
      </c>
      <c r="AR196" s="6" cm="1">
        <f t="array" ref="AR196">IFERROR((SUMPRODUCT(($A$183:$A$206=AR$181)*($F$180:$AI$180="")*$F$183:$AI$206)+IF(AR$181="P6",SUMPRODUCT(($F$180:$AI$180="P6")*$F$183:$AI$206),0))/(SUMPRODUCT(($A$183:$A$206=AR$181)*($F$180:$AI$180=""))+IF(AR$181="P6",COUNTIF($F$180:$AI$180,"P6")*ROWS($A$183:$A$206),0)),"")</f>
        <v>0.91759125000000041</v>
      </c>
    </row>
    <row r="197" spans="1:44" ht="14.25" customHeight="1" x14ac:dyDescent="0.35">
      <c r="A197" s="1" t="s">
        <v>16</v>
      </c>
      <c r="B197" s="1" t="s">
        <v>13</v>
      </c>
      <c r="C197" s="1" t="s">
        <v>14</v>
      </c>
      <c r="D197" s="1" t="s">
        <v>16</v>
      </c>
      <c r="E197" s="1" t="s">
        <v>33</v>
      </c>
      <c r="F197" s="1">
        <v>0.7097</v>
      </c>
      <c r="G197" s="1">
        <v>0.81579999999999997</v>
      </c>
      <c r="H197" s="1">
        <v>0.81061000000000005</v>
      </c>
      <c r="I197" s="1">
        <v>0.77346999999999999</v>
      </c>
      <c r="J197" s="1">
        <v>0.79639000000000004</v>
      </c>
      <c r="K197" s="1">
        <v>0.81559000000000004</v>
      </c>
      <c r="L197" s="1">
        <v>0.72150000000000003</v>
      </c>
      <c r="M197" s="1">
        <v>0.7097</v>
      </c>
      <c r="N197" s="1">
        <v>0.81579999999999997</v>
      </c>
      <c r="O197" s="1">
        <v>0.81061000000000005</v>
      </c>
      <c r="P197" s="1">
        <v>0.77346999999999999</v>
      </c>
      <c r="Q197" s="1">
        <v>0.79639000000000004</v>
      </c>
      <c r="R197" s="1">
        <v>0.81559000000000004</v>
      </c>
      <c r="S197" s="1">
        <v>0.72150000000000003</v>
      </c>
      <c r="T197" s="1">
        <v>0.7097</v>
      </c>
      <c r="U197" s="1">
        <v>0.81579999999999997</v>
      </c>
      <c r="V197" s="1">
        <v>0.81061000000000005</v>
      </c>
      <c r="W197" s="1">
        <v>0.77346999999999999</v>
      </c>
      <c r="X197" s="1">
        <v>0.79639000000000004</v>
      </c>
      <c r="Y197" s="1">
        <v>0.81559000000000004</v>
      </c>
      <c r="Z197" s="1">
        <v>0.72150000000000003</v>
      </c>
      <c r="AA197" s="1">
        <v>0.7097</v>
      </c>
      <c r="AB197" s="1">
        <v>0.81579999999999997</v>
      </c>
      <c r="AC197" s="1">
        <v>0.81061000000000005</v>
      </c>
      <c r="AD197" s="1">
        <v>0.77346999999999999</v>
      </c>
      <c r="AE197" s="1">
        <v>0.79639000000000004</v>
      </c>
      <c r="AF197" s="1">
        <v>0.81559000000000004</v>
      </c>
      <c r="AG197" s="1">
        <v>0.72150000000000003</v>
      </c>
      <c r="AH197" s="1">
        <v>0.7097</v>
      </c>
      <c r="AI197" s="1">
        <v>0.81579999999999997</v>
      </c>
      <c r="AL197" s="4" t="s">
        <v>29</v>
      </c>
      <c r="AM197" s="6" t="str" cm="1">
        <f t="array" ref="AM197">IFERROR((SUMPRODUCT(($A$183:$A$206=AM$181)*($F$180:$AI$180="")*$F$183:$AI$206)+IF(AM$181="P6",SUMPRODUCT(($F$180:$AI$180="P6")*$F$183:$AI$206),0))/(SUMPRODUCT(($A$183:$A$206=AM$181)*($F$180:$AI$180=""))+IF(AM$181="P6",COUNTIF($F$180:$AI$180,"P6")*ROWS($A$183:$A$206),0)),"")</f>
        <v/>
      </c>
      <c r="AN197" s="6" t="str" cm="1">
        <f t="array" ref="AN197">IFERROR((SUMPRODUCT(($A$183:$A$206=AN$181)*($F$180:$AI$180="")*$F$183:$AI$206)+IF(AN$181="P6",SUMPRODUCT(($F$180:$AI$180="P6")*$F$183:$AI$206),0))/(SUMPRODUCT(($A$183:$A$206=AN$181)*($F$180:$AI$180=""))+IF(AN$181="P6",COUNTIF($F$180:$AI$180,"P6")*ROWS($A$183:$A$206),0)),"")</f>
        <v/>
      </c>
      <c r="AO197" s="6" t="str" cm="1">
        <f t="array" ref="AO197">IFERROR((SUMPRODUCT(($A$183:$A$206=AO$181)*($F$180:$AI$180="")*$F$183:$AI$206)+IF(AO$181="P6",SUMPRODUCT(($F$180:$AI$180="P6")*$F$183:$AI$206),0))/(SUMPRODUCT(($A$183:$A$206=AO$181)*($F$180:$AI$180=""))+IF(AO$181="P6",COUNTIF($F$180:$AI$180,"P6")*ROWS($A$183:$A$206),0)),"")</f>
        <v/>
      </c>
      <c r="AP197" s="6" cm="1">
        <f t="array" ref="AP197">IFERROR((SUMPRODUCT(($A$183:$A$206=AP$181)*($F$180:$AI$180="")*$F$183:$AI$206)+IF(AP$181="P6",SUMPRODUCT(($F$180:$AI$180="P6")*$F$183:$AI$206),0))/(SUMPRODUCT(($A$183:$A$206=AP$181)*($F$180:$AI$180=""))+IF(AP$181="P6",COUNTIF($F$180:$AI$180,"P6")*ROWS($A$183:$A$206),0)),"")</f>
        <v>0.85647285714285715</v>
      </c>
      <c r="AQ197" s="6" cm="1">
        <f t="array" ref="AQ197">IFERROR((SUMPRODUCT(($A$183:$A$206=AQ$181)*($F$180:$AI$180="")*$F$183:$AI$206)+IF(AQ$181="P6",SUMPRODUCT(($F$180:$AI$180="P6")*$F$183:$AI$206),0))/(SUMPRODUCT(($A$183:$A$206=AQ$181)*($F$180:$AI$180=""))+IF(AQ$181="P6",COUNTIF($F$180:$AI$180,"P6")*ROWS($A$183:$A$206),0)),"")</f>
        <v>0.89300251700680267</v>
      </c>
      <c r="AR197" s="6" cm="1">
        <f t="array" ref="AR197">IFERROR((SUMPRODUCT(($A$183:$A$206=AR$181)*($F$180:$AI$180="")*$F$183:$AI$206)+IF(AR$181="P6",SUMPRODUCT(($F$180:$AI$180="P6")*$F$183:$AI$206),0))/(SUMPRODUCT(($A$183:$A$206=AR$181)*($F$180:$AI$180=""))+IF(AR$181="P6",COUNTIF($F$180:$AI$180,"P6")*ROWS($A$183:$A$206),0)),"")</f>
        <v>0.91759125000000041</v>
      </c>
    </row>
    <row r="198" spans="1:44" ht="14.25" customHeight="1" x14ac:dyDescent="0.35">
      <c r="A198" s="1" t="s">
        <v>17</v>
      </c>
      <c r="B198" s="1" t="s">
        <v>14</v>
      </c>
      <c r="C198" s="1" t="s">
        <v>14</v>
      </c>
      <c r="D198" s="1" t="s">
        <v>16</v>
      </c>
      <c r="E198" s="1" t="s">
        <v>34</v>
      </c>
      <c r="F198" s="1">
        <v>0.74038000000000004</v>
      </c>
      <c r="G198" s="1">
        <v>0.83277999999999996</v>
      </c>
      <c r="H198" s="1">
        <v>0.82137000000000004</v>
      </c>
      <c r="I198" s="1">
        <v>0.81267</v>
      </c>
      <c r="J198" s="1">
        <v>0.82177999999999995</v>
      </c>
      <c r="K198" s="1">
        <v>0.83625000000000005</v>
      </c>
      <c r="L198" s="1">
        <v>0.74794000000000005</v>
      </c>
      <c r="M198" s="1">
        <v>0.74038000000000004</v>
      </c>
      <c r="N198" s="1">
        <v>0.83277999999999996</v>
      </c>
      <c r="O198" s="1">
        <v>0.82137000000000004</v>
      </c>
      <c r="P198" s="1">
        <v>0.81267</v>
      </c>
      <c r="Q198" s="1">
        <v>0.82177999999999995</v>
      </c>
      <c r="R198" s="1">
        <v>0.83625000000000005</v>
      </c>
      <c r="S198" s="1">
        <v>0.74794000000000005</v>
      </c>
      <c r="T198" s="1">
        <v>0.74038000000000004</v>
      </c>
      <c r="U198" s="1">
        <v>0.83277999999999996</v>
      </c>
      <c r="V198" s="1">
        <v>0.82137000000000004</v>
      </c>
      <c r="W198" s="1">
        <v>0.81267</v>
      </c>
      <c r="X198" s="1">
        <v>0.82177999999999995</v>
      </c>
      <c r="Y198" s="1">
        <v>0.83625000000000005</v>
      </c>
      <c r="Z198" s="1">
        <v>0.74794000000000005</v>
      </c>
      <c r="AA198" s="1">
        <v>0.74038000000000004</v>
      </c>
      <c r="AB198" s="1">
        <v>0.83277999999999996</v>
      </c>
      <c r="AC198" s="1">
        <v>0.82137000000000004</v>
      </c>
      <c r="AD198" s="1">
        <v>0.81267</v>
      </c>
      <c r="AE198" s="1">
        <v>0.82177999999999995</v>
      </c>
      <c r="AF198" s="1">
        <v>0.83625000000000005</v>
      </c>
      <c r="AG198" s="1">
        <v>0.74794000000000005</v>
      </c>
      <c r="AH198" s="1">
        <v>0.74038000000000004</v>
      </c>
      <c r="AI198" s="1">
        <v>0.83277999999999996</v>
      </c>
      <c r="AL198" s="10"/>
      <c r="AM198" s="10"/>
      <c r="AN198" s="10"/>
      <c r="AO198" s="10"/>
      <c r="AP198" s="10"/>
      <c r="AQ198" s="10"/>
      <c r="AR198" s="10"/>
    </row>
    <row r="199" spans="1:44" ht="14.25" customHeight="1" x14ac:dyDescent="0.35">
      <c r="A199" s="1" t="s">
        <v>17</v>
      </c>
      <c r="B199" s="1" t="s">
        <v>14</v>
      </c>
      <c r="C199" s="1" t="s">
        <v>14</v>
      </c>
      <c r="D199" s="1" t="s">
        <v>16</v>
      </c>
      <c r="E199" s="1" t="s">
        <v>35</v>
      </c>
      <c r="F199" s="1">
        <v>0.81028</v>
      </c>
      <c r="G199" s="1">
        <v>0.83509999999999995</v>
      </c>
      <c r="H199" s="1">
        <v>0.84145999999999999</v>
      </c>
      <c r="I199" s="1">
        <v>0.82589000000000001</v>
      </c>
      <c r="J199" s="1">
        <v>0.83809999999999996</v>
      </c>
      <c r="K199" s="1">
        <v>0.85055999999999998</v>
      </c>
      <c r="L199" s="1">
        <v>0.78227000000000002</v>
      </c>
      <c r="M199" s="1">
        <v>0.81028</v>
      </c>
      <c r="N199" s="1">
        <v>0.83509999999999995</v>
      </c>
      <c r="O199" s="1">
        <v>0.84145999999999999</v>
      </c>
      <c r="P199" s="1">
        <v>0.82589000000000001</v>
      </c>
      <c r="Q199" s="1">
        <v>0.83809999999999996</v>
      </c>
      <c r="R199" s="1">
        <v>0.85055999999999998</v>
      </c>
      <c r="S199" s="1">
        <v>0.78227000000000002</v>
      </c>
      <c r="T199" s="1">
        <v>0.81028</v>
      </c>
      <c r="U199" s="1">
        <v>0.83509999999999995</v>
      </c>
      <c r="V199" s="1">
        <v>0.84145999999999999</v>
      </c>
      <c r="W199" s="1">
        <v>0.82589000000000001</v>
      </c>
      <c r="X199" s="1">
        <v>0.83809999999999996</v>
      </c>
      <c r="Y199" s="1">
        <v>0.85055999999999998</v>
      </c>
      <c r="Z199" s="1">
        <v>0.78227000000000002</v>
      </c>
      <c r="AA199" s="1">
        <v>0.81028</v>
      </c>
      <c r="AB199" s="1">
        <v>0.83509999999999995</v>
      </c>
      <c r="AC199" s="1">
        <v>0.84145999999999999</v>
      </c>
      <c r="AD199" s="1">
        <v>0.82589000000000001</v>
      </c>
      <c r="AE199" s="1">
        <v>0.83809999999999996</v>
      </c>
      <c r="AF199" s="1">
        <v>0.85055999999999998</v>
      </c>
      <c r="AG199" s="1">
        <v>0.78227000000000002</v>
      </c>
      <c r="AH199" s="1">
        <v>0.81028</v>
      </c>
      <c r="AI199" s="1">
        <v>0.83509999999999995</v>
      </c>
      <c r="AL199" s="10"/>
      <c r="AM199" s="10"/>
      <c r="AN199" s="10"/>
      <c r="AO199" s="10"/>
      <c r="AP199" s="10"/>
      <c r="AQ199" s="10"/>
      <c r="AR199" s="10"/>
    </row>
    <row r="200" spans="1:44" ht="14.25" customHeight="1" x14ac:dyDescent="0.35">
      <c r="A200" s="1" t="s">
        <v>17</v>
      </c>
      <c r="B200" s="1" t="s">
        <v>14</v>
      </c>
      <c r="C200" s="1" t="s">
        <v>14</v>
      </c>
      <c r="D200" s="1" t="s">
        <v>16</v>
      </c>
      <c r="E200" s="1" t="s">
        <v>36</v>
      </c>
      <c r="F200" s="1">
        <v>0.85650000000000004</v>
      </c>
      <c r="G200" s="1">
        <v>0.85879000000000005</v>
      </c>
      <c r="H200" s="1">
        <v>0.86162000000000005</v>
      </c>
      <c r="I200" s="1">
        <v>0.83018000000000003</v>
      </c>
      <c r="J200" s="1">
        <v>0.85743000000000003</v>
      </c>
      <c r="K200" s="1">
        <v>0.86058000000000001</v>
      </c>
      <c r="L200" s="1">
        <v>0.81498000000000004</v>
      </c>
      <c r="M200" s="1">
        <v>0.85650000000000004</v>
      </c>
      <c r="N200" s="1">
        <v>0.85879000000000005</v>
      </c>
      <c r="O200" s="1">
        <v>0.86162000000000005</v>
      </c>
      <c r="P200" s="1">
        <v>0.83018000000000003</v>
      </c>
      <c r="Q200" s="1">
        <v>0.85743000000000003</v>
      </c>
      <c r="R200" s="1">
        <v>0.86058000000000001</v>
      </c>
      <c r="S200" s="1">
        <v>0.81498000000000004</v>
      </c>
      <c r="T200" s="1">
        <v>0.85650000000000004</v>
      </c>
      <c r="U200" s="1">
        <v>0.85879000000000005</v>
      </c>
      <c r="V200" s="1">
        <v>0.86162000000000005</v>
      </c>
      <c r="W200" s="1">
        <v>0.83018000000000003</v>
      </c>
      <c r="X200" s="1">
        <v>0.85743000000000003</v>
      </c>
      <c r="Y200" s="1">
        <v>0.86058000000000001</v>
      </c>
      <c r="Z200" s="1">
        <v>0.81498000000000004</v>
      </c>
      <c r="AA200" s="1">
        <v>0.85650000000000004</v>
      </c>
      <c r="AB200" s="1">
        <v>0.85879000000000005</v>
      </c>
      <c r="AC200" s="1">
        <v>0.86162000000000005</v>
      </c>
      <c r="AD200" s="1">
        <v>0.83018000000000003</v>
      </c>
      <c r="AE200" s="1">
        <v>0.85743000000000003</v>
      </c>
      <c r="AF200" s="1">
        <v>0.86058000000000001</v>
      </c>
      <c r="AG200" s="1">
        <v>0.81498000000000004</v>
      </c>
      <c r="AH200" s="1">
        <v>0.85650000000000004</v>
      </c>
      <c r="AI200" s="1">
        <v>0.85879000000000005</v>
      </c>
      <c r="AL200" s="14" t="s">
        <v>95</v>
      </c>
      <c r="AM200" s="14"/>
      <c r="AN200" s="14"/>
      <c r="AO200" s="14"/>
      <c r="AP200" s="14"/>
      <c r="AQ200" s="14"/>
      <c r="AR200" s="14"/>
    </row>
    <row r="201" spans="1:44" ht="14.25" customHeight="1" x14ac:dyDescent="0.35">
      <c r="A201" s="1" t="s">
        <v>16</v>
      </c>
      <c r="B201" s="1" t="s">
        <v>13</v>
      </c>
      <c r="C201" s="1" t="s">
        <v>13</v>
      </c>
      <c r="D201" s="1" t="s">
        <v>15</v>
      </c>
      <c r="E201" s="1" t="s">
        <v>37</v>
      </c>
      <c r="F201" s="1">
        <v>0.89295999999999998</v>
      </c>
      <c r="G201" s="1">
        <v>0.88292999999999999</v>
      </c>
      <c r="H201" s="1">
        <v>0.87880999999999998</v>
      </c>
      <c r="I201" s="1">
        <v>0.86355999999999999</v>
      </c>
      <c r="J201" s="1">
        <v>0.87497999999999998</v>
      </c>
      <c r="K201" s="1">
        <v>0.90112000000000003</v>
      </c>
      <c r="L201" s="1">
        <v>0.87231999999999998</v>
      </c>
      <c r="M201" s="1">
        <v>0.89295999999999998</v>
      </c>
      <c r="N201" s="1">
        <v>0.88292999999999999</v>
      </c>
      <c r="O201" s="1">
        <v>0.87880999999999998</v>
      </c>
      <c r="P201" s="1">
        <v>0.86355999999999999</v>
      </c>
      <c r="Q201" s="1">
        <v>0.87497999999999998</v>
      </c>
      <c r="R201" s="1">
        <v>0.90112000000000003</v>
      </c>
      <c r="S201" s="1">
        <v>0.87231999999999998</v>
      </c>
      <c r="T201" s="1">
        <v>0.89295999999999998</v>
      </c>
      <c r="U201" s="1">
        <v>0.88292999999999999</v>
      </c>
      <c r="V201" s="1">
        <v>0.87880999999999998</v>
      </c>
      <c r="W201" s="1">
        <v>0.86355999999999999</v>
      </c>
      <c r="X201" s="1">
        <v>0.87497999999999998</v>
      </c>
      <c r="Y201" s="1">
        <v>0.90112000000000003</v>
      </c>
      <c r="Z201" s="1">
        <v>0.87231999999999998</v>
      </c>
      <c r="AA201" s="1">
        <v>0.89295999999999998</v>
      </c>
      <c r="AB201" s="1">
        <v>0.88292999999999999</v>
      </c>
      <c r="AC201" s="1">
        <v>0.87880999999999998</v>
      </c>
      <c r="AD201" s="1">
        <v>0.86355999999999999</v>
      </c>
      <c r="AE201" s="1">
        <v>0.87497999999999998</v>
      </c>
      <c r="AF201" s="1">
        <v>0.90112000000000003</v>
      </c>
      <c r="AG201" s="1">
        <v>0.87231999999999998</v>
      </c>
      <c r="AH201" s="1">
        <v>0.89295999999999998</v>
      </c>
      <c r="AI201" s="1">
        <v>0.88292999999999999</v>
      </c>
      <c r="AL201" s="4"/>
      <c r="AM201" s="4" t="s">
        <v>13</v>
      </c>
      <c r="AN201" s="4" t="s">
        <v>14</v>
      </c>
      <c r="AO201" s="4" t="s">
        <v>15</v>
      </c>
      <c r="AP201" s="4" t="s">
        <v>16</v>
      </c>
      <c r="AQ201" s="4" t="s">
        <v>17</v>
      </c>
      <c r="AR201" s="4" t="s">
        <v>7</v>
      </c>
    </row>
    <row r="202" spans="1:44" ht="14.25" customHeight="1" x14ac:dyDescent="0.35">
      <c r="A202" s="1" t="s">
        <v>16</v>
      </c>
      <c r="B202" s="1" t="s">
        <v>13</v>
      </c>
      <c r="C202" s="1" t="s">
        <v>13</v>
      </c>
      <c r="D202" s="1" t="s">
        <v>15</v>
      </c>
      <c r="E202" s="1" t="s">
        <v>38</v>
      </c>
      <c r="F202" s="1">
        <v>0.93135000000000001</v>
      </c>
      <c r="G202" s="1">
        <v>0.92012000000000005</v>
      </c>
      <c r="H202" s="1">
        <v>0.89488999999999996</v>
      </c>
      <c r="I202" s="1">
        <v>0.90073000000000003</v>
      </c>
      <c r="J202" s="1">
        <v>0.92188999999999999</v>
      </c>
      <c r="K202" s="1">
        <v>0.92462999999999995</v>
      </c>
      <c r="L202" s="1">
        <v>0.89895000000000003</v>
      </c>
      <c r="M202" s="1">
        <v>0.93135000000000001</v>
      </c>
      <c r="N202" s="1">
        <v>0.92012000000000005</v>
      </c>
      <c r="O202" s="1">
        <v>0.89488999999999996</v>
      </c>
      <c r="P202" s="1">
        <v>0.90073000000000003</v>
      </c>
      <c r="Q202" s="1">
        <v>0.92188999999999999</v>
      </c>
      <c r="R202" s="1">
        <v>0.92462999999999995</v>
      </c>
      <c r="S202" s="1">
        <v>0.89895000000000003</v>
      </c>
      <c r="T202" s="1">
        <v>0.93135000000000001</v>
      </c>
      <c r="U202" s="1">
        <v>0.92012000000000005</v>
      </c>
      <c r="V202" s="1">
        <v>0.89488999999999996</v>
      </c>
      <c r="W202" s="1">
        <v>0.90073000000000003</v>
      </c>
      <c r="X202" s="1">
        <v>0.92188999999999999</v>
      </c>
      <c r="Y202" s="1">
        <v>0.92462999999999995</v>
      </c>
      <c r="Z202" s="1">
        <v>0.89895000000000003</v>
      </c>
      <c r="AA202" s="1">
        <v>0.93135000000000001</v>
      </c>
      <c r="AB202" s="1">
        <v>0.92012000000000005</v>
      </c>
      <c r="AC202" s="1">
        <v>0.89488999999999996</v>
      </c>
      <c r="AD202" s="1">
        <v>0.90073000000000003</v>
      </c>
      <c r="AE202" s="1">
        <v>0.92188999999999999</v>
      </c>
      <c r="AF202" s="1">
        <v>0.92462999999999995</v>
      </c>
      <c r="AG202" s="1">
        <v>0.89895000000000003</v>
      </c>
      <c r="AH202" s="1">
        <v>0.93135000000000001</v>
      </c>
      <c r="AI202" s="1">
        <v>0.92012000000000005</v>
      </c>
      <c r="AL202" s="4" t="s">
        <v>19</v>
      </c>
      <c r="AM202" s="6" cm="1">
        <f t="array" ref="AM202">IFERROR((SUMPRODUCT(($C$183:$C$206=AM$181)*($F$179:$AI$179="")*$F$183:$AI$206)+IF(AM$181="P3",SUMPRODUCT(($F$179:$AI$179="P3")*$F$183:$AI$206),0))/(SUMPRODUCT(($C$183:$C$206=AM$181)*($F$179:$AI$179=""))+IF(AM$181="P3",COUNTIF($F$179:$AI$179,"P3")*ROWS($C$183:$C$206),0)),"")</f>
        <v>0.86315553571428594</v>
      </c>
      <c r="AN202" s="6" cm="1">
        <f t="array" ref="AN202">IFERROR((SUMPRODUCT(($C$183:$C$206=AN$181)*($F$179:$AI$179="")*$F$183:$AI$206)+IF(AN$181="P3",SUMPRODUCT(($F$179:$AI$179="P3")*$F$183:$AI$206),0))/(SUMPRODUCT(($C$183:$C$206=AN$181)*($F$179:$AI$179=""))+IF(AN$181="P3",COUNTIF($F$179:$AI$179,"P3")*ROWS($C$183:$C$206),0)),"")</f>
        <v>0.88175363095238135</v>
      </c>
      <c r="AO202" s="6" cm="1">
        <f t="array" ref="AO202">IFERROR((SUMPRODUCT(($C$183:$C$206=AO$181)*($F$179:$AI$179="")*$F$183:$AI$206)+IF(AO$181="P3",SUMPRODUCT(($F$179:$AI$179="P3")*$F$183:$AI$206),0))/(SUMPRODUCT(($C$183:$C$206=AO$181)*($F$179:$AI$179=""))+IF(AO$181="P3",COUNTIF($F$179:$AI$179,"P3")*ROWS($C$183:$C$206),0)),"")</f>
        <v>0.91759125000000041</v>
      </c>
      <c r="AP202" s="6" t="str" cm="1">
        <f t="array" ref="AP202">IFERROR((SUMPRODUCT(($C$183:$C$206=AP$181)*($F$179:$AI$179="")*$F$183:$AI$206)+IF(AP$181="P3",SUMPRODUCT(($F$179:$AI$179="P3")*$F$183:$AI$206),0))/(SUMPRODUCT(($C$183:$C$206=AP$181)*($F$179:$AI$179=""))+IF(AP$181="P3",COUNTIF($F$179:$AI$179,"P3")*ROWS($C$183:$C$206),0)),"")</f>
        <v/>
      </c>
      <c r="AQ202" s="6" t="str" cm="1">
        <f t="array" ref="AQ202">IFERROR((SUMPRODUCT(($C$183:$C$206=AQ$181)*($F$179:$AI$179="")*$F$183:$AI$206)+IF(AQ$181="P3",SUMPRODUCT(($F$179:$AI$179="P3")*$F$183:$AI$206),0))/(SUMPRODUCT(($C$183:$C$206=AQ$181)*($F$179:$AI$179=""))+IF(AQ$181="P3",COUNTIF($F$179:$AI$179,"P3")*ROWS($C$183:$C$206),0)),"")</f>
        <v/>
      </c>
      <c r="AR202" s="6" t="str" cm="1">
        <f t="array" ref="AR202">IFERROR((SUMPRODUCT(($C$183:$C$206=AR$181)*($F$179:$AI$179="")*$F$183:$AI$206)+IF(AR$181="P3",SUMPRODUCT(($F$179:$AI$179="P3")*$F$183:$AI$206),0))/(SUMPRODUCT(($C$183:$C$206=AR$181)*($F$179:$AI$179=""))+IF(AR$181="P3",COUNTIF($F$179:$AI$179,"P3")*ROWS($C$183:$C$206),0)),"")</f>
        <v/>
      </c>
    </row>
    <row r="203" spans="1:44" ht="14.25" customHeight="1" x14ac:dyDescent="0.35">
      <c r="A203" s="1" t="s">
        <v>16</v>
      </c>
      <c r="B203" s="1" t="s">
        <v>13</v>
      </c>
      <c r="C203" s="1" t="s">
        <v>13</v>
      </c>
      <c r="D203" s="1" t="s">
        <v>15</v>
      </c>
      <c r="E203" s="1" t="s">
        <v>39</v>
      </c>
      <c r="F203" s="1">
        <v>0.93274000000000001</v>
      </c>
      <c r="G203" s="1">
        <v>0.93481999999999998</v>
      </c>
      <c r="H203" s="1">
        <v>0.92071999999999998</v>
      </c>
      <c r="I203" s="1">
        <v>0.92154000000000003</v>
      </c>
      <c r="J203" s="1">
        <v>0.95016</v>
      </c>
      <c r="K203" s="1">
        <v>0.95733999999999997</v>
      </c>
      <c r="L203" s="1">
        <v>0.91620000000000001</v>
      </c>
      <c r="M203" s="1">
        <v>0.93274000000000001</v>
      </c>
      <c r="N203" s="1">
        <v>0.93481999999999998</v>
      </c>
      <c r="O203" s="1">
        <v>0.92071999999999998</v>
      </c>
      <c r="P203" s="1">
        <v>0.92154000000000003</v>
      </c>
      <c r="Q203" s="1">
        <v>0.95016</v>
      </c>
      <c r="R203" s="1">
        <v>0.95733999999999997</v>
      </c>
      <c r="S203" s="1">
        <v>0.91620000000000001</v>
      </c>
      <c r="T203" s="1">
        <v>0.93274000000000001</v>
      </c>
      <c r="U203" s="1">
        <v>0.93481999999999998</v>
      </c>
      <c r="V203" s="1">
        <v>0.92071999999999998</v>
      </c>
      <c r="W203" s="1">
        <v>0.92154000000000003</v>
      </c>
      <c r="X203" s="1">
        <v>0.95016</v>
      </c>
      <c r="Y203" s="1">
        <v>0.95733999999999997</v>
      </c>
      <c r="Z203" s="1">
        <v>0.91620000000000001</v>
      </c>
      <c r="AA203" s="1">
        <v>0.93274000000000001</v>
      </c>
      <c r="AB203" s="1">
        <v>0.93481999999999998</v>
      </c>
      <c r="AC203" s="1">
        <v>0.92071999999999998</v>
      </c>
      <c r="AD203" s="1">
        <v>0.92154000000000003</v>
      </c>
      <c r="AE203" s="1">
        <v>0.95016</v>
      </c>
      <c r="AF203" s="1">
        <v>0.95733999999999997</v>
      </c>
      <c r="AG203" s="1">
        <v>0.91620000000000001</v>
      </c>
      <c r="AH203" s="1">
        <v>0.93274000000000001</v>
      </c>
      <c r="AI203" s="1">
        <v>0.93481999999999998</v>
      </c>
      <c r="AL203" s="4" t="s">
        <v>21</v>
      </c>
      <c r="AM203" s="6" cm="1">
        <f t="array" ref="AM203">IFERROR((SUMPRODUCT(($B$183:$B$206=AM$181)*($F$180:$AI$180="")*$F$183:$AI$206)+IF(AM$181="P6",SUMPRODUCT(($F$180:$AI$180="P6")*$F$183:$AI$206),0))/(SUMPRODUCT(($B$183:$B$206=AM$181)*($F$180:$AI$180=""))+IF(AM$181="P6",COUNTIF($F$180:$AI$180,"P6")*ROWS($B$183:$B$206),0)),"")</f>
        <v>0.85647285714285715</v>
      </c>
      <c r="AN203" s="6" cm="1">
        <f t="array" ref="AN203">IFERROR((SUMPRODUCT(($B$183:$B$206=AN$181)*($F$180:$AI$180="")*$F$183:$AI$206)+IF(AN$181="P6",SUMPRODUCT(($F$180:$AI$180="P6")*$F$183:$AI$206),0))/(SUMPRODUCT(($B$183:$B$206=AN$181)*($F$180:$AI$180=""))+IF(AN$181="P6",COUNTIF($F$180:$AI$180,"P6")*ROWS($B$183:$B$206),0)),"")</f>
        <v>0.89300251700680267</v>
      </c>
      <c r="AO203" s="6" t="str" cm="1">
        <f t="array" ref="AO203">IFERROR((SUMPRODUCT(($B$183:$B$206=AO$181)*($F$180:$AI$180="")*$F$183:$AI$206)+IF(AO$181="P6",SUMPRODUCT(($F$180:$AI$180="P6")*$F$183:$AI$206),0))/(SUMPRODUCT(($B$183:$B$206=AO$181)*($F$180:$AI$180=""))+IF(AO$181="P6",COUNTIF($F$180:$AI$180,"P6")*ROWS($B$183:$B$206),0)),"")</f>
        <v/>
      </c>
      <c r="AP203" s="6" t="str" cm="1">
        <f t="array" ref="AP203">IFERROR((SUMPRODUCT(($B$183:$B$206=AP$181)*($F$180:$AI$180="")*$F$183:$AI$206)+IF(AP$181="P6",SUMPRODUCT(($F$180:$AI$180="P6")*$F$183:$AI$206),0))/(SUMPRODUCT(($B$183:$B$206=AP$181)*($F$180:$AI$180=""))+IF(AP$181="P6",COUNTIF($F$180:$AI$180,"P6")*ROWS($B$183:$B$206),0)),"")</f>
        <v/>
      </c>
      <c r="AQ203" s="6" t="str" cm="1">
        <f t="array" ref="AQ203">IFERROR((SUMPRODUCT(($B$183:$B$206=AQ$181)*($F$180:$AI$180="")*$F$183:$AI$206)+IF(AQ$181="P6",SUMPRODUCT(($F$180:$AI$180="P6")*$F$183:$AI$206),0))/(SUMPRODUCT(($B$183:$B$206=AQ$181)*($F$180:$AI$180=""))+IF(AQ$181="P6",COUNTIF($F$180:$AI$180,"P6")*ROWS($B$183:$B$206),0)),"")</f>
        <v/>
      </c>
      <c r="AR203" s="6" cm="1">
        <f t="array" ref="AR203">IFERROR((SUMPRODUCT(($B$183:$B$206=AR$181)*($F$180:$AI$180="")*$F$183:$AI$206)+IF(AR$181="P6",SUMPRODUCT(($F$180:$AI$180="P6")*$F$183:$AI$206),0))/(SUMPRODUCT(($B$183:$B$206=AR$181)*($F$180:$AI$180=""))+IF(AR$181="P6",COUNTIF($F$180:$AI$180,"P6")*ROWS($B$183:$B$206),0)),"")</f>
        <v>0.91759125000000041</v>
      </c>
    </row>
    <row r="204" spans="1:44" ht="14.25" customHeight="1" x14ac:dyDescent="0.35">
      <c r="A204" s="1" t="s">
        <v>16</v>
      </c>
      <c r="B204" s="1" t="s">
        <v>13</v>
      </c>
      <c r="C204" s="1" t="s">
        <v>13</v>
      </c>
      <c r="D204" s="1" t="s">
        <v>15</v>
      </c>
      <c r="E204" s="1" t="s">
        <v>40</v>
      </c>
      <c r="F204" s="1">
        <v>0.95918000000000003</v>
      </c>
      <c r="G204" s="1">
        <v>0.97658</v>
      </c>
      <c r="H204" s="1">
        <v>0.98284000000000005</v>
      </c>
      <c r="I204" s="1">
        <v>0.96953</v>
      </c>
      <c r="J204" s="1">
        <v>0.98509999999999998</v>
      </c>
      <c r="K204" s="1">
        <v>0.99478999999999995</v>
      </c>
      <c r="L204" s="1">
        <v>0.94506999999999997</v>
      </c>
      <c r="M204" s="1">
        <v>0.95918000000000003</v>
      </c>
      <c r="N204" s="1">
        <v>0.97658</v>
      </c>
      <c r="O204" s="1">
        <v>0.98284000000000005</v>
      </c>
      <c r="P204" s="1">
        <v>0.96953</v>
      </c>
      <c r="Q204" s="1">
        <v>0.98509999999999998</v>
      </c>
      <c r="R204" s="1">
        <v>0.99478999999999995</v>
      </c>
      <c r="S204" s="1">
        <v>0.94506999999999997</v>
      </c>
      <c r="T204" s="1">
        <v>0.95918000000000003</v>
      </c>
      <c r="U204" s="1">
        <v>0.97658</v>
      </c>
      <c r="V204" s="1">
        <v>0.98284000000000005</v>
      </c>
      <c r="W204" s="1">
        <v>0.96953</v>
      </c>
      <c r="X204" s="1">
        <v>0.98509999999999998</v>
      </c>
      <c r="Y204" s="1">
        <v>0.99478999999999995</v>
      </c>
      <c r="Z204" s="1">
        <v>0.94506999999999997</v>
      </c>
      <c r="AA204" s="1">
        <v>0.95918000000000003</v>
      </c>
      <c r="AB204" s="1">
        <v>0.97658</v>
      </c>
      <c r="AC204" s="1">
        <v>0.98284000000000005</v>
      </c>
      <c r="AD204" s="1">
        <v>0.96953</v>
      </c>
      <c r="AE204" s="1">
        <v>0.98509999999999998</v>
      </c>
      <c r="AF204" s="1">
        <v>0.99478999999999995</v>
      </c>
      <c r="AG204" s="1">
        <v>0.94506999999999997</v>
      </c>
      <c r="AH204" s="1">
        <v>0.95918000000000003</v>
      </c>
      <c r="AI204" s="1">
        <v>0.97658</v>
      </c>
      <c r="AL204" s="4" t="s">
        <v>23</v>
      </c>
      <c r="AM204" s="6" cm="1">
        <f t="array" ref="AM204">IFERROR((SUMPRODUCT(($B$183:$B$206=AM$181)*($F$180:$AI$180="")*$F$183:$AI$206)+IF(AM$181="P6",SUMPRODUCT(($F$180:$AI$180="P6")*$F$183:$AI$206),0))/(SUMPRODUCT(($B$183:$B$206=AM$181)*($F$180:$AI$180=""))+IF(AM$181="P6",COUNTIF($F$180:$AI$180,"P6")*ROWS($B$183:$B$206),0)),"")</f>
        <v>0.85647285714285715</v>
      </c>
      <c r="AN204" s="6" cm="1">
        <f t="array" ref="AN204">IFERROR((SUMPRODUCT(($B$183:$B$206=AN$181)*($F$180:$AI$180="")*$F$183:$AI$206)+IF(AN$181="P6",SUMPRODUCT(($F$180:$AI$180="P6")*$F$183:$AI$206),0))/(SUMPRODUCT(($B$183:$B$206=AN$181)*($F$180:$AI$180=""))+IF(AN$181="P6",COUNTIF($F$180:$AI$180,"P6")*ROWS($B$183:$B$206),0)),"")</f>
        <v>0.89300251700680267</v>
      </c>
      <c r="AO204" s="6" t="str" cm="1">
        <f t="array" ref="AO204">IFERROR((SUMPRODUCT(($B$183:$B$206=AO$181)*($F$180:$AI$180="")*$F$183:$AI$206)+IF(AO$181="P6",SUMPRODUCT(($F$180:$AI$180="P6")*$F$183:$AI$206),0))/(SUMPRODUCT(($B$183:$B$206=AO$181)*($F$180:$AI$180=""))+IF(AO$181="P6",COUNTIF($F$180:$AI$180,"P6")*ROWS($B$183:$B$206),0)),"")</f>
        <v/>
      </c>
      <c r="AP204" s="6" t="str" cm="1">
        <f t="array" ref="AP204">IFERROR((SUMPRODUCT(($B$183:$B$206=AP$181)*($F$180:$AI$180="")*$F$183:$AI$206)+IF(AP$181="P6",SUMPRODUCT(($F$180:$AI$180="P6")*$F$183:$AI$206),0))/(SUMPRODUCT(($B$183:$B$206=AP$181)*($F$180:$AI$180=""))+IF(AP$181="P6",COUNTIF($F$180:$AI$180,"P6")*ROWS($B$183:$B$206),0)),"")</f>
        <v/>
      </c>
      <c r="AQ204" s="6" t="str" cm="1">
        <f t="array" ref="AQ204">IFERROR((SUMPRODUCT(($B$183:$B$206=AQ$181)*($F$180:$AI$180="")*$F$183:$AI$206)+IF(AQ$181="P6",SUMPRODUCT(($F$180:$AI$180="P6")*$F$183:$AI$206),0))/(SUMPRODUCT(($B$183:$B$206=AQ$181)*($F$180:$AI$180=""))+IF(AQ$181="P6",COUNTIF($F$180:$AI$180,"P6")*ROWS($B$183:$B$206),0)),"")</f>
        <v/>
      </c>
      <c r="AR204" s="6" cm="1">
        <f t="array" ref="AR204">IFERROR((SUMPRODUCT(($B$183:$B$206=AR$181)*($F$180:$AI$180="")*$F$183:$AI$206)+IF(AR$181="P6",SUMPRODUCT(($F$180:$AI$180="P6")*$F$183:$AI$206),0))/(SUMPRODUCT(($B$183:$B$206=AR$181)*($F$180:$AI$180=""))+IF(AR$181="P6",COUNTIF($F$180:$AI$180,"P6")*ROWS($B$183:$B$206),0)),"")</f>
        <v>0.91759125000000041</v>
      </c>
    </row>
    <row r="205" spans="1:44" ht="14.25" customHeight="1" x14ac:dyDescent="0.35">
      <c r="A205" s="1" t="s">
        <v>17</v>
      </c>
      <c r="B205" s="1" t="s">
        <v>14</v>
      </c>
      <c r="C205" s="1" t="s">
        <v>14</v>
      </c>
      <c r="D205" s="1" t="s">
        <v>16</v>
      </c>
      <c r="E205" s="1" t="s">
        <v>41</v>
      </c>
      <c r="F205" s="1">
        <v>0.95387999999999995</v>
      </c>
      <c r="G205" s="1">
        <v>1.01013</v>
      </c>
      <c r="H205" s="1">
        <v>1.03274</v>
      </c>
      <c r="I205" s="1">
        <v>1.0084299999999999</v>
      </c>
      <c r="J205" s="1">
        <v>1.0197799999999999</v>
      </c>
      <c r="K205" s="1">
        <v>1.01406</v>
      </c>
      <c r="L205" s="1">
        <v>0.94567000000000001</v>
      </c>
      <c r="M205" s="1">
        <v>0.95387999999999995</v>
      </c>
      <c r="N205" s="1">
        <v>1.01013</v>
      </c>
      <c r="O205" s="1">
        <v>1.03274</v>
      </c>
      <c r="P205" s="1">
        <v>1.0084299999999999</v>
      </c>
      <c r="Q205" s="1">
        <v>1.0197799999999999</v>
      </c>
      <c r="R205" s="1">
        <v>1.01406</v>
      </c>
      <c r="S205" s="1">
        <v>0.94567000000000001</v>
      </c>
      <c r="T205" s="1">
        <v>0.95387999999999995</v>
      </c>
      <c r="U205" s="1">
        <v>1.01013</v>
      </c>
      <c r="V205" s="1">
        <v>1.03274</v>
      </c>
      <c r="W205" s="1">
        <v>1.0084299999999999</v>
      </c>
      <c r="X205" s="1">
        <v>1.0197799999999999</v>
      </c>
      <c r="Y205" s="1">
        <v>1.01406</v>
      </c>
      <c r="Z205" s="1">
        <v>0.94567000000000001</v>
      </c>
      <c r="AA205" s="1">
        <v>0.95387999999999995</v>
      </c>
      <c r="AB205" s="1">
        <v>1.01013</v>
      </c>
      <c r="AC205" s="1">
        <v>1.03274</v>
      </c>
      <c r="AD205" s="1">
        <v>1.0084299999999999</v>
      </c>
      <c r="AE205" s="1">
        <v>1.0197799999999999</v>
      </c>
      <c r="AF205" s="1">
        <v>1.01406</v>
      </c>
      <c r="AG205" s="1">
        <v>0.94567000000000001</v>
      </c>
      <c r="AH205" s="1">
        <v>0.95387999999999995</v>
      </c>
      <c r="AI205" s="1">
        <v>1.01013</v>
      </c>
      <c r="AL205" s="4" t="s">
        <v>25</v>
      </c>
      <c r="AM205" s="6" cm="1">
        <f t="array" ref="AM205">IFERROR((SUMPRODUCT(($B$183:$B$206=AM$181)*($F$180:$AI$180="")*$F$183:$AI$206)+IF(AM$181="P6",SUMPRODUCT(($F$180:$AI$180="P6")*$F$183:$AI$206),0))/(SUMPRODUCT(($B$183:$B$206=AM$181)*($F$180:$AI$180=""))+IF(AM$181="P6",COUNTIF($F$180:$AI$180,"P6")*ROWS($B$183:$B$206),0)),"")</f>
        <v>0.85647285714285715</v>
      </c>
      <c r="AN205" s="6" cm="1">
        <f t="array" ref="AN205">IFERROR((SUMPRODUCT(($B$183:$B$206=AN$181)*($F$180:$AI$180="")*$F$183:$AI$206)+IF(AN$181="P6",SUMPRODUCT(($F$180:$AI$180="P6")*$F$183:$AI$206),0))/(SUMPRODUCT(($B$183:$B$206=AN$181)*($F$180:$AI$180=""))+IF(AN$181="P6",COUNTIF($F$180:$AI$180,"P6")*ROWS($B$183:$B$206),0)),"")</f>
        <v>0.89300251700680267</v>
      </c>
      <c r="AO205" s="6" t="str" cm="1">
        <f t="array" ref="AO205">IFERROR((SUMPRODUCT(($B$183:$B$206=AO$181)*($F$180:$AI$180="")*$F$183:$AI$206)+IF(AO$181="P6",SUMPRODUCT(($F$180:$AI$180="P6")*$F$183:$AI$206),0))/(SUMPRODUCT(($B$183:$B$206=AO$181)*($F$180:$AI$180=""))+IF(AO$181="P6",COUNTIF($F$180:$AI$180,"P6")*ROWS($B$183:$B$206),0)),"")</f>
        <v/>
      </c>
      <c r="AP205" s="6" t="str" cm="1">
        <f t="array" ref="AP205">IFERROR((SUMPRODUCT(($B$183:$B$206=AP$181)*($F$180:$AI$180="")*$F$183:$AI$206)+IF(AP$181="P6",SUMPRODUCT(($F$180:$AI$180="P6")*$F$183:$AI$206),0))/(SUMPRODUCT(($B$183:$B$206=AP$181)*($F$180:$AI$180=""))+IF(AP$181="P6",COUNTIF($F$180:$AI$180,"P6")*ROWS($B$183:$B$206),0)),"")</f>
        <v/>
      </c>
      <c r="AQ205" s="6" t="str" cm="1">
        <f t="array" ref="AQ205">IFERROR((SUMPRODUCT(($B$183:$B$206=AQ$181)*($F$180:$AI$180="")*$F$183:$AI$206)+IF(AQ$181="P6",SUMPRODUCT(($F$180:$AI$180="P6")*$F$183:$AI$206),0))/(SUMPRODUCT(($B$183:$B$206=AQ$181)*($F$180:$AI$180=""))+IF(AQ$181="P6",COUNTIF($F$180:$AI$180,"P6")*ROWS($B$183:$B$206),0)),"")</f>
        <v/>
      </c>
      <c r="AR205" s="6" cm="1">
        <f t="array" ref="AR205">IFERROR((SUMPRODUCT(($B$183:$B$206=AR$181)*($F$180:$AI$180="")*$F$183:$AI$206)+IF(AR$181="P6",SUMPRODUCT(($F$180:$AI$180="P6")*$F$183:$AI$206),0))/(SUMPRODUCT(($B$183:$B$206=AR$181)*($F$180:$AI$180=""))+IF(AR$181="P6",COUNTIF($F$180:$AI$180,"P6")*ROWS($B$183:$B$206),0)),"")</f>
        <v>0.91759125000000041</v>
      </c>
    </row>
    <row r="206" spans="1:44" ht="14.25" customHeight="1" x14ac:dyDescent="0.35">
      <c r="A206" s="1" t="s">
        <v>17</v>
      </c>
      <c r="B206" s="1" t="s">
        <v>14</v>
      </c>
      <c r="C206" s="1" t="s">
        <v>14</v>
      </c>
      <c r="D206" s="1" t="s">
        <v>16</v>
      </c>
      <c r="E206" s="1" t="s">
        <v>42</v>
      </c>
      <c r="F206" s="1">
        <v>0.97262999999999999</v>
      </c>
      <c r="G206" s="1">
        <v>1.03362</v>
      </c>
      <c r="H206" s="1">
        <v>1.0621499999999999</v>
      </c>
      <c r="I206" s="1">
        <v>1.0341100000000001</v>
      </c>
      <c r="J206" s="1">
        <v>1.03331</v>
      </c>
      <c r="K206" s="1">
        <v>1.03573</v>
      </c>
      <c r="L206" s="1">
        <v>0.95848999999999995</v>
      </c>
      <c r="M206" s="1">
        <v>0.97262999999999999</v>
      </c>
      <c r="N206" s="1">
        <v>1.03362</v>
      </c>
      <c r="O206" s="1">
        <v>1.0621499999999999</v>
      </c>
      <c r="P206" s="1">
        <v>1.0341100000000001</v>
      </c>
      <c r="Q206" s="1">
        <v>1.03331</v>
      </c>
      <c r="R206" s="1">
        <v>1.03573</v>
      </c>
      <c r="S206" s="1">
        <v>0.95848999999999995</v>
      </c>
      <c r="T206" s="1">
        <v>0.97262999999999999</v>
      </c>
      <c r="U206" s="1">
        <v>1.03362</v>
      </c>
      <c r="V206" s="1">
        <v>1.0621499999999999</v>
      </c>
      <c r="W206" s="1">
        <v>1.0341100000000001</v>
      </c>
      <c r="X206" s="1">
        <v>1.03331</v>
      </c>
      <c r="Y206" s="1">
        <v>1.03573</v>
      </c>
      <c r="Z206" s="1">
        <v>0.95848999999999995</v>
      </c>
      <c r="AA206" s="1">
        <v>0.97262999999999999</v>
      </c>
      <c r="AB206" s="1">
        <v>1.03362</v>
      </c>
      <c r="AC206" s="1">
        <v>1.0621499999999999</v>
      </c>
      <c r="AD206" s="1">
        <v>1.0341100000000001</v>
      </c>
      <c r="AE206" s="1">
        <v>1.03331</v>
      </c>
      <c r="AF206" s="1">
        <v>1.03573</v>
      </c>
      <c r="AG206" s="1">
        <v>0.95848999999999995</v>
      </c>
      <c r="AH206" s="1">
        <v>0.97262999999999999</v>
      </c>
      <c r="AI206" s="1">
        <v>1.03362</v>
      </c>
      <c r="AL206" s="4" t="s">
        <v>27</v>
      </c>
      <c r="AM206" s="6" cm="1">
        <f t="array" ref="AM206">IFERROR((SUMPRODUCT(($B$183:$B$206=AM$181)*($F$180:$AI$180="")*$F$183:$AI$206)+IF(AM$181="P6",SUMPRODUCT(($F$180:$AI$180="P6")*$F$183:$AI$206),0))/(SUMPRODUCT(($B$183:$B$206=AM$181)*($F$180:$AI$180=""))+IF(AM$181="P6",COUNTIF($F$180:$AI$180,"P6")*ROWS($B$183:$B$206),0)),"")</f>
        <v>0.85647285714285715</v>
      </c>
      <c r="AN206" s="6" cm="1">
        <f t="array" ref="AN206">IFERROR((SUMPRODUCT(($B$183:$B$206=AN$181)*($F$180:$AI$180="")*$F$183:$AI$206)+IF(AN$181="P6",SUMPRODUCT(($F$180:$AI$180="P6")*$F$183:$AI$206),0))/(SUMPRODUCT(($B$183:$B$206=AN$181)*($F$180:$AI$180=""))+IF(AN$181="P6",COUNTIF($F$180:$AI$180,"P6")*ROWS($B$183:$B$206),0)),"")</f>
        <v>0.89300251700680267</v>
      </c>
      <c r="AO206" s="6" t="str" cm="1">
        <f t="array" ref="AO206">IFERROR((SUMPRODUCT(($B$183:$B$206=AO$181)*($F$180:$AI$180="")*$F$183:$AI$206)+IF(AO$181="P6",SUMPRODUCT(($F$180:$AI$180="P6")*$F$183:$AI$206),0))/(SUMPRODUCT(($B$183:$B$206=AO$181)*($F$180:$AI$180=""))+IF(AO$181="P6",COUNTIF($F$180:$AI$180,"P6")*ROWS($B$183:$B$206),0)),"")</f>
        <v/>
      </c>
      <c r="AP206" s="6" t="str" cm="1">
        <f t="array" ref="AP206">IFERROR((SUMPRODUCT(($B$183:$B$206=AP$181)*($F$180:$AI$180="")*$F$183:$AI$206)+IF(AP$181="P6",SUMPRODUCT(($F$180:$AI$180="P6")*$F$183:$AI$206),0))/(SUMPRODUCT(($B$183:$B$206=AP$181)*($F$180:$AI$180=""))+IF(AP$181="P6",COUNTIF($F$180:$AI$180,"P6")*ROWS($B$183:$B$206),0)),"")</f>
        <v/>
      </c>
      <c r="AQ206" s="6" t="str" cm="1">
        <f t="array" ref="AQ206">IFERROR((SUMPRODUCT(($B$183:$B$206=AQ$181)*($F$180:$AI$180="")*$F$183:$AI$206)+IF(AQ$181="P6",SUMPRODUCT(($F$180:$AI$180="P6")*$F$183:$AI$206),0))/(SUMPRODUCT(($B$183:$B$206=AQ$181)*($F$180:$AI$180=""))+IF(AQ$181="P6",COUNTIF($F$180:$AI$180,"P6")*ROWS($B$183:$B$206),0)),"")</f>
        <v/>
      </c>
      <c r="AR206" s="6" cm="1">
        <f t="array" ref="AR206">IFERROR((SUMPRODUCT(($B$183:$B$206=AR$181)*($F$180:$AI$180="")*$F$183:$AI$206)+IF(AR$181="P6",SUMPRODUCT(($F$180:$AI$180="P6")*$F$183:$AI$206),0))/(SUMPRODUCT(($B$183:$B$206=AR$181)*($F$180:$AI$180=""))+IF(AR$181="P6",COUNTIF($F$180:$AI$180,"P6")*ROWS($B$183:$B$206),0)),"")</f>
        <v>0.91759125000000041</v>
      </c>
    </row>
    <row r="207" spans="1:44" ht="14.25" customHeight="1" x14ac:dyDescent="0.35">
      <c r="AL207" s="4" t="s">
        <v>29</v>
      </c>
      <c r="AM207" s="6" cm="1">
        <f t="array" ref="AM207">IFERROR((SUMPRODUCT(($B$183:$B$206=AM$181)*($F$180:$AI$180="")*$F$183:$AI$206)+IF(AM$181="P6",SUMPRODUCT(($F$180:$AI$180="P6")*$F$183:$AI$206),0))/(SUMPRODUCT(($B$183:$B$206=AM$181)*($F$180:$AI$180=""))+IF(AM$181="P6",COUNTIF($F$180:$AI$180,"P6")*ROWS($B$183:$B$206),0)),"")</f>
        <v>0.85647285714285715</v>
      </c>
      <c r="AN207" s="6" cm="1">
        <f t="array" ref="AN207">IFERROR((SUMPRODUCT(($B$183:$B$206=AN$181)*($F$180:$AI$180="")*$F$183:$AI$206)+IF(AN$181="P6",SUMPRODUCT(($F$180:$AI$180="P6")*$F$183:$AI$206),0))/(SUMPRODUCT(($B$183:$B$206=AN$181)*($F$180:$AI$180=""))+IF(AN$181="P6",COUNTIF($F$180:$AI$180,"P6")*ROWS($B$183:$B$206),0)),"")</f>
        <v>0.89300251700680267</v>
      </c>
      <c r="AO207" s="6" t="str" cm="1">
        <f t="array" ref="AO207">IFERROR((SUMPRODUCT(($B$183:$B$206=AO$181)*($F$180:$AI$180="")*$F$183:$AI$206)+IF(AO$181="P6",SUMPRODUCT(($F$180:$AI$180="P6")*$F$183:$AI$206),0))/(SUMPRODUCT(($B$183:$B$206=AO$181)*($F$180:$AI$180=""))+IF(AO$181="P6",COUNTIF($F$180:$AI$180,"P6")*ROWS($B$183:$B$206),0)),"")</f>
        <v/>
      </c>
      <c r="AP207" s="6" t="str" cm="1">
        <f t="array" ref="AP207">IFERROR((SUMPRODUCT(($B$183:$B$206=AP$181)*($F$180:$AI$180="")*$F$183:$AI$206)+IF(AP$181="P6",SUMPRODUCT(($F$180:$AI$180="P6")*$F$183:$AI$206),0))/(SUMPRODUCT(($B$183:$B$206=AP$181)*($F$180:$AI$180=""))+IF(AP$181="P6",COUNTIF($F$180:$AI$180,"P6")*ROWS($B$183:$B$206),0)),"")</f>
        <v/>
      </c>
      <c r="AQ207" s="6" t="str" cm="1">
        <f t="array" ref="AQ207">IFERROR((SUMPRODUCT(($B$183:$B$206=AQ$181)*($F$180:$AI$180="")*$F$183:$AI$206)+IF(AQ$181="P6",SUMPRODUCT(($F$180:$AI$180="P6")*$F$183:$AI$206),0))/(SUMPRODUCT(($B$183:$B$206=AQ$181)*($F$180:$AI$180=""))+IF(AQ$181="P6",COUNTIF($F$180:$AI$180,"P6")*ROWS($B$183:$B$206),0)),"")</f>
        <v/>
      </c>
      <c r="AR207" s="6" cm="1">
        <f t="array" ref="AR207">IFERROR((SUMPRODUCT(($B$183:$B$206=AR$181)*($F$180:$AI$180="")*$F$183:$AI$206)+IF(AR$181="P6",SUMPRODUCT(($F$180:$AI$180="P6")*$F$183:$AI$206),0))/(SUMPRODUCT(($B$183:$B$206=AR$181)*($F$180:$AI$180=""))+IF(AR$181="P6",COUNTIF($F$180:$AI$180,"P6")*ROWS($B$183:$B$206),0)),"")</f>
        <v>0.91759125000000041</v>
      </c>
    </row>
    <row r="211" spans="1:44" ht="14.25" customHeight="1" x14ac:dyDescent="0.35">
      <c r="A211" s="15" t="s">
        <v>49</v>
      </c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</row>
    <row r="212" spans="1:44" ht="14.25" customHeight="1" x14ac:dyDescent="0.3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</row>
    <row r="213" spans="1:44" ht="14.25" customHeight="1" x14ac:dyDescent="0.35">
      <c r="AL213" s="10"/>
      <c r="AM213" s="10"/>
      <c r="AN213" s="10"/>
      <c r="AO213" s="10"/>
      <c r="AP213" s="10"/>
      <c r="AQ213" s="10"/>
      <c r="AR213" s="10"/>
    </row>
    <row r="214" spans="1:44" ht="14.25" customHeight="1" x14ac:dyDescent="0.35">
      <c r="F214" s="1" t="str">
        <f>IF(OR(F216="S",F216="D"),"P3","")</f>
        <v/>
      </c>
      <c r="G214" s="1" t="str">
        <f t="shared" ref="G214:AJ214" si="27">IF(OR(G216="S",G216="D"),"P3","")</f>
        <v/>
      </c>
      <c r="H214" s="1" t="str">
        <f t="shared" si="27"/>
        <v/>
      </c>
      <c r="I214" s="1" t="str">
        <f t="shared" si="27"/>
        <v/>
      </c>
      <c r="J214" s="1" t="str">
        <f t="shared" si="27"/>
        <v>P3</v>
      </c>
      <c r="K214" s="1" t="str">
        <f t="shared" si="27"/>
        <v>P3</v>
      </c>
      <c r="L214" s="1" t="str">
        <f t="shared" si="27"/>
        <v/>
      </c>
      <c r="M214" s="1" t="str">
        <f t="shared" si="27"/>
        <v/>
      </c>
      <c r="N214" s="1" t="str">
        <f t="shared" si="27"/>
        <v/>
      </c>
      <c r="O214" s="1" t="str">
        <f t="shared" si="27"/>
        <v/>
      </c>
      <c r="P214" s="1" t="str">
        <f t="shared" si="27"/>
        <v/>
      </c>
      <c r="Q214" s="1" t="str">
        <f t="shared" si="27"/>
        <v>P3</v>
      </c>
      <c r="R214" s="1" t="str">
        <f t="shared" si="27"/>
        <v>P3</v>
      </c>
      <c r="S214" s="1" t="str">
        <f t="shared" si="27"/>
        <v/>
      </c>
      <c r="T214" s="1" t="str">
        <f t="shared" si="27"/>
        <v/>
      </c>
      <c r="U214" s="1" t="str">
        <f t="shared" si="27"/>
        <v/>
      </c>
      <c r="V214" s="1" t="str">
        <f t="shared" si="27"/>
        <v/>
      </c>
      <c r="W214" s="1" t="str">
        <f t="shared" si="27"/>
        <v/>
      </c>
      <c r="X214" s="1" t="str">
        <f t="shared" si="27"/>
        <v>P3</v>
      </c>
      <c r="Y214" s="1" t="str">
        <f t="shared" si="27"/>
        <v>P3</v>
      </c>
      <c r="Z214" s="1" t="str">
        <f t="shared" si="27"/>
        <v/>
      </c>
      <c r="AA214" s="1" t="str">
        <f t="shared" si="27"/>
        <v/>
      </c>
      <c r="AB214" s="1" t="str">
        <f t="shared" si="27"/>
        <v/>
      </c>
      <c r="AC214" s="1" t="str">
        <f t="shared" si="27"/>
        <v/>
      </c>
      <c r="AD214" s="1" t="str">
        <f t="shared" si="27"/>
        <v/>
      </c>
      <c r="AE214" s="1" t="str">
        <f t="shared" si="27"/>
        <v>P3</v>
      </c>
      <c r="AF214" s="1" t="str">
        <f t="shared" si="27"/>
        <v>P3</v>
      </c>
      <c r="AG214" s="1" t="str">
        <f t="shared" si="27"/>
        <v/>
      </c>
      <c r="AH214" s="1" t="str">
        <f t="shared" si="27"/>
        <v/>
      </c>
      <c r="AI214" s="1" t="str">
        <f t="shared" si="27"/>
        <v/>
      </c>
      <c r="AJ214" s="1" t="str">
        <f t="shared" si="27"/>
        <v/>
      </c>
      <c r="AL214" s="10"/>
      <c r="AM214" s="10"/>
      <c r="AN214" s="10"/>
      <c r="AO214" s="10"/>
      <c r="AP214" s="10"/>
      <c r="AQ214" s="10"/>
      <c r="AR214" s="10"/>
    </row>
    <row r="215" spans="1:44" ht="14.25" customHeight="1" x14ac:dyDescent="0.35">
      <c r="F215" s="1" t="str">
        <f>IF(OR(F216="S",F216="D"),"P6","")</f>
        <v/>
      </c>
      <c r="G215" s="1" t="str">
        <f t="shared" ref="G215:AJ215" si="28">IF(OR(G216="S",G216="D"),"P6","")</f>
        <v/>
      </c>
      <c r="H215" s="1" t="str">
        <f t="shared" si="28"/>
        <v/>
      </c>
      <c r="I215" s="1" t="str">
        <f t="shared" si="28"/>
        <v/>
      </c>
      <c r="J215" s="1" t="str">
        <f t="shared" si="28"/>
        <v>P6</v>
      </c>
      <c r="K215" s="1" t="str">
        <f t="shared" si="28"/>
        <v>P6</v>
      </c>
      <c r="L215" s="1" t="str">
        <f t="shared" si="28"/>
        <v/>
      </c>
      <c r="M215" s="1" t="str">
        <f t="shared" si="28"/>
        <v/>
      </c>
      <c r="N215" s="1" t="str">
        <f t="shared" si="28"/>
        <v/>
      </c>
      <c r="O215" s="1" t="str">
        <f t="shared" si="28"/>
        <v/>
      </c>
      <c r="P215" s="1" t="str">
        <f t="shared" si="28"/>
        <v/>
      </c>
      <c r="Q215" s="1" t="str">
        <f t="shared" si="28"/>
        <v>P6</v>
      </c>
      <c r="R215" s="1" t="str">
        <f t="shared" si="28"/>
        <v>P6</v>
      </c>
      <c r="S215" s="1" t="str">
        <f t="shared" si="28"/>
        <v/>
      </c>
      <c r="T215" s="1" t="str">
        <f t="shared" si="28"/>
        <v/>
      </c>
      <c r="U215" s="1" t="str">
        <f t="shared" si="28"/>
        <v/>
      </c>
      <c r="V215" s="1" t="str">
        <f t="shared" si="28"/>
        <v/>
      </c>
      <c r="W215" s="1" t="str">
        <f t="shared" si="28"/>
        <v/>
      </c>
      <c r="X215" s="1" t="str">
        <f t="shared" si="28"/>
        <v>P6</v>
      </c>
      <c r="Y215" s="1" t="str">
        <f t="shared" si="28"/>
        <v>P6</v>
      </c>
      <c r="Z215" s="1" t="str">
        <f t="shared" si="28"/>
        <v/>
      </c>
      <c r="AA215" s="1" t="str">
        <f t="shared" si="28"/>
        <v/>
      </c>
      <c r="AB215" s="1" t="str">
        <f t="shared" si="28"/>
        <v/>
      </c>
      <c r="AC215" s="1" t="str">
        <f t="shared" si="28"/>
        <v/>
      </c>
      <c r="AD215" s="1" t="str">
        <f t="shared" si="28"/>
        <v/>
      </c>
      <c r="AE215" s="1" t="str">
        <f t="shared" si="28"/>
        <v>P6</v>
      </c>
      <c r="AF215" s="1" t="str">
        <f t="shared" si="28"/>
        <v>P6</v>
      </c>
      <c r="AG215" s="1" t="str">
        <f t="shared" si="28"/>
        <v/>
      </c>
      <c r="AH215" s="1" t="str">
        <f t="shared" si="28"/>
        <v/>
      </c>
      <c r="AI215" s="1" t="str">
        <f t="shared" si="28"/>
        <v/>
      </c>
      <c r="AJ215" s="1" t="str">
        <f t="shared" si="28"/>
        <v/>
      </c>
      <c r="AL215" s="14" t="s">
        <v>96</v>
      </c>
      <c r="AM215" s="14"/>
      <c r="AN215" s="14"/>
      <c r="AO215" s="14"/>
      <c r="AP215" s="14"/>
      <c r="AQ215" s="14"/>
      <c r="AR215" s="14"/>
    </row>
    <row r="216" spans="1:44" ht="14.25" customHeight="1" x14ac:dyDescent="0.35">
      <c r="F216" s="1" t="str">
        <f>CHOOSE(WEEKDAY(F217,2),"L","M","X","J","V","S","D")</f>
        <v>M</v>
      </c>
      <c r="G216" s="1" t="str">
        <f t="shared" ref="G216:AJ216" si="29">CHOOSE(WEEKDAY(G217,2),"L","M","X","J","V","S","D")</f>
        <v>X</v>
      </c>
      <c r="H216" s="1" t="str">
        <f t="shared" si="29"/>
        <v>J</v>
      </c>
      <c r="I216" s="1" t="str">
        <f t="shared" si="29"/>
        <v>V</v>
      </c>
      <c r="J216" s="1" t="str">
        <f t="shared" si="29"/>
        <v>S</v>
      </c>
      <c r="K216" s="1" t="str">
        <f t="shared" si="29"/>
        <v>D</v>
      </c>
      <c r="L216" s="1" t="str">
        <f t="shared" si="29"/>
        <v>L</v>
      </c>
      <c r="M216" s="1" t="str">
        <f t="shared" si="29"/>
        <v>M</v>
      </c>
      <c r="N216" s="1" t="str">
        <f t="shared" si="29"/>
        <v>X</v>
      </c>
      <c r="O216" s="1" t="str">
        <f t="shared" si="29"/>
        <v>J</v>
      </c>
      <c r="P216" s="1" t="str">
        <f t="shared" si="29"/>
        <v>V</v>
      </c>
      <c r="Q216" s="1" t="str">
        <f t="shared" si="29"/>
        <v>S</v>
      </c>
      <c r="R216" s="1" t="str">
        <f t="shared" si="29"/>
        <v>D</v>
      </c>
      <c r="S216" s="1" t="str">
        <f t="shared" si="29"/>
        <v>L</v>
      </c>
      <c r="T216" s="1" t="str">
        <f t="shared" si="29"/>
        <v>M</v>
      </c>
      <c r="U216" s="1" t="str">
        <f t="shared" si="29"/>
        <v>X</v>
      </c>
      <c r="V216" s="1" t="str">
        <f t="shared" si="29"/>
        <v>J</v>
      </c>
      <c r="W216" s="1" t="str">
        <f t="shared" si="29"/>
        <v>V</v>
      </c>
      <c r="X216" s="1" t="str">
        <f t="shared" si="29"/>
        <v>S</v>
      </c>
      <c r="Y216" s="1" t="str">
        <f t="shared" si="29"/>
        <v>D</v>
      </c>
      <c r="Z216" s="1" t="str">
        <f t="shared" si="29"/>
        <v>L</v>
      </c>
      <c r="AA216" s="1" t="str">
        <f t="shared" si="29"/>
        <v>M</v>
      </c>
      <c r="AB216" s="1" t="str">
        <f t="shared" si="29"/>
        <v>X</v>
      </c>
      <c r="AC216" s="1" t="str">
        <f t="shared" si="29"/>
        <v>J</v>
      </c>
      <c r="AD216" s="1" t="str">
        <f t="shared" si="29"/>
        <v>V</v>
      </c>
      <c r="AE216" s="1" t="str">
        <f t="shared" si="29"/>
        <v>S</v>
      </c>
      <c r="AF216" s="1" t="str">
        <f t="shared" si="29"/>
        <v>D</v>
      </c>
      <c r="AG216" s="1" t="str">
        <f t="shared" si="29"/>
        <v>L</v>
      </c>
      <c r="AH216" s="1" t="str">
        <f t="shared" si="29"/>
        <v>M</v>
      </c>
      <c r="AI216" s="1" t="str">
        <f t="shared" si="29"/>
        <v>X</v>
      </c>
      <c r="AJ216" s="1" t="str">
        <f t="shared" si="29"/>
        <v>J</v>
      </c>
      <c r="AL216" s="4"/>
      <c r="AM216" s="4" t="s">
        <v>13</v>
      </c>
      <c r="AN216" s="4" t="s">
        <v>14</v>
      </c>
      <c r="AO216" s="4" t="s">
        <v>15</v>
      </c>
      <c r="AP216" s="4" t="s">
        <v>16</v>
      </c>
      <c r="AQ216" s="4" t="s">
        <v>17</v>
      </c>
      <c r="AR216" s="4" t="s">
        <v>7</v>
      </c>
    </row>
    <row r="217" spans="1:44" ht="14.25" customHeight="1" x14ac:dyDescent="0.35">
      <c r="A217" s="3" t="s">
        <v>76</v>
      </c>
      <c r="B217" s="3" t="s">
        <v>77</v>
      </c>
      <c r="C217" s="3" t="s">
        <v>75</v>
      </c>
      <c r="D217" s="3" t="s">
        <v>74</v>
      </c>
      <c r="F217" s="8">
        <v>45839</v>
      </c>
      <c r="G217" s="8">
        <v>45840</v>
      </c>
      <c r="H217" s="8">
        <v>45841</v>
      </c>
      <c r="I217" s="8">
        <v>45842</v>
      </c>
      <c r="J217" s="8">
        <v>45843</v>
      </c>
      <c r="K217" s="8">
        <v>45844</v>
      </c>
      <c r="L217" s="8">
        <v>45845</v>
      </c>
      <c r="M217" s="8">
        <v>45846</v>
      </c>
      <c r="N217" s="8">
        <v>45847</v>
      </c>
      <c r="O217" s="8">
        <v>45848</v>
      </c>
      <c r="P217" s="8">
        <v>45849</v>
      </c>
      <c r="Q217" s="8">
        <v>45850</v>
      </c>
      <c r="R217" s="8">
        <v>45851</v>
      </c>
      <c r="S217" s="8">
        <v>45852</v>
      </c>
      <c r="T217" s="8">
        <v>45853</v>
      </c>
      <c r="U217" s="8">
        <v>45854</v>
      </c>
      <c r="V217" s="8">
        <v>45855</v>
      </c>
      <c r="W217" s="8">
        <v>45856</v>
      </c>
      <c r="X217" s="8">
        <v>45857</v>
      </c>
      <c r="Y217" s="8">
        <v>45858</v>
      </c>
      <c r="Z217" s="8">
        <v>45859</v>
      </c>
      <c r="AA217" s="8">
        <v>45860</v>
      </c>
      <c r="AB217" s="8">
        <v>45861</v>
      </c>
      <c r="AC217" s="8">
        <v>45862</v>
      </c>
      <c r="AD217" s="8">
        <v>45863</v>
      </c>
      <c r="AE217" s="8">
        <v>45864</v>
      </c>
      <c r="AF217" s="8">
        <v>45865</v>
      </c>
      <c r="AG217" s="8">
        <v>45866</v>
      </c>
      <c r="AH217" s="8">
        <v>45867</v>
      </c>
      <c r="AI217" s="8">
        <v>45868</v>
      </c>
      <c r="AJ217" s="8">
        <v>45869</v>
      </c>
      <c r="AL217" s="4" t="s">
        <v>19</v>
      </c>
      <c r="AM217" s="6" cm="1">
        <f t="array" ref="AM217">IFERROR((SUMPRODUCT(($C$218:$C$241=AM$216)*($F$214:$AJ$214="")*$F$218:$AJ$241)+IF(AM$216="P3",SUMPRODUCT(($F$214:$AJ$214="P3")*$F$218:$AJ$241),0))/(SUMPRODUCT(($C$218:$C$241=AM$216)*($F$214:$AJ$214=""))+IF(AM$216="P3",COUNTIF($F$214:$AJ$214,"P3")*ROWS($C$218:$C$241),0)),"")</f>
        <v>0.87880565217391249</v>
      </c>
      <c r="AN217" s="6" cm="1">
        <f t="array" ref="AN217">IFERROR((SUMPRODUCT(($C$218:$C$241=AN$216)*($F$214:$AJ$214="")*$F$218:$AJ$241)+IF(AN$216="P3",SUMPRODUCT(($F$214:$AJ$214="P3")*$F$218:$AJ$241),0))/(SUMPRODUCT(($C$218:$C$241=AN$216)*($F$214:$AJ$214=""))+IF(AN$216="P3",COUNTIF($F$214:$AJ$214,"P3")*ROWS($C$218:$C$241),0)),"")</f>
        <v>0.88230581521739015</v>
      </c>
      <c r="AO217" s="6" cm="1">
        <f t="array" ref="AO217">IFERROR((SUMPRODUCT(($C$218:$C$241=AO$216)*($F$214:$AJ$214="")*$F$218:$AJ$241)+IF(AO$216="P3",SUMPRODUCT(($F$214:$AJ$214="P3")*$F$218:$AJ$241),0))/(SUMPRODUCT(($C$218:$C$241=AO$216)*($F$214:$AJ$214=""))+IF(AO$216="P3",COUNTIF($F$214:$AJ$214,"P3")*ROWS($C$218:$C$241),0)),"")</f>
        <v>0.90038595744680916</v>
      </c>
      <c r="AP217" s="6" t="str" cm="1">
        <f t="array" ref="AP217">IFERROR((SUMPRODUCT(($C$218:$C$241=AP$216)*($F$214:$AJ$214="")*$F$218:$AJ$241)+IF(AP$216="P3",SUMPRODUCT(($F$214:$AJ$214="P3")*$F$218:$AJ$241),0))/(SUMPRODUCT(($C$218:$C$241=AP$216)*($F$214:$AJ$214=""))+IF(AP$216="P3",COUNTIF($F$214:$AJ$214,"P3")*ROWS($C$218:$C$241),0)),"")</f>
        <v/>
      </c>
      <c r="AQ217" s="6" t="str" cm="1">
        <f t="array" ref="AQ217">IFERROR((SUMPRODUCT(($C$218:$C$241=AQ$216)*($F$214:$AJ$214="")*$F$218:$AJ$241)+IF(AQ$216="P3",SUMPRODUCT(($F$214:$AJ$214="P3")*$F$218:$AJ$241),0))/(SUMPRODUCT(($C$218:$C$241=AQ$216)*($F$214:$AJ$214=""))+IF(AQ$216="P3",COUNTIF($F$214:$AJ$214,"P3")*ROWS($C$218:$C$241),0)),"")</f>
        <v/>
      </c>
      <c r="AR217" s="6" t="str" cm="1">
        <f t="array" ref="AR217">IFERROR((SUMPRODUCT(($C$218:$C$241=AR$216)*($F$214:$AJ$214="")*$F$218:$AJ$241)+IF(AR$216="P3",SUMPRODUCT(($F$214:$AJ$214="P3")*$F$218:$AJ$241),0))/(SUMPRODUCT(($C$218:$C$241=AR$216)*($F$214:$AJ$214=""))+IF(AR$216="P3",COUNTIF($F$214:$AJ$214,"P3")*ROWS($C$218:$C$241),0)),"")</f>
        <v/>
      </c>
    </row>
    <row r="218" spans="1:44" ht="14.25" customHeight="1" x14ac:dyDescent="0.35">
      <c r="A218" s="1" t="s">
        <v>7</v>
      </c>
      <c r="B218" s="1" t="s">
        <v>7</v>
      </c>
      <c r="C218" s="1" t="s">
        <v>15</v>
      </c>
      <c r="D218" s="1" t="s">
        <v>7</v>
      </c>
      <c r="E218" s="1" t="s">
        <v>8</v>
      </c>
      <c r="F218" s="1">
        <v>0.93264999999999998</v>
      </c>
      <c r="G218" s="1">
        <v>0.93818999999999997</v>
      </c>
      <c r="H218" s="1">
        <v>0.94313999999999998</v>
      </c>
      <c r="I218" s="1">
        <v>0.92774999999999996</v>
      </c>
      <c r="J218" s="1">
        <v>0.93433999999999995</v>
      </c>
      <c r="K218" s="1">
        <v>0.95665999999999995</v>
      </c>
      <c r="L218" s="1">
        <v>0.93359000000000003</v>
      </c>
      <c r="M218" s="1">
        <v>0.93264999999999998</v>
      </c>
      <c r="N218" s="1">
        <v>0.93818999999999997</v>
      </c>
      <c r="O218" s="1">
        <v>0.94313999999999998</v>
      </c>
      <c r="P218" s="1">
        <v>0.92774999999999996</v>
      </c>
      <c r="Q218" s="1">
        <v>0.93433999999999995</v>
      </c>
      <c r="R218" s="1">
        <v>0.95665999999999995</v>
      </c>
      <c r="S218" s="1">
        <v>0.93359000000000003</v>
      </c>
      <c r="T218" s="1">
        <v>0.93264999999999998</v>
      </c>
      <c r="U218" s="1">
        <v>0.93818999999999997</v>
      </c>
      <c r="V218" s="1">
        <v>0.94313999999999998</v>
      </c>
      <c r="W218" s="1">
        <v>0.92774999999999996</v>
      </c>
      <c r="X218" s="1">
        <v>0.93433999999999995</v>
      </c>
      <c r="Y218" s="1">
        <v>0.95665999999999995</v>
      </c>
      <c r="Z218" s="1">
        <v>0.93359000000000003</v>
      </c>
      <c r="AA218" s="1">
        <v>0.93264999999999998</v>
      </c>
      <c r="AB218" s="1">
        <v>0.93818999999999997</v>
      </c>
      <c r="AC218" s="1">
        <v>0.94313999999999998</v>
      </c>
      <c r="AD218" s="1">
        <v>0.92774999999999996</v>
      </c>
      <c r="AE218" s="1">
        <v>0.93433999999999995</v>
      </c>
      <c r="AF218" s="1">
        <v>0.95665999999999995</v>
      </c>
      <c r="AG218" s="1">
        <v>0.93359000000000003</v>
      </c>
      <c r="AH218" s="1">
        <v>0.93264999999999998</v>
      </c>
      <c r="AI218" s="1">
        <v>0.93818999999999997</v>
      </c>
      <c r="AJ218" s="1">
        <v>0.94313999999999998</v>
      </c>
      <c r="AL218" s="4" t="s">
        <v>21</v>
      </c>
      <c r="AM218" s="6" cm="1">
        <f t="array" ref="AM218">IFERROR((SUMPRODUCT(($D$218:$D$241=AM$216)*($F$215:$AJ$215="")*$F$218:$AJ$241)+IF(AM$216="P6",SUMPRODUCT(($F$215:$AJ$215="P6")*$F$218:$AJ$241),0))/(SUMPRODUCT(($D$218:$D$241=AM$216)*($F$215:$AJ$215=""))+IF(AM$216="P6",COUNTIF($F$215:$AJ$215,"P6")*ROWS($D$218:$D$241),0)),"")</f>
        <v>0.87368256038647329</v>
      </c>
      <c r="AN218" s="6" cm="1">
        <f t="array" ref="AN218">IFERROR((SUMPRODUCT(($D$218:$D$241=AN$216)*($F$215:$AJ$215="")*$F$218:$AJ$241)+IF(AN$216="P6",SUMPRODUCT(($F$215:$AJ$215="P6")*$F$218:$AJ$241),0))/(SUMPRODUCT(($D$218:$D$241=AN$216)*($F$215:$AJ$215=""))+IF(AN$216="P6",COUNTIF($F$215:$AJ$215,"P6")*ROWS($D$218:$D$241),0)),"")</f>
        <v>0.88939267080745243</v>
      </c>
      <c r="AO218" s="6" t="str" cm="1">
        <f t="array" ref="AO218">IFERROR((SUMPRODUCT(($D$218:$D$241=AO$216)*($F$215:$AJ$215="")*$F$218:$AJ$241)+IF(AO$216="P6",SUMPRODUCT(($F$215:$AJ$215="P6")*$F$218:$AJ$241),0))/(SUMPRODUCT(($D$218:$D$241=AO$216)*($F$215:$AJ$215=""))+IF(AO$216="P6",COUNTIF($F$215:$AJ$215,"P6")*ROWS($D$218:$D$241),0)),"")</f>
        <v/>
      </c>
      <c r="AP218" s="6" t="str" cm="1">
        <f t="array" ref="AP218">IFERROR((SUMPRODUCT(($D$218:$D$241=AP$216)*($F$215:$AJ$215="")*$F$218:$AJ$241)+IF(AP$216="P6",SUMPRODUCT(($F$215:$AJ$215="P6")*$F$218:$AJ$241),0))/(SUMPRODUCT(($D$218:$D$241=AP$216)*($F$215:$AJ$215=""))+IF(AP$216="P6",COUNTIF($F$215:$AJ$215,"P6")*ROWS($D$218:$D$241),0)),"")</f>
        <v/>
      </c>
      <c r="AQ218" s="6" t="str" cm="1">
        <f t="array" ref="AQ218">IFERROR((SUMPRODUCT(($D$218:$D$241=AQ$216)*($F$215:$AJ$215="")*$F$218:$AJ$241)+IF(AQ$216="P6",SUMPRODUCT(($F$215:$AJ$215="P6")*$F$218:$AJ$241),0))/(SUMPRODUCT(($D$218:$D$241=AQ$216)*($F$215:$AJ$215=""))+IF(AQ$216="P6",COUNTIF($F$215:$AJ$215,"P6")*ROWS($D$218:$D$241),0)),"")</f>
        <v/>
      </c>
      <c r="AR218" s="6" cm="1">
        <f t="array" ref="AR218">IFERROR((SUMPRODUCT(($D$218:$D$241=AR$216)*($F$215:$AJ$215="")*$F$218:$AJ$241)+IF(AR$216="P6",SUMPRODUCT(($F$215:$AJ$215="P6")*$F$218:$AJ$241),0))/(SUMPRODUCT(($D$218:$D$241=AR$216)*($F$215:$AJ$215=""))+IF(AR$216="P6",COUNTIF($F$215:$AJ$215,"P6")*ROWS($D$218:$D$241),0)),"")</f>
        <v>0.90038595744680916</v>
      </c>
    </row>
    <row r="219" spans="1:44" ht="14.25" customHeight="1" x14ac:dyDescent="0.35">
      <c r="A219" s="1" t="s">
        <v>7</v>
      </c>
      <c r="B219" s="1" t="s">
        <v>7</v>
      </c>
      <c r="C219" s="1" t="s">
        <v>15</v>
      </c>
      <c r="D219" s="1" t="s">
        <v>7</v>
      </c>
      <c r="E219" s="1" t="s">
        <v>9</v>
      </c>
      <c r="F219" s="1">
        <v>0.95282999999999995</v>
      </c>
      <c r="G219" s="1">
        <v>0.94259000000000004</v>
      </c>
      <c r="H219" s="1">
        <v>0.94350999999999996</v>
      </c>
      <c r="I219" s="1">
        <v>0.92815999999999999</v>
      </c>
      <c r="J219" s="1">
        <v>0.93581999999999999</v>
      </c>
      <c r="K219" s="1">
        <v>0.98182999999999998</v>
      </c>
      <c r="L219" s="1">
        <v>0.9546</v>
      </c>
      <c r="M219" s="1">
        <v>0.95282999999999995</v>
      </c>
      <c r="N219" s="1">
        <v>0.94259000000000004</v>
      </c>
      <c r="O219" s="1">
        <v>0.94350999999999996</v>
      </c>
      <c r="P219" s="1">
        <v>0.92815999999999999</v>
      </c>
      <c r="Q219" s="1">
        <v>0.93581999999999999</v>
      </c>
      <c r="R219" s="1">
        <v>0.98182999999999998</v>
      </c>
      <c r="S219" s="1">
        <v>0.9546</v>
      </c>
      <c r="T219" s="1">
        <v>0.95282999999999995</v>
      </c>
      <c r="U219" s="1">
        <v>0.94259000000000004</v>
      </c>
      <c r="V219" s="1">
        <v>0.94350999999999996</v>
      </c>
      <c r="W219" s="1">
        <v>0.92815999999999999</v>
      </c>
      <c r="X219" s="1">
        <v>0.93581999999999999</v>
      </c>
      <c r="Y219" s="1">
        <v>0.98182999999999998</v>
      </c>
      <c r="Z219" s="1">
        <v>0.9546</v>
      </c>
      <c r="AA219" s="1">
        <v>0.95282999999999995</v>
      </c>
      <c r="AB219" s="1">
        <v>0.94259000000000004</v>
      </c>
      <c r="AC219" s="1">
        <v>0.94350999999999996</v>
      </c>
      <c r="AD219" s="1">
        <v>0.92815999999999999</v>
      </c>
      <c r="AE219" s="1">
        <v>0.93581999999999999</v>
      </c>
      <c r="AF219" s="1">
        <v>0.98182999999999998</v>
      </c>
      <c r="AG219" s="1">
        <v>0.9546</v>
      </c>
      <c r="AH219" s="1">
        <v>0.95282999999999995</v>
      </c>
      <c r="AI219" s="1">
        <v>0.94259000000000004</v>
      </c>
      <c r="AJ219" s="1">
        <v>0.94350999999999996</v>
      </c>
      <c r="AL219" s="4" t="s">
        <v>23</v>
      </c>
      <c r="AM219" s="6" cm="1">
        <f t="array" ref="AM219">IFERROR((SUMPRODUCT(($D$218:$D$241=AM$216)*($F$215:$AJ$215="")*$F$218:$AJ$241)+IF(AM$216="P6",SUMPRODUCT(($F$215:$AJ$215="P6")*$F$218:$AJ$241),0))/(SUMPRODUCT(($D$218:$D$241=AM$216)*($F$215:$AJ$215=""))+IF(AM$216="P6",COUNTIF($F$215:$AJ$215,"P6")*ROWS($D$218:$D$241),0)),"")</f>
        <v>0.87368256038647329</v>
      </c>
      <c r="AN219" s="6" cm="1">
        <f t="array" ref="AN219">IFERROR((SUMPRODUCT(($D$218:$D$241=AN$216)*($F$215:$AJ$215="")*$F$218:$AJ$241)+IF(AN$216="P6",SUMPRODUCT(($F$215:$AJ$215="P6")*$F$218:$AJ$241),0))/(SUMPRODUCT(($D$218:$D$241=AN$216)*($F$215:$AJ$215=""))+IF(AN$216="P6",COUNTIF($F$215:$AJ$215,"P6")*ROWS($D$218:$D$241),0)),"")</f>
        <v>0.88939267080745243</v>
      </c>
      <c r="AO219" s="5" t="str" cm="1">
        <f t="array" ref="AO219">IFERROR((SUMPRODUCT(($D$218:$D$241=AO$216)*($F$215:$AJ$215="")*$F$218:$AJ$241)+IF(AO$216="P6",SUMPRODUCT(($F$215:$AJ$215="P6")*$F$218:$AJ$241),0))/(SUMPRODUCT(($D$218:$D$241=AO$216)*($F$215:$AJ$215=""))+IF(AO$216="P6",COUNTIF($F$215:$AJ$215,"P6")*ROWS($D$218:$D$241),0)),"")</f>
        <v/>
      </c>
      <c r="AP219" s="5" t="str" cm="1">
        <f t="array" ref="AP219">IFERROR((SUMPRODUCT(($D$218:$D$241=AP$216)*($F$215:$AJ$215="")*$F$218:$AJ$241)+IF(AP$216="P6",SUMPRODUCT(($F$215:$AJ$215="P6")*$F$218:$AJ$241),0))/(SUMPRODUCT(($D$218:$D$241=AP$216)*($F$215:$AJ$215=""))+IF(AP$216="P6",COUNTIF($F$215:$AJ$215,"P6")*ROWS($D$218:$D$241),0)),"")</f>
        <v/>
      </c>
      <c r="AQ219" s="5" t="str" cm="1">
        <f t="array" ref="AQ219">IFERROR((SUMPRODUCT(($D$218:$D$241=AQ$216)*($F$215:$AJ$215="")*$F$218:$AJ$241)+IF(AQ$216="P6",SUMPRODUCT(($F$215:$AJ$215="P6")*$F$218:$AJ$241),0))/(SUMPRODUCT(($D$218:$D$241=AQ$216)*($F$215:$AJ$215=""))+IF(AQ$216="P6",COUNTIF($F$215:$AJ$215,"P6")*ROWS($D$218:$D$241),0)),"")</f>
        <v/>
      </c>
      <c r="AR219" s="6" cm="1">
        <f t="array" ref="AR219">IFERROR((SUMPRODUCT(($D$218:$D$241=AR$216)*($F$215:$AJ$215="")*$F$218:$AJ$241)+IF(AR$216="P6",SUMPRODUCT(($F$215:$AJ$215="P6")*$F$218:$AJ$241),0))/(SUMPRODUCT(($D$218:$D$241=AR$216)*($F$215:$AJ$215=""))+IF(AR$216="P6",COUNTIF($F$215:$AJ$215,"P6")*ROWS($D$218:$D$241),0)),"")</f>
        <v>0.90038595744680916</v>
      </c>
    </row>
    <row r="220" spans="1:44" ht="14.25" customHeight="1" x14ac:dyDescent="0.35">
      <c r="A220" s="1" t="s">
        <v>7</v>
      </c>
      <c r="B220" s="1" t="s">
        <v>7</v>
      </c>
      <c r="C220" s="1" t="s">
        <v>15</v>
      </c>
      <c r="D220" s="1" t="s">
        <v>7</v>
      </c>
      <c r="E220" s="1" t="s">
        <v>10</v>
      </c>
      <c r="F220" s="1">
        <v>0.95199999999999996</v>
      </c>
      <c r="G220" s="1">
        <v>0.94935999999999998</v>
      </c>
      <c r="H220" s="1">
        <v>0.94633999999999996</v>
      </c>
      <c r="I220" s="1">
        <v>0.93545</v>
      </c>
      <c r="J220" s="1">
        <v>0.94877</v>
      </c>
      <c r="K220" s="1">
        <v>0.99748000000000003</v>
      </c>
      <c r="L220" s="1">
        <v>0.95862999999999998</v>
      </c>
      <c r="M220" s="1">
        <v>0.95199999999999996</v>
      </c>
      <c r="N220" s="1">
        <v>0.94935999999999998</v>
      </c>
      <c r="O220" s="1">
        <v>0.94633999999999996</v>
      </c>
      <c r="P220" s="1">
        <v>0.93545</v>
      </c>
      <c r="Q220" s="1">
        <v>0.94877</v>
      </c>
      <c r="R220" s="1">
        <v>0.99748000000000003</v>
      </c>
      <c r="S220" s="1">
        <v>0.95862999999999998</v>
      </c>
      <c r="T220" s="1">
        <v>0.95199999999999996</v>
      </c>
      <c r="U220" s="1">
        <v>0.94935999999999998</v>
      </c>
      <c r="V220" s="1">
        <v>0.94633999999999996</v>
      </c>
      <c r="W220" s="1">
        <v>0.93545</v>
      </c>
      <c r="X220" s="1">
        <v>0.94877</v>
      </c>
      <c r="Y220" s="1">
        <v>0.99748000000000003</v>
      </c>
      <c r="Z220" s="1">
        <v>0.95862999999999998</v>
      </c>
      <c r="AA220" s="1">
        <v>0.95199999999999996</v>
      </c>
      <c r="AB220" s="1">
        <v>0.94935999999999998</v>
      </c>
      <c r="AC220" s="1">
        <v>0.94633999999999996</v>
      </c>
      <c r="AD220" s="1">
        <v>0.93545</v>
      </c>
      <c r="AE220" s="1">
        <v>0.94877</v>
      </c>
      <c r="AF220" s="1">
        <v>0.99748000000000003</v>
      </c>
      <c r="AG220" s="1">
        <v>0.95862999999999998</v>
      </c>
      <c r="AH220" s="1">
        <v>0.95199999999999996</v>
      </c>
      <c r="AI220" s="1">
        <v>0.94935999999999998</v>
      </c>
      <c r="AJ220" s="1">
        <v>0.94633999999999996</v>
      </c>
      <c r="AL220" s="4" t="s">
        <v>25</v>
      </c>
      <c r="AM220" s="6" cm="1">
        <f t="array" ref="AM220">IFERROR((SUMPRODUCT(($D$218:$D$241=AM$216)*($F$215:$AJ$215="")*$F$218:$AJ$241)+IF(AM$216="P6",SUMPRODUCT(($F$215:$AJ$215="P6")*$F$218:$AJ$241),0))/(SUMPRODUCT(($D$218:$D$241=AM$216)*($F$215:$AJ$215=""))+IF(AM$216="P6",COUNTIF($F$215:$AJ$215,"P6")*ROWS($D$218:$D$241),0)),"")</f>
        <v>0.87368256038647329</v>
      </c>
      <c r="AN220" s="6" cm="1">
        <f t="array" ref="AN220">IFERROR((SUMPRODUCT(($D$218:$D$241=AN$216)*($F$215:$AJ$215="")*$F$218:$AJ$241)+IF(AN$216="P6",SUMPRODUCT(($F$215:$AJ$215="P6")*$F$218:$AJ$241),0))/(SUMPRODUCT(($D$218:$D$241=AN$216)*($F$215:$AJ$215=""))+IF(AN$216="P6",COUNTIF($F$215:$AJ$215,"P6")*ROWS($D$218:$D$241),0)),"")</f>
        <v>0.88939267080745243</v>
      </c>
      <c r="AO220" s="5" t="str" cm="1">
        <f t="array" ref="AO220">IFERROR((SUMPRODUCT(($D$218:$D$241=AO$216)*($F$215:$AJ$215="")*$F$218:$AJ$241)+IF(AO$216="P6",SUMPRODUCT(($F$215:$AJ$215="P6")*$F$218:$AJ$241),0))/(SUMPRODUCT(($D$218:$D$241=AO$216)*($F$215:$AJ$215=""))+IF(AO$216="P6",COUNTIF($F$215:$AJ$215,"P6")*ROWS($D$218:$D$241),0)),"")</f>
        <v/>
      </c>
      <c r="AP220" s="5" t="str" cm="1">
        <f t="array" ref="AP220">IFERROR((SUMPRODUCT(($D$218:$D$241=AP$216)*($F$215:$AJ$215="")*$F$218:$AJ$241)+IF(AP$216="P6",SUMPRODUCT(($F$215:$AJ$215="P6")*$F$218:$AJ$241),0))/(SUMPRODUCT(($D$218:$D$241=AP$216)*($F$215:$AJ$215=""))+IF(AP$216="P6",COUNTIF($F$215:$AJ$215,"P6")*ROWS($D$218:$D$241),0)),"")</f>
        <v/>
      </c>
      <c r="AQ220" s="5" t="str" cm="1">
        <f t="array" ref="AQ220">IFERROR((SUMPRODUCT(($D$218:$D$241=AQ$216)*($F$215:$AJ$215="")*$F$218:$AJ$241)+IF(AQ$216="P6",SUMPRODUCT(($F$215:$AJ$215="P6")*$F$218:$AJ$241),0))/(SUMPRODUCT(($D$218:$D$241=AQ$216)*($F$215:$AJ$215=""))+IF(AQ$216="P6",COUNTIF($F$215:$AJ$215,"P6")*ROWS($D$218:$D$241),0)),"")</f>
        <v/>
      </c>
      <c r="AR220" s="6" cm="1">
        <f t="array" ref="AR220">IFERROR((SUMPRODUCT(($D$218:$D$241=AR$216)*($F$215:$AJ$215="")*$F$218:$AJ$241)+IF(AR$216="P6",SUMPRODUCT(($F$215:$AJ$215="P6")*$F$218:$AJ$241),0))/(SUMPRODUCT(($D$218:$D$241=AR$216)*($F$215:$AJ$215=""))+IF(AR$216="P6",COUNTIF($F$215:$AJ$215,"P6")*ROWS($D$218:$D$241),0)),"")</f>
        <v>0.90038595744680916</v>
      </c>
    </row>
    <row r="221" spans="1:44" ht="14.25" customHeight="1" x14ac:dyDescent="0.35">
      <c r="A221" s="1" t="s">
        <v>7</v>
      </c>
      <c r="B221" s="1" t="s">
        <v>7</v>
      </c>
      <c r="C221" s="1" t="s">
        <v>15</v>
      </c>
      <c r="D221" s="1" t="s">
        <v>7</v>
      </c>
      <c r="E221" s="1" t="s">
        <v>11</v>
      </c>
      <c r="F221" s="1">
        <v>0.94281000000000004</v>
      </c>
      <c r="G221" s="1">
        <v>0.94823000000000002</v>
      </c>
      <c r="H221" s="1">
        <v>0.94527000000000005</v>
      </c>
      <c r="I221" s="1">
        <v>0.93805000000000005</v>
      </c>
      <c r="J221" s="1">
        <v>0.95230000000000004</v>
      </c>
      <c r="K221" s="1">
        <v>0.99878</v>
      </c>
      <c r="L221" s="1">
        <v>0.96287999999999996</v>
      </c>
      <c r="M221" s="1">
        <v>0.94281000000000004</v>
      </c>
      <c r="N221" s="1">
        <v>0.94823000000000002</v>
      </c>
      <c r="O221" s="1">
        <v>0.94527000000000005</v>
      </c>
      <c r="P221" s="1">
        <v>0.93805000000000005</v>
      </c>
      <c r="Q221" s="1">
        <v>0.95230000000000004</v>
      </c>
      <c r="R221" s="1">
        <v>0.99878</v>
      </c>
      <c r="S221" s="1">
        <v>0.96287999999999996</v>
      </c>
      <c r="T221" s="1">
        <v>0.94281000000000004</v>
      </c>
      <c r="U221" s="1">
        <v>0.94823000000000002</v>
      </c>
      <c r="V221" s="1">
        <v>0.94527000000000005</v>
      </c>
      <c r="W221" s="1">
        <v>0.93805000000000005</v>
      </c>
      <c r="X221" s="1">
        <v>0.95230000000000004</v>
      </c>
      <c r="Y221" s="1">
        <v>0.99878</v>
      </c>
      <c r="Z221" s="1">
        <v>0.96287999999999996</v>
      </c>
      <c r="AA221" s="1">
        <v>0.94281000000000004</v>
      </c>
      <c r="AB221" s="1">
        <v>0.94823000000000002</v>
      </c>
      <c r="AC221" s="1">
        <v>0.94527000000000005</v>
      </c>
      <c r="AD221" s="1">
        <v>0.93805000000000005</v>
      </c>
      <c r="AE221" s="1">
        <v>0.95230000000000004</v>
      </c>
      <c r="AF221" s="1">
        <v>0.99878</v>
      </c>
      <c r="AG221" s="1">
        <v>0.96287999999999996</v>
      </c>
      <c r="AH221" s="1">
        <v>0.94281000000000004</v>
      </c>
      <c r="AI221" s="1">
        <v>0.94823000000000002</v>
      </c>
      <c r="AJ221" s="1">
        <v>0.94527000000000005</v>
      </c>
      <c r="AL221" s="4" t="s">
        <v>27</v>
      </c>
      <c r="AM221" s="6" cm="1">
        <f t="array" ref="AM221">IFERROR((SUMPRODUCT(($D$218:$D$241=AM$216)*($F$215:$AJ$215="")*$F$218:$AJ$241)+IF(AM$216="P6",SUMPRODUCT(($F$215:$AJ$215="P6")*$F$218:$AJ$241),0))/(SUMPRODUCT(($D$218:$D$241=AM$216)*($F$215:$AJ$215=""))+IF(AM$216="P6",COUNTIF($F$215:$AJ$215,"P6")*ROWS($D$218:$D$241),0)),"")</f>
        <v>0.87368256038647329</v>
      </c>
      <c r="AN221" s="6" cm="1">
        <f t="array" ref="AN221">IFERROR((SUMPRODUCT(($D$218:$D$241=AN$216)*($F$215:$AJ$215="")*$F$218:$AJ$241)+IF(AN$216="P6",SUMPRODUCT(($F$215:$AJ$215="P6")*$F$218:$AJ$241),0))/(SUMPRODUCT(($D$218:$D$241=AN$216)*($F$215:$AJ$215=""))+IF(AN$216="P6",COUNTIF($F$215:$AJ$215,"P6")*ROWS($D$218:$D$241),0)),"")</f>
        <v>0.88939267080745243</v>
      </c>
      <c r="AO221" s="5" t="str" cm="1">
        <f t="array" ref="AO221">IFERROR((SUMPRODUCT(($D$218:$D$241=AO$216)*($F$215:$AJ$215="")*$F$218:$AJ$241)+IF(AO$216="P6",SUMPRODUCT(($F$215:$AJ$215="P6")*$F$218:$AJ$241),0))/(SUMPRODUCT(($D$218:$D$241=AO$216)*($F$215:$AJ$215=""))+IF(AO$216="P6",COUNTIF($F$215:$AJ$215,"P6")*ROWS($D$218:$D$241),0)),"")</f>
        <v/>
      </c>
      <c r="AP221" s="5" t="str" cm="1">
        <f t="array" ref="AP221">IFERROR((SUMPRODUCT(($D$218:$D$241=AP$216)*($F$215:$AJ$215="")*$F$218:$AJ$241)+IF(AP$216="P6",SUMPRODUCT(($F$215:$AJ$215="P6")*$F$218:$AJ$241),0))/(SUMPRODUCT(($D$218:$D$241=AP$216)*($F$215:$AJ$215=""))+IF(AP$216="P6",COUNTIF($F$215:$AJ$215,"P6")*ROWS($D$218:$D$241),0)),"")</f>
        <v/>
      </c>
      <c r="AQ221" s="5" t="str" cm="1">
        <f t="array" ref="AQ221">IFERROR((SUMPRODUCT(($D$218:$D$241=AQ$216)*($F$215:$AJ$215="")*$F$218:$AJ$241)+IF(AQ$216="P6",SUMPRODUCT(($F$215:$AJ$215="P6")*$F$218:$AJ$241),0))/(SUMPRODUCT(($D$218:$D$241=AQ$216)*($F$215:$AJ$215=""))+IF(AQ$216="P6",COUNTIF($F$215:$AJ$215,"P6")*ROWS($D$218:$D$241),0)),"")</f>
        <v/>
      </c>
      <c r="AR221" s="6" cm="1">
        <f t="array" ref="AR221">IFERROR((SUMPRODUCT(($D$218:$D$241=AR$216)*($F$215:$AJ$215="")*$F$218:$AJ$241)+IF(AR$216="P6",SUMPRODUCT(($F$215:$AJ$215="P6")*$F$218:$AJ$241),0))/(SUMPRODUCT(($D$218:$D$241=AR$216)*($F$215:$AJ$215=""))+IF(AR$216="P6",COUNTIF($F$215:$AJ$215,"P6")*ROWS($D$218:$D$241),0)),"")</f>
        <v>0.90038595744680916</v>
      </c>
    </row>
    <row r="222" spans="1:44" ht="14.25" customHeight="1" x14ac:dyDescent="0.35">
      <c r="A222" s="1" t="s">
        <v>7</v>
      </c>
      <c r="B222" s="1" t="s">
        <v>7</v>
      </c>
      <c r="C222" s="1" t="s">
        <v>15</v>
      </c>
      <c r="D222" s="1" t="s">
        <v>7</v>
      </c>
      <c r="E222" s="1" t="s">
        <v>12</v>
      </c>
      <c r="F222" s="1">
        <v>0.94274000000000002</v>
      </c>
      <c r="G222" s="1">
        <v>0.94045999999999996</v>
      </c>
      <c r="H222" s="1">
        <v>0.93854000000000004</v>
      </c>
      <c r="I222" s="1">
        <v>0.92989999999999995</v>
      </c>
      <c r="J222" s="1">
        <v>0.95659000000000005</v>
      </c>
      <c r="K222" s="1">
        <v>0.99924999999999997</v>
      </c>
      <c r="L222" s="1">
        <v>0.96333000000000002</v>
      </c>
      <c r="M222" s="1">
        <v>0.94274000000000002</v>
      </c>
      <c r="N222" s="1">
        <v>0.94045999999999996</v>
      </c>
      <c r="O222" s="1">
        <v>0.93854000000000004</v>
      </c>
      <c r="P222" s="1">
        <v>0.92989999999999995</v>
      </c>
      <c r="Q222" s="1">
        <v>0.95659000000000005</v>
      </c>
      <c r="R222" s="1">
        <v>0.99924999999999997</v>
      </c>
      <c r="S222" s="1">
        <v>0.96333000000000002</v>
      </c>
      <c r="T222" s="1">
        <v>0.94274000000000002</v>
      </c>
      <c r="U222" s="1">
        <v>0.94045999999999996</v>
      </c>
      <c r="V222" s="1">
        <v>0.93854000000000004</v>
      </c>
      <c r="W222" s="1">
        <v>0.92989999999999995</v>
      </c>
      <c r="X222" s="1">
        <v>0.95659000000000005</v>
      </c>
      <c r="Y222" s="1">
        <v>0.99924999999999997</v>
      </c>
      <c r="Z222" s="1">
        <v>0.96333000000000002</v>
      </c>
      <c r="AA222" s="1">
        <v>0.94274000000000002</v>
      </c>
      <c r="AB222" s="1">
        <v>0.94045999999999996</v>
      </c>
      <c r="AC222" s="1">
        <v>0.93854000000000004</v>
      </c>
      <c r="AD222" s="1">
        <v>0.92989999999999995</v>
      </c>
      <c r="AE222" s="1">
        <v>0.95659000000000005</v>
      </c>
      <c r="AF222" s="1">
        <v>0.99924999999999997</v>
      </c>
      <c r="AG222" s="1">
        <v>0.96333000000000002</v>
      </c>
      <c r="AH222" s="1">
        <v>0.94274000000000002</v>
      </c>
      <c r="AI222" s="1">
        <v>0.94045999999999996</v>
      </c>
      <c r="AJ222" s="1">
        <v>0.93854000000000004</v>
      </c>
      <c r="AL222" s="4" t="s">
        <v>29</v>
      </c>
      <c r="AM222" s="6" cm="1">
        <f t="array" ref="AM222">IFERROR((SUMPRODUCT(($D$218:$D$241=AM$216)*($F$215:$AJ$215="")*$F$218:$AJ$241)+IF(AM$216="P6",SUMPRODUCT(($F$215:$AJ$215="P6")*$F$218:$AJ$241),0))/(SUMPRODUCT(($D$218:$D$241=AM$216)*($F$215:$AJ$215=""))+IF(AM$216="P6",COUNTIF($F$215:$AJ$215,"P6")*ROWS($D$218:$D$241),0)),"")</f>
        <v>0.87368256038647329</v>
      </c>
      <c r="AN222" s="6" cm="1">
        <f t="array" ref="AN222">IFERROR((SUMPRODUCT(($D$218:$D$241=AN$216)*($F$215:$AJ$215="")*$F$218:$AJ$241)+IF(AN$216="P6",SUMPRODUCT(($F$215:$AJ$215="P6")*$F$218:$AJ$241),0))/(SUMPRODUCT(($D$218:$D$241=AN$216)*($F$215:$AJ$215=""))+IF(AN$216="P6",COUNTIF($F$215:$AJ$215,"P6")*ROWS($D$218:$D$241),0)),"")</f>
        <v>0.88939267080745243</v>
      </c>
      <c r="AO222" s="5" t="str" cm="1">
        <f t="array" ref="AO222">IFERROR((SUMPRODUCT(($D$218:$D$241=AO$216)*($F$215:$AJ$215="")*$F$218:$AJ$241)+IF(AO$216="P6",SUMPRODUCT(($F$215:$AJ$215="P6")*$F$218:$AJ$241),0))/(SUMPRODUCT(($D$218:$D$241=AO$216)*($F$215:$AJ$215=""))+IF(AO$216="P6",COUNTIF($F$215:$AJ$215,"P6")*ROWS($D$218:$D$241),0)),"")</f>
        <v/>
      </c>
      <c r="AP222" s="5" t="str" cm="1">
        <f t="array" ref="AP222">IFERROR((SUMPRODUCT(($D$218:$D$241=AP$216)*($F$215:$AJ$215="")*$F$218:$AJ$241)+IF(AP$216="P6",SUMPRODUCT(($F$215:$AJ$215="P6")*$F$218:$AJ$241),0))/(SUMPRODUCT(($D$218:$D$241=AP$216)*($F$215:$AJ$215=""))+IF(AP$216="P6",COUNTIF($F$215:$AJ$215,"P6")*ROWS($D$218:$D$241),0)),"")</f>
        <v/>
      </c>
      <c r="AQ222" s="5" t="str" cm="1">
        <f t="array" ref="AQ222">IFERROR((SUMPRODUCT(($D$218:$D$241=AQ$216)*($F$215:$AJ$215="")*$F$218:$AJ$241)+IF(AQ$216="P6",SUMPRODUCT(($F$215:$AJ$215="P6")*$F$218:$AJ$241),0))/(SUMPRODUCT(($D$218:$D$241=AQ$216)*($F$215:$AJ$215=""))+IF(AQ$216="P6",COUNTIF($F$215:$AJ$215,"P6")*ROWS($D$218:$D$241),0)),"")</f>
        <v/>
      </c>
      <c r="AR222" s="6" cm="1">
        <f t="array" ref="AR222">IFERROR((SUMPRODUCT(($D$218:$D$241=AR$216)*($F$215:$AJ$215="")*$F$218:$AJ$241)+IF(AR$216="P6",SUMPRODUCT(($F$215:$AJ$215="P6")*$F$218:$AJ$241),0))/(SUMPRODUCT(($D$218:$D$241=AR$216)*($F$215:$AJ$215=""))+IF(AR$216="P6",COUNTIF($F$215:$AJ$215,"P6")*ROWS($D$218:$D$241),0)),"")</f>
        <v>0.90038595744680916</v>
      </c>
    </row>
    <row r="223" spans="1:44" ht="14.25" customHeight="1" x14ac:dyDescent="0.35">
      <c r="A223" s="1" t="s">
        <v>7</v>
      </c>
      <c r="B223" s="1" t="s">
        <v>7</v>
      </c>
      <c r="C223" s="1" t="s">
        <v>15</v>
      </c>
      <c r="D223" s="1" t="s">
        <v>7</v>
      </c>
      <c r="E223" s="1" t="s">
        <v>18</v>
      </c>
      <c r="F223" s="1">
        <v>0.92798999999999998</v>
      </c>
      <c r="G223" s="1">
        <v>0.91681000000000001</v>
      </c>
      <c r="H223" s="1">
        <v>0.91971999999999998</v>
      </c>
      <c r="I223" s="1">
        <v>0.91307000000000005</v>
      </c>
      <c r="J223" s="1">
        <v>0.95406000000000002</v>
      </c>
      <c r="K223" s="1">
        <v>1.0014000000000001</v>
      </c>
      <c r="L223" s="1">
        <v>0.93693000000000004</v>
      </c>
      <c r="M223" s="1">
        <v>0.92798999999999998</v>
      </c>
      <c r="N223" s="1">
        <v>0.91681000000000001</v>
      </c>
      <c r="O223" s="1">
        <v>0.91971999999999998</v>
      </c>
      <c r="P223" s="1">
        <v>0.91307000000000005</v>
      </c>
      <c r="Q223" s="1">
        <v>0.95406000000000002</v>
      </c>
      <c r="R223" s="1">
        <v>1.0014000000000001</v>
      </c>
      <c r="S223" s="1">
        <v>0.93693000000000004</v>
      </c>
      <c r="T223" s="1">
        <v>0.92798999999999998</v>
      </c>
      <c r="U223" s="1">
        <v>0.91681000000000001</v>
      </c>
      <c r="V223" s="1">
        <v>0.91971999999999998</v>
      </c>
      <c r="W223" s="1">
        <v>0.91307000000000005</v>
      </c>
      <c r="X223" s="1">
        <v>0.95406000000000002</v>
      </c>
      <c r="Y223" s="1">
        <v>1.0014000000000001</v>
      </c>
      <c r="Z223" s="1">
        <v>0.93693000000000004</v>
      </c>
      <c r="AA223" s="1">
        <v>0.92798999999999998</v>
      </c>
      <c r="AB223" s="1">
        <v>0.91681000000000001</v>
      </c>
      <c r="AC223" s="1">
        <v>0.91971999999999998</v>
      </c>
      <c r="AD223" s="1">
        <v>0.91307000000000005</v>
      </c>
      <c r="AE223" s="1">
        <v>0.95406000000000002</v>
      </c>
      <c r="AF223" s="1">
        <v>1.0014000000000001</v>
      </c>
      <c r="AG223" s="1">
        <v>0.93693000000000004</v>
      </c>
      <c r="AH223" s="1">
        <v>0.92798999999999998</v>
      </c>
      <c r="AI223" s="1">
        <v>0.91681000000000001</v>
      </c>
      <c r="AJ223" s="1">
        <v>0.91971999999999998</v>
      </c>
      <c r="AL223" s="10"/>
      <c r="AM223" s="10"/>
      <c r="AN223" s="10"/>
      <c r="AO223" s="10"/>
      <c r="AP223" s="10"/>
      <c r="AQ223" s="10"/>
      <c r="AR223" s="10"/>
    </row>
    <row r="224" spans="1:44" ht="14.25" customHeight="1" x14ac:dyDescent="0.35">
      <c r="A224" s="1" t="s">
        <v>7</v>
      </c>
      <c r="B224" s="1" t="s">
        <v>7</v>
      </c>
      <c r="C224" s="1" t="s">
        <v>15</v>
      </c>
      <c r="D224" s="1" t="s">
        <v>7</v>
      </c>
      <c r="E224" s="1" t="s">
        <v>20</v>
      </c>
      <c r="F224" s="1">
        <v>0.88727999999999996</v>
      </c>
      <c r="G224" s="1">
        <v>0.87753999999999999</v>
      </c>
      <c r="H224" s="1">
        <v>0.88943000000000005</v>
      </c>
      <c r="I224" s="1">
        <v>0.88485999999999998</v>
      </c>
      <c r="J224" s="1">
        <v>0.94918999999999998</v>
      </c>
      <c r="K224" s="1">
        <v>0.99451999999999996</v>
      </c>
      <c r="L224" s="1">
        <v>0.88041000000000003</v>
      </c>
      <c r="M224" s="1">
        <v>0.88727999999999996</v>
      </c>
      <c r="N224" s="1">
        <v>0.87753999999999999</v>
      </c>
      <c r="O224" s="1">
        <v>0.88943000000000005</v>
      </c>
      <c r="P224" s="1">
        <v>0.88485999999999998</v>
      </c>
      <c r="Q224" s="1">
        <v>0.94918999999999998</v>
      </c>
      <c r="R224" s="1">
        <v>0.99451999999999996</v>
      </c>
      <c r="S224" s="1">
        <v>0.88041000000000003</v>
      </c>
      <c r="T224" s="1">
        <v>0.88727999999999996</v>
      </c>
      <c r="U224" s="1">
        <v>0.87753999999999999</v>
      </c>
      <c r="V224" s="1">
        <v>0.88943000000000005</v>
      </c>
      <c r="W224" s="1">
        <v>0.88485999999999998</v>
      </c>
      <c r="X224" s="1">
        <v>0.94918999999999998</v>
      </c>
      <c r="Y224" s="1">
        <v>0.99451999999999996</v>
      </c>
      <c r="Z224" s="1">
        <v>0.88041000000000003</v>
      </c>
      <c r="AA224" s="1">
        <v>0.88727999999999996</v>
      </c>
      <c r="AB224" s="1">
        <v>0.87753999999999999</v>
      </c>
      <c r="AC224" s="1">
        <v>0.88943000000000005</v>
      </c>
      <c r="AD224" s="1">
        <v>0.88485999999999998</v>
      </c>
      <c r="AE224" s="1">
        <v>0.94918999999999998</v>
      </c>
      <c r="AF224" s="1">
        <v>0.99451999999999996</v>
      </c>
      <c r="AG224" s="1">
        <v>0.88041000000000003</v>
      </c>
      <c r="AH224" s="1">
        <v>0.88727999999999996</v>
      </c>
      <c r="AI224" s="1">
        <v>0.87753999999999999</v>
      </c>
      <c r="AJ224" s="1">
        <v>0.88943000000000005</v>
      </c>
      <c r="AL224" s="10"/>
      <c r="AM224" s="10"/>
      <c r="AN224" s="10"/>
      <c r="AO224" s="10"/>
      <c r="AP224" s="10"/>
      <c r="AQ224" s="10"/>
      <c r="AR224" s="10"/>
    </row>
    <row r="225" spans="1:44" ht="14.25" customHeight="1" x14ac:dyDescent="0.35">
      <c r="A225" s="1" t="s">
        <v>7</v>
      </c>
      <c r="B225" s="1" t="s">
        <v>7</v>
      </c>
      <c r="C225" s="1" t="s">
        <v>15</v>
      </c>
      <c r="D225" s="1" t="s">
        <v>7</v>
      </c>
      <c r="E225" s="1" t="s">
        <v>22</v>
      </c>
      <c r="F225" s="1">
        <v>0.83426999999999996</v>
      </c>
      <c r="G225" s="1">
        <v>0.82850999999999997</v>
      </c>
      <c r="H225" s="1">
        <v>0.85311000000000003</v>
      </c>
      <c r="I225" s="1">
        <v>0.8417</v>
      </c>
      <c r="J225" s="1">
        <v>0.93905000000000005</v>
      </c>
      <c r="K225" s="1">
        <v>0.98763999999999996</v>
      </c>
      <c r="L225" s="1">
        <v>0.83635000000000004</v>
      </c>
      <c r="M225" s="1">
        <v>0.83426999999999996</v>
      </c>
      <c r="N225" s="1">
        <v>0.82850999999999997</v>
      </c>
      <c r="O225" s="1">
        <v>0.85311000000000003</v>
      </c>
      <c r="P225" s="1">
        <v>0.8417</v>
      </c>
      <c r="Q225" s="1">
        <v>0.93905000000000005</v>
      </c>
      <c r="R225" s="1">
        <v>0.98763999999999996</v>
      </c>
      <c r="S225" s="1">
        <v>0.83635000000000004</v>
      </c>
      <c r="T225" s="1">
        <v>0.83426999999999996</v>
      </c>
      <c r="U225" s="1">
        <v>0.82850999999999997</v>
      </c>
      <c r="V225" s="1">
        <v>0.85311000000000003</v>
      </c>
      <c r="W225" s="1">
        <v>0.8417</v>
      </c>
      <c r="X225" s="1">
        <v>0.93905000000000005</v>
      </c>
      <c r="Y225" s="1">
        <v>0.98763999999999996</v>
      </c>
      <c r="Z225" s="1">
        <v>0.83635000000000004</v>
      </c>
      <c r="AA225" s="1">
        <v>0.83426999999999996</v>
      </c>
      <c r="AB225" s="1">
        <v>0.82850999999999997</v>
      </c>
      <c r="AC225" s="1">
        <v>0.85311000000000003</v>
      </c>
      <c r="AD225" s="1">
        <v>0.8417</v>
      </c>
      <c r="AE225" s="1">
        <v>0.93905000000000005</v>
      </c>
      <c r="AF225" s="1">
        <v>0.98763999999999996</v>
      </c>
      <c r="AG225" s="1">
        <v>0.83635000000000004</v>
      </c>
      <c r="AH225" s="1">
        <v>0.83426999999999996</v>
      </c>
      <c r="AI225" s="1">
        <v>0.82850999999999997</v>
      </c>
      <c r="AJ225" s="1">
        <v>0.85311000000000003</v>
      </c>
      <c r="AL225" s="14" t="s">
        <v>97</v>
      </c>
      <c r="AM225" s="14"/>
      <c r="AN225" s="14"/>
      <c r="AO225" s="14"/>
      <c r="AP225" s="14"/>
      <c r="AQ225" s="14"/>
      <c r="AR225" s="14"/>
    </row>
    <row r="226" spans="1:44" ht="14.25" customHeight="1" x14ac:dyDescent="0.35">
      <c r="A226" s="1" t="s">
        <v>15</v>
      </c>
      <c r="B226" s="1" t="s">
        <v>14</v>
      </c>
      <c r="C226" s="1" t="s">
        <v>14</v>
      </c>
      <c r="D226" s="1" t="s">
        <v>14</v>
      </c>
      <c r="E226" s="1" t="s">
        <v>24</v>
      </c>
      <c r="F226" s="1">
        <v>0.83586000000000005</v>
      </c>
      <c r="G226" s="1">
        <v>0.82416999999999996</v>
      </c>
      <c r="H226" s="1">
        <v>0.84109999999999996</v>
      </c>
      <c r="I226" s="1">
        <v>0.83747000000000005</v>
      </c>
      <c r="J226" s="1">
        <v>0.85580999999999996</v>
      </c>
      <c r="K226" s="1">
        <v>0.90107999999999999</v>
      </c>
      <c r="L226" s="1">
        <v>0.83318000000000003</v>
      </c>
      <c r="M226" s="1">
        <v>0.83586000000000005</v>
      </c>
      <c r="N226" s="1">
        <v>0.82416999999999996</v>
      </c>
      <c r="O226" s="1">
        <v>0.84109999999999996</v>
      </c>
      <c r="P226" s="1">
        <v>0.83747000000000005</v>
      </c>
      <c r="Q226" s="1">
        <v>0.85580999999999996</v>
      </c>
      <c r="R226" s="1">
        <v>0.90107999999999999</v>
      </c>
      <c r="S226" s="1">
        <v>0.83318000000000003</v>
      </c>
      <c r="T226" s="1">
        <v>0.83586000000000005</v>
      </c>
      <c r="U226" s="1">
        <v>0.82416999999999996</v>
      </c>
      <c r="V226" s="1">
        <v>0.84109999999999996</v>
      </c>
      <c r="W226" s="1">
        <v>0.83747000000000005</v>
      </c>
      <c r="X226" s="1">
        <v>0.85580999999999996</v>
      </c>
      <c r="Y226" s="1">
        <v>0.90107999999999999</v>
      </c>
      <c r="Z226" s="1">
        <v>0.83318000000000003</v>
      </c>
      <c r="AA226" s="1">
        <v>0.83586000000000005</v>
      </c>
      <c r="AB226" s="1">
        <v>0.82416999999999996</v>
      </c>
      <c r="AC226" s="1">
        <v>0.84109999999999996</v>
      </c>
      <c r="AD226" s="1">
        <v>0.83747000000000005</v>
      </c>
      <c r="AE226" s="1">
        <v>0.85580999999999996</v>
      </c>
      <c r="AF226" s="1">
        <v>0.90107999999999999</v>
      </c>
      <c r="AG226" s="1">
        <v>0.83318000000000003</v>
      </c>
      <c r="AH226" s="1">
        <v>0.83586000000000005</v>
      </c>
      <c r="AI226" s="1">
        <v>0.82416999999999996</v>
      </c>
      <c r="AJ226" s="1">
        <v>0.84109999999999996</v>
      </c>
      <c r="AL226" s="4"/>
      <c r="AM226" s="4" t="s">
        <v>13</v>
      </c>
      <c r="AN226" s="4" t="s">
        <v>14</v>
      </c>
      <c r="AO226" s="4" t="s">
        <v>15</v>
      </c>
      <c r="AP226" s="4" t="s">
        <v>16</v>
      </c>
      <c r="AQ226" s="4" t="s">
        <v>17</v>
      </c>
      <c r="AR226" s="4" t="s">
        <v>7</v>
      </c>
    </row>
    <row r="227" spans="1:44" ht="14.25" customHeight="1" x14ac:dyDescent="0.35">
      <c r="A227" s="1" t="s">
        <v>15</v>
      </c>
      <c r="B227" s="1" t="s">
        <v>14</v>
      </c>
      <c r="C227" s="1" t="s">
        <v>14</v>
      </c>
      <c r="D227" s="1" t="s">
        <v>13</v>
      </c>
      <c r="E227" s="1" t="s">
        <v>26</v>
      </c>
      <c r="F227" s="1">
        <v>0.83316000000000001</v>
      </c>
      <c r="G227" s="1">
        <v>0.82765</v>
      </c>
      <c r="H227" s="1">
        <v>0.83743999999999996</v>
      </c>
      <c r="I227" s="1">
        <v>0.83274000000000004</v>
      </c>
      <c r="J227" s="1">
        <v>0.80903999999999998</v>
      </c>
      <c r="K227" s="1">
        <v>0.84874000000000005</v>
      </c>
      <c r="L227" s="1">
        <v>0.83245999999999998</v>
      </c>
      <c r="M227" s="1">
        <v>0.83316000000000001</v>
      </c>
      <c r="N227" s="1">
        <v>0.82765</v>
      </c>
      <c r="O227" s="1">
        <v>0.83743999999999996</v>
      </c>
      <c r="P227" s="1">
        <v>0.83274000000000004</v>
      </c>
      <c r="Q227" s="1">
        <v>0.80903999999999998</v>
      </c>
      <c r="R227" s="1">
        <v>0.84874000000000005</v>
      </c>
      <c r="S227" s="1">
        <v>0.83245999999999998</v>
      </c>
      <c r="T227" s="1">
        <v>0.83316000000000001</v>
      </c>
      <c r="U227" s="1">
        <v>0.82765</v>
      </c>
      <c r="V227" s="1">
        <v>0.83743999999999996</v>
      </c>
      <c r="W227" s="1">
        <v>0.83274000000000004</v>
      </c>
      <c r="X227" s="1">
        <v>0.80903999999999998</v>
      </c>
      <c r="Y227" s="1">
        <v>0.84874000000000005</v>
      </c>
      <c r="Z227" s="1">
        <v>0.83245999999999998</v>
      </c>
      <c r="AA227" s="1">
        <v>0.83316000000000001</v>
      </c>
      <c r="AB227" s="1">
        <v>0.82765</v>
      </c>
      <c r="AC227" s="1">
        <v>0.83743999999999996</v>
      </c>
      <c r="AD227" s="1">
        <v>0.83274000000000004</v>
      </c>
      <c r="AE227" s="1">
        <v>0.80903999999999998</v>
      </c>
      <c r="AF227" s="1">
        <v>0.84874000000000005</v>
      </c>
      <c r="AG227" s="1">
        <v>0.83245999999999998</v>
      </c>
      <c r="AH227" s="1">
        <v>0.83316000000000001</v>
      </c>
      <c r="AI227" s="1">
        <v>0.82765</v>
      </c>
      <c r="AJ227" s="1">
        <v>0.83743999999999996</v>
      </c>
      <c r="AL227" s="4" t="s">
        <v>19</v>
      </c>
      <c r="AM227" s="6" cm="1">
        <f t="array" ref="AM227">IFERROR((SUMPRODUCT(($C$218:$C$241=AM$216)*($F$214:$AJ$214="")*$F$218:$AJ$241)+IF(AM$216="P3",SUMPRODUCT(($F$214:$AJ$214="P3")*$F$218:$AJ$241),0))/(SUMPRODUCT(($C$218:$C$241=AM$216)*($F$214:$AJ$214=""))+IF(AM$216="P3",COUNTIF($F$214:$AJ$214,"P3")*ROWS($C$218:$C$241),0)),"")</f>
        <v>0.87880565217391249</v>
      </c>
      <c r="AN227" s="6" cm="1">
        <f t="array" ref="AN227">IFERROR((SUMPRODUCT(($C$218:$C$241=AN$216)*($F$214:$AJ$214="")*$F$218:$AJ$241)+IF(AN$216="P3",SUMPRODUCT(($F$214:$AJ$214="P3")*$F$218:$AJ$241),0))/(SUMPRODUCT(($C$218:$C$241=AN$216)*($F$214:$AJ$214=""))+IF(AN$216="P3",COUNTIF($F$214:$AJ$214,"P3")*ROWS($C$218:$C$241),0)),"")</f>
        <v>0.88230581521739015</v>
      </c>
      <c r="AO227" s="6" cm="1">
        <f t="array" ref="AO227">IFERROR((SUMPRODUCT(($C$218:$C$241=AO$216)*($F$214:$AJ$214="")*$F$218:$AJ$241)+IF(AO$216="P3",SUMPRODUCT(($F$214:$AJ$214="P3")*$F$218:$AJ$241),0))/(SUMPRODUCT(($C$218:$C$241=AO$216)*($F$214:$AJ$214=""))+IF(AO$216="P3",COUNTIF($F$214:$AJ$214,"P3")*ROWS($C$218:$C$241),0)),"")</f>
        <v>0.90038595744680916</v>
      </c>
      <c r="AP227" s="6" t="str" cm="1">
        <f t="array" ref="AP227">IFERROR((SUMPRODUCT(($C$218:$C$241=AP$216)*($F$214:$AJ$214="")*$F$218:$AJ$241)+IF(AP$216="P3",SUMPRODUCT(($F$214:$AJ$214="P3")*$F$218:$AJ$241),0))/(SUMPRODUCT(($C$218:$C$241=AP$216)*($F$214:$AJ$214=""))+IF(AP$216="P3",COUNTIF($F$214:$AJ$214,"P3")*ROWS($C$218:$C$241),0)),"")</f>
        <v/>
      </c>
      <c r="AQ227" s="6" t="str" cm="1">
        <f t="array" ref="AQ227">IFERROR((SUMPRODUCT(($C$218:$C$241=AQ$216)*($F$214:$AJ$214="")*$F$218:$AJ$241)+IF(AQ$216="P3",SUMPRODUCT(($F$214:$AJ$214="P3")*$F$218:$AJ$241),0))/(SUMPRODUCT(($C$218:$C$241=AQ$216)*($F$214:$AJ$214=""))+IF(AQ$216="P3",COUNTIF($F$214:$AJ$214,"P3")*ROWS($C$218:$C$241),0)),"")</f>
        <v/>
      </c>
      <c r="AR227" s="6" t="str" cm="1">
        <f t="array" ref="AR227">IFERROR((SUMPRODUCT(($C$218:$C$241=AR$216)*($F$214:$AJ$214="")*$F$218:$AJ$241)+IF(AR$216="P3",SUMPRODUCT(($F$214:$AJ$214="P3")*$F$218:$AJ$241),0))/(SUMPRODUCT(($C$218:$C$241=AR$216)*($F$214:$AJ$214=""))+IF(AR$216="P3",COUNTIF($F$214:$AJ$214,"P3")*ROWS($C$218:$C$241),0)),"")</f>
        <v/>
      </c>
    </row>
    <row r="228" spans="1:44" ht="14.25" customHeight="1" x14ac:dyDescent="0.35">
      <c r="A228" s="1" t="s">
        <v>13</v>
      </c>
      <c r="B228" s="1" t="s">
        <v>13</v>
      </c>
      <c r="C228" s="1" t="s">
        <v>13</v>
      </c>
      <c r="D228" s="1" t="s">
        <v>13</v>
      </c>
      <c r="E228" s="1" t="s">
        <v>28</v>
      </c>
      <c r="F228" s="1">
        <v>0.81657999999999997</v>
      </c>
      <c r="G228" s="1">
        <v>0.81074000000000002</v>
      </c>
      <c r="H228" s="1">
        <v>0.80971000000000004</v>
      </c>
      <c r="I228" s="1">
        <v>0.82349000000000006</v>
      </c>
      <c r="J228" s="1">
        <v>0.78607000000000005</v>
      </c>
      <c r="K228" s="1">
        <v>0.80286000000000002</v>
      </c>
      <c r="L228" s="1">
        <v>0.80964999999999998</v>
      </c>
      <c r="M228" s="1">
        <v>0.81657999999999997</v>
      </c>
      <c r="N228" s="1">
        <v>0.81074000000000002</v>
      </c>
      <c r="O228" s="1">
        <v>0.80971000000000004</v>
      </c>
      <c r="P228" s="1">
        <v>0.82349000000000006</v>
      </c>
      <c r="Q228" s="1">
        <v>0.78607000000000005</v>
      </c>
      <c r="R228" s="1">
        <v>0.80286000000000002</v>
      </c>
      <c r="S228" s="1">
        <v>0.80964999999999998</v>
      </c>
      <c r="T228" s="1">
        <v>0.81657999999999997</v>
      </c>
      <c r="U228" s="1">
        <v>0.81074000000000002</v>
      </c>
      <c r="V228" s="1">
        <v>0.80971000000000004</v>
      </c>
      <c r="W228" s="1">
        <v>0.82349000000000006</v>
      </c>
      <c r="X228" s="1">
        <v>0.78607000000000005</v>
      </c>
      <c r="Y228" s="1">
        <v>0.80286000000000002</v>
      </c>
      <c r="Z228" s="1">
        <v>0.80964999999999998</v>
      </c>
      <c r="AA228" s="1">
        <v>0.81657999999999997</v>
      </c>
      <c r="AB228" s="1">
        <v>0.81074000000000002</v>
      </c>
      <c r="AC228" s="1">
        <v>0.80971000000000004</v>
      </c>
      <c r="AD228" s="1">
        <v>0.82349000000000006</v>
      </c>
      <c r="AE228" s="1">
        <v>0.78607000000000005</v>
      </c>
      <c r="AF228" s="1">
        <v>0.80286000000000002</v>
      </c>
      <c r="AG228" s="1">
        <v>0.80964999999999998</v>
      </c>
      <c r="AH228" s="1">
        <v>0.81657999999999997</v>
      </c>
      <c r="AI228" s="1">
        <v>0.81074000000000002</v>
      </c>
      <c r="AJ228" s="1">
        <v>0.80971000000000004</v>
      </c>
      <c r="AL228" s="4" t="s">
        <v>21</v>
      </c>
      <c r="AM228" s="6" cm="1">
        <f t="array" ref="AM228">IFERROR((SUMPRODUCT(($A$218:$A$241=AM$216)*($F$215:$AJ$215="")*$F$218:$AJ$241)+IF(AM$216="P6",SUMPRODUCT(($F$215:$AJ$215="P6")*$F$218:$AJ$241),0))/(SUMPRODUCT(($A$218:$A$241=AM$216)*($F$215:$AJ$215=""))+IF(AM$216="P6",COUNTIF($F$215:$AJ$215,"P6")*ROWS($A$218:$A$241),0)),"")</f>
        <v>0.87190371980676318</v>
      </c>
      <c r="AN228" s="6" t="str" cm="1">
        <f t="array" ref="AN228">IFERROR((SUMPRODUCT(($A$218:$A$241=AN$216)*($F$215:$AJ$215="")*$F$218:$AJ$241)+IF(AN$216="P6",SUMPRODUCT(($F$215:$AJ$215="P6")*$F$218:$AJ$241),0))/(SUMPRODUCT(($A$218:$A$241=AN$216)*($F$215:$AJ$215=""))+IF(AN$216="P6",COUNTIF($F$215:$AJ$215,"P6")*ROWS($A$218:$A$241),0)),"")</f>
        <v/>
      </c>
      <c r="AO228" s="6" cm="1">
        <f t="array" ref="AO228">IFERROR((SUMPRODUCT(($A$218:$A$241=AO$216)*($F$215:$AJ$215="")*$F$218:$AJ$241)+IF(AO$216="P6",SUMPRODUCT(($F$215:$AJ$215="P6")*$F$218:$AJ$241),0))/(SUMPRODUCT(($A$218:$A$241=AO$216)*($F$215:$AJ$215=""))+IF(AO$216="P6",COUNTIF($F$215:$AJ$215,"P6")*ROWS($A$218:$A$241),0)),"")</f>
        <v>0.89167975155279411</v>
      </c>
      <c r="AP228" s="6" t="str" cm="1">
        <f t="array" ref="AP228">IFERROR((SUMPRODUCT(($A$218:$A$241=AP$216)*($F$215:$AJ$215="")*$F$218:$AJ$241)+IF(AP$216="P6",SUMPRODUCT(($F$215:$AJ$215="P6")*$F$218:$AJ$241),0))/(SUMPRODUCT(($A$218:$A$241=AP$216)*($F$215:$AJ$215=""))+IF(AP$216="P6",COUNTIF($F$215:$AJ$215,"P6")*ROWS($A$218:$A$241),0)),"")</f>
        <v/>
      </c>
      <c r="AQ228" s="6" t="str" cm="1">
        <f t="array" ref="AQ228">IFERROR((SUMPRODUCT(($A$218:$A$241=AQ$216)*($F$215:$AJ$215="")*$F$218:$AJ$241)+IF(AQ$216="P6",SUMPRODUCT(($F$215:$AJ$215="P6")*$F$218:$AJ$241),0))/(SUMPRODUCT(($A$218:$A$241=AQ$216)*($F$215:$AJ$215=""))+IF(AQ$216="P6",COUNTIF($F$215:$AJ$215,"P6")*ROWS($A$218:$A$241),0)),"")</f>
        <v/>
      </c>
      <c r="AR228" s="6" cm="1">
        <f t="array" ref="AR228">IFERROR((SUMPRODUCT(($A$218:$A$241=AR$216)*($F$215:$AJ$215="")*$F$218:$AJ$241)+IF(AR$216="P6",SUMPRODUCT(($F$215:$AJ$215="P6")*$F$218:$AJ$241),0))/(SUMPRODUCT(($A$218:$A$241=AR$216)*($F$215:$AJ$215=""))+IF(AR$216="P6",COUNTIF($F$215:$AJ$215,"P6")*ROWS($A$218:$A$241),0)),"")</f>
        <v>0.90038595744680916</v>
      </c>
    </row>
    <row r="229" spans="1:44" ht="14.25" customHeight="1" x14ac:dyDescent="0.35">
      <c r="A229" s="1" t="s">
        <v>13</v>
      </c>
      <c r="B229" s="1" t="s">
        <v>13</v>
      </c>
      <c r="C229" s="1" t="s">
        <v>13</v>
      </c>
      <c r="D229" s="1" t="s">
        <v>13</v>
      </c>
      <c r="E229" s="1" t="s">
        <v>30</v>
      </c>
      <c r="F229" s="1">
        <v>0.82245000000000001</v>
      </c>
      <c r="G229" s="1">
        <v>0.81884999999999997</v>
      </c>
      <c r="H229" s="1">
        <v>0.81581000000000004</v>
      </c>
      <c r="I229" s="1">
        <v>0.83628000000000002</v>
      </c>
      <c r="J229" s="1">
        <v>0.76819000000000004</v>
      </c>
      <c r="K229" s="1">
        <v>0.77598</v>
      </c>
      <c r="L229" s="1">
        <v>0.79852000000000001</v>
      </c>
      <c r="M229" s="1">
        <v>0.82245000000000001</v>
      </c>
      <c r="N229" s="1">
        <v>0.81884999999999997</v>
      </c>
      <c r="O229" s="1">
        <v>0.81581000000000004</v>
      </c>
      <c r="P229" s="1">
        <v>0.83628000000000002</v>
      </c>
      <c r="Q229" s="1">
        <v>0.76819000000000004</v>
      </c>
      <c r="R229" s="1">
        <v>0.77598</v>
      </c>
      <c r="S229" s="1">
        <v>0.79852000000000001</v>
      </c>
      <c r="T229" s="1">
        <v>0.82245000000000001</v>
      </c>
      <c r="U229" s="1">
        <v>0.81884999999999997</v>
      </c>
      <c r="V229" s="1">
        <v>0.81581000000000004</v>
      </c>
      <c r="W229" s="1">
        <v>0.83628000000000002</v>
      </c>
      <c r="X229" s="1">
        <v>0.76819000000000004</v>
      </c>
      <c r="Y229" s="1">
        <v>0.77598</v>
      </c>
      <c r="Z229" s="1">
        <v>0.79852000000000001</v>
      </c>
      <c r="AA229" s="1">
        <v>0.82245000000000001</v>
      </c>
      <c r="AB229" s="1">
        <v>0.81884999999999997</v>
      </c>
      <c r="AC229" s="1">
        <v>0.81581000000000004</v>
      </c>
      <c r="AD229" s="1">
        <v>0.83628000000000002</v>
      </c>
      <c r="AE229" s="1">
        <v>0.76819000000000004</v>
      </c>
      <c r="AF229" s="1">
        <v>0.77598</v>
      </c>
      <c r="AG229" s="1">
        <v>0.79852000000000001</v>
      </c>
      <c r="AH229" s="1">
        <v>0.82245000000000001</v>
      </c>
      <c r="AI229" s="1">
        <v>0.81884999999999997</v>
      </c>
      <c r="AJ229" s="1">
        <v>0.81581000000000004</v>
      </c>
      <c r="AL229" s="4" t="s">
        <v>23</v>
      </c>
      <c r="AM229" s="6" cm="1">
        <f t="array" ref="AM229">IFERROR((SUMPRODUCT(($A$218:$A$241=AM$216)*($F$215:$AJ$215="")*$F$218:$AJ$241)+IF(AM$216="P6",SUMPRODUCT(($F$215:$AJ$215="P6")*$F$218:$AJ$241),0))/(SUMPRODUCT(($A$218:$A$241=AM$216)*($F$215:$AJ$215=""))+IF(AM$216="P6",COUNTIF($F$215:$AJ$215,"P6")*ROWS($A$218:$A$241),0)),"")</f>
        <v>0.87190371980676318</v>
      </c>
      <c r="AN229" s="6" t="str" cm="1">
        <f t="array" ref="AN229">IFERROR((SUMPRODUCT(($A$218:$A$241=AN$216)*($F$215:$AJ$215="")*$F$218:$AJ$241)+IF(AN$216="P6",SUMPRODUCT(($F$215:$AJ$215="P6")*$F$218:$AJ$241),0))/(SUMPRODUCT(($A$218:$A$241=AN$216)*($F$215:$AJ$215=""))+IF(AN$216="P6",COUNTIF($F$215:$AJ$215,"P6")*ROWS($A$218:$A$241),0)),"")</f>
        <v/>
      </c>
      <c r="AO229" s="6" cm="1">
        <f t="array" ref="AO229">IFERROR((SUMPRODUCT(($A$218:$A$241=AO$216)*($F$215:$AJ$215="")*$F$218:$AJ$241)+IF(AO$216="P6",SUMPRODUCT(($F$215:$AJ$215="P6")*$F$218:$AJ$241),0))/(SUMPRODUCT(($A$218:$A$241=AO$216)*($F$215:$AJ$215=""))+IF(AO$216="P6",COUNTIF($F$215:$AJ$215,"P6")*ROWS($A$218:$A$241),0)),"")</f>
        <v>0.89167975155279411</v>
      </c>
      <c r="AP229" s="6" t="str" cm="1">
        <f t="array" ref="AP229">IFERROR((SUMPRODUCT(($A$218:$A$241=AP$216)*($F$215:$AJ$215="")*$F$218:$AJ$241)+IF(AP$216="P6",SUMPRODUCT(($F$215:$AJ$215="P6")*$F$218:$AJ$241),0))/(SUMPRODUCT(($A$218:$A$241=AP$216)*($F$215:$AJ$215=""))+IF(AP$216="P6",COUNTIF($F$215:$AJ$215,"P6")*ROWS($A$218:$A$241),0)),"")</f>
        <v/>
      </c>
      <c r="AQ229" s="6" t="str" cm="1">
        <f t="array" ref="AQ229">IFERROR((SUMPRODUCT(($A$218:$A$241=AQ$216)*($F$215:$AJ$215="")*$F$218:$AJ$241)+IF(AQ$216="P6",SUMPRODUCT(($F$215:$AJ$215="P6")*$F$218:$AJ$241),0))/(SUMPRODUCT(($A$218:$A$241=AQ$216)*($F$215:$AJ$215=""))+IF(AQ$216="P6",COUNTIF($F$215:$AJ$215,"P6")*ROWS($A$218:$A$241),0)),"")</f>
        <v/>
      </c>
      <c r="AR229" s="6" cm="1">
        <f t="array" ref="AR229">IFERROR((SUMPRODUCT(($A$218:$A$241=AR$216)*($F$215:$AJ$215="")*$F$218:$AJ$241)+IF(AR$216="P6",SUMPRODUCT(($F$215:$AJ$215="P6")*$F$218:$AJ$241),0))/(SUMPRODUCT(($A$218:$A$241=AR$216)*($F$215:$AJ$215=""))+IF(AR$216="P6",COUNTIF($F$215:$AJ$215,"P6")*ROWS($A$218:$A$241),0)),"")</f>
        <v>0.90038595744680916</v>
      </c>
    </row>
    <row r="230" spans="1:44" ht="14.25" customHeight="1" x14ac:dyDescent="0.35">
      <c r="A230" s="1" t="s">
        <v>13</v>
      </c>
      <c r="B230" s="1" t="s">
        <v>13</v>
      </c>
      <c r="C230" s="1" t="s">
        <v>13</v>
      </c>
      <c r="D230" s="1" t="s">
        <v>13</v>
      </c>
      <c r="E230" s="1" t="s">
        <v>31</v>
      </c>
      <c r="F230" s="1">
        <v>0.82249000000000005</v>
      </c>
      <c r="G230" s="1">
        <v>0.81493000000000004</v>
      </c>
      <c r="H230" s="1">
        <v>0.81355999999999995</v>
      </c>
      <c r="I230" s="1">
        <v>0.83987000000000001</v>
      </c>
      <c r="J230" s="1">
        <v>0.76353000000000004</v>
      </c>
      <c r="K230" s="1">
        <v>0.76222000000000001</v>
      </c>
      <c r="L230" s="1">
        <v>0.79607000000000006</v>
      </c>
      <c r="M230" s="1">
        <v>0.82249000000000005</v>
      </c>
      <c r="N230" s="1">
        <v>0.81493000000000004</v>
      </c>
      <c r="O230" s="1">
        <v>0.81355999999999995</v>
      </c>
      <c r="P230" s="1">
        <v>0.83987000000000001</v>
      </c>
      <c r="Q230" s="1">
        <v>0.76353000000000004</v>
      </c>
      <c r="R230" s="1">
        <v>0.76222000000000001</v>
      </c>
      <c r="S230" s="1">
        <v>0.79607000000000006</v>
      </c>
      <c r="T230" s="1">
        <v>0.82249000000000005</v>
      </c>
      <c r="U230" s="1">
        <v>0.81493000000000004</v>
      </c>
      <c r="V230" s="1">
        <v>0.81355999999999995</v>
      </c>
      <c r="W230" s="1">
        <v>0.83987000000000001</v>
      </c>
      <c r="X230" s="1">
        <v>0.76353000000000004</v>
      </c>
      <c r="Y230" s="1">
        <v>0.76222000000000001</v>
      </c>
      <c r="Z230" s="1">
        <v>0.79607000000000006</v>
      </c>
      <c r="AA230" s="1">
        <v>0.82249000000000005</v>
      </c>
      <c r="AB230" s="1">
        <v>0.81493000000000004</v>
      </c>
      <c r="AC230" s="1">
        <v>0.81355999999999995</v>
      </c>
      <c r="AD230" s="1">
        <v>0.83987000000000001</v>
      </c>
      <c r="AE230" s="1">
        <v>0.76353000000000004</v>
      </c>
      <c r="AF230" s="1">
        <v>0.76222000000000001</v>
      </c>
      <c r="AG230" s="1">
        <v>0.79607000000000006</v>
      </c>
      <c r="AH230" s="1">
        <v>0.82249000000000005</v>
      </c>
      <c r="AI230" s="1">
        <v>0.81493000000000004</v>
      </c>
      <c r="AJ230" s="1">
        <v>0.81355999999999995</v>
      </c>
      <c r="AL230" s="4" t="s">
        <v>25</v>
      </c>
      <c r="AM230" s="6" cm="1">
        <f t="array" ref="AM230">IFERROR((SUMPRODUCT(($A$218:$A$241=AM$216)*($F$215:$AJ$215="")*$F$218:$AJ$241)+IF(AM$216="P6",SUMPRODUCT(($F$215:$AJ$215="P6")*$F$218:$AJ$241),0))/(SUMPRODUCT(($A$218:$A$241=AM$216)*($F$215:$AJ$215=""))+IF(AM$216="P6",COUNTIF($F$215:$AJ$215,"P6")*ROWS($A$218:$A$241),0)),"")</f>
        <v>0.87190371980676318</v>
      </c>
      <c r="AN230" s="6" t="str" cm="1">
        <f t="array" ref="AN230">IFERROR((SUMPRODUCT(($A$218:$A$241=AN$216)*($F$215:$AJ$215="")*$F$218:$AJ$241)+IF(AN$216="P6",SUMPRODUCT(($F$215:$AJ$215="P6")*$F$218:$AJ$241),0))/(SUMPRODUCT(($A$218:$A$241=AN$216)*($F$215:$AJ$215=""))+IF(AN$216="P6",COUNTIF($F$215:$AJ$215,"P6")*ROWS($A$218:$A$241),0)),"")</f>
        <v/>
      </c>
      <c r="AO230" s="6" cm="1">
        <f t="array" ref="AO230">IFERROR((SUMPRODUCT(($A$218:$A$241=AO$216)*($F$215:$AJ$215="")*$F$218:$AJ$241)+IF(AO$216="P6",SUMPRODUCT(($F$215:$AJ$215="P6")*$F$218:$AJ$241),0))/(SUMPRODUCT(($A$218:$A$241=AO$216)*($F$215:$AJ$215=""))+IF(AO$216="P6",COUNTIF($F$215:$AJ$215,"P6")*ROWS($A$218:$A$241),0)),"")</f>
        <v>0.89167975155279411</v>
      </c>
      <c r="AP230" s="6" t="str" cm="1">
        <f t="array" ref="AP230">IFERROR((SUMPRODUCT(($A$218:$A$241=AP$216)*($F$215:$AJ$215="")*$F$218:$AJ$241)+IF(AP$216="P6",SUMPRODUCT(($F$215:$AJ$215="P6")*$F$218:$AJ$241),0))/(SUMPRODUCT(($A$218:$A$241=AP$216)*($F$215:$AJ$215=""))+IF(AP$216="P6",COUNTIF($F$215:$AJ$215,"P6")*ROWS($A$218:$A$241),0)),"")</f>
        <v/>
      </c>
      <c r="AQ230" s="6" t="str" cm="1">
        <f t="array" ref="AQ230">IFERROR((SUMPRODUCT(($A$218:$A$241=AQ$216)*($F$215:$AJ$215="")*$F$218:$AJ$241)+IF(AQ$216="P6",SUMPRODUCT(($F$215:$AJ$215="P6")*$F$218:$AJ$241),0))/(SUMPRODUCT(($A$218:$A$241=AQ$216)*($F$215:$AJ$215=""))+IF(AQ$216="P6",COUNTIF($F$215:$AJ$215,"P6")*ROWS($A$218:$A$241),0)),"")</f>
        <v/>
      </c>
      <c r="AR230" s="6" cm="1">
        <f t="array" ref="AR230">IFERROR((SUMPRODUCT(($A$218:$A$241=AR$216)*($F$215:$AJ$215="")*$F$218:$AJ$241)+IF(AR$216="P6",SUMPRODUCT(($F$215:$AJ$215="P6")*$F$218:$AJ$241),0))/(SUMPRODUCT(($A$218:$A$241=AR$216)*($F$215:$AJ$215=""))+IF(AR$216="P6",COUNTIF($F$215:$AJ$215,"P6")*ROWS($A$218:$A$241),0)),"")</f>
        <v>0.90038595744680916</v>
      </c>
    </row>
    <row r="231" spans="1:44" ht="14.25" customHeight="1" x14ac:dyDescent="0.35">
      <c r="A231" s="1" t="s">
        <v>13</v>
      </c>
      <c r="B231" s="1" t="s">
        <v>13</v>
      </c>
      <c r="C231" s="1" t="s">
        <v>13</v>
      </c>
      <c r="D231" s="1" t="s">
        <v>13</v>
      </c>
      <c r="E231" s="1" t="s">
        <v>32</v>
      </c>
      <c r="F231" s="1">
        <v>0.81835999999999998</v>
      </c>
      <c r="G231" s="1">
        <v>0.80952000000000002</v>
      </c>
      <c r="H231" s="1">
        <v>0.81150999999999995</v>
      </c>
      <c r="I231" s="1">
        <v>0.83333999999999997</v>
      </c>
      <c r="J231" s="1">
        <v>0.75146999999999997</v>
      </c>
      <c r="K231" s="1">
        <v>0.75517000000000001</v>
      </c>
      <c r="L231" s="1">
        <v>0.79337999999999997</v>
      </c>
      <c r="M231" s="1">
        <v>0.81835999999999998</v>
      </c>
      <c r="N231" s="1">
        <v>0.80952000000000002</v>
      </c>
      <c r="O231" s="1">
        <v>0.81150999999999995</v>
      </c>
      <c r="P231" s="1">
        <v>0.83333999999999997</v>
      </c>
      <c r="Q231" s="1">
        <v>0.75146999999999997</v>
      </c>
      <c r="R231" s="1">
        <v>0.75517000000000001</v>
      </c>
      <c r="S231" s="1">
        <v>0.79337999999999997</v>
      </c>
      <c r="T231" s="1">
        <v>0.81835999999999998</v>
      </c>
      <c r="U231" s="1">
        <v>0.80952000000000002</v>
      </c>
      <c r="V231" s="1">
        <v>0.81150999999999995</v>
      </c>
      <c r="W231" s="1">
        <v>0.83333999999999997</v>
      </c>
      <c r="X231" s="1">
        <v>0.75146999999999997</v>
      </c>
      <c r="Y231" s="1">
        <v>0.75517000000000001</v>
      </c>
      <c r="Z231" s="1">
        <v>0.79337999999999997</v>
      </c>
      <c r="AA231" s="1">
        <v>0.81835999999999998</v>
      </c>
      <c r="AB231" s="1">
        <v>0.80952000000000002</v>
      </c>
      <c r="AC231" s="1">
        <v>0.81150999999999995</v>
      </c>
      <c r="AD231" s="1">
        <v>0.83333999999999997</v>
      </c>
      <c r="AE231" s="1">
        <v>0.75146999999999997</v>
      </c>
      <c r="AF231" s="1">
        <v>0.75517000000000001</v>
      </c>
      <c r="AG231" s="1">
        <v>0.79337999999999997</v>
      </c>
      <c r="AH231" s="1">
        <v>0.81835999999999998</v>
      </c>
      <c r="AI231" s="1">
        <v>0.80952000000000002</v>
      </c>
      <c r="AJ231" s="1">
        <v>0.81150999999999995</v>
      </c>
      <c r="AL231" s="4" t="s">
        <v>27</v>
      </c>
      <c r="AM231" s="6" cm="1">
        <f t="array" ref="AM231">IFERROR((SUMPRODUCT(($A$218:$A$241=AM$216)*($F$215:$AJ$215="")*$F$218:$AJ$241)+IF(AM$216="P6",SUMPRODUCT(($F$215:$AJ$215="P6")*$F$218:$AJ$241),0))/(SUMPRODUCT(($A$218:$A$241=AM$216)*($F$215:$AJ$215=""))+IF(AM$216="P6",COUNTIF($F$215:$AJ$215,"P6")*ROWS($A$218:$A$241),0)),"")</f>
        <v>0.87190371980676318</v>
      </c>
      <c r="AN231" s="6" t="str" cm="1">
        <f t="array" ref="AN231">IFERROR((SUMPRODUCT(($A$218:$A$241=AN$216)*($F$215:$AJ$215="")*$F$218:$AJ$241)+IF(AN$216="P6",SUMPRODUCT(($F$215:$AJ$215="P6")*$F$218:$AJ$241),0))/(SUMPRODUCT(($A$218:$A$241=AN$216)*($F$215:$AJ$215=""))+IF(AN$216="P6",COUNTIF($F$215:$AJ$215,"P6")*ROWS($A$218:$A$241),0)),"")</f>
        <v/>
      </c>
      <c r="AO231" s="6" cm="1">
        <f t="array" ref="AO231">IFERROR((SUMPRODUCT(($A$218:$A$241=AO$216)*($F$215:$AJ$215="")*$F$218:$AJ$241)+IF(AO$216="P6",SUMPRODUCT(($F$215:$AJ$215="P6")*$F$218:$AJ$241),0))/(SUMPRODUCT(($A$218:$A$241=AO$216)*($F$215:$AJ$215=""))+IF(AO$216="P6",COUNTIF($F$215:$AJ$215,"P6")*ROWS($A$218:$A$241),0)),"")</f>
        <v>0.89167975155279411</v>
      </c>
      <c r="AP231" s="6" t="str" cm="1">
        <f t="array" ref="AP231">IFERROR((SUMPRODUCT(($A$218:$A$241=AP$216)*($F$215:$AJ$215="")*$F$218:$AJ$241)+IF(AP$216="P6",SUMPRODUCT(($F$215:$AJ$215="P6")*$F$218:$AJ$241),0))/(SUMPRODUCT(($A$218:$A$241=AP$216)*($F$215:$AJ$215=""))+IF(AP$216="P6",COUNTIF($F$215:$AJ$215,"P6")*ROWS($A$218:$A$241),0)),"")</f>
        <v/>
      </c>
      <c r="AQ231" s="6" t="str" cm="1">
        <f t="array" ref="AQ231">IFERROR((SUMPRODUCT(($A$218:$A$241=AQ$216)*($F$215:$AJ$215="")*$F$218:$AJ$241)+IF(AQ$216="P6",SUMPRODUCT(($F$215:$AJ$215="P6")*$F$218:$AJ$241),0))/(SUMPRODUCT(($A$218:$A$241=AQ$216)*($F$215:$AJ$215=""))+IF(AQ$216="P6",COUNTIF($F$215:$AJ$215,"P6")*ROWS($A$218:$A$241),0)),"")</f>
        <v/>
      </c>
      <c r="AR231" s="6" cm="1">
        <f t="array" ref="AR231">IFERROR((SUMPRODUCT(($A$218:$A$241=AR$216)*($F$215:$AJ$215="")*$F$218:$AJ$241)+IF(AR$216="P6",SUMPRODUCT(($F$215:$AJ$215="P6")*$F$218:$AJ$241),0))/(SUMPRODUCT(($A$218:$A$241=AR$216)*($F$215:$AJ$215=""))+IF(AR$216="P6",COUNTIF($F$215:$AJ$215,"P6")*ROWS($A$218:$A$241),0)),"")</f>
        <v>0.90038595744680916</v>
      </c>
    </row>
    <row r="232" spans="1:44" ht="14.25" customHeight="1" x14ac:dyDescent="0.35">
      <c r="A232" s="1" t="s">
        <v>13</v>
      </c>
      <c r="B232" s="1" t="s">
        <v>13</v>
      </c>
      <c r="C232" s="1" t="s">
        <v>14</v>
      </c>
      <c r="D232" s="1" t="s">
        <v>14</v>
      </c>
      <c r="E232" s="1" t="s">
        <v>33</v>
      </c>
      <c r="F232" s="1">
        <v>0.82694000000000001</v>
      </c>
      <c r="G232" s="1">
        <v>0.81245999999999996</v>
      </c>
      <c r="H232" s="1">
        <v>0.81618999999999997</v>
      </c>
      <c r="I232" s="1">
        <v>0.83016000000000001</v>
      </c>
      <c r="J232" s="1">
        <v>0.75422</v>
      </c>
      <c r="K232" s="1">
        <v>0.73734999999999995</v>
      </c>
      <c r="L232" s="1">
        <v>0.79630999999999996</v>
      </c>
      <c r="M232" s="1">
        <v>0.82694000000000001</v>
      </c>
      <c r="N232" s="1">
        <v>0.81245999999999996</v>
      </c>
      <c r="O232" s="1">
        <v>0.81618999999999997</v>
      </c>
      <c r="P232" s="1">
        <v>0.83016000000000001</v>
      </c>
      <c r="Q232" s="1">
        <v>0.75422</v>
      </c>
      <c r="R232" s="1">
        <v>0.73734999999999995</v>
      </c>
      <c r="S232" s="1">
        <v>0.79630999999999996</v>
      </c>
      <c r="T232" s="1">
        <v>0.82694000000000001</v>
      </c>
      <c r="U232" s="1">
        <v>0.81245999999999996</v>
      </c>
      <c r="V232" s="1">
        <v>0.81618999999999997</v>
      </c>
      <c r="W232" s="1">
        <v>0.83016000000000001</v>
      </c>
      <c r="X232" s="1">
        <v>0.75422</v>
      </c>
      <c r="Y232" s="1">
        <v>0.73734999999999995</v>
      </c>
      <c r="Z232" s="1">
        <v>0.79630999999999996</v>
      </c>
      <c r="AA232" s="1">
        <v>0.82694000000000001</v>
      </c>
      <c r="AB232" s="1">
        <v>0.81245999999999996</v>
      </c>
      <c r="AC232" s="1">
        <v>0.81618999999999997</v>
      </c>
      <c r="AD232" s="1">
        <v>0.83016000000000001</v>
      </c>
      <c r="AE232" s="1">
        <v>0.75422</v>
      </c>
      <c r="AF232" s="1">
        <v>0.73734999999999995</v>
      </c>
      <c r="AG232" s="1">
        <v>0.79630999999999996</v>
      </c>
      <c r="AH232" s="1">
        <v>0.82694000000000001</v>
      </c>
      <c r="AI232" s="1">
        <v>0.81245999999999996</v>
      </c>
      <c r="AJ232" s="1">
        <v>0.81618999999999997</v>
      </c>
      <c r="AL232" s="4" t="s">
        <v>29</v>
      </c>
      <c r="AM232" s="6" cm="1">
        <f t="array" ref="AM232">IFERROR((SUMPRODUCT(($A$218:$A$241=AM$216)*($F$215:$AJ$215="")*$F$218:$AJ$241)+IF(AM$216="P6",SUMPRODUCT(($F$215:$AJ$215="P6")*$F$218:$AJ$241),0))/(SUMPRODUCT(($A$218:$A$241=AM$216)*($F$215:$AJ$215=""))+IF(AM$216="P6",COUNTIF($F$215:$AJ$215,"P6")*ROWS($A$218:$A$241),0)),"")</f>
        <v>0.87190371980676318</v>
      </c>
      <c r="AN232" s="6" t="str" cm="1">
        <f t="array" ref="AN232">IFERROR((SUMPRODUCT(($A$218:$A$241=AN$216)*($F$215:$AJ$215="")*$F$218:$AJ$241)+IF(AN$216="P6",SUMPRODUCT(($F$215:$AJ$215="P6")*$F$218:$AJ$241),0))/(SUMPRODUCT(($A$218:$A$241=AN$216)*($F$215:$AJ$215=""))+IF(AN$216="P6",COUNTIF($F$215:$AJ$215,"P6")*ROWS($A$218:$A$241),0)),"")</f>
        <v/>
      </c>
      <c r="AO232" s="6" cm="1">
        <f t="array" ref="AO232">IFERROR((SUMPRODUCT(($A$218:$A$241=AO$216)*($F$215:$AJ$215="")*$F$218:$AJ$241)+IF(AO$216="P6",SUMPRODUCT(($F$215:$AJ$215="P6")*$F$218:$AJ$241),0))/(SUMPRODUCT(($A$218:$A$241=AO$216)*($F$215:$AJ$215=""))+IF(AO$216="P6",COUNTIF($F$215:$AJ$215,"P6")*ROWS($A$218:$A$241),0)),"")</f>
        <v>0.89167975155279411</v>
      </c>
      <c r="AP232" s="6" t="str" cm="1">
        <f t="array" ref="AP232">IFERROR((SUMPRODUCT(($A$218:$A$241=AP$216)*($F$215:$AJ$215="")*$F$218:$AJ$241)+IF(AP$216="P6",SUMPRODUCT(($F$215:$AJ$215="P6")*$F$218:$AJ$241),0))/(SUMPRODUCT(($A$218:$A$241=AP$216)*($F$215:$AJ$215=""))+IF(AP$216="P6",COUNTIF($F$215:$AJ$215,"P6")*ROWS($A$218:$A$241),0)),"")</f>
        <v/>
      </c>
      <c r="AQ232" s="6" t="str" cm="1">
        <f t="array" ref="AQ232">IFERROR((SUMPRODUCT(($A$218:$A$241=AQ$216)*($F$215:$AJ$215="")*$F$218:$AJ$241)+IF(AQ$216="P6",SUMPRODUCT(($F$215:$AJ$215="P6")*$F$218:$AJ$241),0))/(SUMPRODUCT(($A$218:$A$241=AQ$216)*($F$215:$AJ$215=""))+IF(AQ$216="P6",COUNTIF($F$215:$AJ$215,"P6")*ROWS($A$218:$A$241),0)),"")</f>
        <v/>
      </c>
      <c r="AR232" s="6" cm="1">
        <f t="array" ref="AR232">IFERROR((SUMPRODUCT(($A$218:$A$241=AR$216)*($F$215:$AJ$215="")*$F$218:$AJ$241)+IF(AR$216="P6",SUMPRODUCT(($F$215:$AJ$215="P6")*$F$218:$AJ$241),0))/(SUMPRODUCT(($A$218:$A$241=AR$216)*($F$215:$AJ$215=""))+IF(AR$216="P6",COUNTIF($F$215:$AJ$215,"P6")*ROWS($A$218:$A$241),0)),"")</f>
        <v>0.90038595744680916</v>
      </c>
    </row>
    <row r="233" spans="1:44" ht="14.25" customHeight="1" x14ac:dyDescent="0.35">
      <c r="A233" s="1" t="s">
        <v>15</v>
      </c>
      <c r="B233" s="1" t="s">
        <v>14</v>
      </c>
      <c r="C233" s="1" t="s">
        <v>14</v>
      </c>
      <c r="D233" s="1" t="s">
        <v>14</v>
      </c>
      <c r="E233" s="1" t="s">
        <v>34</v>
      </c>
      <c r="F233" s="1">
        <v>0.84092</v>
      </c>
      <c r="G233" s="1">
        <v>0.83357999999999999</v>
      </c>
      <c r="H233" s="1">
        <v>0.83069000000000004</v>
      </c>
      <c r="I233" s="1">
        <v>0.83823999999999999</v>
      </c>
      <c r="J233" s="1">
        <v>0.78373000000000004</v>
      </c>
      <c r="K233" s="1">
        <v>0.74177999999999999</v>
      </c>
      <c r="L233" s="1">
        <v>0.83240999999999998</v>
      </c>
      <c r="M233" s="1">
        <v>0.84092</v>
      </c>
      <c r="N233" s="1">
        <v>0.83357999999999999</v>
      </c>
      <c r="O233" s="1">
        <v>0.83069000000000004</v>
      </c>
      <c r="P233" s="1">
        <v>0.83823999999999999</v>
      </c>
      <c r="Q233" s="1">
        <v>0.78373000000000004</v>
      </c>
      <c r="R233" s="1">
        <v>0.74177999999999999</v>
      </c>
      <c r="S233" s="1">
        <v>0.83240999999999998</v>
      </c>
      <c r="T233" s="1">
        <v>0.84092</v>
      </c>
      <c r="U233" s="1">
        <v>0.83357999999999999</v>
      </c>
      <c r="V233" s="1">
        <v>0.83069000000000004</v>
      </c>
      <c r="W233" s="1">
        <v>0.83823999999999999</v>
      </c>
      <c r="X233" s="1">
        <v>0.78373000000000004</v>
      </c>
      <c r="Y233" s="1">
        <v>0.74177999999999999</v>
      </c>
      <c r="Z233" s="1">
        <v>0.83240999999999998</v>
      </c>
      <c r="AA233" s="1">
        <v>0.84092</v>
      </c>
      <c r="AB233" s="1">
        <v>0.83357999999999999</v>
      </c>
      <c r="AC233" s="1">
        <v>0.83069000000000004</v>
      </c>
      <c r="AD233" s="1">
        <v>0.83823999999999999</v>
      </c>
      <c r="AE233" s="1">
        <v>0.78373000000000004</v>
      </c>
      <c r="AF233" s="1">
        <v>0.74177999999999999</v>
      </c>
      <c r="AG233" s="1">
        <v>0.83240999999999998</v>
      </c>
      <c r="AH233" s="1">
        <v>0.84092</v>
      </c>
      <c r="AI233" s="1">
        <v>0.83357999999999999</v>
      </c>
      <c r="AJ233" s="1">
        <v>0.83069000000000004</v>
      </c>
      <c r="AL233" s="10"/>
      <c r="AM233" s="10"/>
      <c r="AN233" s="10"/>
      <c r="AO233" s="10"/>
      <c r="AP233" s="10"/>
      <c r="AQ233" s="10"/>
      <c r="AR233" s="10"/>
    </row>
    <row r="234" spans="1:44" ht="14.25" customHeight="1" x14ac:dyDescent="0.35">
      <c r="A234" s="1" t="s">
        <v>15</v>
      </c>
      <c r="B234" s="1" t="s">
        <v>14</v>
      </c>
      <c r="C234" s="1" t="s">
        <v>14</v>
      </c>
      <c r="D234" s="1" t="s">
        <v>14</v>
      </c>
      <c r="E234" s="1" t="s">
        <v>35</v>
      </c>
      <c r="F234" s="1">
        <v>0.84916999999999998</v>
      </c>
      <c r="G234" s="1">
        <v>0.84297999999999995</v>
      </c>
      <c r="H234" s="1">
        <v>0.84426000000000001</v>
      </c>
      <c r="I234" s="1">
        <v>0.84472999999999998</v>
      </c>
      <c r="J234" s="1">
        <v>0.80635999999999997</v>
      </c>
      <c r="K234" s="1">
        <v>0.76405999999999996</v>
      </c>
      <c r="L234" s="1">
        <v>0.84470000000000001</v>
      </c>
      <c r="M234" s="1">
        <v>0.84916999999999998</v>
      </c>
      <c r="N234" s="1">
        <v>0.84297999999999995</v>
      </c>
      <c r="O234" s="1">
        <v>0.84426000000000001</v>
      </c>
      <c r="P234" s="1">
        <v>0.84472999999999998</v>
      </c>
      <c r="Q234" s="1">
        <v>0.80635999999999997</v>
      </c>
      <c r="R234" s="1">
        <v>0.76405999999999996</v>
      </c>
      <c r="S234" s="1">
        <v>0.84470000000000001</v>
      </c>
      <c r="T234" s="1">
        <v>0.84916999999999998</v>
      </c>
      <c r="U234" s="1">
        <v>0.84297999999999995</v>
      </c>
      <c r="V234" s="1">
        <v>0.84426000000000001</v>
      </c>
      <c r="W234" s="1">
        <v>0.84472999999999998</v>
      </c>
      <c r="X234" s="1">
        <v>0.80635999999999997</v>
      </c>
      <c r="Y234" s="1">
        <v>0.76405999999999996</v>
      </c>
      <c r="Z234" s="1">
        <v>0.84470000000000001</v>
      </c>
      <c r="AA234" s="1">
        <v>0.84916999999999998</v>
      </c>
      <c r="AB234" s="1">
        <v>0.84297999999999995</v>
      </c>
      <c r="AC234" s="1">
        <v>0.84426000000000001</v>
      </c>
      <c r="AD234" s="1">
        <v>0.84472999999999998</v>
      </c>
      <c r="AE234" s="1">
        <v>0.80635999999999997</v>
      </c>
      <c r="AF234" s="1">
        <v>0.76405999999999996</v>
      </c>
      <c r="AG234" s="1">
        <v>0.84470000000000001</v>
      </c>
      <c r="AH234" s="1">
        <v>0.84916999999999998</v>
      </c>
      <c r="AI234" s="1">
        <v>0.84297999999999995</v>
      </c>
      <c r="AJ234" s="1">
        <v>0.84426000000000001</v>
      </c>
      <c r="AL234" s="10"/>
      <c r="AM234" s="10"/>
      <c r="AN234" s="10"/>
      <c r="AO234" s="10"/>
      <c r="AP234" s="10"/>
      <c r="AQ234" s="10"/>
      <c r="AR234" s="10"/>
    </row>
    <row r="235" spans="1:44" ht="14.25" customHeight="1" x14ac:dyDescent="0.35">
      <c r="A235" s="1" t="s">
        <v>15</v>
      </c>
      <c r="B235" s="1" t="s">
        <v>14</v>
      </c>
      <c r="C235" s="1" t="s">
        <v>14</v>
      </c>
      <c r="D235" s="1" t="s">
        <v>14</v>
      </c>
      <c r="E235" s="1" t="s">
        <v>36</v>
      </c>
      <c r="F235" s="1">
        <v>0.86992000000000003</v>
      </c>
      <c r="G235" s="1">
        <v>0.85019999999999996</v>
      </c>
      <c r="H235" s="1">
        <v>0.85724</v>
      </c>
      <c r="I235" s="1">
        <v>0.85470000000000002</v>
      </c>
      <c r="J235" s="1">
        <v>0.82930999999999999</v>
      </c>
      <c r="K235" s="1">
        <v>0.83033999999999997</v>
      </c>
      <c r="L235" s="1">
        <v>0.85063999999999995</v>
      </c>
      <c r="M235" s="1">
        <v>0.86992000000000003</v>
      </c>
      <c r="N235" s="1">
        <v>0.85019999999999996</v>
      </c>
      <c r="O235" s="1">
        <v>0.85724</v>
      </c>
      <c r="P235" s="1">
        <v>0.85470000000000002</v>
      </c>
      <c r="Q235" s="1">
        <v>0.82930999999999999</v>
      </c>
      <c r="R235" s="1">
        <v>0.83033999999999997</v>
      </c>
      <c r="S235" s="1">
        <v>0.85063999999999995</v>
      </c>
      <c r="T235" s="1">
        <v>0.86992000000000003</v>
      </c>
      <c r="U235" s="1">
        <v>0.85019999999999996</v>
      </c>
      <c r="V235" s="1">
        <v>0.85724</v>
      </c>
      <c r="W235" s="1">
        <v>0.85470000000000002</v>
      </c>
      <c r="X235" s="1">
        <v>0.82930999999999999</v>
      </c>
      <c r="Y235" s="1">
        <v>0.83033999999999997</v>
      </c>
      <c r="Z235" s="1">
        <v>0.85063999999999995</v>
      </c>
      <c r="AA235" s="1">
        <v>0.86992000000000003</v>
      </c>
      <c r="AB235" s="1">
        <v>0.85019999999999996</v>
      </c>
      <c r="AC235" s="1">
        <v>0.85724</v>
      </c>
      <c r="AD235" s="1">
        <v>0.85470000000000002</v>
      </c>
      <c r="AE235" s="1">
        <v>0.82930999999999999</v>
      </c>
      <c r="AF235" s="1">
        <v>0.83033999999999997</v>
      </c>
      <c r="AG235" s="1">
        <v>0.85063999999999995</v>
      </c>
      <c r="AH235" s="1">
        <v>0.86992000000000003</v>
      </c>
      <c r="AI235" s="1">
        <v>0.85019999999999996</v>
      </c>
      <c r="AJ235" s="1">
        <v>0.85724</v>
      </c>
      <c r="AL235" s="14" t="s">
        <v>98</v>
      </c>
      <c r="AM235" s="14"/>
      <c r="AN235" s="14"/>
      <c r="AO235" s="14"/>
      <c r="AP235" s="14"/>
      <c r="AQ235" s="14"/>
      <c r="AR235" s="14"/>
    </row>
    <row r="236" spans="1:44" ht="14.25" customHeight="1" x14ac:dyDescent="0.35">
      <c r="A236" s="1" t="s">
        <v>13</v>
      </c>
      <c r="B236" s="1" t="s">
        <v>13</v>
      </c>
      <c r="C236" s="1" t="s">
        <v>13</v>
      </c>
      <c r="D236" s="1" t="s">
        <v>13</v>
      </c>
      <c r="E236" s="1" t="s">
        <v>37</v>
      </c>
      <c r="F236" s="1">
        <v>0.90005000000000002</v>
      </c>
      <c r="G236" s="1">
        <v>0.89554</v>
      </c>
      <c r="H236" s="1">
        <v>0.88866999999999996</v>
      </c>
      <c r="I236" s="1">
        <v>0.89590999999999998</v>
      </c>
      <c r="J236" s="1">
        <v>0.85560999999999998</v>
      </c>
      <c r="K236" s="1">
        <v>0.90314000000000005</v>
      </c>
      <c r="L236" s="1">
        <v>0.88583000000000001</v>
      </c>
      <c r="M236" s="1">
        <v>0.90005000000000002</v>
      </c>
      <c r="N236" s="1">
        <v>0.89554</v>
      </c>
      <c r="O236" s="1">
        <v>0.88866999999999996</v>
      </c>
      <c r="P236" s="1">
        <v>0.89590999999999998</v>
      </c>
      <c r="Q236" s="1">
        <v>0.85560999999999998</v>
      </c>
      <c r="R236" s="1">
        <v>0.90314000000000005</v>
      </c>
      <c r="S236" s="1">
        <v>0.88583000000000001</v>
      </c>
      <c r="T236" s="1">
        <v>0.90005000000000002</v>
      </c>
      <c r="U236" s="1">
        <v>0.89554</v>
      </c>
      <c r="V236" s="1">
        <v>0.88866999999999996</v>
      </c>
      <c r="W236" s="1">
        <v>0.89590999999999998</v>
      </c>
      <c r="X236" s="1">
        <v>0.85560999999999998</v>
      </c>
      <c r="Y236" s="1">
        <v>0.90314000000000005</v>
      </c>
      <c r="Z236" s="1">
        <v>0.88583000000000001</v>
      </c>
      <c r="AA236" s="1">
        <v>0.90005000000000002</v>
      </c>
      <c r="AB236" s="1">
        <v>0.89554</v>
      </c>
      <c r="AC236" s="1">
        <v>0.88866999999999996</v>
      </c>
      <c r="AD236" s="1">
        <v>0.89590999999999998</v>
      </c>
      <c r="AE236" s="1">
        <v>0.85560999999999998</v>
      </c>
      <c r="AF236" s="1">
        <v>0.90314000000000005</v>
      </c>
      <c r="AG236" s="1">
        <v>0.88583000000000001</v>
      </c>
      <c r="AH236" s="1">
        <v>0.90005000000000002</v>
      </c>
      <c r="AI236" s="1">
        <v>0.89554</v>
      </c>
      <c r="AJ236" s="1">
        <v>0.88866999999999996</v>
      </c>
      <c r="AL236" s="4"/>
      <c r="AM236" s="4" t="s">
        <v>13</v>
      </c>
      <c r="AN236" s="4" t="s">
        <v>14</v>
      </c>
      <c r="AO236" s="4" t="s">
        <v>15</v>
      </c>
      <c r="AP236" s="4" t="s">
        <v>16</v>
      </c>
      <c r="AQ236" s="4" t="s">
        <v>17</v>
      </c>
      <c r="AR236" s="4" t="s">
        <v>7</v>
      </c>
    </row>
    <row r="237" spans="1:44" ht="14.25" customHeight="1" x14ac:dyDescent="0.35">
      <c r="A237" s="1" t="s">
        <v>13</v>
      </c>
      <c r="B237" s="1" t="s">
        <v>13</v>
      </c>
      <c r="C237" s="1" t="s">
        <v>13</v>
      </c>
      <c r="D237" s="1" t="s">
        <v>13</v>
      </c>
      <c r="E237" s="1" t="s">
        <v>38</v>
      </c>
      <c r="F237" s="1">
        <v>0.92798000000000003</v>
      </c>
      <c r="G237" s="1">
        <v>0.92606999999999995</v>
      </c>
      <c r="H237" s="1">
        <v>0.93045</v>
      </c>
      <c r="I237" s="1">
        <v>0.92584</v>
      </c>
      <c r="J237" s="1">
        <v>0.89388000000000001</v>
      </c>
      <c r="K237" s="1">
        <v>0.91074999999999995</v>
      </c>
      <c r="L237" s="1">
        <v>0.91556000000000004</v>
      </c>
      <c r="M237" s="1">
        <v>0.92798000000000003</v>
      </c>
      <c r="N237" s="1">
        <v>0.92606999999999995</v>
      </c>
      <c r="O237" s="1">
        <v>0.93045</v>
      </c>
      <c r="P237" s="1">
        <v>0.92584</v>
      </c>
      <c r="Q237" s="1">
        <v>0.89388000000000001</v>
      </c>
      <c r="R237" s="1">
        <v>0.91074999999999995</v>
      </c>
      <c r="S237" s="1">
        <v>0.91556000000000004</v>
      </c>
      <c r="T237" s="1">
        <v>0.92798000000000003</v>
      </c>
      <c r="U237" s="1">
        <v>0.92606999999999995</v>
      </c>
      <c r="V237" s="1">
        <v>0.93045</v>
      </c>
      <c r="W237" s="1">
        <v>0.92584</v>
      </c>
      <c r="X237" s="1">
        <v>0.89388000000000001</v>
      </c>
      <c r="Y237" s="1">
        <v>0.91074999999999995</v>
      </c>
      <c r="Z237" s="1">
        <v>0.91556000000000004</v>
      </c>
      <c r="AA237" s="1">
        <v>0.92798000000000003</v>
      </c>
      <c r="AB237" s="1">
        <v>0.92606999999999995</v>
      </c>
      <c r="AC237" s="1">
        <v>0.93045</v>
      </c>
      <c r="AD237" s="1">
        <v>0.92584</v>
      </c>
      <c r="AE237" s="1">
        <v>0.89388000000000001</v>
      </c>
      <c r="AF237" s="1">
        <v>0.91074999999999995</v>
      </c>
      <c r="AG237" s="1">
        <v>0.91556000000000004</v>
      </c>
      <c r="AH237" s="1">
        <v>0.92798000000000003</v>
      </c>
      <c r="AI237" s="1">
        <v>0.92606999999999995</v>
      </c>
      <c r="AJ237" s="1">
        <v>0.93045</v>
      </c>
      <c r="AL237" s="4" t="s">
        <v>19</v>
      </c>
      <c r="AM237" s="6" cm="1">
        <f t="array" ref="AM237">IFERROR((SUMPRODUCT(($C$218:$C$241=AM$216)*($F$214:$AJ$214="")*$F$218:$AJ$241)+IF(AM$216="P3",SUMPRODUCT(($F$214:$AJ$214="P3")*$F$218:$AJ$241),0))/(SUMPRODUCT(($C$218:$C$241=AM$216)*($F$214:$AJ$214=""))+IF(AM$216="P3",COUNTIF($F$214:$AJ$214,"P3")*ROWS($C$218:$C$241),0)),"")</f>
        <v>0.87880565217391249</v>
      </c>
      <c r="AN237" s="6" cm="1">
        <f t="array" ref="AN237">IFERROR((SUMPRODUCT(($C$218:$C$241=AN$216)*($F$214:$AJ$214="")*$F$218:$AJ$241)+IF(AN$216="P3",SUMPRODUCT(($F$214:$AJ$214="P3")*$F$218:$AJ$241),0))/(SUMPRODUCT(($C$218:$C$241=AN$216)*($F$214:$AJ$214=""))+IF(AN$216="P3",COUNTIF($F$214:$AJ$214,"P3")*ROWS($C$218:$C$241),0)),"")</f>
        <v>0.88230581521739015</v>
      </c>
      <c r="AO237" s="6" cm="1">
        <f t="array" ref="AO237">IFERROR((SUMPRODUCT(($C$218:$C$241=AO$216)*($F$214:$AJ$214="")*$F$218:$AJ$241)+IF(AO$216="P3",SUMPRODUCT(($F$214:$AJ$214="P3")*$F$218:$AJ$241),0))/(SUMPRODUCT(($C$218:$C$241=AO$216)*($F$214:$AJ$214=""))+IF(AO$216="P3",COUNTIF($F$214:$AJ$214,"P3")*ROWS($C$218:$C$241),0)),"")</f>
        <v>0.90038595744680916</v>
      </c>
      <c r="AP237" s="6" t="str" cm="1">
        <f t="array" ref="AP237">IFERROR((SUMPRODUCT(($C$218:$C$241=AP$216)*($F$214:$AJ$214="")*$F$218:$AJ$241)+IF(AP$216="P3",SUMPRODUCT(($F$214:$AJ$214="P3")*$F$218:$AJ$241),0))/(SUMPRODUCT(($C$218:$C$241=AP$216)*($F$214:$AJ$214=""))+IF(AP$216="P3",COUNTIF($F$214:$AJ$214,"P3")*ROWS($C$218:$C$241),0)),"")</f>
        <v/>
      </c>
      <c r="AQ237" s="6" t="str" cm="1">
        <f t="array" ref="AQ237">IFERROR((SUMPRODUCT(($C$218:$C$241=AQ$216)*($F$214:$AJ$214="")*$F$218:$AJ$241)+IF(AQ$216="P3",SUMPRODUCT(($F$214:$AJ$214="P3")*$F$218:$AJ$241),0))/(SUMPRODUCT(($C$218:$C$241=AQ$216)*($F$214:$AJ$214=""))+IF(AQ$216="P3",COUNTIF($F$214:$AJ$214,"P3")*ROWS($C$218:$C$241),0)),"")</f>
        <v/>
      </c>
      <c r="AR237" s="6" t="str" cm="1">
        <f t="array" ref="AR237">IFERROR((SUMPRODUCT(($C$218:$C$241=AR$216)*($F$214:$AJ$214="")*$F$218:$AJ$241)+IF(AR$216="P3",SUMPRODUCT(($F$214:$AJ$214="P3")*$F$218:$AJ$241),0))/(SUMPRODUCT(($C$218:$C$241=AR$216)*($F$214:$AJ$214=""))+IF(AR$216="P3",COUNTIF($F$214:$AJ$214,"P3")*ROWS($C$218:$C$241),0)),"")</f>
        <v/>
      </c>
    </row>
    <row r="238" spans="1:44" ht="14.25" customHeight="1" x14ac:dyDescent="0.35">
      <c r="A238" s="1" t="s">
        <v>13</v>
      </c>
      <c r="B238" s="1" t="s">
        <v>13</v>
      </c>
      <c r="C238" s="1" t="s">
        <v>13</v>
      </c>
      <c r="D238" s="1" t="s">
        <v>13</v>
      </c>
      <c r="E238" s="1" t="s">
        <v>39</v>
      </c>
      <c r="F238" s="1">
        <v>0.94713000000000003</v>
      </c>
      <c r="G238" s="1">
        <v>0.95840000000000003</v>
      </c>
      <c r="H238" s="1">
        <v>0.96035000000000004</v>
      </c>
      <c r="I238" s="1">
        <v>0.96963999999999995</v>
      </c>
      <c r="J238" s="1">
        <v>0.91513999999999995</v>
      </c>
      <c r="K238" s="1">
        <v>0.91385000000000005</v>
      </c>
      <c r="L238" s="1">
        <v>0.94106000000000001</v>
      </c>
      <c r="M238" s="1">
        <v>0.94713000000000003</v>
      </c>
      <c r="N238" s="1">
        <v>0.95840000000000003</v>
      </c>
      <c r="O238" s="1">
        <v>0.96035000000000004</v>
      </c>
      <c r="P238" s="1">
        <v>0.96963999999999995</v>
      </c>
      <c r="Q238" s="1">
        <v>0.91513999999999995</v>
      </c>
      <c r="R238" s="1">
        <v>0.91385000000000005</v>
      </c>
      <c r="S238" s="1">
        <v>0.94106000000000001</v>
      </c>
      <c r="T238" s="1">
        <v>0.94713000000000003</v>
      </c>
      <c r="U238" s="1">
        <v>0.95840000000000003</v>
      </c>
      <c r="V238" s="1">
        <v>0.96035000000000004</v>
      </c>
      <c r="W238" s="1">
        <v>0.96963999999999995</v>
      </c>
      <c r="X238" s="1">
        <v>0.91513999999999995</v>
      </c>
      <c r="Y238" s="1">
        <v>0.91385000000000005</v>
      </c>
      <c r="Z238" s="1">
        <v>0.94106000000000001</v>
      </c>
      <c r="AA238" s="1">
        <v>0.94713000000000003</v>
      </c>
      <c r="AB238" s="1">
        <v>0.95840000000000003</v>
      </c>
      <c r="AC238" s="1">
        <v>0.96035000000000004</v>
      </c>
      <c r="AD238" s="1">
        <v>0.96963999999999995</v>
      </c>
      <c r="AE238" s="1">
        <v>0.91513999999999995</v>
      </c>
      <c r="AF238" s="1">
        <v>0.91385000000000005</v>
      </c>
      <c r="AG238" s="1">
        <v>0.94106000000000001</v>
      </c>
      <c r="AH238" s="1">
        <v>0.94713000000000003</v>
      </c>
      <c r="AI238" s="1">
        <v>0.95840000000000003</v>
      </c>
      <c r="AJ238" s="1">
        <v>0.96035000000000004</v>
      </c>
      <c r="AL238" s="4" t="s">
        <v>21</v>
      </c>
      <c r="AM238" s="6" cm="1">
        <f t="array" ref="AM238">IFERROR((SUMPRODUCT(($B$218:$B$241=AM$216)*($F$215:$AJ$215="")*$F$218:$AJ$241)+IF(AM$216="P6",SUMPRODUCT(($F$215:$AJ$215="P6")*$F$218:$AJ$241),0))/(SUMPRODUCT(($B$218:$B$241=AM$216)*($F$215:$AJ$215=""))+IF(AM$216="P6",COUNTIF($F$215:$AJ$215,"P6")*ROWS($B$218:$B$241),0)),"")</f>
        <v>0.87190371980676318</v>
      </c>
      <c r="AN238" s="6" cm="1">
        <f t="array" ref="AN238">IFERROR((SUMPRODUCT(($B$218:$B$241=AN$216)*($F$215:$AJ$215="")*$F$218:$AJ$241)+IF(AN$216="P6",SUMPRODUCT(($F$215:$AJ$215="P6")*$F$218:$AJ$241),0))/(SUMPRODUCT(($B$218:$B$241=AN$216)*($F$215:$AJ$215=""))+IF(AN$216="P6",COUNTIF($F$215:$AJ$215,"P6")*ROWS($B$218:$B$241),0)),"")</f>
        <v>0.89167975155279411</v>
      </c>
      <c r="AO238" s="6" t="str" cm="1">
        <f t="array" ref="AO238">IFERROR((SUMPRODUCT(($B$218:$B$241=AO$216)*($F$215:$AJ$215="")*$F$218:$AJ$241)+IF(AO$216="P6",SUMPRODUCT(($F$215:$AJ$215="P6")*$F$218:$AJ$241),0))/(SUMPRODUCT(($B$218:$B$241=AO$216)*($F$215:$AJ$215=""))+IF(AO$216="P6",COUNTIF($F$215:$AJ$215,"P6")*ROWS($B$218:$B$241),0)),"")</f>
        <v/>
      </c>
      <c r="AP238" s="6" t="str" cm="1">
        <f t="array" ref="AP238">IFERROR((SUMPRODUCT(($B$218:$B$241=AP$216)*($F$215:$AJ$215="")*$F$218:$AJ$241)+IF(AP$216="P6",SUMPRODUCT(($F$215:$AJ$215="P6")*$F$218:$AJ$241),0))/(SUMPRODUCT(($B$218:$B$241=AP$216)*($F$215:$AJ$215=""))+IF(AP$216="P6",COUNTIF($F$215:$AJ$215,"P6")*ROWS($B$218:$B$241),0)),"")</f>
        <v/>
      </c>
      <c r="AQ238" s="6" t="str" cm="1">
        <f t="array" ref="AQ238">IFERROR((SUMPRODUCT(($B$218:$B$241=AQ$216)*($F$215:$AJ$215="")*$F$218:$AJ$241)+IF(AQ$216="P6",SUMPRODUCT(($F$215:$AJ$215="P6")*$F$218:$AJ$241),0))/(SUMPRODUCT(($B$218:$B$241=AQ$216)*($F$215:$AJ$215=""))+IF(AQ$216="P6",COUNTIF($F$215:$AJ$215,"P6")*ROWS($B$218:$B$241),0)),"")</f>
        <v/>
      </c>
      <c r="AR238" s="6" cm="1">
        <f t="array" ref="AR238">IFERROR((SUMPRODUCT(($B$218:$B$241=AR$216)*($F$215:$AJ$215="")*$F$218:$AJ$241)+IF(AR$216="P6",SUMPRODUCT(($F$215:$AJ$215="P6")*$F$218:$AJ$241),0))/(SUMPRODUCT(($B$218:$B$241=AR$216)*($F$215:$AJ$215=""))+IF(AR$216="P6",COUNTIF($F$215:$AJ$215,"P6")*ROWS($B$218:$B$241),0)),"")</f>
        <v>0.90038595744680916</v>
      </c>
    </row>
    <row r="239" spans="1:44" ht="14.25" customHeight="1" x14ac:dyDescent="0.35">
      <c r="A239" s="1" t="s">
        <v>13</v>
      </c>
      <c r="B239" s="1" t="s">
        <v>13</v>
      </c>
      <c r="C239" s="1" t="s">
        <v>13</v>
      </c>
      <c r="D239" s="1" t="s">
        <v>13</v>
      </c>
      <c r="E239" s="1" t="s">
        <v>40</v>
      </c>
      <c r="F239" s="1">
        <v>0.98404999999999998</v>
      </c>
      <c r="G239" s="1">
        <v>1.0033000000000001</v>
      </c>
      <c r="H239" s="1">
        <v>0.99585999999999997</v>
      </c>
      <c r="I239" s="1">
        <v>1.0122100000000001</v>
      </c>
      <c r="J239" s="1">
        <v>0.94811000000000001</v>
      </c>
      <c r="K239" s="1">
        <v>0.91230999999999995</v>
      </c>
      <c r="L239" s="1">
        <v>0.97045999999999999</v>
      </c>
      <c r="M239" s="1">
        <v>0.98404999999999998</v>
      </c>
      <c r="N239" s="1">
        <v>1.0033000000000001</v>
      </c>
      <c r="O239" s="1">
        <v>0.99585999999999997</v>
      </c>
      <c r="P239" s="1">
        <v>1.0122100000000001</v>
      </c>
      <c r="Q239" s="1">
        <v>0.94811000000000001</v>
      </c>
      <c r="R239" s="1">
        <v>0.91230999999999995</v>
      </c>
      <c r="S239" s="1">
        <v>0.97045999999999999</v>
      </c>
      <c r="T239" s="1">
        <v>0.98404999999999998</v>
      </c>
      <c r="U239" s="1">
        <v>1.0033000000000001</v>
      </c>
      <c r="V239" s="1">
        <v>0.99585999999999997</v>
      </c>
      <c r="W239" s="1">
        <v>1.0122100000000001</v>
      </c>
      <c r="X239" s="1">
        <v>0.94811000000000001</v>
      </c>
      <c r="Y239" s="1">
        <v>0.91230999999999995</v>
      </c>
      <c r="Z239" s="1">
        <v>0.97045999999999999</v>
      </c>
      <c r="AA239" s="1">
        <v>0.98404999999999998</v>
      </c>
      <c r="AB239" s="1">
        <v>1.0033000000000001</v>
      </c>
      <c r="AC239" s="1">
        <v>0.99585999999999997</v>
      </c>
      <c r="AD239" s="1">
        <v>1.0122100000000001</v>
      </c>
      <c r="AE239" s="1">
        <v>0.94811000000000001</v>
      </c>
      <c r="AF239" s="1">
        <v>0.91230999999999995</v>
      </c>
      <c r="AG239" s="1">
        <v>0.97045999999999999</v>
      </c>
      <c r="AH239" s="1">
        <v>0.98404999999999998</v>
      </c>
      <c r="AI239" s="1">
        <v>1.0033000000000001</v>
      </c>
      <c r="AJ239" s="1">
        <v>0.99585999999999997</v>
      </c>
      <c r="AL239" s="4" t="s">
        <v>23</v>
      </c>
      <c r="AM239" s="6" cm="1">
        <f t="array" ref="AM239">IFERROR((SUMPRODUCT(($B$218:$B$241=AM$216)*($F$215:$AJ$215="")*$F$218:$AJ$241)+IF(AM$216="P6",SUMPRODUCT(($F$215:$AJ$215="P6")*$F$218:$AJ$241),0))/(SUMPRODUCT(($B$218:$B$241=AM$216)*($F$215:$AJ$215=""))+IF(AM$216="P6",COUNTIF($F$215:$AJ$215,"P6")*ROWS($B$218:$B$241),0)),"")</f>
        <v>0.87190371980676318</v>
      </c>
      <c r="AN239" s="6" cm="1">
        <f t="array" ref="AN239">IFERROR((SUMPRODUCT(($B$218:$B$241=AN$216)*($F$215:$AJ$215="")*$F$218:$AJ$241)+IF(AN$216="P6",SUMPRODUCT(($F$215:$AJ$215="P6")*$F$218:$AJ$241),0))/(SUMPRODUCT(($B$218:$B$241=AN$216)*($F$215:$AJ$215=""))+IF(AN$216="P6",COUNTIF($F$215:$AJ$215,"P6")*ROWS($B$218:$B$241),0)),"")</f>
        <v>0.89167975155279411</v>
      </c>
      <c r="AO239" s="6" t="str" cm="1">
        <f t="array" ref="AO239">IFERROR((SUMPRODUCT(($B$218:$B$241=AO$216)*($F$215:$AJ$215="")*$F$218:$AJ$241)+IF(AO$216="P6",SUMPRODUCT(($F$215:$AJ$215="P6")*$F$218:$AJ$241),0))/(SUMPRODUCT(($B$218:$B$241=AO$216)*($F$215:$AJ$215=""))+IF(AO$216="P6",COUNTIF($F$215:$AJ$215,"P6")*ROWS($B$218:$B$241),0)),"")</f>
        <v/>
      </c>
      <c r="AP239" s="6" t="str" cm="1">
        <f t="array" ref="AP239">IFERROR((SUMPRODUCT(($B$218:$B$241=AP$216)*($F$215:$AJ$215="")*$F$218:$AJ$241)+IF(AP$216="P6",SUMPRODUCT(($F$215:$AJ$215="P6")*$F$218:$AJ$241),0))/(SUMPRODUCT(($B$218:$B$241=AP$216)*($F$215:$AJ$215=""))+IF(AP$216="P6",COUNTIF($F$215:$AJ$215,"P6")*ROWS($B$218:$B$241),0)),"")</f>
        <v/>
      </c>
      <c r="AQ239" s="6" t="str" cm="1">
        <f t="array" ref="AQ239">IFERROR((SUMPRODUCT(($B$218:$B$241=AQ$216)*($F$215:$AJ$215="")*$F$218:$AJ$241)+IF(AQ$216="P6",SUMPRODUCT(($F$215:$AJ$215="P6")*$F$218:$AJ$241),0))/(SUMPRODUCT(($B$218:$B$241=AQ$216)*($F$215:$AJ$215=""))+IF(AQ$216="P6",COUNTIF($F$215:$AJ$215,"P6")*ROWS($B$218:$B$241),0)),"")</f>
        <v/>
      </c>
      <c r="AR239" s="6" cm="1">
        <f t="array" ref="AR239">IFERROR((SUMPRODUCT(($B$218:$B$241=AR$216)*($F$215:$AJ$215="")*$F$218:$AJ$241)+IF(AR$216="P6",SUMPRODUCT(($F$215:$AJ$215="P6")*$F$218:$AJ$241),0))/(SUMPRODUCT(($B$218:$B$241=AR$216)*($F$215:$AJ$215=""))+IF(AR$216="P6",COUNTIF($F$215:$AJ$215,"P6")*ROWS($B$218:$B$241),0)),"")</f>
        <v>0.90038595744680916</v>
      </c>
    </row>
    <row r="240" spans="1:44" ht="14.25" customHeight="1" x14ac:dyDescent="0.35">
      <c r="A240" s="1" t="s">
        <v>15</v>
      </c>
      <c r="B240" s="1" t="s">
        <v>14</v>
      </c>
      <c r="C240" s="1" t="s">
        <v>14</v>
      </c>
      <c r="D240" s="1" t="s">
        <v>14</v>
      </c>
      <c r="E240" s="1" t="s">
        <v>41</v>
      </c>
      <c r="F240" s="1">
        <v>1.01064</v>
      </c>
      <c r="G240" s="1">
        <v>1.02016</v>
      </c>
      <c r="H240" s="1">
        <v>1.01108</v>
      </c>
      <c r="I240" s="1">
        <v>1.02552</v>
      </c>
      <c r="J240" s="1">
        <v>0.95116999999999996</v>
      </c>
      <c r="K240" s="1">
        <v>0.90715999999999997</v>
      </c>
      <c r="L240" s="1">
        <v>0.98694999999999999</v>
      </c>
      <c r="M240" s="1">
        <v>1.01064</v>
      </c>
      <c r="N240" s="1">
        <v>1.02016</v>
      </c>
      <c r="O240" s="1">
        <v>1.01108</v>
      </c>
      <c r="P240" s="1">
        <v>1.02552</v>
      </c>
      <c r="Q240" s="1">
        <v>0.95116999999999996</v>
      </c>
      <c r="R240" s="1">
        <v>0.90715999999999997</v>
      </c>
      <c r="S240" s="1">
        <v>0.98694999999999999</v>
      </c>
      <c r="T240" s="1">
        <v>1.01064</v>
      </c>
      <c r="U240" s="1">
        <v>1.02016</v>
      </c>
      <c r="V240" s="1">
        <v>1.01108</v>
      </c>
      <c r="W240" s="1">
        <v>1.02552</v>
      </c>
      <c r="X240" s="1">
        <v>0.95116999999999996</v>
      </c>
      <c r="Y240" s="1">
        <v>0.90715999999999997</v>
      </c>
      <c r="Z240" s="1">
        <v>0.98694999999999999</v>
      </c>
      <c r="AA240" s="1">
        <v>1.01064</v>
      </c>
      <c r="AB240" s="1">
        <v>1.02016</v>
      </c>
      <c r="AC240" s="1">
        <v>1.01108</v>
      </c>
      <c r="AD240" s="1">
        <v>1.02552</v>
      </c>
      <c r="AE240" s="1">
        <v>0.95116999999999996</v>
      </c>
      <c r="AF240" s="1">
        <v>0.90715999999999997</v>
      </c>
      <c r="AG240" s="1">
        <v>0.98694999999999999</v>
      </c>
      <c r="AH240" s="1">
        <v>1.01064</v>
      </c>
      <c r="AI240" s="1">
        <v>1.02016</v>
      </c>
      <c r="AJ240" s="1">
        <v>1.01108</v>
      </c>
      <c r="AL240" s="4" t="s">
        <v>25</v>
      </c>
      <c r="AM240" s="6" cm="1">
        <f t="array" ref="AM240">IFERROR((SUMPRODUCT(($B$218:$B$241=AM$216)*($F$215:$AJ$215="")*$F$218:$AJ$241)+IF(AM$216="P6",SUMPRODUCT(($F$215:$AJ$215="P6")*$F$218:$AJ$241),0))/(SUMPRODUCT(($B$218:$B$241=AM$216)*($F$215:$AJ$215=""))+IF(AM$216="P6",COUNTIF($F$215:$AJ$215,"P6")*ROWS($B$218:$B$241),0)),"")</f>
        <v>0.87190371980676318</v>
      </c>
      <c r="AN240" s="6" cm="1">
        <f t="array" ref="AN240">IFERROR((SUMPRODUCT(($B$218:$B$241=AN$216)*($F$215:$AJ$215="")*$F$218:$AJ$241)+IF(AN$216="P6",SUMPRODUCT(($F$215:$AJ$215="P6")*$F$218:$AJ$241),0))/(SUMPRODUCT(($B$218:$B$241=AN$216)*($F$215:$AJ$215=""))+IF(AN$216="P6",COUNTIF($F$215:$AJ$215,"P6")*ROWS($B$218:$B$241),0)),"")</f>
        <v>0.89167975155279411</v>
      </c>
      <c r="AO240" s="6" t="str" cm="1">
        <f t="array" ref="AO240">IFERROR((SUMPRODUCT(($B$218:$B$241=AO$216)*($F$215:$AJ$215="")*$F$218:$AJ$241)+IF(AO$216="P6",SUMPRODUCT(($F$215:$AJ$215="P6")*$F$218:$AJ$241),0))/(SUMPRODUCT(($B$218:$B$241=AO$216)*($F$215:$AJ$215=""))+IF(AO$216="P6",COUNTIF($F$215:$AJ$215,"P6")*ROWS($B$218:$B$241),0)),"")</f>
        <v/>
      </c>
      <c r="AP240" s="6" t="str" cm="1">
        <f t="array" ref="AP240">IFERROR((SUMPRODUCT(($B$218:$B$241=AP$216)*($F$215:$AJ$215="")*$F$218:$AJ$241)+IF(AP$216="P6",SUMPRODUCT(($F$215:$AJ$215="P6")*$F$218:$AJ$241),0))/(SUMPRODUCT(($B$218:$B$241=AP$216)*($F$215:$AJ$215=""))+IF(AP$216="P6",COUNTIF($F$215:$AJ$215,"P6")*ROWS($B$218:$B$241),0)),"")</f>
        <v/>
      </c>
      <c r="AQ240" s="6" t="str" cm="1">
        <f t="array" ref="AQ240">IFERROR((SUMPRODUCT(($B$218:$B$241=AQ$216)*($F$215:$AJ$215="")*$F$218:$AJ$241)+IF(AQ$216="P6",SUMPRODUCT(($F$215:$AJ$215="P6")*$F$218:$AJ$241),0))/(SUMPRODUCT(($B$218:$B$241=AQ$216)*($F$215:$AJ$215=""))+IF(AQ$216="P6",COUNTIF($F$215:$AJ$215,"P6")*ROWS($B$218:$B$241),0)),"")</f>
        <v/>
      </c>
      <c r="AR240" s="6" cm="1">
        <f t="array" ref="AR240">IFERROR((SUMPRODUCT(($B$218:$B$241=AR$216)*($F$215:$AJ$215="")*$F$218:$AJ$241)+IF(AR$216="P6",SUMPRODUCT(($F$215:$AJ$215="P6")*$F$218:$AJ$241),0))/(SUMPRODUCT(($B$218:$B$241=AR$216)*($F$215:$AJ$215=""))+IF(AR$216="P6",COUNTIF($F$215:$AJ$215,"P6")*ROWS($B$218:$B$241),0)),"")</f>
        <v>0.90038595744680916</v>
      </c>
    </row>
    <row r="241" spans="1:44" ht="14.25" customHeight="1" x14ac:dyDescent="0.35">
      <c r="A241" s="1" t="s">
        <v>15</v>
      </c>
      <c r="B241" s="1" t="s">
        <v>14</v>
      </c>
      <c r="C241" s="1" t="s">
        <v>14</v>
      </c>
      <c r="D241" s="1" t="s">
        <v>14</v>
      </c>
      <c r="E241" s="1" t="s">
        <v>42</v>
      </c>
      <c r="F241" s="1">
        <v>1.02288</v>
      </c>
      <c r="G241" s="1">
        <v>1.04287</v>
      </c>
      <c r="H241" s="1">
        <v>1.02719</v>
      </c>
      <c r="I241" s="1">
        <v>1.02217</v>
      </c>
      <c r="J241" s="1">
        <v>0.95179000000000002</v>
      </c>
      <c r="K241" s="1">
        <v>0.91607000000000005</v>
      </c>
      <c r="L241" s="1">
        <v>1.01275</v>
      </c>
      <c r="M241" s="1">
        <v>1.02288</v>
      </c>
      <c r="N241" s="1">
        <v>1.04287</v>
      </c>
      <c r="O241" s="1">
        <v>1.02719</v>
      </c>
      <c r="P241" s="1">
        <v>1.02217</v>
      </c>
      <c r="Q241" s="1">
        <v>0.95179000000000002</v>
      </c>
      <c r="R241" s="1">
        <v>0.91607000000000005</v>
      </c>
      <c r="S241" s="1">
        <v>1.01275</v>
      </c>
      <c r="T241" s="1">
        <v>1.02288</v>
      </c>
      <c r="U241" s="1">
        <v>1.04287</v>
      </c>
      <c r="V241" s="1">
        <v>1.02719</v>
      </c>
      <c r="W241" s="1">
        <v>1.02217</v>
      </c>
      <c r="X241" s="1">
        <v>0.95179000000000002</v>
      </c>
      <c r="Y241" s="1">
        <v>0.91607000000000005</v>
      </c>
      <c r="Z241" s="1">
        <v>1.01275</v>
      </c>
      <c r="AA241" s="1">
        <v>1.02288</v>
      </c>
      <c r="AB241" s="1">
        <v>1.04287</v>
      </c>
      <c r="AC241" s="1">
        <v>1.02719</v>
      </c>
      <c r="AD241" s="1">
        <v>1.02217</v>
      </c>
      <c r="AE241" s="1">
        <v>0.95179000000000002</v>
      </c>
      <c r="AF241" s="1">
        <v>0.91607000000000005</v>
      </c>
      <c r="AG241" s="1">
        <v>1.01275</v>
      </c>
      <c r="AH241" s="1">
        <v>1.02288</v>
      </c>
      <c r="AI241" s="1">
        <v>1.04287</v>
      </c>
      <c r="AJ241" s="1">
        <v>1.02719</v>
      </c>
      <c r="AL241" s="4" t="s">
        <v>27</v>
      </c>
      <c r="AM241" s="6" cm="1">
        <f t="array" ref="AM241">IFERROR((SUMPRODUCT(($B$218:$B$241=AM$216)*($F$215:$AJ$215="")*$F$218:$AJ$241)+IF(AM$216="P6",SUMPRODUCT(($F$215:$AJ$215="P6")*$F$218:$AJ$241),0))/(SUMPRODUCT(($B$218:$B$241=AM$216)*($F$215:$AJ$215=""))+IF(AM$216="P6",COUNTIF($F$215:$AJ$215,"P6")*ROWS($B$218:$B$241),0)),"")</f>
        <v>0.87190371980676318</v>
      </c>
      <c r="AN241" s="6" cm="1">
        <f t="array" ref="AN241">IFERROR((SUMPRODUCT(($B$218:$B$241=AN$216)*($F$215:$AJ$215="")*$F$218:$AJ$241)+IF(AN$216="P6",SUMPRODUCT(($F$215:$AJ$215="P6")*$F$218:$AJ$241),0))/(SUMPRODUCT(($B$218:$B$241=AN$216)*($F$215:$AJ$215=""))+IF(AN$216="P6",COUNTIF($F$215:$AJ$215,"P6")*ROWS($B$218:$B$241),0)),"")</f>
        <v>0.89167975155279411</v>
      </c>
      <c r="AO241" s="6" t="str" cm="1">
        <f t="array" ref="AO241">IFERROR((SUMPRODUCT(($B$218:$B$241=AO$216)*($F$215:$AJ$215="")*$F$218:$AJ$241)+IF(AO$216="P6",SUMPRODUCT(($F$215:$AJ$215="P6")*$F$218:$AJ$241),0))/(SUMPRODUCT(($B$218:$B$241=AO$216)*($F$215:$AJ$215=""))+IF(AO$216="P6",COUNTIF($F$215:$AJ$215,"P6")*ROWS($B$218:$B$241),0)),"")</f>
        <v/>
      </c>
      <c r="AP241" s="6" t="str" cm="1">
        <f t="array" ref="AP241">IFERROR((SUMPRODUCT(($B$218:$B$241=AP$216)*($F$215:$AJ$215="")*$F$218:$AJ$241)+IF(AP$216="P6",SUMPRODUCT(($F$215:$AJ$215="P6")*$F$218:$AJ$241),0))/(SUMPRODUCT(($B$218:$B$241=AP$216)*($F$215:$AJ$215=""))+IF(AP$216="P6",COUNTIF($F$215:$AJ$215,"P6")*ROWS($B$218:$B$241),0)),"")</f>
        <v/>
      </c>
      <c r="AQ241" s="6" t="str" cm="1">
        <f t="array" ref="AQ241">IFERROR((SUMPRODUCT(($B$218:$B$241=AQ$216)*($F$215:$AJ$215="")*$F$218:$AJ$241)+IF(AQ$216="P6",SUMPRODUCT(($F$215:$AJ$215="P6")*$F$218:$AJ$241),0))/(SUMPRODUCT(($B$218:$B$241=AQ$216)*($F$215:$AJ$215=""))+IF(AQ$216="P6",COUNTIF($F$215:$AJ$215,"P6")*ROWS($B$218:$B$241),0)),"")</f>
        <v/>
      </c>
      <c r="AR241" s="6" cm="1">
        <f t="array" ref="AR241">IFERROR((SUMPRODUCT(($B$218:$B$241=AR$216)*($F$215:$AJ$215="")*$F$218:$AJ$241)+IF(AR$216="P6",SUMPRODUCT(($F$215:$AJ$215="P6")*$F$218:$AJ$241),0))/(SUMPRODUCT(($B$218:$B$241=AR$216)*($F$215:$AJ$215=""))+IF(AR$216="P6",COUNTIF($F$215:$AJ$215,"P6")*ROWS($B$218:$B$241),0)),"")</f>
        <v>0.90038595744680916</v>
      </c>
    </row>
    <row r="242" spans="1:44" ht="14.25" customHeight="1" x14ac:dyDescent="0.35">
      <c r="AL242" s="4" t="s">
        <v>29</v>
      </c>
      <c r="AM242" s="6" cm="1">
        <f t="array" ref="AM242">IFERROR((SUMPRODUCT(($B$218:$B$241=AM$216)*($F$215:$AJ$215="")*$F$218:$AJ$241)+IF(AM$216="P6",SUMPRODUCT(($F$215:$AJ$215="P6")*$F$218:$AJ$241),0))/(SUMPRODUCT(($B$218:$B$241=AM$216)*($F$215:$AJ$215=""))+IF(AM$216="P6",COUNTIF($F$215:$AJ$215,"P6")*ROWS($B$218:$B$241),0)),"")</f>
        <v>0.87190371980676318</v>
      </c>
      <c r="AN242" s="6" cm="1">
        <f t="array" ref="AN242">IFERROR((SUMPRODUCT(($B$218:$B$241=AN$216)*($F$215:$AJ$215="")*$F$218:$AJ$241)+IF(AN$216="P6",SUMPRODUCT(($F$215:$AJ$215="P6")*$F$218:$AJ$241),0))/(SUMPRODUCT(($B$218:$B$241=AN$216)*($F$215:$AJ$215=""))+IF(AN$216="P6",COUNTIF($F$215:$AJ$215,"P6")*ROWS($B$218:$B$241),0)),"")</f>
        <v>0.89167975155279411</v>
      </c>
      <c r="AO242" s="6" t="str" cm="1">
        <f t="array" ref="AO242">IFERROR((SUMPRODUCT(($B$218:$B$241=AO$216)*($F$215:$AJ$215="")*$F$218:$AJ$241)+IF(AO$216="P6",SUMPRODUCT(($F$215:$AJ$215="P6")*$F$218:$AJ$241),0))/(SUMPRODUCT(($B$218:$B$241=AO$216)*($F$215:$AJ$215=""))+IF(AO$216="P6",COUNTIF($F$215:$AJ$215,"P6")*ROWS($B$218:$B$241),0)),"")</f>
        <v/>
      </c>
      <c r="AP242" s="6" t="str" cm="1">
        <f t="array" ref="AP242">IFERROR((SUMPRODUCT(($B$218:$B$241=AP$216)*($F$215:$AJ$215="")*$F$218:$AJ$241)+IF(AP$216="P6",SUMPRODUCT(($F$215:$AJ$215="P6")*$F$218:$AJ$241),0))/(SUMPRODUCT(($B$218:$B$241=AP$216)*($F$215:$AJ$215=""))+IF(AP$216="P6",COUNTIF($F$215:$AJ$215,"P6")*ROWS($B$218:$B$241),0)),"")</f>
        <v/>
      </c>
      <c r="AQ242" s="6" t="str" cm="1">
        <f t="array" ref="AQ242">IFERROR((SUMPRODUCT(($B$218:$B$241=AQ$216)*($F$215:$AJ$215="")*$F$218:$AJ$241)+IF(AQ$216="P6",SUMPRODUCT(($F$215:$AJ$215="P6")*$F$218:$AJ$241),0))/(SUMPRODUCT(($B$218:$B$241=AQ$216)*($F$215:$AJ$215=""))+IF(AQ$216="P6",COUNTIF($F$215:$AJ$215,"P6")*ROWS($B$218:$B$241),0)),"")</f>
        <v/>
      </c>
      <c r="AR242" s="6" cm="1">
        <f t="array" ref="AR242">IFERROR((SUMPRODUCT(($B$218:$B$241=AR$216)*($F$215:$AJ$215="")*$F$218:$AJ$241)+IF(AR$216="P6",SUMPRODUCT(($F$215:$AJ$215="P6")*$F$218:$AJ$241),0))/(SUMPRODUCT(($B$218:$B$241=AR$216)*($F$215:$AJ$215=""))+IF(AR$216="P6",COUNTIF($F$215:$AJ$215,"P6")*ROWS($B$218:$B$241),0)),"")</f>
        <v>0.90038595744680916</v>
      </c>
    </row>
    <row r="246" spans="1:44" ht="14.25" customHeight="1" x14ac:dyDescent="0.35">
      <c r="A246" s="15" t="s">
        <v>50</v>
      </c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</row>
    <row r="247" spans="1:44" ht="14.25" customHeight="1" x14ac:dyDescent="0.3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</row>
    <row r="248" spans="1:44" ht="14.25" customHeight="1" x14ac:dyDescent="0.35">
      <c r="AL248" s="10"/>
      <c r="AM248" s="10"/>
      <c r="AN248" s="10"/>
      <c r="AO248" s="10"/>
      <c r="AP248" s="10"/>
      <c r="AQ248" s="10"/>
      <c r="AR248" s="10"/>
    </row>
    <row r="249" spans="1:44" ht="14.25" customHeight="1" x14ac:dyDescent="0.35">
      <c r="F249" s="1" t="str">
        <f>IF(OR(F251="S",F251="D",F252=DATE(2025,8,15)),"P3","")</f>
        <v/>
      </c>
      <c r="G249" s="1" t="str">
        <f t="shared" ref="G249:AJ249" si="30">IF(OR(G251="S",G251="D",G252=DATE(2025,8,15)),"P3","")</f>
        <v>P3</v>
      </c>
      <c r="H249" s="1" t="str">
        <f t="shared" si="30"/>
        <v>P3</v>
      </c>
      <c r="I249" s="1" t="str">
        <f t="shared" si="30"/>
        <v/>
      </c>
      <c r="J249" s="1" t="str">
        <f t="shared" si="30"/>
        <v/>
      </c>
      <c r="K249" s="1" t="str">
        <f t="shared" si="30"/>
        <v/>
      </c>
      <c r="L249" s="1" t="str">
        <f t="shared" si="30"/>
        <v/>
      </c>
      <c r="M249" s="1" t="str">
        <f t="shared" si="30"/>
        <v/>
      </c>
      <c r="N249" s="1" t="str">
        <f t="shared" si="30"/>
        <v>P3</v>
      </c>
      <c r="O249" s="1" t="str">
        <f t="shared" si="30"/>
        <v>P3</v>
      </c>
      <c r="P249" s="1" t="str">
        <f t="shared" si="30"/>
        <v/>
      </c>
      <c r="Q249" s="1" t="str">
        <f t="shared" si="30"/>
        <v/>
      </c>
      <c r="R249" s="1" t="str">
        <f t="shared" si="30"/>
        <v/>
      </c>
      <c r="S249" s="1" t="str">
        <f t="shared" si="30"/>
        <v/>
      </c>
      <c r="T249" s="1" t="str">
        <f t="shared" si="30"/>
        <v>P3</v>
      </c>
      <c r="U249" s="1" t="str">
        <f t="shared" si="30"/>
        <v>P3</v>
      </c>
      <c r="V249" s="1" t="str">
        <f t="shared" si="30"/>
        <v>P3</v>
      </c>
      <c r="W249" s="1" t="str">
        <f t="shared" si="30"/>
        <v/>
      </c>
      <c r="X249" s="1" t="str">
        <f t="shared" si="30"/>
        <v/>
      </c>
      <c r="Y249" s="1" t="str">
        <f t="shared" si="30"/>
        <v/>
      </c>
      <c r="Z249" s="1" t="str">
        <f t="shared" si="30"/>
        <v/>
      </c>
      <c r="AA249" s="1" t="str">
        <f t="shared" si="30"/>
        <v/>
      </c>
      <c r="AB249" s="1" t="str">
        <f t="shared" si="30"/>
        <v>P3</v>
      </c>
      <c r="AC249" s="1" t="str">
        <f t="shared" si="30"/>
        <v>P3</v>
      </c>
      <c r="AD249" s="1" t="str">
        <f t="shared" si="30"/>
        <v/>
      </c>
      <c r="AE249" s="1" t="str">
        <f t="shared" si="30"/>
        <v/>
      </c>
      <c r="AF249" s="1" t="str">
        <f t="shared" si="30"/>
        <v/>
      </c>
      <c r="AG249" s="1" t="str">
        <f t="shared" si="30"/>
        <v/>
      </c>
      <c r="AH249" s="1" t="str">
        <f t="shared" si="30"/>
        <v/>
      </c>
      <c r="AI249" s="1" t="str">
        <f t="shared" si="30"/>
        <v>P3</v>
      </c>
      <c r="AJ249" s="1" t="str">
        <f t="shared" si="30"/>
        <v>P3</v>
      </c>
      <c r="AL249" s="10"/>
      <c r="AM249" s="10"/>
      <c r="AN249" s="10"/>
      <c r="AO249" s="10"/>
      <c r="AP249" s="10"/>
      <c r="AQ249" s="10"/>
      <c r="AR249" s="10"/>
    </row>
    <row r="250" spans="1:44" ht="14.25" customHeight="1" x14ac:dyDescent="0.35">
      <c r="F250" s="1" t="str">
        <f>IF(OR(F251="S",F251="D",F252=DATE(2025,8,15)),"P6","")</f>
        <v/>
      </c>
      <c r="G250" s="1" t="str">
        <f t="shared" ref="G250:AJ250" si="31">IF(OR(G251="S",G251="D",G252=DATE(2025,8,15)),"P6","")</f>
        <v>P6</v>
      </c>
      <c r="H250" s="1" t="str">
        <f t="shared" si="31"/>
        <v>P6</v>
      </c>
      <c r="I250" s="1" t="str">
        <f t="shared" si="31"/>
        <v/>
      </c>
      <c r="J250" s="1" t="str">
        <f t="shared" si="31"/>
        <v/>
      </c>
      <c r="K250" s="1" t="str">
        <f t="shared" si="31"/>
        <v/>
      </c>
      <c r="L250" s="1" t="str">
        <f t="shared" si="31"/>
        <v/>
      </c>
      <c r="M250" s="1" t="str">
        <f t="shared" si="31"/>
        <v/>
      </c>
      <c r="N250" s="1" t="str">
        <f t="shared" si="31"/>
        <v>P6</v>
      </c>
      <c r="O250" s="1" t="str">
        <f t="shared" si="31"/>
        <v>P6</v>
      </c>
      <c r="P250" s="1" t="str">
        <f t="shared" si="31"/>
        <v/>
      </c>
      <c r="Q250" s="1" t="str">
        <f t="shared" si="31"/>
        <v/>
      </c>
      <c r="R250" s="1" t="str">
        <f t="shared" si="31"/>
        <v/>
      </c>
      <c r="S250" s="1" t="str">
        <f t="shared" si="31"/>
        <v/>
      </c>
      <c r="T250" s="1" t="str">
        <f t="shared" si="31"/>
        <v>P6</v>
      </c>
      <c r="U250" s="1" t="str">
        <f t="shared" si="31"/>
        <v>P6</v>
      </c>
      <c r="V250" s="1" t="str">
        <f t="shared" si="31"/>
        <v>P6</v>
      </c>
      <c r="W250" s="1" t="str">
        <f t="shared" si="31"/>
        <v/>
      </c>
      <c r="X250" s="1" t="str">
        <f t="shared" si="31"/>
        <v/>
      </c>
      <c r="Y250" s="1" t="str">
        <f t="shared" si="31"/>
        <v/>
      </c>
      <c r="Z250" s="1" t="str">
        <f t="shared" si="31"/>
        <v/>
      </c>
      <c r="AA250" s="1" t="str">
        <f t="shared" si="31"/>
        <v/>
      </c>
      <c r="AB250" s="1" t="str">
        <f t="shared" si="31"/>
        <v>P6</v>
      </c>
      <c r="AC250" s="1" t="str">
        <f t="shared" si="31"/>
        <v>P6</v>
      </c>
      <c r="AD250" s="1" t="str">
        <f t="shared" si="31"/>
        <v/>
      </c>
      <c r="AE250" s="1" t="str">
        <f t="shared" si="31"/>
        <v/>
      </c>
      <c r="AF250" s="1" t="str">
        <f t="shared" si="31"/>
        <v/>
      </c>
      <c r="AG250" s="1" t="str">
        <f t="shared" si="31"/>
        <v/>
      </c>
      <c r="AH250" s="1" t="str">
        <f t="shared" si="31"/>
        <v/>
      </c>
      <c r="AI250" s="1" t="str">
        <f t="shared" si="31"/>
        <v>P6</v>
      </c>
      <c r="AJ250" s="1" t="str">
        <f t="shared" si="31"/>
        <v>P6</v>
      </c>
      <c r="AL250" s="14" t="s">
        <v>99</v>
      </c>
      <c r="AM250" s="14"/>
      <c r="AN250" s="14"/>
      <c r="AO250" s="14"/>
      <c r="AP250" s="14"/>
      <c r="AQ250" s="14"/>
      <c r="AR250" s="14"/>
    </row>
    <row r="251" spans="1:44" ht="14.25" customHeight="1" x14ac:dyDescent="0.35">
      <c r="F251" s="1" t="str">
        <f>CHOOSE(WEEKDAY(F252,2),"L","M","X","J","V","S","D")</f>
        <v>V</v>
      </c>
      <c r="G251" s="1" t="str">
        <f t="shared" ref="G251:AJ251" si="32">CHOOSE(WEEKDAY(G252,2),"L","M","X","J","V","S","D")</f>
        <v>S</v>
      </c>
      <c r="H251" s="1" t="str">
        <f t="shared" si="32"/>
        <v>D</v>
      </c>
      <c r="I251" s="1" t="str">
        <f t="shared" si="32"/>
        <v>L</v>
      </c>
      <c r="J251" s="1" t="str">
        <f t="shared" si="32"/>
        <v>M</v>
      </c>
      <c r="K251" s="1" t="str">
        <f t="shared" si="32"/>
        <v>X</v>
      </c>
      <c r="L251" s="1" t="str">
        <f t="shared" si="32"/>
        <v>J</v>
      </c>
      <c r="M251" s="1" t="str">
        <f t="shared" si="32"/>
        <v>V</v>
      </c>
      <c r="N251" s="1" t="str">
        <f t="shared" si="32"/>
        <v>S</v>
      </c>
      <c r="O251" s="1" t="str">
        <f t="shared" si="32"/>
        <v>D</v>
      </c>
      <c r="P251" s="1" t="str">
        <f t="shared" si="32"/>
        <v>L</v>
      </c>
      <c r="Q251" s="1" t="str">
        <f t="shared" si="32"/>
        <v>M</v>
      </c>
      <c r="R251" s="1" t="str">
        <f t="shared" si="32"/>
        <v>X</v>
      </c>
      <c r="S251" s="1" t="str">
        <f t="shared" si="32"/>
        <v>J</v>
      </c>
      <c r="T251" s="1" t="str">
        <f t="shared" si="32"/>
        <v>V</v>
      </c>
      <c r="U251" s="1" t="str">
        <f t="shared" si="32"/>
        <v>S</v>
      </c>
      <c r="V251" s="1" t="str">
        <f t="shared" si="32"/>
        <v>D</v>
      </c>
      <c r="W251" s="1" t="str">
        <f t="shared" si="32"/>
        <v>L</v>
      </c>
      <c r="X251" s="1" t="str">
        <f t="shared" si="32"/>
        <v>M</v>
      </c>
      <c r="Y251" s="1" t="str">
        <f t="shared" si="32"/>
        <v>X</v>
      </c>
      <c r="Z251" s="1" t="str">
        <f t="shared" si="32"/>
        <v>J</v>
      </c>
      <c r="AA251" s="1" t="str">
        <f t="shared" si="32"/>
        <v>V</v>
      </c>
      <c r="AB251" s="1" t="str">
        <f t="shared" si="32"/>
        <v>S</v>
      </c>
      <c r="AC251" s="1" t="str">
        <f t="shared" si="32"/>
        <v>D</v>
      </c>
      <c r="AD251" s="1" t="str">
        <f t="shared" si="32"/>
        <v>L</v>
      </c>
      <c r="AE251" s="1" t="str">
        <f t="shared" si="32"/>
        <v>M</v>
      </c>
      <c r="AF251" s="1" t="str">
        <f t="shared" si="32"/>
        <v>X</v>
      </c>
      <c r="AG251" s="1" t="str">
        <f t="shared" si="32"/>
        <v>J</v>
      </c>
      <c r="AH251" s="1" t="str">
        <f t="shared" si="32"/>
        <v>V</v>
      </c>
      <c r="AI251" s="1" t="str">
        <f t="shared" si="32"/>
        <v>S</v>
      </c>
      <c r="AJ251" s="1" t="str">
        <f t="shared" si="32"/>
        <v>D</v>
      </c>
      <c r="AL251" s="4"/>
      <c r="AM251" s="4" t="s">
        <v>13</v>
      </c>
      <c r="AN251" s="4" t="s">
        <v>14</v>
      </c>
      <c r="AO251" s="4" t="s">
        <v>15</v>
      </c>
      <c r="AP251" s="4" t="s">
        <v>16</v>
      </c>
      <c r="AQ251" s="4" t="s">
        <v>17</v>
      </c>
      <c r="AR251" s="4" t="s">
        <v>7</v>
      </c>
    </row>
    <row r="252" spans="1:44" ht="14.25" customHeight="1" x14ac:dyDescent="0.35">
      <c r="A252" s="3" t="s">
        <v>76</v>
      </c>
      <c r="B252" s="3" t="s">
        <v>77</v>
      </c>
      <c r="C252" s="3" t="s">
        <v>75</v>
      </c>
      <c r="D252" s="3" t="s">
        <v>74</v>
      </c>
      <c r="F252" s="8">
        <v>45870</v>
      </c>
      <c r="G252" s="8">
        <v>45871</v>
      </c>
      <c r="H252" s="8">
        <v>45872</v>
      </c>
      <c r="I252" s="8">
        <v>45873</v>
      </c>
      <c r="J252" s="8">
        <v>45874</v>
      </c>
      <c r="K252" s="8">
        <v>45875</v>
      </c>
      <c r="L252" s="8">
        <v>45876</v>
      </c>
      <c r="M252" s="8">
        <v>45877</v>
      </c>
      <c r="N252" s="8">
        <v>45878</v>
      </c>
      <c r="O252" s="8">
        <v>45879</v>
      </c>
      <c r="P252" s="8">
        <v>45880</v>
      </c>
      <c r="Q252" s="8">
        <v>45881</v>
      </c>
      <c r="R252" s="8">
        <v>45882</v>
      </c>
      <c r="S252" s="8">
        <v>45883</v>
      </c>
      <c r="T252" s="8">
        <v>45884</v>
      </c>
      <c r="U252" s="8">
        <v>45885</v>
      </c>
      <c r="V252" s="8">
        <v>45886</v>
      </c>
      <c r="W252" s="8">
        <v>45887</v>
      </c>
      <c r="X252" s="8">
        <v>45888</v>
      </c>
      <c r="Y252" s="8">
        <v>45889</v>
      </c>
      <c r="Z252" s="8">
        <v>45890</v>
      </c>
      <c r="AA252" s="8">
        <v>45891</v>
      </c>
      <c r="AB252" s="8">
        <v>45892</v>
      </c>
      <c r="AC252" s="8">
        <v>45893</v>
      </c>
      <c r="AD252" s="8">
        <v>45894</v>
      </c>
      <c r="AE252" s="8">
        <v>45895</v>
      </c>
      <c r="AF252" s="8">
        <v>45896</v>
      </c>
      <c r="AG252" s="8">
        <v>45897</v>
      </c>
      <c r="AH252" s="8">
        <v>45898</v>
      </c>
      <c r="AI252" s="8">
        <v>45899</v>
      </c>
      <c r="AJ252" s="8">
        <v>45900</v>
      </c>
      <c r="AL252" s="4" t="s">
        <v>19</v>
      </c>
      <c r="AM252" s="6" cm="1">
        <f t="array" ref="AM252">IFERROR((SUMPRODUCT(($C$253:$C$276=AM$251)*($F$249:$AJ$249="")*$F$253:$AJ$276)+IF(AM$251="P3",SUMPRODUCT(($F$249:$AJ$249="P3")*$F$253:$AJ$276),0))/(SUMPRODUCT(($C$253:$C$276=AM$251)*($F$249:$AJ$249=""))+IF(AM$251="P3",COUNTIF($F$249:$AJ$249,"P3")*ROWS($C$253:$C$276),0)),"")</f>
        <v>0.89947075000000043</v>
      </c>
      <c r="AN252" s="6" cm="1">
        <f t="array" ref="AN252">IFERROR((SUMPRODUCT(($C$253:$C$276=AN$251)*($F$249:$AJ$249="")*$F$253:$AJ$276)+IF(AN$251="P3",SUMPRODUCT(($F$249:$AJ$249="P3")*$F$253:$AJ$276),0))/(SUMPRODUCT(($C$253:$C$276=AN$251)*($F$249:$AJ$249=""))+IF(AN$251="P3",COUNTIF($F$249:$AJ$249,"P3")*ROWS($C$253:$C$276),0)),"")</f>
        <v>0.92351100000000064</v>
      </c>
      <c r="AO252" s="6" cm="1">
        <f t="array" ref="AO252">IFERROR((SUMPRODUCT(($C$253:$C$276=AO$251)*($F$249:$AJ$249="")*$F$253:$AJ$276)+IF(AO$251="P3",SUMPRODUCT(($F$249:$AJ$249="P3")*$F$253:$AJ$276),0))/(SUMPRODUCT(($C$253:$C$276=AO$251)*($F$249:$AJ$249=""))+IF(AO$251="P3",COUNTIF($F$249:$AJ$249,"P3")*ROWS($C$253:$C$276),0)),"")</f>
        <v>0.93154775943396251</v>
      </c>
      <c r="AP252" s="6" t="str" cm="1">
        <f t="array" ref="AP252">IFERROR((SUMPRODUCT(($C$253:$C$276=AP$251)*($F$249:$AJ$249="")*$F$253:$AJ$276)+IF(AP$251="P3",SUMPRODUCT(($F$249:$AJ$249="P3")*$F$253:$AJ$276),0))/(SUMPRODUCT(($C$253:$C$276=AP$251)*($F$249:$AJ$249=""))+IF(AP$251="P3",COUNTIF($F$249:$AJ$249,"P3")*ROWS($C$253:$C$276),0)),"")</f>
        <v/>
      </c>
      <c r="AQ252" s="6" t="str" cm="1">
        <f t="array" ref="AQ252">IFERROR((SUMPRODUCT(($C$253:$C$276=AQ$251)*($F$249:$AJ$249="")*$F$253:$AJ$276)+IF(AQ$251="P3",SUMPRODUCT(($F$249:$AJ$249="P3")*$F$253:$AJ$276),0))/(SUMPRODUCT(($C$253:$C$276=AQ$251)*($F$249:$AJ$249=""))+IF(AQ$251="P3",COUNTIF($F$249:$AJ$249,"P3")*ROWS($C$253:$C$276),0)),"")</f>
        <v/>
      </c>
      <c r="AR252" s="6" t="str" cm="1">
        <f t="array" ref="AR252">IFERROR((SUMPRODUCT(($C$253:$C$276=AR$251)*($F$249:$AJ$249="")*$F$253:$AJ$276)+IF(AR$251="P3",SUMPRODUCT(($F$249:$AJ$249="P3")*$F$253:$AJ$276),0))/(SUMPRODUCT(($C$253:$C$276=AR$251)*($F$249:$AJ$249=""))+IF(AR$251="P3",COUNTIF($F$249:$AJ$249,"P3")*ROWS($C$253:$C$276),0)),"")</f>
        <v/>
      </c>
    </row>
    <row r="253" spans="1:44" ht="14.25" customHeight="1" x14ac:dyDescent="0.35">
      <c r="A253" s="1" t="s">
        <v>7</v>
      </c>
      <c r="B253" s="1" t="s">
        <v>7</v>
      </c>
      <c r="C253" s="1" t="s">
        <v>15</v>
      </c>
      <c r="D253" s="1" t="s">
        <v>7</v>
      </c>
      <c r="E253" s="1" t="s">
        <v>8</v>
      </c>
      <c r="F253" s="1">
        <v>0.95140000000000002</v>
      </c>
      <c r="G253" s="1">
        <v>0.95920000000000005</v>
      </c>
      <c r="H253" s="1">
        <v>1.0033700000000001</v>
      </c>
      <c r="I253" s="1">
        <v>0.99656</v>
      </c>
      <c r="J253" s="1">
        <v>0.94108000000000003</v>
      </c>
      <c r="K253" s="1">
        <v>0.96140000000000003</v>
      </c>
      <c r="L253" s="1">
        <v>0.94396000000000002</v>
      </c>
      <c r="M253" s="1">
        <v>0.95140000000000002</v>
      </c>
      <c r="N253" s="1">
        <v>0.95920000000000005</v>
      </c>
      <c r="O253" s="1">
        <v>1.0033700000000001</v>
      </c>
      <c r="P253" s="1">
        <v>0.99656</v>
      </c>
      <c r="Q253" s="1">
        <v>0.94108000000000003</v>
      </c>
      <c r="R253" s="1">
        <v>0.96140000000000003</v>
      </c>
      <c r="S253" s="1">
        <v>0.94396000000000002</v>
      </c>
      <c r="T253" s="1">
        <v>1.00088</v>
      </c>
      <c r="U253" s="1">
        <v>0.95920000000000005</v>
      </c>
      <c r="V253" s="1">
        <v>1.0033700000000001</v>
      </c>
      <c r="W253" s="1">
        <v>0.99656</v>
      </c>
      <c r="X253" s="1">
        <v>0.94108000000000003</v>
      </c>
      <c r="Y253" s="1">
        <v>0.96140000000000003</v>
      </c>
      <c r="Z253" s="1">
        <v>0.94396000000000002</v>
      </c>
      <c r="AA253" s="1">
        <v>0.95140000000000002</v>
      </c>
      <c r="AB253" s="1">
        <v>0.95920000000000005</v>
      </c>
      <c r="AC253" s="1">
        <v>1.0033700000000001</v>
      </c>
      <c r="AD253" s="1">
        <v>0.99656</v>
      </c>
      <c r="AE253" s="1">
        <v>0.94108000000000003</v>
      </c>
      <c r="AF253" s="1">
        <v>0.96140000000000003</v>
      </c>
      <c r="AG253" s="1">
        <v>0.94396000000000002</v>
      </c>
      <c r="AH253" s="1">
        <v>0.95140000000000002</v>
      </c>
      <c r="AI253" s="1">
        <v>0.95920000000000005</v>
      </c>
      <c r="AJ253" s="1">
        <v>1.0033700000000001</v>
      </c>
      <c r="AL253" s="4" t="s">
        <v>21</v>
      </c>
      <c r="AM253" s="6" t="str" cm="1">
        <f t="array" ref="AM253">IFERROR((SUMPRODUCT(($D$253:$D$276=AM$251)*($F$250:$AJ$250="")*$F$253:$AJ$276)+IF(AM$251="P6",SUMPRODUCT(($F$250:$AJ$250="P6")*$F$253:$AJ$276),0))/(SUMPRODUCT(($D$253:$D$276=AM$251)*($F$250:$AJ$250=""))+IF(AM$251="P6",COUNTIF($F$250:$AJ$250,"P6")*ROWS($D$253:$D$276),0)),"")</f>
        <v/>
      </c>
      <c r="AN253" s="6" t="str" cm="1">
        <f t="array" ref="AN253">IFERROR((SUMPRODUCT(($D$253:$D$276=AN$251)*($F$250:$AJ$250="")*$F$253:$AJ$276)+IF(AN$251="P6",SUMPRODUCT(($F$250:$AJ$250="P6")*$F$253:$AJ$276),0))/(SUMPRODUCT(($D$253:$D$276=AN$251)*($F$250:$AJ$250=""))+IF(AN$251="P6",COUNTIF($F$250:$AJ$250,"P6")*ROWS($D$253:$D$276),0)),"")</f>
        <v/>
      </c>
      <c r="AO253" s="6" cm="1">
        <f t="array" ref="AO253">IFERROR((SUMPRODUCT(($D$253:$D$276=AO$251)*($F$250:$AJ$250="")*$F$253:$AJ$276)+IF(AO$251="P6",SUMPRODUCT(($F$250:$AJ$250="P6")*$F$253:$AJ$276),0))/(SUMPRODUCT(($D$253:$D$276=AO$251)*($F$250:$AJ$250=""))+IF(AO$251="P6",COUNTIF($F$250:$AJ$250,"P6")*ROWS($D$253:$D$276),0)),"")</f>
        <v>0.89437022222222184</v>
      </c>
      <c r="AP253" s="6" cm="1">
        <f t="array" ref="AP253">IFERROR((SUMPRODUCT(($D$253:$D$276=AP$251)*($F$250:$AJ$250="")*$F$253:$AJ$276)+IF(AP$251="P6",SUMPRODUCT(($F$250:$AJ$250="P6")*$F$253:$AJ$276),0))/(SUMPRODUCT(($D$253:$D$276=AP$251)*($F$250:$AJ$250=""))+IF(AP$251="P6",COUNTIF($F$250:$AJ$250,"P6")*ROWS($D$253:$D$276),0)),"")</f>
        <v>0.93350314285714386</v>
      </c>
      <c r="AQ253" s="6" t="str" cm="1">
        <f t="array" ref="AQ253">IFERROR((SUMPRODUCT(($D$253:$D$276=AQ$251)*($F$250:$AJ$250="")*$F$253:$AJ$276)+IF(AQ$251="P6",SUMPRODUCT(($F$250:$AJ$250="P6")*$F$253:$AJ$276),0))/(SUMPRODUCT(($D$253:$D$276=AQ$251)*($F$250:$AJ$250=""))+IF(AQ$251="P6",COUNTIF($F$250:$AJ$250,"P6")*ROWS($D$253:$D$276),0)),"")</f>
        <v/>
      </c>
      <c r="AR253" s="6" cm="1">
        <f t="array" ref="AR253">IFERROR((SUMPRODUCT(($D$253:$D$276=AR$251)*($F$250:$AJ$250="")*$F$253:$AJ$276)+IF(AR$251="P6",SUMPRODUCT(($F$250:$AJ$250="P6")*$F$253:$AJ$276),0))/(SUMPRODUCT(($D$253:$D$276=AR$251)*($F$250:$AJ$250=""))+IF(AR$251="P6",COUNTIF($F$250:$AJ$250,"P6")*ROWS($D$253:$D$276),0)),"")</f>
        <v>0.93154775943396251</v>
      </c>
    </row>
    <row r="254" spans="1:44" ht="14.25" customHeight="1" x14ac:dyDescent="0.35">
      <c r="A254" s="1" t="s">
        <v>7</v>
      </c>
      <c r="B254" s="1" t="s">
        <v>7</v>
      </c>
      <c r="C254" s="1" t="s">
        <v>15</v>
      </c>
      <c r="D254" s="1" t="s">
        <v>7</v>
      </c>
      <c r="E254" s="1" t="s">
        <v>9</v>
      </c>
      <c r="F254" s="1">
        <v>0.96467000000000003</v>
      </c>
      <c r="G254" s="1">
        <v>0.97633000000000003</v>
      </c>
      <c r="H254" s="1">
        <v>1.0283599999999999</v>
      </c>
      <c r="I254" s="1">
        <v>1.00945</v>
      </c>
      <c r="J254" s="1">
        <v>0.95721999999999996</v>
      </c>
      <c r="K254" s="1">
        <v>0.98418000000000005</v>
      </c>
      <c r="L254" s="1">
        <v>0.94491000000000003</v>
      </c>
      <c r="M254" s="1">
        <v>0.96467000000000003</v>
      </c>
      <c r="N254" s="1">
        <v>0.97633000000000003</v>
      </c>
      <c r="O254" s="1">
        <v>1.0283599999999999</v>
      </c>
      <c r="P254" s="1">
        <v>1.00945</v>
      </c>
      <c r="Q254" s="1">
        <v>0.95721999999999996</v>
      </c>
      <c r="R254" s="1">
        <v>0.98418000000000005</v>
      </c>
      <c r="S254" s="1">
        <v>0.94491000000000003</v>
      </c>
      <c r="T254" s="1">
        <v>1.0031099999999999</v>
      </c>
      <c r="U254" s="1">
        <v>0.97633000000000003</v>
      </c>
      <c r="V254" s="1">
        <v>1.0283599999999999</v>
      </c>
      <c r="W254" s="1">
        <v>1.00945</v>
      </c>
      <c r="X254" s="1">
        <v>0.95721999999999996</v>
      </c>
      <c r="Y254" s="1">
        <v>0.98418000000000005</v>
      </c>
      <c r="Z254" s="1">
        <v>0.94491000000000003</v>
      </c>
      <c r="AA254" s="1">
        <v>0.96467000000000003</v>
      </c>
      <c r="AB254" s="1">
        <v>0.97633000000000003</v>
      </c>
      <c r="AC254" s="1">
        <v>1.0283599999999999</v>
      </c>
      <c r="AD254" s="1">
        <v>1.00945</v>
      </c>
      <c r="AE254" s="1">
        <v>0.95721999999999996</v>
      </c>
      <c r="AF254" s="1">
        <v>0.98418000000000005</v>
      </c>
      <c r="AG254" s="1">
        <v>0.94491000000000003</v>
      </c>
      <c r="AH254" s="1">
        <v>0.96467000000000003</v>
      </c>
      <c r="AI254" s="1">
        <v>0.97633000000000003</v>
      </c>
      <c r="AJ254" s="1">
        <v>1.0283599999999999</v>
      </c>
      <c r="AL254" s="4" t="s">
        <v>23</v>
      </c>
      <c r="AM254" s="6" t="str" cm="1">
        <f t="array" ref="AM254">IFERROR((SUMPRODUCT(($D$253:$D$276=AM$251)*($F$250:$AJ$250="")*$F$253:$AJ$276)+IF(AM$251="P6",SUMPRODUCT(($F$250:$AJ$250="P6")*$F$253:$AJ$276),0))/(SUMPRODUCT(($D$253:$D$276=AM$251)*($F$250:$AJ$250=""))+IF(AM$251="P6",COUNTIF($F$250:$AJ$250,"P6")*ROWS($D$253:$D$276),0)),"")</f>
        <v/>
      </c>
      <c r="AN254" s="6" t="str" cm="1">
        <f t="array" ref="AN254">IFERROR((SUMPRODUCT(($D$253:$D$276=AN$251)*($F$250:$AJ$250="")*$F$253:$AJ$276)+IF(AN$251="P6",SUMPRODUCT(($F$250:$AJ$250="P6")*$F$253:$AJ$276),0))/(SUMPRODUCT(($D$253:$D$276=AN$251)*($F$250:$AJ$250=""))+IF(AN$251="P6",COUNTIF($F$250:$AJ$250,"P6")*ROWS($D$253:$D$276),0)),"")</f>
        <v/>
      </c>
      <c r="AO254" s="5" cm="1">
        <f t="array" ref="AO254">IFERROR((SUMPRODUCT(($D$253:$D$276=AO$251)*($F$250:$AJ$250="")*$F$253:$AJ$276)+IF(AO$251="P6",SUMPRODUCT(($F$250:$AJ$250="P6")*$F$253:$AJ$276),0))/(SUMPRODUCT(($D$253:$D$276=AO$251)*($F$250:$AJ$250=""))+IF(AO$251="P6",COUNTIF($F$250:$AJ$250,"P6")*ROWS($D$253:$D$276),0)),"")</f>
        <v>0.89437022222222184</v>
      </c>
      <c r="AP254" s="5" cm="1">
        <f t="array" ref="AP254">IFERROR((SUMPRODUCT(($D$253:$D$276=AP$251)*($F$250:$AJ$250="")*$F$253:$AJ$276)+IF(AP$251="P6",SUMPRODUCT(($F$250:$AJ$250="P6")*$F$253:$AJ$276),0))/(SUMPRODUCT(($D$253:$D$276=AP$251)*($F$250:$AJ$250=""))+IF(AP$251="P6",COUNTIF($F$250:$AJ$250,"P6")*ROWS($D$253:$D$276),0)),"")</f>
        <v>0.93350314285714386</v>
      </c>
      <c r="AQ254" s="5" t="str" cm="1">
        <f t="array" ref="AQ254">IFERROR((SUMPRODUCT(($D$253:$D$276=AQ$251)*($F$250:$AJ$250="")*$F$253:$AJ$276)+IF(AQ$251="P6",SUMPRODUCT(($F$250:$AJ$250="P6")*$F$253:$AJ$276),0))/(SUMPRODUCT(($D$253:$D$276=AQ$251)*($F$250:$AJ$250=""))+IF(AQ$251="P6",COUNTIF($F$250:$AJ$250,"P6")*ROWS($D$253:$D$276),0)),"")</f>
        <v/>
      </c>
      <c r="AR254" s="6" cm="1">
        <f t="array" ref="AR254">IFERROR((SUMPRODUCT(($D$253:$D$276=AR$251)*($F$250:$AJ$250="")*$F$253:$AJ$276)+IF(AR$251="P6",SUMPRODUCT(($F$250:$AJ$250="P6")*$F$253:$AJ$276),0))/(SUMPRODUCT(($D$253:$D$276=AR$251)*($F$250:$AJ$250=""))+IF(AR$251="P6",COUNTIF($F$250:$AJ$250,"P6")*ROWS($D$253:$D$276),0)),"")</f>
        <v>0.93154775943396251</v>
      </c>
    </row>
    <row r="255" spans="1:44" ht="14.25" customHeight="1" x14ac:dyDescent="0.35">
      <c r="A255" s="1" t="s">
        <v>7</v>
      </c>
      <c r="B255" s="1" t="s">
        <v>7</v>
      </c>
      <c r="C255" s="1" t="s">
        <v>15</v>
      </c>
      <c r="D255" s="1" t="s">
        <v>7</v>
      </c>
      <c r="E255" s="1" t="s">
        <v>10</v>
      </c>
      <c r="F255" s="1">
        <v>0.96770999999999996</v>
      </c>
      <c r="G255" s="1">
        <v>0.99519999999999997</v>
      </c>
      <c r="H255" s="1">
        <v>1.0396700000000001</v>
      </c>
      <c r="I255" s="1">
        <v>1.0062500000000001</v>
      </c>
      <c r="J255" s="1">
        <v>0.95567000000000002</v>
      </c>
      <c r="K255" s="1">
        <v>0.99138999999999999</v>
      </c>
      <c r="L255" s="1">
        <v>0.94508000000000003</v>
      </c>
      <c r="M255" s="1">
        <v>0.96770999999999996</v>
      </c>
      <c r="N255" s="1">
        <v>0.99519999999999997</v>
      </c>
      <c r="O255" s="1">
        <v>1.0396700000000001</v>
      </c>
      <c r="P255" s="1">
        <v>1.0062500000000001</v>
      </c>
      <c r="Q255" s="1">
        <v>0.95567000000000002</v>
      </c>
      <c r="R255" s="1">
        <v>0.99138999999999999</v>
      </c>
      <c r="S255" s="1">
        <v>0.94508000000000003</v>
      </c>
      <c r="T255" s="1">
        <v>1.0005200000000001</v>
      </c>
      <c r="U255" s="1">
        <v>0.99519999999999997</v>
      </c>
      <c r="V255" s="1">
        <v>1.0396700000000001</v>
      </c>
      <c r="W255" s="1">
        <v>1.0062500000000001</v>
      </c>
      <c r="X255" s="1">
        <v>0.95567000000000002</v>
      </c>
      <c r="Y255" s="1">
        <v>0.99138999999999999</v>
      </c>
      <c r="Z255" s="1">
        <v>0.94508000000000003</v>
      </c>
      <c r="AA255" s="1">
        <v>0.96770999999999996</v>
      </c>
      <c r="AB255" s="1">
        <v>0.99519999999999997</v>
      </c>
      <c r="AC255" s="1">
        <v>1.0396700000000001</v>
      </c>
      <c r="AD255" s="1">
        <v>1.0062500000000001</v>
      </c>
      <c r="AE255" s="1">
        <v>0.95567000000000002</v>
      </c>
      <c r="AF255" s="1">
        <v>0.99138999999999999</v>
      </c>
      <c r="AG255" s="1">
        <v>0.94508000000000003</v>
      </c>
      <c r="AH255" s="1">
        <v>0.96770999999999996</v>
      </c>
      <c r="AI255" s="1">
        <v>0.99519999999999997</v>
      </c>
      <c r="AJ255" s="1">
        <v>1.0396700000000001</v>
      </c>
      <c r="AL255" s="4" t="s">
        <v>25</v>
      </c>
      <c r="AM255" s="6" t="str" cm="1">
        <f t="array" ref="AM255">IFERROR((SUMPRODUCT(($D$253:$D$276=AM$251)*($F$250:$AJ$250="")*$F$253:$AJ$276)+IF(AM$251="P6",SUMPRODUCT(($F$250:$AJ$250="P6")*$F$253:$AJ$276),0))/(SUMPRODUCT(($D$253:$D$276=AM$251)*($F$250:$AJ$250=""))+IF(AM$251="P6",COUNTIF($F$250:$AJ$250,"P6")*ROWS($D$253:$D$276),0)),"")</f>
        <v/>
      </c>
      <c r="AN255" s="6" t="str" cm="1">
        <f t="array" ref="AN255">IFERROR((SUMPRODUCT(($D$253:$D$276=AN$251)*($F$250:$AJ$250="")*$F$253:$AJ$276)+IF(AN$251="P6",SUMPRODUCT(($F$250:$AJ$250="P6")*$F$253:$AJ$276),0))/(SUMPRODUCT(($D$253:$D$276=AN$251)*($F$250:$AJ$250=""))+IF(AN$251="P6",COUNTIF($F$250:$AJ$250,"P6")*ROWS($D$253:$D$276),0)),"")</f>
        <v/>
      </c>
      <c r="AO255" s="5" cm="1">
        <f t="array" ref="AO255">IFERROR((SUMPRODUCT(($D$253:$D$276=AO$251)*($F$250:$AJ$250="")*$F$253:$AJ$276)+IF(AO$251="P6",SUMPRODUCT(($F$250:$AJ$250="P6")*$F$253:$AJ$276),0))/(SUMPRODUCT(($D$253:$D$276=AO$251)*($F$250:$AJ$250=""))+IF(AO$251="P6",COUNTIF($F$250:$AJ$250,"P6")*ROWS($D$253:$D$276),0)),"")</f>
        <v>0.89437022222222184</v>
      </c>
      <c r="AP255" s="5" cm="1">
        <f t="array" ref="AP255">IFERROR((SUMPRODUCT(($D$253:$D$276=AP$251)*($F$250:$AJ$250="")*$F$253:$AJ$276)+IF(AP$251="P6",SUMPRODUCT(($F$250:$AJ$250="P6")*$F$253:$AJ$276),0))/(SUMPRODUCT(($D$253:$D$276=AP$251)*($F$250:$AJ$250=""))+IF(AP$251="P6",COUNTIF($F$250:$AJ$250,"P6")*ROWS($D$253:$D$276),0)),"")</f>
        <v>0.93350314285714386</v>
      </c>
      <c r="AQ255" s="5" t="str" cm="1">
        <f t="array" ref="AQ255">IFERROR((SUMPRODUCT(($D$253:$D$276=AQ$251)*($F$250:$AJ$250="")*$F$253:$AJ$276)+IF(AQ$251="P6",SUMPRODUCT(($F$250:$AJ$250="P6")*$F$253:$AJ$276),0))/(SUMPRODUCT(($D$253:$D$276=AQ$251)*($F$250:$AJ$250=""))+IF(AQ$251="P6",COUNTIF($F$250:$AJ$250,"P6")*ROWS($D$253:$D$276),0)),"")</f>
        <v/>
      </c>
      <c r="AR255" s="6" cm="1">
        <f t="array" ref="AR255">IFERROR((SUMPRODUCT(($D$253:$D$276=AR$251)*($F$250:$AJ$250="")*$F$253:$AJ$276)+IF(AR$251="P6",SUMPRODUCT(($F$250:$AJ$250="P6")*$F$253:$AJ$276),0))/(SUMPRODUCT(($D$253:$D$276=AR$251)*($F$250:$AJ$250=""))+IF(AR$251="P6",COUNTIF($F$250:$AJ$250,"P6")*ROWS($D$253:$D$276),0)),"")</f>
        <v>0.93154775943396251</v>
      </c>
    </row>
    <row r="256" spans="1:44" ht="14.25" customHeight="1" x14ac:dyDescent="0.35">
      <c r="A256" s="1" t="s">
        <v>7</v>
      </c>
      <c r="B256" s="1" t="s">
        <v>7</v>
      </c>
      <c r="C256" s="1" t="s">
        <v>15</v>
      </c>
      <c r="D256" s="1" t="s">
        <v>7</v>
      </c>
      <c r="E256" s="1" t="s">
        <v>11</v>
      </c>
      <c r="F256" s="1">
        <v>0.96640999999999999</v>
      </c>
      <c r="G256" s="1">
        <v>1.0005900000000001</v>
      </c>
      <c r="H256" s="1">
        <v>1.0436700000000001</v>
      </c>
      <c r="I256" s="1">
        <v>1.00454</v>
      </c>
      <c r="J256" s="1">
        <v>0.96967999999999999</v>
      </c>
      <c r="K256" s="1">
        <v>0.98502000000000001</v>
      </c>
      <c r="L256" s="1">
        <v>0.94599999999999995</v>
      </c>
      <c r="M256" s="1">
        <v>0.96640999999999999</v>
      </c>
      <c r="N256" s="1">
        <v>1.0005900000000001</v>
      </c>
      <c r="O256" s="1">
        <v>1.0436700000000001</v>
      </c>
      <c r="P256" s="1">
        <v>1.00454</v>
      </c>
      <c r="Q256" s="1">
        <v>0.96967999999999999</v>
      </c>
      <c r="R256" s="1">
        <v>0.98502000000000001</v>
      </c>
      <c r="S256" s="1">
        <v>0.94599999999999995</v>
      </c>
      <c r="T256" s="1">
        <v>1.00343</v>
      </c>
      <c r="U256" s="1">
        <v>1.0005900000000001</v>
      </c>
      <c r="V256" s="1">
        <v>1.0436700000000001</v>
      </c>
      <c r="W256" s="1">
        <v>1.00454</v>
      </c>
      <c r="X256" s="1">
        <v>0.96967999999999999</v>
      </c>
      <c r="Y256" s="1">
        <v>0.98502000000000001</v>
      </c>
      <c r="Z256" s="1">
        <v>0.94599999999999995</v>
      </c>
      <c r="AA256" s="1">
        <v>0.96640999999999999</v>
      </c>
      <c r="AB256" s="1">
        <v>1.0005900000000001</v>
      </c>
      <c r="AC256" s="1">
        <v>1.0436700000000001</v>
      </c>
      <c r="AD256" s="1">
        <v>1.00454</v>
      </c>
      <c r="AE256" s="1">
        <v>0.96967999999999999</v>
      </c>
      <c r="AF256" s="1">
        <v>0.98502000000000001</v>
      </c>
      <c r="AG256" s="1">
        <v>0.94599999999999995</v>
      </c>
      <c r="AH256" s="1">
        <v>0.96640999999999999</v>
      </c>
      <c r="AI256" s="1">
        <v>1.0005900000000001</v>
      </c>
      <c r="AJ256" s="1">
        <v>1.0436700000000001</v>
      </c>
      <c r="AL256" s="4" t="s">
        <v>27</v>
      </c>
      <c r="AM256" s="6" t="str" cm="1">
        <f t="array" ref="AM256">IFERROR((SUMPRODUCT(($D$253:$D$276=AM$251)*($F$250:$AJ$250="")*$F$253:$AJ$276)+IF(AM$251="P6",SUMPRODUCT(($F$250:$AJ$250="P6")*$F$253:$AJ$276),0))/(SUMPRODUCT(($D$253:$D$276=AM$251)*($F$250:$AJ$250=""))+IF(AM$251="P6",COUNTIF($F$250:$AJ$250,"P6")*ROWS($D$253:$D$276),0)),"")</f>
        <v/>
      </c>
      <c r="AN256" s="6" t="str" cm="1">
        <f t="array" ref="AN256">IFERROR((SUMPRODUCT(($D$253:$D$276=AN$251)*($F$250:$AJ$250="")*$F$253:$AJ$276)+IF(AN$251="P6",SUMPRODUCT(($F$250:$AJ$250="P6")*$F$253:$AJ$276),0))/(SUMPRODUCT(($D$253:$D$276=AN$251)*($F$250:$AJ$250=""))+IF(AN$251="P6",COUNTIF($F$250:$AJ$250,"P6")*ROWS($D$253:$D$276),0)),"")</f>
        <v/>
      </c>
      <c r="AO256" s="5" cm="1">
        <f t="array" ref="AO256">IFERROR((SUMPRODUCT(($D$253:$D$276=AO$251)*($F$250:$AJ$250="")*$F$253:$AJ$276)+IF(AO$251="P6",SUMPRODUCT(($F$250:$AJ$250="P6")*$F$253:$AJ$276),0))/(SUMPRODUCT(($D$253:$D$276=AO$251)*($F$250:$AJ$250=""))+IF(AO$251="P6",COUNTIF($F$250:$AJ$250,"P6")*ROWS($D$253:$D$276),0)),"")</f>
        <v>0.89437022222222184</v>
      </c>
      <c r="AP256" s="5" cm="1">
        <f t="array" ref="AP256">IFERROR((SUMPRODUCT(($D$253:$D$276=AP$251)*($F$250:$AJ$250="")*$F$253:$AJ$276)+IF(AP$251="P6",SUMPRODUCT(($F$250:$AJ$250="P6")*$F$253:$AJ$276),0))/(SUMPRODUCT(($D$253:$D$276=AP$251)*($F$250:$AJ$250=""))+IF(AP$251="P6",COUNTIF($F$250:$AJ$250,"P6")*ROWS($D$253:$D$276),0)),"")</f>
        <v>0.93350314285714386</v>
      </c>
      <c r="AQ256" s="5" t="str" cm="1">
        <f t="array" ref="AQ256">IFERROR((SUMPRODUCT(($D$253:$D$276=AQ$251)*($F$250:$AJ$250="")*$F$253:$AJ$276)+IF(AQ$251="P6",SUMPRODUCT(($F$250:$AJ$250="P6")*$F$253:$AJ$276),0))/(SUMPRODUCT(($D$253:$D$276=AQ$251)*($F$250:$AJ$250=""))+IF(AQ$251="P6",COUNTIF($F$250:$AJ$250,"P6")*ROWS($D$253:$D$276),0)),"")</f>
        <v/>
      </c>
      <c r="AR256" s="6" cm="1">
        <f t="array" ref="AR256">IFERROR((SUMPRODUCT(($D$253:$D$276=AR$251)*($F$250:$AJ$250="")*$F$253:$AJ$276)+IF(AR$251="P6",SUMPRODUCT(($F$250:$AJ$250="P6")*$F$253:$AJ$276),0))/(SUMPRODUCT(($D$253:$D$276=AR$251)*($F$250:$AJ$250=""))+IF(AR$251="P6",COUNTIF($F$250:$AJ$250,"P6")*ROWS($D$253:$D$276),0)),"")</f>
        <v>0.93154775943396251</v>
      </c>
    </row>
    <row r="257" spans="1:44" ht="14.25" customHeight="1" x14ac:dyDescent="0.35">
      <c r="A257" s="1" t="s">
        <v>7</v>
      </c>
      <c r="B257" s="1" t="s">
        <v>7</v>
      </c>
      <c r="C257" s="1" t="s">
        <v>15</v>
      </c>
      <c r="D257" s="1" t="s">
        <v>7</v>
      </c>
      <c r="E257" s="1" t="s">
        <v>12</v>
      </c>
      <c r="F257" s="1">
        <v>0.96065999999999996</v>
      </c>
      <c r="G257" s="1">
        <v>1.00325</v>
      </c>
      <c r="H257" s="1">
        <v>1.0364899999999999</v>
      </c>
      <c r="I257" s="1">
        <v>0.99965000000000004</v>
      </c>
      <c r="J257" s="1">
        <v>0.96167999999999998</v>
      </c>
      <c r="K257" s="1">
        <v>0.98807999999999996</v>
      </c>
      <c r="L257" s="1">
        <v>0.94442000000000004</v>
      </c>
      <c r="M257" s="1">
        <v>0.96065999999999996</v>
      </c>
      <c r="N257" s="1">
        <v>1.00325</v>
      </c>
      <c r="O257" s="1">
        <v>1.0364899999999999</v>
      </c>
      <c r="P257" s="1">
        <v>0.99965000000000004</v>
      </c>
      <c r="Q257" s="1">
        <v>0.96167999999999998</v>
      </c>
      <c r="R257" s="1">
        <v>0.98807999999999996</v>
      </c>
      <c r="S257" s="1">
        <v>0.94442000000000004</v>
      </c>
      <c r="T257" s="1">
        <v>1.0043200000000001</v>
      </c>
      <c r="U257" s="1">
        <v>1.00325</v>
      </c>
      <c r="V257" s="1">
        <v>1.0364899999999999</v>
      </c>
      <c r="W257" s="1">
        <v>0.99965000000000004</v>
      </c>
      <c r="X257" s="1">
        <v>0.96167999999999998</v>
      </c>
      <c r="Y257" s="1">
        <v>0.98807999999999996</v>
      </c>
      <c r="Z257" s="1">
        <v>0.94442000000000004</v>
      </c>
      <c r="AA257" s="1">
        <v>0.96065999999999996</v>
      </c>
      <c r="AB257" s="1">
        <v>1.00325</v>
      </c>
      <c r="AC257" s="1">
        <v>1.0364899999999999</v>
      </c>
      <c r="AD257" s="1">
        <v>0.99965000000000004</v>
      </c>
      <c r="AE257" s="1">
        <v>0.96167999999999998</v>
      </c>
      <c r="AF257" s="1">
        <v>0.98807999999999996</v>
      </c>
      <c r="AG257" s="1">
        <v>0.94442000000000004</v>
      </c>
      <c r="AH257" s="1">
        <v>0.96065999999999996</v>
      </c>
      <c r="AI257" s="1">
        <v>1.00325</v>
      </c>
      <c r="AJ257" s="1">
        <v>1.0364899999999999</v>
      </c>
      <c r="AL257" s="4" t="s">
        <v>29</v>
      </c>
      <c r="AM257" s="6" t="str" cm="1">
        <f t="array" ref="AM257">IFERROR((SUMPRODUCT(($D$253:$D$276=AM$251)*($F$250:$AJ$250="")*$F$253:$AJ$276)+IF(AM$251="P6",SUMPRODUCT(($F$250:$AJ$250="P6")*$F$253:$AJ$276),0))/(SUMPRODUCT(($D$253:$D$276=AM$251)*($F$250:$AJ$250=""))+IF(AM$251="P6",COUNTIF($F$250:$AJ$250,"P6")*ROWS($D$253:$D$276),0)),"")</f>
        <v/>
      </c>
      <c r="AN257" s="6" t="str" cm="1">
        <f t="array" ref="AN257">IFERROR((SUMPRODUCT(($D$253:$D$276=AN$251)*($F$250:$AJ$250="")*$F$253:$AJ$276)+IF(AN$251="P6",SUMPRODUCT(($F$250:$AJ$250="P6")*$F$253:$AJ$276),0))/(SUMPRODUCT(($D$253:$D$276=AN$251)*($F$250:$AJ$250=""))+IF(AN$251="P6",COUNTIF($F$250:$AJ$250,"P6")*ROWS($D$253:$D$276),0)),"")</f>
        <v/>
      </c>
      <c r="AO257" s="5" cm="1">
        <f t="array" ref="AO257">IFERROR((SUMPRODUCT(($D$253:$D$276=AO$251)*($F$250:$AJ$250="")*$F$253:$AJ$276)+IF(AO$251="P6",SUMPRODUCT(($F$250:$AJ$250="P6")*$F$253:$AJ$276),0))/(SUMPRODUCT(($D$253:$D$276=AO$251)*($F$250:$AJ$250=""))+IF(AO$251="P6",COUNTIF($F$250:$AJ$250,"P6")*ROWS($D$253:$D$276),0)),"")</f>
        <v>0.89437022222222184</v>
      </c>
      <c r="AP257" s="5" cm="1">
        <f t="array" ref="AP257">IFERROR((SUMPRODUCT(($D$253:$D$276=AP$251)*($F$250:$AJ$250="")*$F$253:$AJ$276)+IF(AP$251="P6",SUMPRODUCT(($F$250:$AJ$250="P6")*$F$253:$AJ$276),0))/(SUMPRODUCT(($D$253:$D$276=AP$251)*($F$250:$AJ$250=""))+IF(AP$251="P6",COUNTIF($F$250:$AJ$250,"P6")*ROWS($D$253:$D$276),0)),"")</f>
        <v>0.93350314285714386</v>
      </c>
      <c r="AQ257" s="5" t="str" cm="1">
        <f t="array" ref="AQ257">IFERROR((SUMPRODUCT(($D$253:$D$276=AQ$251)*($F$250:$AJ$250="")*$F$253:$AJ$276)+IF(AQ$251="P6",SUMPRODUCT(($F$250:$AJ$250="P6")*$F$253:$AJ$276),0))/(SUMPRODUCT(($D$253:$D$276=AQ$251)*($F$250:$AJ$250=""))+IF(AQ$251="P6",COUNTIF($F$250:$AJ$250,"P6")*ROWS($D$253:$D$276),0)),"")</f>
        <v/>
      </c>
      <c r="AR257" s="6" cm="1">
        <f t="array" ref="AR257">IFERROR((SUMPRODUCT(($D$253:$D$276=AR$251)*($F$250:$AJ$250="")*$F$253:$AJ$276)+IF(AR$251="P6",SUMPRODUCT(($F$250:$AJ$250="P6")*$F$253:$AJ$276),0))/(SUMPRODUCT(($D$253:$D$276=AR$251)*($F$250:$AJ$250=""))+IF(AR$251="P6",COUNTIF($F$250:$AJ$250,"P6")*ROWS($D$253:$D$276),0)),"")</f>
        <v>0.93154775943396251</v>
      </c>
    </row>
    <row r="258" spans="1:44" ht="14.25" customHeight="1" x14ac:dyDescent="0.35">
      <c r="A258" s="1" t="s">
        <v>7</v>
      </c>
      <c r="B258" s="1" t="s">
        <v>7</v>
      </c>
      <c r="C258" s="1" t="s">
        <v>15</v>
      </c>
      <c r="D258" s="1" t="s">
        <v>7</v>
      </c>
      <c r="E258" s="1" t="s">
        <v>18</v>
      </c>
      <c r="F258" s="1">
        <v>0.94664999999999999</v>
      </c>
      <c r="G258" s="1">
        <v>0.99619999999999997</v>
      </c>
      <c r="H258" s="1">
        <v>1.0261400000000001</v>
      </c>
      <c r="I258" s="1">
        <v>0.97309999999999997</v>
      </c>
      <c r="J258" s="1">
        <v>0.93925999999999998</v>
      </c>
      <c r="K258" s="1">
        <v>0.97289999999999999</v>
      </c>
      <c r="L258" s="1">
        <v>0.92227000000000003</v>
      </c>
      <c r="M258" s="1">
        <v>0.94664999999999999</v>
      </c>
      <c r="N258" s="1">
        <v>0.99619999999999997</v>
      </c>
      <c r="O258" s="1">
        <v>1.0261400000000001</v>
      </c>
      <c r="P258" s="1">
        <v>0.97309999999999997</v>
      </c>
      <c r="Q258" s="1">
        <v>0.93925999999999998</v>
      </c>
      <c r="R258" s="1">
        <v>0.97289999999999999</v>
      </c>
      <c r="S258" s="1">
        <v>0.92227000000000003</v>
      </c>
      <c r="T258" s="1">
        <v>1.0012799999999999</v>
      </c>
      <c r="U258" s="1">
        <v>0.99619999999999997</v>
      </c>
      <c r="V258" s="1">
        <v>1.0261400000000001</v>
      </c>
      <c r="W258" s="1">
        <v>0.97309999999999997</v>
      </c>
      <c r="X258" s="1">
        <v>0.93925999999999998</v>
      </c>
      <c r="Y258" s="1">
        <v>0.97289999999999999</v>
      </c>
      <c r="Z258" s="1">
        <v>0.92227000000000003</v>
      </c>
      <c r="AA258" s="1">
        <v>0.94664999999999999</v>
      </c>
      <c r="AB258" s="1">
        <v>0.99619999999999997</v>
      </c>
      <c r="AC258" s="1">
        <v>1.0261400000000001</v>
      </c>
      <c r="AD258" s="1">
        <v>0.97309999999999997</v>
      </c>
      <c r="AE258" s="1">
        <v>0.93925999999999998</v>
      </c>
      <c r="AF258" s="1">
        <v>0.97289999999999999</v>
      </c>
      <c r="AG258" s="1">
        <v>0.92227000000000003</v>
      </c>
      <c r="AH258" s="1">
        <v>0.94664999999999999</v>
      </c>
      <c r="AI258" s="1">
        <v>0.99619999999999997</v>
      </c>
      <c r="AJ258" s="1">
        <v>1.0261400000000001</v>
      </c>
      <c r="AL258" s="10"/>
      <c r="AM258" s="10"/>
      <c r="AN258" s="10"/>
      <c r="AO258" s="10"/>
      <c r="AP258" s="10"/>
      <c r="AQ258" s="10"/>
      <c r="AR258" s="10"/>
    </row>
    <row r="259" spans="1:44" ht="14.25" customHeight="1" x14ac:dyDescent="0.35">
      <c r="A259" s="1" t="s">
        <v>7</v>
      </c>
      <c r="B259" s="1" t="s">
        <v>7</v>
      </c>
      <c r="C259" s="1" t="s">
        <v>15</v>
      </c>
      <c r="D259" s="1" t="s">
        <v>7</v>
      </c>
      <c r="E259" s="1" t="s">
        <v>20</v>
      </c>
      <c r="F259" s="1">
        <v>0.90874999999999995</v>
      </c>
      <c r="G259" s="1">
        <v>0.97441</v>
      </c>
      <c r="H259" s="1">
        <v>1.0056700000000001</v>
      </c>
      <c r="I259" s="1">
        <v>0.92530999999999997</v>
      </c>
      <c r="J259" s="1">
        <v>0.89931000000000005</v>
      </c>
      <c r="K259" s="1">
        <v>0.92276999999999998</v>
      </c>
      <c r="L259" s="1">
        <v>0.88097000000000003</v>
      </c>
      <c r="M259" s="1">
        <v>0.90874999999999995</v>
      </c>
      <c r="N259" s="1">
        <v>0.97441</v>
      </c>
      <c r="O259" s="1">
        <v>1.0056700000000001</v>
      </c>
      <c r="P259" s="1">
        <v>0.92530999999999997</v>
      </c>
      <c r="Q259" s="1">
        <v>0.89931000000000005</v>
      </c>
      <c r="R259" s="1">
        <v>0.92276999999999998</v>
      </c>
      <c r="S259" s="1">
        <v>0.88097000000000003</v>
      </c>
      <c r="T259" s="1">
        <v>0.98334999999999995</v>
      </c>
      <c r="U259" s="1">
        <v>0.97441</v>
      </c>
      <c r="V259" s="1">
        <v>1.0056700000000001</v>
      </c>
      <c r="W259" s="1">
        <v>0.92530999999999997</v>
      </c>
      <c r="X259" s="1">
        <v>0.89931000000000005</v>
      </c>
      <c r="Y259" s="1">
        <v>0.92276999999999998</v>
      </c>
      <c r="Z259" s="1">
        <v>0.88097000000000003</v>
      </c>
      <c r="AA259" s="1">
        <v>0.90874999999999995</v>
      </c>
      <c r="AB259" s="1">
        <v>0.97441</v>
      </c>
      <c r="AC259" s="1">
        <v>1.0056700000000001</v>
      </c>
      <c r="AD259" s="1">
        <v>0.92530999999999997</v>
      </c>
      <c r="AE259" s="1">
        <v>0.89931000000000005</v>
      </c>
      <c r="AF259" s="1">
        <v>0.92276999999999998</v>
      </c>
      <c r="AG259" s="1">
        <v>0.88097000000000003</v>
      </c>
      <c r="AH259" s="1">
        <v>0.90874999999999995</v>
      </c>
      <c r="AI259" s="1">
        <v>0.97441</v>
      </c>
      <c r="AJ259" s="1">
        <v>1.0056700000000001</v>
      </c>
      <c r="AL259" s="10"/>
      <c r="AM259" s="10"/>
      <c r="AN259" s="10"/>
      <c r="AO259" s="10"/>
      <c r="AP259" s="10"/>
      <c r="AQ259" s="10"/>
      <c r="AR259" s="10"/>
    </row>
    <row r="260" spans="1:44" ht="14.25" customHeight="1" x14ac:dyDescent="0.35">
      <c r="A260" s="1" t="s">
        <v>7</v>
      </c>
      <c r="B260" s="1" t="s">
        <v>7</v>
      </c>
      <c r="C260" s="1" t="s">
        <v>15</v>
      </c>
      <c r="D260" s="1" t="s">
        <v>7</v>
      </c>
      <c r="E260" s="1" t="s">
        <v>22</v>
      </c>
      <c r="F260" s="1">
        <v>0.87714999999999999</v>
      </c>
      <c r="G260" s="1">
        <v>0.96811999999999998</v>
      </c>
      <c r="H260" s="1">
        <v>1.0081</v>
      </c>
      <c r="I260" s="1">
        <v>0.88070999999999999</v>
      </c>
      <c r="J260" s="1">
        <v>0.87029999999999996</v>
      </c>
      <c r="K260" s="1">
        <v>0.88776999999999995</v>
      </c>
      <c r="L260" s="1">
        <v>0.85372999999999999</v>
      </c>
      <c r="M260" s="1">
        <v>0.87714999999999999</v>
      </c>
      <c r="N260" s="1">
        <v>0.96811999999999998</v>
      </c>
      <c r="O260" s="1">
        <v>1.0081</v>
      </c>
      <c r="P260" s="1">
        <v>0.88070999999999999</v>
      </c>
      <c r="Q260" s="1">
        <v>0.87029999999999996</v>
      </c>
      <c r="R260" s="1">
        <v>0.88776999999999995</v>
      </c>
      <c r="S260" s="1">
        <v>0.85372999999999999</v>
      </c>
      <c r="T260" s="1">
        <v>0.97399999999999998</v>
      </c>
      <c r="U260" s="1">
        <v>0.96811999999999998</v>
      </c>
      <c r="V260" s="1">
        <v>1.0081</v>
      </c>
      <c r="W260" s="1">
        <v>0.88070999999999999</v>
      </c>
      <c r="X260" s="1">
        <v>0.87029999999999996</v>
      </c>
      <c r="Y260" s="1">
        <v>0.88776999999999995</v>
      </c>
      <c r="Z260" s="1">
        <v>0.85372999999999999</v>
      </c>
      <c r="AA260" s="1">
        <v>0.87714999999999999</v>
      </c>
      <c r="AB260" s="1">
        <v>0.96811999999999998</v>
      </c>
      <c r="AC260" s="1">
        <v>1.0081</v>
      </c>
      <c r="AD260" s="1">
        <v>0.88070999999999999</v>
      </c>
      <c r="AE260" s="1">
        <v>0.87029999999999996</v>
      </c>
      <c r="AF260" s="1">
        <v>0.88776999999999995</v>
      </c>
      <c r="AG260" s="1">
        <v>0.85372999999999999</v>
      </c>
      <c r="AH260" s="1">
        <v>0.87714999999999999</v>
      </c>
      <c r="AI260" s="1">
        <v>0.96811999999999998</v>
      </c>
      <c r="AJ260" s="1">
        <v>1.0081</v>
      </c>
      <c r="AL260" s="14" t="s">
        <v>100</v>
      </c>
      <c r="AM260" s="14"/>
      <c r="AN260" s="14"/>
      <c r="AO260" s="14"/>
      <c r="AP260" s="14"/>
      <c r="AQ260" s="14"/>
      <c r="AR260" s="14"/>
    </row>
    <row r="261" spans="1:44" ht="14.25" customHeight="1" x14ac:dyDescent="0.35">
      <c r="A261" s="1" t="s">
        <v>15</v>
      </c>
      <c r="B261" s="1" t="s">
        <v>14</v>
      </c>
      <c r="C261" s="1" t="s">
        <v>14</v>
      </c>
      <c r="D261" s="1" t="s">
        <v>16</v>
      </c>
      <c r="E261" s="1" t="s">
        <v>24</v>
      </c>
      <c r="F261" s="1">
        <v>0.91618999999999995</v>
      </c>
      <c r="G261" s="1">
        <v>0.90498999999999996</v>
      </c>
      <c r="H261" s="1">
        <v>0.95020000000000004</v>
      </c>
      <c r="I261" s="1">
        <v>0.90624000000000005</v>
      </c>
      <c r="J261" s="1">
        <v>0.90268999999999999</v>
      </c>
      <c r="K261" s="1">
        <v>0.92327999999999999</v>
      </c>
      <c r="L261" s="1">
        <v>0.89953000000000005</v>
      </c>
      <c r="M261" s="1">
        <v>0.91618999999999995</v>
      </c>
      <c r="N261" s="1">
        <v>0.90498999999999996</v>
      </c>
      <c r="O261" s="1">
        <v>0.95020000000000004</v>
      </c>
      <c r="P261" s="1">
        <v>0.90624000000000005</v>
      </c>
      <c r="Q261" s="1">
        <v>0.90268999999999999</v>
      </c>
      <c r="R261" s="1">
        <v>0.92327999999999999</v>
      </c>
      <c r="S261" s="1">
        <v>0.89953000000000005</v>
      </c>
      <c r="T261" s="1">
        <v>0.91764999999999997</v>
      </c>
      <c r="U261" s="1">
        <v>0.90498999999999996</v>
      </c>
      <c r="V261" s="1">
        <v>0.95020000000000004</v>
      </c>
      <c r="W261" s="1">
        <v>0.90624000000000005</v>
      </c>
      <c r="X261" s="1">
        <v>0.90268999999999999</v>
      </c>
      <c r="Y261" s="1">
        <v>0.92327999999999999</v>
      </c>
      <c r="Z261" s="1">
        <v>0.89953000000000005</v>
      </c>
      <c r="AA261" s="1">
        <v>0.91618999999999995</v>
      </c>
      <c r="AB261" s="1">
        <v>0.90498999999999996</v>
      </c>
      <c r="AC261" s="1">
        <v>0.95020000000000004</v>
      </c>
      <c r="AD261" s="1">
        <v>0.90624000000000005</v>
      </c>
      <c r="AE261" s="1">
        <v>0.90268999999999999</v>
      </c>
      <c r="AF261" s="1">
        <v>0.92327999999999999</v>
      </c>
      <c r="AG261" s="1">
        <v>0.89953000000000005</v>
      </c>
      <c r="AH261" s="1">
        <v>0.91618999999999995</v>
      </c>
      <c r="AI261" s="1">
        <v>0.90498999999999996</v>
      </c>
      <c r="AJ261" s="1">
        <v>0.95020000000000004</v>
      </c>
      <c r="AL261" s="4"/>
      <c r="AM261" s="4" t="s">
        <v>13</v>
      </c>
      <c r="AN261" s="4" t="s">
        <v>14</v>
      </c>
      <c r="AO261" s="4" t="s">
        <v>15</v>
      </c>
      <c r="AP261" s="4" t="s">
        <v>16</v>
      </c>
      <c r="AQ261" s="4" t="s">
        <v>17</v>
      </c>
      <c r="AR261" s="4" t="s">
        <v>7</v>
      </c>
    </row>
    <row r="262" spans="1:44" ht="14.25" customHeight="1" x14ac:dyDescent="0.35">
      <c r="A262" s="1" t="s">
        <v>15</v>
      </c>
      <c r="B262" s="1" t="s">
        <v>14</v>
      </c>
      <c r="C262" s="1" t="s">
        <v>14</v>
      </c>
      <c r="D262" s="1" t="s">
        <v>15</v>
      </c>
      <c r="E262" s="1" t="s">
        <v>26</v>
      </c>
      <c r="F262" s="1">
        <v>0.86080000000000001</v>
      </c>
      <c r="G262" s="1">
        <v>0.83901000000000003</v>
      </c>
      <c r="H262" s="1">
        <v>0.87765000000000004</v>
      </c>
      <c r="I262" s="1">
        <v>0.85058</v>
      </c>
      <c r="J262" s="1">
        <v>0.84772000000000003</v>
      </c>
      <c r="K262" s="1">
        <v>0.85494000000000003</v>
      </c>
      <c r="L262" s="1">
        <v>0.85379000000000005</v>
      </c>
      <c r="M262" s="1">
        <v>0.86080000000000001</v>
      </c>
      <c r="N262" s="1">
        <v>0.83901000000000003</v>
      </c>
      <c r="O262" s="1">
        <v>0.87765000000000004</v>
      </c>
      <c r="P262" s="1">
        <v>0.85058</v>
      </c>
      <c r="Q262" s="1">
        <v>0.84772000000000003</v>
      </c>
      <c r="R262" s="1">
        <v>0.85494000000000003</v>
      </c>
      <c r="S262" s="1">
        <v>0.85379000000000005</v>
      </c>
      <c r="T262" s="1">
        <v>0.86999000000000004</v>
      </c>
      <c r="U262" s="1">
        <v>0.83901000000000003</v>
      </c>
      <c r="V262" s="1">
        <v>0.87765000000000004</v>
      </c>
      <c r="W262" s="1">
        <v>0.85058</v>
      </c>
      <c r="X262" s="1">
        <v>0.84772000000000003</v>
      </c>
      <c r="Y262" s="1">
        <v>0.85494000000000003</v>
      </c>
      <c r="Z262" s="1">
        <v>0.85379000000000005</v>
      </c>
      <c r="AA262" s="1">
        <v>0.86080000000000001</v>
      </c>
      <c r="AB262" s="1">
        <v>0.83901000000000003</v>
      </c>
      <c r="AC262" s="1">
        <v>0.87765000000000004</v>
      </c>
      <c r="AD262" s="1">
        <v>0.85058</v>
      </c>
      <c r="AE262" s="1">
        <v>0.84772000000000003</v>
      </c>
      <c r="AF262" s="1">
        <v>0.85494000000000003</v>
      </c>
      <c r="AG262" s="1">
        <v>0.85379000000000005</v>
      </c>
      <c r="AH262" s="1">
        <v>0.86080000000000001</v>
      </c>
      <c r="AI262" s="1">
        <v>0.83901000000000003</v>
      </c>
      <c r="AJ262" s="1">
        <v>0.87765000000000004</v>
      </c>
      <c r="AL262" s="4" t="s">
        <v>19</v>
      </c>
      <c r="AM262" s="6" cm="1">
        <f t="array" ref="AM262">IFERROR((SUMPRODUCT(($C$253:$C$276=AM$251)*($F$249:$AJ$249="")*$F$253:$AJ$276)+IF(AM$251="P3",SUMPRODUCT(($F$249:$AJ$249="P3")*$F$253:$AJ$276),0))/(SUMPRODUCT(($C$253:$C$276=AM$251)*($F$249:$AJ$249=""))+IF(AM$251="P3",COUNTIF($F$249:$AJ$249,"P3")*ROWS($C$253:$C$276),0)),"")</f>
        <v>0.89947075000000043</v>
      </c>
      <c r="AN262" s="6" cm="1">
        <f t="array" ref="AN262">IFERROR((SUMPRODUCT(($C$253:$C$276=AN$251)*($F$249:$AJ$249="")*$F$253:$AJ$276)+IF(AN$251="P3",SUMPRODUCT(($F$249:$AJ$249="P3")*$F$253:$AJ$276),0))/(SUMPRODUCT(($C$253:$C$276=AN$251)*($F$249:$AJ$249=""))+IF(AN$251="P3",COUNTIF($F$249:$AJ$249,"P3")*ROWS($C$253:$C$276),0)),"")</f>
        <v>0.92351100000000064</v>
      </c>
      <c r="AO262" s="6" cm="1">
        <f t="array" ref="AO262">IFERROR((SUMPRODUCT(($C$253:$C$276=AO$251)*($F$249:$AJ$249="")*$F$253:$AJ$276)+IF(AO$251="P3",SUMPRODUCT(($F$249:$AJ$249="P3")*$F$253:$AJ$276),0))/(SUMPRODUCT(($C$253:$C$276=AO$251)*($F$249:$AJ$249=""))+IF(AO$251="P3",COUNTIF($F$249:$AJ$249,"P3")*ROWS($C$253:$C$276),0)),"")</f>
        <v>0.93154775943396251</v>
      </c>
      <c r="AP262" s="6" t="str" cm="1">
        <f t="array" ref="AP262">IFERROR((SUMPRODUCT(($C$253:$C$276=AP$251)*($F$249:$AJ$249="")*$F$253:$AJ$276)+IF(AP$251="P3",SUMPRODUCT(($F$249:$AJ$249="P3")*$F$253:$AJ$276),0))/(SUMPRODUCT(($C$253:$C$276=AP$251)*($F$249:$AJ$249=""))+IF(AP$251="P3",COUNTIF($F$249:$AJ$249,"P3")*ROWS($C$253:$C$276),0)),"")</f>
        <v/>
      </c>
      <c r="AQ262" s="6" t="str" cm="1">
        <f t="array" ref="AQ262">IFERROR((SUMPRODUCT(($C$253:$C$276=AQ$251)*($F$249:$AJ$249="")*$F$253:$AJ$276)+IF(AQ$251="P3",SUMPRODUCT(($F$249:$AJ$249="P3")*$F$253:$AJ$276),0))/(SUMPRODUCT(($C$253:$C$276=AQ$251)*($F$249:$AJ$249=""))+IF(AQ$251="P3",COUNTIF($F$249:$AJ$249,"P3")*ROWS($C$253:$C$276),0)),"")</f>
        <v/>
      </c>
      <c r="AR262" s="6" t="str" cm="1">
        <f t="array" ref="AR262">IFERROR((SUMPRODUCT(($C$253:$C$276=AR$251)*($F$249:$AJ$249="")*$F$253:$AJ$276)+IF(AR$251="P3",SUMPRODUCT(($F$249:$AJ$249="P3")*$F$253:$AJ$276),0))/(SUMPRODUCT(($C$253:$C$276=AR$251)*($F$249:$AJ$249=""))+IF(AR$251="P3",COUNTIF($F$249:$AJ$249,"P3")*ROWS($C$253:$C$276),0)),"")</f>
        <v/>
      </c>
    </row>
    <row r="263" spans="1:44" ht="14.25" customHeight="1" x14ac:dyDescent="0.35">
      <c r="A263" s="1" t="s">
        <v>13</v>
      </c>
      <c r="B263" s="1" t="s">
        <v>13</v>
      </c>
      <c r="C263" s="1" t="s">
        <v>13</v>
      </c>
      <c r="D263" s="1" t="s">
        <v>15</v>
      </c>
      <c r="E263" s="1" t="s">
        <v>28</v>
      </c>
      <c r="F263" s="1">
        <v>0.82935000000000003</v>
      </c>
      <c r="G263" s="1">
        <v>0.81208999999999998</v>
      </c>
      <c r="H263" s="1">
        <v>0.85919000000000001</v>
      </c>
      <c r="I263" s="1">
        <v>0.82892999999999994</v>
      </c>
      <c r="J263" s="1">
        <v>0.81815000000000004</v>
      </c>
      <c r="K263" s="1">
        <v>0.83836999999999995</v>
      </c>
      <c r="L263" s="1">
        <v>0.81957000000000002</v>
      </c>
      <c r="M263" s="1">
        <v>0.82935000000000003</v>
      </c>
      <c r="N263" s="1">
        <v>0.81208999999999998</v>
      </c>
      <c r="O263" s="1">
        <v>0.85919000000000001</v>
      </c>
      <c r="P263" s="1">
        <v>0.82892999999999994</v>
      </c>
      <c r="Q263" s="1">
        <v>0.81815000000000004</v>
      </c>
      <c r="R263" s="1">
        <v>0.83836999999999995</v>
      </c>
      <c r="S263" s="1">
        <v>0.81957000000000002</v>
      </c>
      <c r="T263" s="1">
        <v>0.85782999999999998</v>
      </c>
      <c r="U263" s="1">
        <v>0.81208999999999998</v>
      </c>
      <c r="V263" s="1">
        <v>0.85919000000000001</v>
      </c>
      <c r="W263" s="1">
        <v>0.82892999999999994</v>
      </c>
      <c r="X263" s="1">
        <v>0.81815000000000004</v>
      </c>
      <c r="Y263" s="1">
        <v>0.83836999999999995</v>
      </c>
      <c r="Z263" s="1">
        <v>0.81957000000000002</v>
      </c>
      <c r="AA263" s="1">
        <v>0.82935000000000003</v>
      </c>
      <c r="AB263" s="1">
        <v>0.81208999999999998</v>
      </c>
      <c r="AC263" s="1">
        <v>0.85919000000000001</v>
      </c>
      <c r="AD263" s="1">
        <v>0.82892999999999994</v>
      </c>
      <c r="AE263" s="1">
        <v>0.81815000000000004</v>
      </c>
      <c r="AF263" s="1">
        <v>0.83836999999999995</v>
      </c>
      <c r="AG263" s="1">
        <v>0.81957000000000002</v>
      </c>
      <c r="AH263" s="1">
        <v>0.82935000000000003</v>
      </c>
      <c r="AI263" s="1">
        <v>0.81208999999999998</v>
      </c>
      <c r="AJ263" s="1">
        <v>0.85919000000000001</v>
      </c>
      <c r="AL263" s="4" t="s">
        <v>21</v>
      </c>
      <c r="AM263" s="6" cm="1">
        <f t="array" ref="AM263">IFERROR((SUMPRODUCT(($A$253:$A$276=AM$251)*($F$250:$AJ$250="")*$F$253:$AJ$276)+IF(AM$251="P6",SUMPRODUCT(($F$250:$AJ$250="P6")*$F$253:$AJ$276),0))/(SUMPRODUCT(($A$253:$A$276=AM$251)*($F$250:$AJ$250=""))+IF(AM$251="P6",COUNTIF($F$250:$AJ$250,"P6")*ROWS($A$253:$A$276),0)),"")</f>
        <v>0.89482622222222186</v>
      </c>
      <c r="AN263" s="6" t="str" cm="1">
        <f t="array" ref="AN263">IFERROR((SUMPRODUCT(($A$253:$A$276=AN$251)*($F$250:$AJ$250="")*$F$253:$AJ$276)+IF(AN$251="P6",SUMPRODUCT(($F$250:$AJ$250="P6")*$F$253:$AJ$276),0))/(SUMPRODUCT(($A$253:$A$276=AN$251)*($F$250:$AJ$250=""))+IF(AN$251="P6",COUNTIF($F$250:$AJ$250,"P6")*ROWS($A$253:$A$276),0)),"")</f>
        <v/>
      </c>
      <c r="AO263" s="6" cm="1">
        <f t="array" ref="AO263">IFERROR((SUMPRODUCT(($A$253:$A$276=AO$251)*($F$250:$AJ$250="")*$F$253:$AJ$276)+IF(AO$251="P6",SUMPRODUCT(($F$250:$AJ$250="P6")*$F$253:$AJ$276),0))/(SUMPRODUCT(($A$253:$A$276=AO$251)*($F$250:$AJ$250=""))+IF(AO$251="P6",COUNTIF($F$250:$AJ$250,"P6")*ROWS($A$253:$A$276),0)),"")</f>
        <v>0.93291685714285821</v>
      </c>
      <c r="AP263" s="6" t="str" cm="1">
        <f t="array" ref="AP263">IFERROR((SUMPRODUCT(($A$253:$A$276=AP$251)*($F$250:$AJ$250="")*$F$253:$AJ$276)+IF(AP$251="P6",SUMPRODUCT(($F$250:$AJ$250="P6")*$F$253:$AJ$276),0))/(SUMPRODUCT(($A$253:$A$276=AP$251)*($F$250:$AJ$250=""))+IF(AP$251="P6",COUNTIF($F$250:$AJ$250,"P6")*ROWS($A$253:$A$276),0)),"")</f>
        <v/>
      </c>
      <c r="AQ263" s="6" t="str" cm="1">
        <f t="array" ref="AQ263">IFERROR((SUMPRODUCT(($A$253:$A$276=AQ$251)*($F$250:$AJ$250="")*$F$253:$AJ$276)+IF(AQ$251="P6",SUMPRODUCT(($F$250:$AJ$250="P6")*$F$253:$AJ$276),0))/(SUMPRODUCT(($A$253:$A$276=AQ$251)*($F$250:$AJ$250=""))+IF(AQ$251="P6",COUNTIF($F$250:$AJ$250,"P6")*ROWS($A$253:$A$276),0)),"")</f>
        <v/>
      </c>
      <c r="AR263" s="6" cm="1">
        <f t="array" ref="AR263">IFERROR((SUMPRODUCT(($A$253:$A$276=AR$251)*($F$250:$AJ$250="")*$F$253:$AJ$276)+IF(AR$251="P6",SUMPRODUCT(($F$250:$AJ$250="P6")*$F$253:$AJ$276),0))/(SUMPRODUCT(($A$253:$A$276=AR$251)*($F$250:$AJ$250=""))+IF(AR$251="P6",COUNTIF($F$250:$AJ$250,"P6")*ROWS($A$253:$A$276),0)),"")</f>
        <v>0.93154775943396251</v>
      </c>
    </row>
    <row r="264" spans="1:44" ht="14.25" customHeight="1" x14ac:dyDescent="0.35">
      <c r="A264" s="1" t="s">
        <v>13</v>
      </c>
      <c r="B264" s="1" t="s">
        <v>13</v>
      </c>
      <c r="C264" s="1" t="s">
        <v>13</v>
      </c>
      <c r="D264" s="1" t="s">
        <v>15</v>
      </c>
      <c r="E264" s="1" t="s">
        <v>30</v>
      </c>
      <c r="F264" s="1">
        <v>0.84591000000000005</v>
      </c>
      <c r="G264" s="1">
        <v>0.81152000000000002</v>
      </c>
      <c r="H264" s="1">
        <v>0.84687999999999997</v>
      </c>
      <c r="I264" s="1">
        <v>0.83115000000000006</v>
      </c>
      <c r="J264" s="1">
        <v>0.81855999999999995</v>
      </c>
      <c r="K264" s="1">
        <v>0.84891000000000005</v>
      </c>
      <c r="L264" s="1">
        <v>0.81705000000000005</v>
      </c>
      <c r="M264" s="1">
        <v>0.84591000000000005</v>
      </c>
      <c r="N264" s="1">
        <v>0.81152000000000002</v>
      </c>
      <c r="O264" s="1">
        <v>0.84687999999999997</v>
      </c>
      <c r="P264" s="1">
        <v>0.83115000000000006</v>
      </c>
      <c r="Q264" s="1">
        <v>0.81855999999999995</v>
      </c>
      <c r="R264" s="1">
        <v>0.84891000000000005</v>
      </c>
      <c r="S264" s="1">
        <v>0.81705000000000005</v>
      </c>
      <c r="T264" s="1">
        <v>0.85773999999999995</v>
      </c>
      <c r="U264" s="1">
        <v>0.81152000000000002</v>
      </c>
      <c r="V264" s="1">
        <v>0.84687999999999997</v>
      </c>
      <c r="W264" s="1">
        <v>0.83115000000000006</v>
      </c>
      <c r="X264" s="1">
        <v>0.81855999999999995</v>
      </c>
      <c r="Y264" s="1">
        <v>0.84891000000000005</v>
      </c>
      <c r="Z264" s="1">
        <v>0.81705000000000005</v>
      </c>
      <c r="AA264" s="1">
        <v>0.84591000000000005</v>
      </c>
      <c r="AB264" s="1">
        <v>0.81152000000000002</v>
      </c>
      <c r="AC264" s="1">
        <v>0.84687999999999997</v>
      </c>
      <c r="AD264" s="1">
        <v>0.83115000000000006</v>
      </c>
      <c r="AE264" s="1">
        <v>0.81855999999999995</v>
      </c>
      <c r="AF264" s="1">
        <v>0.84891000000000005</v>
      </c>
      <c r="AG264" s="1">
        <v>0.81705000000000005</v>
      </c>
      <c r="AH264" s="1">
        <v>0.84591000000000005</v>
      </c>
      <c r="AI264" s="1">
        <v>0.81152000000000002</v>
      </c>
      <c r="AJ264" s="1">
        <v>0.84687999999999997</v>
      </c>
      <c r="AL264" s="4" t="s">
        <v>23</v>
      </c>
      <c r="AM264" s="6" cm="1">
        <f t="array" ref="AM264">IFERROR((SUMPRODUCT(($A$253:$A$276=AM$251)*($F$250:$AJ$250="")*$F$253:$AJ$276)+IF(AM$251="P6",SUMPRODUCT(($F$250:$AJ$250="P6")*$F$253:$AJ$276),0))/(SUMPRODUCT(($A$253:$A$276=AM$251)*($F$250:$AJ$250=""))+IF(AM$251="P6",COUNTIF($F$250:$AJ$250,"P6")*ROWS($A$253:$A$276),0)),"")</f>
        <v>0.89482622222222186</v>
      </c>
      <c r="AN264" s="6" t="str" cm="1">
        <f t="array" ref="AN264">IFERROR((SUMPRODUCT(($A$253:$A$276=AN$251)*($F$250:$AJ$250="")*$F$253:$AJ$276)+IF(AN$251="P6",SUMPRODUCT(($F$250:$AJ$250="P6")*$F$253:$AJ$276),0))/(SUMPRODUCT(($A$253:$A$276=AN$251)*($F$250:$AJ$250=""))+IF(AN$251="P6",COUNTIF($F$250:$AJ$250,"P6")*ROWS($A$253:$A$276),0)),"")</f>
        <v/>
      </c>
      <c r="AO264" s="6" cm="1">
        <f t="array" ref="AO264">IFERROR((SUMPRODUCT(($A$253:$A$276=AO$251)*($F$250:$AJ$250="")*$F$253:$AJ$276)+IF(AO$251="P6",SUMPRODUCT(($F$250:$AJ$250="P6")*$F$253:$AJ$276),0))/(SUMPRODUCT(($A$253:$A$276=AO$251)*($F$250:$AJ$250=""))+IF(AO$251="P6",COUNTIF($F$250:$AJ$250,"P6")*ROWS($A$253:$A$276),0)),"")</f>
        <v>0.93291685714285821</v>
      </c>
      <c r="AP264" s="6" t="str" cm="1">
        <f t="array" ref="AP264">IFERROR((SUMPRODUCT(($A$253:$A$276=AP$251)*($F$250:$AJ$250="")*$F$253:$AJ$276)+IF(AP$251="P6",SUMPRODUCT(($F$250:$AJ$250="P6")*$F$253:$AJ$276),0))/(SUMPRODUCT(($A$253:$A$276=AP$251)*($F$250:$AJ$250=""))+IF(AP$251="P6",COUNTIF($F$250:$AJ$250,"P6")*ROWS($A$253:$A$276),0)),"")</f>
        <v/>
      </c>
      <c r="AQ264" s="6" t="str" cm="1">
        <f t="array" ref="AQ264">IFERROR((SUMPRODUCT(($A$253:$A$276=AQ$251)*($F$250:$AJ$250="")*$F$253:$AJ$276)+IF(AQ$251="P6",SUMPRODUCT(($F$250:$AJ$250="P6")*$F$253:$AJ$276),0))/(SUMPRODUCT(($A$253:$A$276=AQ$251)*($F$250:$AJ$250=""))+IF(AQ$251="P6",COUNTIF($F$250:$AJ$250,"P6")*ROWS($A$253:$A$276),0)),"")</f>
        <v/>
      </c>
      <c r="AR264" s="6" cm="1">
        <f t="array" ref="AR264">IFERROR((SUMPRODUCT(($A$253:$A$276=AR$251)*($F$250:$AJ$250="")*$F$253:$AJ$276)+IF(AR$251="P6",SUMPRODUCT(($F$250:$AJ$250="P6")*$F$253:$AJ$276),0))/(SUMPRODUCT(($A$253:$A$276=AR$251)*($F$250:$AJ$250=""))+IF(AR$251="P6",COUNTIF($F$250:$AJ$250,"P6")*ROWS($A$253:$A$276),0)),"")</f>
        <v>0.93154775943396251</v>
      </c>
    </row>
    <row r="265" spans="1:44" ht="14.25" customHeight="1" x14ac:dyDescent="0.35">
      <c r="A265" s="1" t="s">
        <v>13</v>
      </c>
      <c r="B265" s="1" t="s">
        <v>13</v>
      </c>
      <c r="C265" s="1" t="s">
        <v>13</v>
      </c>
      <c r="D265" s="1" t="s">
        <v>15</v>
      </c>
      <c r="E265" s="1" t="s">
        <v>31</v>
      </c>
      <c r="F265" s="1">
        <v>0.84004000000000001</v>
      </c>
      <c r="G265" s="1">
        <v>0.80583000000000005</v>
      </c>
      <c r="H265" s="1">
        <v>0.83186000000000004</v>
      </c>
      <c r="I265" s="1">
        <v>0.83323999999999998</v>
      </c>
      <c r="J265" s="1">
        <v>0.82782999999999995</v>
      </c>
      <c r="K265" s="1">
        <v>0.85907999999999995</v>
      </c>
      <c r="L265" s="1">
        <v>0.82201999999999997</v>
      </c>
      <c r="M265" s="1">
        <v>0.84004000000000001</v>
      </c>
      <c r="N265" s="1">
        <v>0.80583000000000005</v>
      </c>
      <c r="O265" s="1">
        <v>0.83186000000000004</v>
      </c>
      <c r="P265" s="1">
        <v>0.83323999999999998</v>
      </c>
      <c r="Q265" s="1">
        <v>0.82782999999999995</v>
      </c>
      <c r="R265" s="1">
        <v>0.85907999999999995</v>
      </c>
      <c r="S265" s="1">
        <v>0.82201999999999997</v>
      </c>
      <c r="T265" s="1">
        <v>0.86282000000000003</v>
      </c>
      <c r="U265" s="1">
        <v>0.80583000000000005</v>
      </c>
      <c r="V265" s="1">
        <v>0.83186000000000004</v>
      </c>
      <c r="W265" s="1">
        <v>0.83323999999999998</v>
      </c>
      <c r="X265" s="1">
        <v>0.82782999999999995</v>
      </c>
      <c r="Y265" s="1">
        <v>0.85907999999999995</v>
      </c>
      <c r="Z265" s="1">
        <v>0.82201999999999997</v>
      </c>
      <c r="AA265" s="1">
        <v>0.84004000000000001</v>
      </c>
      <c r="AB265" s="1">
        <v>0.80583000000000005</v>
      </c>
      <c r="AC265" s="1">
        <v>0.83186000000000004</v>
      </c>
      <c r="AD265" s="1">
        <v>0.83323999999999998</v>
      </c>
      <c r="AE265" s="1">
        <v>0.82782999999999995</v>
      </c>
      <c r="AF265" s="1">
        <v>0.85907999999999995</v>
      </c>
      <c r="AG265" s="1">
        <v>0.82201999999999997</v>
      </c>
      <c r="AH265" s="1">
        <v>0.84004000000000001</v>
      </c>
      <c r="AI265" s="1">
        <v>0.80583000000000005</v>
      </c>
      <c r="AJ265" s="1">
        <v>0.83186000000000004</v>
      </c>
      <c r="AL265" s="4" t="s">
        <v>25</v>
      </c>
      <c r="AM265" s="6" cm="1">
        <f t="array" ref="AM265">IFERROR((SUMPRODUCT(($A$253:$A$276=AM$251)*($F$250:$AJ$250="")*$F$253:$AJ$276)+IF(AM$251="P6",SUMPRODUCT(($F$250:$AJ$250="P6")*$F$253:$AJ$276),0))/(SUMPRODUCT(($A$253:$A$276=AM$251)*($F$250:$AJ$250=""))+IF(AM$251="P6",COUNTIF($F$250:$AJ$250,"P6")*ROWS($A$253:$A$276),0)),"")</f>
        <v>0.89482622222222186</v>
      </c>
      <c r="AN265" s="6" t="str" cm="1">
        <f t="array" ref="AN265">IFERROR((SUMPRODUCT(($A$253:$A$276=AN$251)*($F$250:$AJ$250="")*$F$253:$AJ$276)+IF(AN$251="P6",SUMPRODUCT(($F$250:$AJ$250="P6")*$F$253:$AJ$276),0))/(SUMPRODUCT(($A$253:$A$276=AN$251)*($F$250:$AJ$250=""))+IF(AN$251="P6",COUNTIF($F$250:$AJ$250,"P6")*ROWS($A$253:$A$276),0)),"")</f>
        <v/>
      </c>
      <c r="AO265" s="6" cm="1">
        <f t="array" ref="AO265">IFERROR((SUMPRODUCT(($A$253:$A$276=AO$251)*($F$250:$AJ$250="")*$F$253:$AJ$276)+IF(AO$251="P6",SUMPRODUCT(($F$250:$AJ$250="P6")*$F$253:$AJ$276),0))/(SUMPRODUCT(($A$253:$A$276=AO$251)*($F$250:$AJ$250=""))+IF(AO$251="P6",COUNTIF($F$250:$AJ$250,"P6")*ROWS($A$253:$A$276),0)),"")</f>
        <v>0.93291685714285821</v>
      </c>
      <c r="AP265" s="6" t="str" cm="1">
        <f t="array" ref="AP265">IFERROR((SUMPRODUCT(($A$253:$A$276=AP$251)*($F$250:$AJ$250="")*$F$253:$AJ$276)+IF(AP$251="P6",SUMPRODUCT(($F$250:$AJ$250="P6")*$F$253:$AJ$276),0))/(SUMPRODUCT(($A$253:$A$276=AP$251)*($F$250:$AJ$250=""))+IF(AP$251="P6",COUNTIF($F$250:$AJ$250,"P6")*ROWS($A$253:$A$276),0)),"")</f>
        <v/>
      </c>
      <c r="AQ265" s="6" t="str" cm="1">
        <f t="array" ref="AQ265">IFERROR((SUMPRODUCT(($A$253:$A$276=AQ$251)*($F$250:$AJ$250="")*$F$253:$AJ$276)+IF(AQ$251="P6",SUMPRODUCT(($F$250:$AJ$250="P6")*$F$253:$AJ$276),0))/(SUMPRODUCT(($A$253:$A$276=AQ$251)*($F$250:$AJ$250=""))+IF(AQ$251="P6",COUNTIF($F$250:$AJ$250,"P6")*ROWS($A$253:$A$276),0)),"")</f>
        <v/>
      </c>
      <c r="AR265" s="6" cm="1">
        <f t="array" ref="AR265">IFERROR((SUMPRODUCT(($A$253:$A$276=AR$251)*($F$250:$AJ$250="")*$F$253:$AJ$276)+IF(AR$251="P6",SUMPRODUCT(($F$250:$AJ$250="P6")*$F$253:$AJ$276),0))/(SUMPRODUCT(($A$253:$A$276=AR$251)*($F$250:$AJ$250=""))+IF(AR$251="P6",COUNTIF($F$250:$AJ$250,"P6")*ROWS($A$253:$A$276),0)),"")</f>
        <v>0.93154775943396251</v>
      </c>
    </row>
    <row r="266" spans="1:44" ht="14.25" customHeight="1" x14ac:dyDescent="0.35">
      <c r="A266" s="1" t="s">
        <v>13</v>
      </c>
      <c r="B266" s="1" t="s">
        <v>13</v>
      </c>
      <c r="C266" s="1" t="s">
        <v>13</v>
      </c>
      <c r="D266" s="1" t="s">
        <v>15</v>
      </c>
      <c r="E266" s="1" t="s">
        <v>32</v>
      </c>
      <c r="F266" s="1">
        <v>0.83967999999999998</v>
      </c>
      <c r="G266" s="1">
        <v>0.78949999999999998</v>
      </c>
      <c r="H266" s="1">
        <v>0.82874999999999999</v>
      </c>
      <c r="I266" s="1">
        <v>0.83013999999999999</v>
      </c>
      <c r="J266" s="1">
        <v>0.83275999999999994</v>
      </c>
      <c r="K266" s="1">
        <v>0.85207999999999995</v>
      </c>
      <c r="L266" s="1">
        <v>0.82852000000000003</v>
      </c>
      <c r="M266" s="1">
        <v>0.83967999999999998</v>
      </c>
      <c r="N266" s="1">
        <v>0.78949999999999998</v>
      </c>
      <c r="O266" s="1">
        <v>0.82874999999999999</v>
      </c>
      <c r="P266" s="1">
        <v>0.83013999999999999</v>
      </c>
      <c r="Q266" s="1">
        <v>0.83275999999999994</v>
      </c>
      <c r="R266" s="1">
        <v>0.85207999999999995</v>
      </c>
      <c r="S266" s="1">
        <v>0.82852000000000003</v>
      </c>
      <c r="T266" s="1">
        <v>0.83735999999999999</v>
      </c>
      <c r="U266" s="1">
        <v>0.78949999999999998</v>
      </c>
      <c r="V266" s="1">
        <v>0.82874999999999999</v>
      </c>
      <c r="W266" s="1">
        <v>0.83013999999999999</v>
      </c>
      <c r="X266" s="1">
        <v>0.83275999999999994</v>
      </c>
      <c r="Y266" s="1">
        <v>0.85207999999999995</v>
      </c>
      <c r="Z266" s="1">
        <v>0.82852000000000003</v>
      </c>
      <c r="AA266" s="1">
        <v>0.83967999999999998</v>
      </c>
      <c r="AB266" s="1">
        <v>0.78949999999999998</v>
      </c>
      <c r="AC266" s="1">
        <v>0.82874999999999999</v>
      </c>
      <c r="AD266" s="1">
        <v>0.83013999999999999</v>
      </c>
      <c r="AE266" s="1">
        <v>0.83275999999999994</v>
      </c>
      <c r="AF266" s="1">
        <v>0.85207999999999995</v>
      </c>
      <c r="AG266" s="1">
        <v>0.82852000000000003</v>
      </c>
      <c r="AH266" s="1">
        <v>0.83967999999999998</v>
      </c>
      <c r="AI266" s="1">
        <v>0.78949999999999998</v>
      </c>
      <c r="AJ266" s="1">
        <v>0.82874999999999999</v>
      </c>
      <c r="AL266" s="4" t="s">
        <v>27</v>
      </c>
      <c r="AM266" s="6" cm="1">
        <f t="array" ref="AM266">IFERROR((SUMPRODUCT(($A$253:$A$276=AM$251)*($F$250:$AJ$250="")*$F$253:$AJ$276)+IF(AM$251="P6",SUMPRODUCT(($F$250:$AJ$250="P6")*$F$253:$AJ$276),0))/(SUMPRODUCT(($A$253:$A$276=AM$251)*($F$250:$AJ$250=""))+IF(AM$251="P6",COUNTIF($F$250:$AJ$250,"P6")*ROWS($A$253:$A$276),0)),"")</f>
        <v>0.89482622222222186</v>
      </c>
      <c r="AN266" s="6" t="str" cm="1">
        <f t="array" ref="AN266">IFERROR((SUMPRODUCT(($A$253:$A$276=AN$251)*($F$250:$AJ$250="")*$F$253:$AJ$276)+IF(AN$251="P6",SUMPRODUCT(($F$250:$AJ$250="P6")*$F$253:$AJ$276),0))/(SUMPRODUCT(($A$253:$A$276=AN$251)*($F$250:$AJ$250=""))+IF(AN$251="P6",COUNTIF($F$250:$AJ$250,"P6")*ROWS($A$253:$A$276),0)),"")</f>
        <v/>
      </c>
      <c r="AO266" s="6" cm="1">
        <f t="array" ref="AO266">IFERROR((SUMPRODUCT(($A$253:$A$276=AO$251)*($F$250:$AJ$250="")*$F$253:$AJ$276)+IF(AO$251="P6",SUMPRODUCT(($F$250:$AJ$250="P6")*$F$253:$AJ$276),0))/(SUMPRODUCT(($A$253:$A$276=AO$251)*($F$250:$AJ$250=""))+IF(AO$251="P6",COUNTIF($F$250:$AJ$250,"P6")*ROWS($A$253:$A$276),0)),"")</f>
        <v>0.93291685714285821</v>
      </c>
      <c r="AP266" s="6" t="str" cm="1">
        <f t="array" ref="AP266">IFERROR((SUMPRODUCT(($A$253:$A$276=AP$251)*($F$250:$AJ$250="")*$F$253:$AJ$276)+IF(AP$251="P6",SUMPRODUCT(($F$250:$AJ$250="P6")*$F$253:$AJ$276),0))/(SUMPRODUCT(($A$253:$A$276=AP$251)*($F$250:$AJ$250=""))+IF(AP$251="P6",COUNTIF($F$250:$AJ$250,"P6")*ROWS($A$253:$A$276),0)),"")</f>
        <v/>
      </c>
      <c r="AQ266" s="6" t="str" cm="1">
        <f t="array" ref="AQ266">IFERROR((SUMPRODUCT(($A$253:$A$276=AQ$251)*($F$250:$AJ$250="")*$F$253:$AJ$276)+IF(AQ$251="P6",SUMPRODUCT(($F$250:$AJ$250="P6")*$F$253:$AJ$276),0))/(SUMPRODUCT(($A$253:$A$276=AQ$251)*($F$250:$AJ$250=""))+IF(AQ$251="P6",COUNTIF($F$250:$AJ$250,"P6")*ROWS($A$253:$A$276),0)),"")</f>
        <v/>
      </c>
      <c r="AR266" s="6" cm="1">
        <f t="array" ref="AR266">IFERROR((SUMPRODUCT(($A$253:$A$276=AR$251)*($F$250:$AJ$250="")*$F$253:$AJ$276)+IF(AR$251="P6",SUMPRODUCT(($F$250:$AJ$250="P6")*$F$253:$AJ$276),0))/(SUMPRODUCT(($A$253:$A$276=AR$251)*($F$250:$AJ$250=""))+IF(AR$251="P6",COUNTIF($F$250:$AJ$250,"P6")*ROWS($A$253:$A$276),0)),"")</f>
        <v>0.93154775943396251</v>
      </c>
    </row>
    <row r="267" spans="1:44" ht="14.25" customHeight="1" x14ac:dyDescent="0.35">
      <c r="A267" s="1" t="s">
        <v>13</v>
      </c>
      <c r="B267" s="1" t="s">
        <v>13</v>
      </c>
      <c r="C267" s="1" t="s">
        <v>14</v>
      </c>
      <c r="D267" s="1" t="s">
        <v>16</v>
      </c>
      <c r="E267" s="1" t="s">
        <v>33</v>
      </c>
      <c r="F267" s="1">
        <v>0.86309000000000002</v>
      </c>
      <c r="G267" s="1">
        <v>0.79220000000000002</v>
      </c>
      <c r="H267" s="1">
        <v>0.82447999999999999</v>
      </c>
      <c r="I267" s="1">
        <v>0.85031000000000001</v>
      </c>
      <c r="J267" s="1">
        <v>0.85594000000000003</v>
      </c>
      <c r="K267" s="1">
        <v>0.87282999999999999</v>
      </c>
      <c r="L267" s="1">
        <v>0.84618000000000004</v>
      </c>
      <c r="M267" s="1">
        <v>0.86309000000000002</v>
      </c>
      <c r="N267" s="1">
        <v>0.79220000000000002</v>
      </c>
      <c r="O267" s="1">
        <v>0.82447999999999999</v>
      </c>
      <c r="P267" s="1">
        <v>0.85031000000000001</v>
      </c>
      <c r="Q267" s="1">
        <v>0.85594000000000003</v>
      </c>
      <c r="R267" s="1">
        <v>0.87282999999999999</v>
      </c>
      <c r="S267" s="1">
        <v>0.84618000000000004</v>
      </c>
      <c r="T267" s="1">
        <v>0.82782999999999995</v>
      </c>
      <c r="U267" s="1">
        <v>0.79220000000000002</v>
      </c>
      <c r="V267" s="1">
        <v>0.82447999999999999</v>
      </c>
      <c r="W267" s="1">
        <v>0.85031000000000001</v>
      </c>
      <c r="X267" s="1">
        <v>0.85594000000000003</v>
      </c>
      <c r="Y267" s="1">
        <v>0.87282999999999999</v>
      </c>
      <c r="Z267" s="1">
        <v>0.84618000000000004</v>
      </c>
      <c r="AA267" s="1">
        <v>0.86309000000000002</v>
      </c>
      <c r="AB267" s="1">
        <v>0.79220000000000002</v>
      </c>
      <c r="AC267" s="1">
        <v>0.82447999999999999</v>
      </c>
      <c r="AD267" s="1">
        <v>0.85031000000000001</v>
      </c>
      <c r="AE267" s="1">
        <v>0.85594000000000003</v>
      </c>
      <c r="AF267" s="1">
        <v>0.87282999999999999</v>
      </c>
      <c r="AG267" s="1">
        <v>0.84618000000000004</v>
      </c>
      <c r="AH267" s="1">
        <v>0.86309000000000002</v>
      </c>
      <c r="AI267" s="1">
        <v>0.79220000000000002</v>
      </c>
      <c r="AJ267" s="1">
        <v>0.82447999999999999</v>
      </c>
      <c r="AL267" s="4" t="s">
        <v>29</v>
      </c>
      <c r="AM267" s="6" cm="1">
        <f t="array" ref="AM267">IFERROR((SUMPRODUCT(($A$253:$A$276=AM$251)*($F$250:$AJ$250="")*$F$253:$AJ$276)+IF(AM$251="P6",SUMPRODUCT(($F$250:$AJ$250="P6")*$F$253:$AJ$276),0))/(SUMPRODUCT(($A$253:$A$276=AM$251)*($F$250:$AJ$250=""))+IF(AM$251="P6",COUNTIF($F$250:$AJ$250,"P6")*ROWS($A$253:$A$276),0)),"")</f>
        <v>0.89482622222222186</v>
      </c>
      <c r="AN267" s="6" t="str" cm="1">
        <f t="array" ref="AN267">IFERROR((SUMPRODUCT(($A$253:$A$276=AN$251)*($F$250:$AJ$250="")*$F$253:$AJ$276)+IF(AN$251="P6",SUMPRODUCT(($F$250:$AJ$250="P6")*$F$253:$AJ$276),0))/(SUMPRODUCT(($A$253:$A$276=AN$251)*($F$250:$AJ$250=""))+IF(AN$251="P6",COUNTIF($F$250:$AJ$250,"P6")*ROWS($A$253:$A$276),0)),"")</f>
        <v/>
      </c>
      <c r="AO267" s="6" cm="1">
        <f t="array" ref="AO267">IFERROR((SUMPRODUCT(($A$253:$A$276=AO$251)*($F$250:$AJ$250="")*$F$253:$AJ$276)+IF(AO$251="P6",SUMPRODUCT(($F$250:$AJ$250="P6")*$F$253:$AJ$276),0))/(SUMPRODUCT(($A$253:$A$276=AO$251)*($F$250:$AJ$250=""))+IF(AO$251="P6",COUNTIF($F$250:$AJ$250,"P6")*ROWS($A$253:$A$276),0)),"")</f>
        <v>0.93291685714285821</v>
      </c>
      <c r="AP267" s="6" t="str" cm="1">
        <f t="array" ref="AP267">IFERROR((SUMPRODUCT(($A$253:$A$276=AP$251)*($F$250:$AJ$250="")*$F$253:$AJ$276)+IF(AP$251="P6",SUMPRODUCT(($F$250:$AJ$250="P6")*$F$253:$AJ$276),0))/(SUMPRODUCT(($A$253:$A$276=AP$251)*($F$250:$AJ$250=""))+IF(AP$251="P6",COUNTIF($F$250:$AJ$250,"P6")*ROWS($A$253:$A$276),0)),"")</f>
        <v/>
      </c>
      <c r="AQ267" s="6" t="str" cm="1">
        <f t="array" ref="AQ267">IFERROR((SUMPRODUCT(($A$253:$A$276=AQ$251)*($F$250:$AJ$250="")*$F$253:$AJ$276)+IF(AQ$251="P6",SUMPRODUCT(($F$250:$AJ$250="P6")*$F$253:$AJ$276),0))/(SUMPRODUCT(($A$253:$A$276=AQ$251)*($F$250:$AJ$250=""))+IF(AQ$251="P6",COUNTIF($F$250:$AJ$250,"P6")*ROWS($A$253:$A$276),0)),"")</f>
        <v/>
      </c>
      <c r="AR267" s="6" cm="1">
        <f t="array" ref="AR267">IFERROR((SUMPRODUCT(($A$253:$A$276=AR$251)*($F$250:$AJ$250="")*$F$253:$AJ$276)+IF(AR$251="P6",SUMPRODUCT(($F$250:$AJ$250="P6")*$F$253:$AJ$276),0))/(SUMPRODUCT(($A$253:$A$276=AR$251)*($F$250:$AJ$250=""))+IF(AR$251="P6",COUNTIF($F$250:$AJ$250,"P6")*ROWS($A$253:$A$276),0)),"")</f>
        <v>0.93154775943396251</v>
      </c>
    </row>
    <row r="268" spans="1:44" ht="14.25" customHeight="1" x14ac:dyDescent="0.35">
      <c r="A268" s="1" t="s">
        <v>15</v>
      </c>
      <c r="B268" s="1" t="s">
        <v>14</v>
      </c>
      <c r="C268" s="1" t="s">
        <v>14</v>
      </c>
      <c r="D268" s="1" t="s">
        <v>16</v>
      </c>
      <c r="E268" s="1" t="s">
        <v>34</v>
      </c>
      <c r="F268" s="1">
        <v>0.88055000000000005</v>
      </c>
      <c r="G268" s="1">
        <v>0.80562999999999996</v>
      </c>
      <c r="H268" s="1">
        <v>0.82789000000000001</v>
      </c>
      <c r="I268" s="1">
        <v>0.86258999999999997</v>
      </c>
      <c r="J268" s="1">
        <v>0.87182999999999999</v>
      </c>
      <c r="K268" s="1">
        <v>0.88819999999999999</v>
      </c>
      <c r="L268" s="1">
        <v>0.86226000000000003</v>
      </c>
      <c r="M268" s="1">
        <v>0.88055000000000005</v>
      </c>
      <c r="N268" s="1">
        <v>0.80562999999999996</v>
      </c>
      <c r="O268" s="1">
        <v>0.82789000000000001</v>
      </c>
      <c r="P268" s="1">
        <v>0.86258999999999997</v>
      </c>
      <c r="Q268" s="1">
        <v>0.87182999999999999</v>
      </c>
      <c r="R268" s="1">
        <v>0.88819999999999999</v>
      </c>
      <c r="S268" s="1">
        <v>0.86226000000000003</v>
      </c>
      <c r="T268" s="1">
        <v>0.85124</v>
      </c>
      <c r="U268" s="1">
        <v>0.80562999999999996</v>
      </c>
      <c r="V268" s="1">
        <v>0.82789000000000001</v>
      </c>
      <c r="W268" s="1">
        <v>0.86258999999999997</v>
      </c>
      <c r="X268" s="1">
        <v>0.87182999999999999</v>
      </c>
      <c r="Y268" s="1">
        <v>0.88819999999999999</v>
      </c>
      <c r="Z268" s="1">
        <v>0.86226000000000003</v>
      </c>
      <c r="AA268" s="1">
        <v>0.88055000000000005</v>
      </c>
      <c r="AB268" s="1">
        <v>0.80562999999999996</v>
      </c>
      <c r="AC268" s="1">
        <v>0.82789000000000001</v>
      </c>
      <c r="AD268" s="1">
        <v>0.86258999999999997</v>
      </c>
      <c r="AE268" s="1">
        <v>0.87182999999999999</v>
      </c>
      <c r="AF268" s="1">
        <v>0.88819999999999999</v>
      </c>
      <c r="AG268" s="1">
        <v>0.86226000000000003</v>
      </c>
      <c r="AH268" s="1">
        <v>0.88055000000000005</v>
      </c>
      <c r="AI268" s="1">
        <v>0.80562999999999996</v>
      </c>
      <c r="AJ268" s="1">
        <v>0.82789000000000001</v>
      </c>
      <c r="AL268" s="10"/>
      <c r="AM268" s="10"/>
      <c r="AN268" s="10"/>
      <c r="AO268" s="10"/>
      <c r="AP268" s="10"/>
      <c r="AQ268" s="10"/>
      <c r="AR268" s="10"/>
    </row>
    <row r="269" spans="1:44" ht="14.25" customHeight="1" x14ac:dyDescent="0.35">
      <c r="A269" s="1" t="s">
        <v>15</v>
      </c>
      <c r="B269" s="1" t="s">
        <v>14</v>
      </c>
      <c r="C269" s="1" t="s">
        <v>14</v>
      </c>
      <c r="D269" s="1" t="s">
        <v>16</v>
      </c>
      <c r="E269" s="1" t="s">
        <v>35</v>
      </c>
      <c r="F269" s="1">
        <v>0.89385999999999999</v>
      </c>
      <c r="G269" s="1">
        <v>0.82079000000000002</v>
      </c>
      <c r="H269" s="1">
        <v>0.84645000000000004</v>
      </c>
      <c r="I269" s="1">
        <v>0.87583</v>
      </c>
      <c r="J269" s="1">
        <v>0.88512000000000002</v>
      </c>
      <c r="K269" s="1">
        <v>0.89293999999999996</v>
      </c>
      <c r="L269" s="1">
        <v>0.87768999999999997</v>
      </c>
      <c r="M269" s="1">
        <v>0.89385999999999999</v>
      </c>
      <c r="N269" s="1">
        <v>0.82079000000000002</v>
      </c>
      <c r="O269" s="1">
        <v>0.84645000000000004</v>
      </c>
      <c r="P269" s="1">
        <v>0.87583</v>
      </c>
      <c r="Q269" s="1">
        <v>0.88512000000000002</v>
      </c>
      <c r="R269" s="1">
        <v>0.89293999999999996</v>
      </c>
      <c r="S269" s="1">
        <v>0.87768999999999997</v>
      </c>
      <c r="T269" s="1">
        <v>0.86944999999999995</v>
      </c>
      <c r="U269" s="1">
        <v>0.82079000000000002</v>
      </c>
      <c r="V269" s="1">
        <v>0.84645000000000004</v>
      </c>
      <c r="W269" s="1">
        <v>0.87583</v>
      </c>
      <c r="X269" s="1">
        <v>0.88512000000000002</v>
      </c>
      <c r="Y269" s="1">
        <v>0.89293999999999996</v>
      </c>
      <c r="Z269" s="1">
        <v>0.87768999999999997</v>
      </c>
      <c r="AA269" s="1">
        <v>0.89385999999999999</v>
      </c>
      <c r="AB269" s="1">
        <v>0.82079000000000002</v>
      </c>
      <c r="AC269" s="1">
        <v>0.84645000000000004</v>
      </c>
      <c r="AD269" s="1">
        <v>0.87583</v>
      </c>
      <c r="AE269" s="1">
        <v>0.88512000000000002</v>
      </c>
      <c r="AF269" s="1">
        <v>0.89293999999999996</v>
      </c>
      <c r="AG269" s="1">
        <v>0.87768999999999997</v>
      </c>
      <c r="AH269" s="1">
        <v>0.89385999999999999</v>
      </c>
      <c r="AI269" s="1">
        <v>0.82079000000000002</v>
      </c>
      <c r="AJ269" s="1">
        <v>0.84645000000000004</v>
      </c>
      <c r="AL269" s="10"/>
      <c r="AM269" s="10"/>
      <c r="AN269" s="10"/>
      <c r="AO269" s="10"/>
      <c r="AP269" s="10"/>
      <c r="AQ269" s="10"/>
      <c r="AR269" s="10"/>
    </row>
    <row r="270" spans="1:44" ht="14.25" customHeight="1" x14ac:dyDescent="0.35">
      <c r="A270" s="1" t="s">
        <v>15</v>
      </c>
      <c r="B270" s="1" t="s">
        <v>14</v>
      </c>
      <c r="C270" s="1" t="s">
        <v>14</v>
      </c>
      <c r="D270" s="1" t="s">
        <v>16</v>
      </c>
      <c r="E270" s="1" t="s">
        <v>36</v>
      </c>
      <c r="F270" s="1">
        <v>0.90515000000000001</v>
      </c>
      <c r="G270" s="1">
        <v>0.84641999999999995</v>
      </c>
      <c r="H270" s="1">
        <v>0.89036999999999999</v>
      </c>
      <c r="I270" s="1">
        <v>0.88893999999999995</v>
      </c>
      <c r="J270" s="1">
        <v>0.90373999999999999</v>
      </c>
      <c r="K270" s="1">
        <v>0.90268999999999999</v>
      </c>
      <c r="L270" s="1">
        <v>0.89968999999999999</v>
      </c>
      <c r="M270" s="1">
        <v>0.90515000000000001</v>
      </c>
      <c r="N270" s="1">
        <v>0.84641999999999995</v>
      </c>
      <c r="O270" s="1">
        <v>0.89036999999999999</v>
      </c>
      <c r="P270" s="1">
        <v>0.88893999999999995</v>
      </c>
      <c r="Q270" s="1">
        <v>0.90373999999999999</v>
      </c>
      <c r="R270" s="1">
        <v>0.90268999999999999</v>
      </c>
      <c r="S270" s="1">
        <v>0.89968999999999999</v>
      </c>
      <c r="T270" s="1">
        <v>0.88417000000000001</v>
      </c>
      <c r="U270" s="1">
        <v>0.84641999999999995</v>
      </c>
      <c r="V270" s="1">
        <v>0.89036999999999999</v>
      </c>
      <c r="W270" s="1">
        <v>0.88893999999999995</v>
      </c>
      <c r="X270" s="1">
        <v>0.90373999999999999</v>
      </c>
      <c r="Y270" s="1">
        <v>0.90268999999999999</v>
      </c>
      <c r="Z270" s="1">
        <v>0.89968999999999999</v>
      </c>
      <c r="AA270" s="1">
        <v>0.90515000000000001</v>
      </c>
      <c r="AB270" s="1">
        <v>0.84641999999999995</v>
      </c>
      <c r="AC270" s="1">
        <v>0.89036999999999999</v>
      </c>
      <c r="AD270" s="1">
        <v>0.88893999999999995</v>
      </c>
      <c r="AE270" s="1">
        <v>0.90373999999999999</v>
      </c>
      <c r="AF270" s="1">
        <v>0.90268999999999999</v>
      </c>
      <c r="AG270" s="1">
        <v>0.89968999999999999</v>
      </c>
      <c r="AH270" s="1">
        <v>0.90515000000000001</v>
      </c>
      <c r="AI270" s="1">
        <v>0.84641999999999995</v>
      </c>
      <c r="AJ270" s="1">
        <v>0.89036999999999999</v>
      </c>
      <c r="AL270" s="14" t="s">
        <v>101</v>
      </c>
      <c r="AM270" s="14"/>
      <c r="AN270" s="14"/>
      <c r="AO270" s="14"/>
      <c r="AP270" s="14"/>
      <c r="AQ270" s="14"/>
      <c r="AR270" s="14"/>
    </row>
    <row r="271" spans="1:44" ht="14.25" customHeight="1" x14ac:dyDescent="0.35">
      <c r="A271" s="1" t="s">
        <v>13</v>
      </c>
      <c r="B271" s="1" t="s">
        <v>13</v>
      </c>
      <c r="C271" s="1" t="s">
        <v>13</v>
      </c>
      <c r="D271" s="1" t="s">
        <v>15</v>
      </c>
      <c r="E271" s="1" t="s">
        <v>37</v>
      </c>
      <c r="F271" s="1">
        <v>0.91744000000000003</v>
      </c>
      <c r="G271" s="1">
        <v>0.86792000000000002</v>
      </c>
      <c r="H271" s="1">
        <v>0.90861999999999998</v>
      </c>
      <c r="I271" s="1">
        <v>0.90224000000000004</v>
      </c>
      <c r="J271" s="1">
        <v>0.91469</v>
      </c>
      <c r="K271" s="1">
        <v>0.91186999999999996</v>
      </c>
      <c r="L271" s="1">
        <v>0.90959999999999996</v>
      </c>
      <c r="M271" s="1">
        <v>0.91744000000000003</v>
      </c>
      <c r="N271" s="1">
        <v>0.86792000000000002</v>
      </c>
      <c r="O271" s="1">
        <v>0.90861999999999998</v>
      </c>
      <c r="P271" s="1">
        <v>0.90224000000000004</v>
      </c>
      <c r="Q271" s="1">
        <v>0.91469</v>
      </c>
      <c r="R271" s="1">
        <v>0.91186999999999996</v>
      </c>
      <c r="S271" s="1">
        <v>0.90959999999999996</v>
      </c>
      <c r="T271" s="1">
        <v>0.90659999999999996</v>
      </c>
      <c r="U271" s="1">
        <v>0.86792000000000002</v>
      </c>
      <c r="V271" s="1">
        <v>0.90861999999999998</v>
      </c>
      <c r="W271" s="1">
        <v>0.90224000000000004</v>
      </c>
      <c r="X271" s="1">
        <v>0.91469</v>
      </c>
      <c r="Y271" s="1">
        <v>0.91186999999999996</v>
      </c>
      <c r="Z271" s="1">
        <v>0.90959999999999996</v>
      </c>
      <c r="AA271" s="1">
        <v>0.91744000000000003</v>
      </c>
      <c r="AB271" s="1">
        <v>0.86792000000000002</v>
      </c>
      <c r="AC271" s="1">
        <v>0.90861999999999998</v>
      </c>
      <c r="AD271" s="1">
        <v>0.90224000000000004</v>
      </c>
      <c r="AE271" s="1">
        <v>0.91469</v>
      </c>
      <c r="AF271" s="1">
        <v>0.91186999999999996</v>
      </c>
      <c r="AG271" s="1">
        <v>0.90959999999999996</v>
      </c>
      <c r="AH271" s="1">
        <v>0.91744000000000003</v>
      </c>
      <c r="AI271" s="1">
        <v>0.86792000000000002</v>
      </c>
      <c r="AJ271" s="1">
        <v>0.90861999999999998</v>
      </c>
      <c r="AL271" s="4"/>
      <c r="AM271" s="4" t="s">
        <v>13</v>
      </c>
      <c r="AN271" s="4" t="s">
        <v>14</v>
      </c>
      <c r="AO271" s="4" t="s">
        <v>15</v>
      </c>
      <c r="AP271" s="4" t="s">
        <v>16</v>
      </c>
      <c r="AQ271" s="4" t="s">
        <v>17</v>
      </c>
      <c r="AR271" s="4" t="s">
        <v>7</v>
      </c>
    </row>
    <row r="272" spans="1:44" ht="14.25" customHeight="1" x14ac:dyDescent="0.35">
      <c r="A272" s="1" t="s">
        <v>13</v>
      </c>
      <c r="B272" s="1" t="s">
        <v>13</v>
      </c>
      <c r="C272" s="1" t="s">
        <v>13</v>
      </c>
      <c r="D272" s="1" t="s">
        <v>15</v>
      </c>
      <c r="E272" s="1" t="s">
        <v>38</v>
      </c>
      <c r="F272" s="1">
        <v>0.94686000000000003</v>
      </c>
      <c r="G272" s="1">
        <v>0.89600000000000002</v>
      </c>
      <c r="H272" s="1">
        <v>0.93228</v>
      </c>
      <c r="I272" s="1">
        <v>0.93610000000000004</v>
      </c>
      <c r="J272" s="1">
        <v>0.93388000000000004</v>
      </c>
      <c r="K272" s="1">
        <v>0.93788000000000005</v>
      </c>
      <c r="L272" s="1">
        <v>0.93298999999999999</v>
      </c>
      <c r="M272" s="1">
        <v>0.94686000000000003</v>
      </c>
      <c r="N272" s="1">
        <v>0.89600000000000002</v>
      </c>
      <c r="O272" s="1">
        <v>0.93228</v>
      </c>
      <c r="P272" s="1">
        <v>0.93610000000000004</v>
      </c>
      <c r="Q272" s="1">
        <v>0.93388000000000004</v>
      </c>
      <c r="R272" s="1">
        <v>0.93788000000000005</v>
      </c>
      <c r="S272" s="1">
        <v>0.93298999999999999</v>
      </c>
      <c r="T272" s="1">
        <v>0.94225999999999999</v>
      </c>
      <c r="U272" s="1">
        <v>0.89600000000000002</v>
      </c>
      <c r="V272" s="1">
        <v>0.93228</v>
      </c>
      <c r="W272" s="1">
        <v>0.93610000000000004</v>
      </c>
      <c r="X272" s="1">
        <v>0.93388000000000004</v>
      </c>
      <c r="Y272" s="1">
        <v>0.93788000000000005</v>
      </c>
      <c r="Z272" s="1">
        <v>0.93298999999999999</v>
      </c>
      <c r="AA272" s="1">
        <v>0.94686000000000003</v>
      </c>
      <c r="AB272" s="1">
        <v>0.89600000000000002</v>
      </c>
      <c r="AC272" s="1">
        <v>0.93228</v>
      </c>
      <c r="AD272" s="1">
        <v>0.93610000000000004</v>
      </c>
      <c r="AE272" s="1">
        <v>0.93388000000000004</v>
      </c>
      <c r="AF272" s="1">
        <v>0.93788000000000005</v>
      </c>
      <c r="AG272" s="1">
        <v>0.93298999999999999</v>
      </c>
      <c r="AH272" s="1">
        <v>0.94686000000000003</v>
      </c>
      <c r="AI272" s="1">
        <v>0.89600000000000002</v>
      </c>
      <c r="AJ272" s="1">
        <v>0.93228</v>
      </c>
      <c r="AL272" s="4" t="s">
        <v>19</v>
      </c>
      <c r="AM272" s="6" cm="1">
        <f t="array" ref="AM272">IFERROR((SUMPRODUCT(($C$253:$C$276=AM$251)*($F$249:$AJ$249="")*$F$253:$AJ$276)+IF(AM$251="P3",SUMPRODUCT(($F$249:$AJ$249="P3")*$F$253:$AJ$276),0))/(SUMPRODUCT(($C$253:$C$276=AM$251)*($F$249:$AJ$249=""))+IF(AM$251="P3",COUNTIF($F$249:$AJ$249,"P3")*ROWS($C$253:$C$276),0)),"")</f>
        <v>0.89947075000000043</v>
      </c>
      <c r="AN272" s="6" cm="1">
        <f t="array" ref="AN272">IFERROR((SUMPRODUCT(($C$253:$C$276=AN$251)*($F$249:$AJ$249="")*$F$253:$AJ$276)+IF(AN$251="P3",SUMPRODUCT(($F$249:$AJ$249="P3")*$F$253:$AJ$276),0))/(SUMPRODUCT(($C$253:$C$276=AN$251)*($F$249:$AJ$249=""))+IF(AN$251="P3",COUNTIF($F$249:$AJ$249,"P3")*ROWS($C$253:$C$276),0)),"")</f>
        <v>0.92351100000000064</v>
      </c>
      <c r="AO272" s="6" cm="1">
        <f t="array" ref="AO272">IFERROR((SUMPRODUCT(($C$253:$C$276=AO$251)*($F$249:$AJ$249="")*$F$253:$AJ$276)+IF(AO$251="P3",SUMPRODUCT(($F$249:$AJ$249="P3")*$F$253:$AJ$276),0))/(SUMPRODUCT(($C$253:$C$276=AO$251)*($F$249:$AJ$249=""))+IF(AO$251="P3",COUNTIF($F$249:$AJ$249,"P3")*ROWS($C$253:$C$276),0)),"")</f>
        <v>0.93154775943396251</v>
      </c>
      <c r="AP272" s="6" t="str" cm="1">
        <f t="array" ref="AP272">IFERROR((SUMPRODUCT(($C$253:$C$276=AP$251)*($F$249:$AJ$249="")*$F$253:$AJ$276)+IF(AP$251="P3",SUMPRODUCT(($F$249:$AJ$249="P3")*$F$253:$AJ$276),0))/(SUMPRODUCT(($C$253:$C$276=AP$251)*($F$249:$AJ$249=""))+IF(AP$251="P3",COUNTIF($F$249:$AJ$249,"P3")*ROWS($C$253:$C$276),0)),"")</f>
        <v/>
      </c>
      <c r="AQ272" s="6" t="str" cm="1">
        <f t="array" ref="AQ272">IFERROR((SUMPRODUCT(($C$253:$C$276=AQ$251)*($F$249:$AJ$249="")*$F$253:$AJ$276)+IF(AQ$251="P3",SUMPRODUCT(($F$249:$AJ$249="P3")*$F$253:$AJ$276),0))/(SUMPRODUCT(($C$253:$C$276=AQ$251)*($F$249:$AJ$249=""))+IF(AQ$251="P3",COUNTIF($F$249:$AJ$249,"P3")*ROWS($C$253:$C$276),0)),"")</f>
        <v/>
      </c>
      <c r="AR272" s="6" t="str" cm="1">
        <f t="array" ref="AR272">IFERROR((SUMPRODUCT(($C$253:$C$276=AR$251)*($F$249:$AJ$249="")*$F$253:$AJ$276)+IF(AR$251="P3",SUMPRODUCT(($F$249:$AJ$249="P3")*$F$253:$AJ$276),0))/(SUMPRODUCT(($C$253:$C$276=AR$251)*($F$249:$AJ$249=""))+IF(AR$251="P3",COUNTIF($F$249:$AJ$249,"P3")*ROWS($C$253:$C$276),0)),"")</f>
        <v/>
      </c>
    </row>
    <row r="273" spans="1:44" ht="14.25" customHeight="1" x14ac:dyDescent="0.35">
      <c r="A273" s="1" t="s">
        <v>13</v>
      </c>
      <c r="B273" s="1" t="s">
        <v>13</v>
      </c>
      <c r="C273" s="1" t="s">
        <v>13</v>
      </c>
      <c r="D273" s="1" t="s">
        <v>15</v>
      </c>
      <c r="E273" s="1" t="s">
        <v>39</v>
      </c>
      <c r="F273" s="1">
        <v>1.0219</v>
      </c>
      <c r="G273" s="1">
        <v>0.95523000000000002</v>
      </c>
      <c r="H273" s="1">
        <v>0.96931999999999996</v>
      </c>
      <c r="I273" s="1">
        <v>0.99817</v>
      </c>
      <c r="J273" s="1">
        <v>0.98692000000000002</v>
      </c>
      <c r="K273" s="1">
        <v>1.0012300000000001</v>
      </c>
      <c r="L273" s="1">
        <v>0.98645000000000005</v>
      </c>
      <c r="M273" s="1">
        <v>1.0219</v>
      </c>
      <c r="N273" s="1">
        <v>0.95523000000000002</v>
      </c>
      <c r="O273" s="1">
        <v>0.96931999999999996</v>
      </c>
      <c r="P273" s="1">
        <v>0.99817</v>
      </c>
      <c r="Q273" s="1">
        <v>0.98692000000000002</v>
      </c>
      <c r="R273" s="1">
        <v>1.0012300000000001</v>
      </c>
      <c r="S273" s="1">
        <v>0.98645000000000005</v>
      </c>
      <c r="T273" s="1">
        <v>0.99795999999999996</v>
      </c>
      <c r="U273" s="1">
        <v>0.95523000000000002</v>
      </c>
      <c r="V273" s="1">
        <v>0.96931999999999996</v>
      </c>
      <c r="W273" s="1">
        <v>0.99817</v>
      </c>
      <c r="X273" s="1">
        <v>0.98692000000000002</v>
      </c>
      <c r="Y273" s="1">
        <v>1.0012300000000001</v>
      </c>
      <c r="Z273" s="1">
        <v>0.98645000000000005</v>
      </c>
      <c r="AA273" s="1">
        <v>1.0219</v>
      </c>
      <c r="AB273" s="1">
        <v>0.95523000000000002</v>
      </c>
      <c r="AC273" s="1">
        <v>0.96931999999999996</v>
      </c>
      <c r="AD273" s="1">
        <v>0.99817</v>
      </c>
      <c r="AE273" s="1">
        <v>0.98692000000000002</v>
      </c>
      <c r="AF273" s="1">
        <v>1.0012300000000001</v>
      </c>
      <c r="AG273" s="1">
        <v>0.98645000000000005</v>
      </c>
      <c r="AH273" s="1">
        <v>1.0219</v>
      </c>
      <c r="AI273" s="1">
        <v>0.95523000000000002</v>
      </c>
      <c r="AJ273" s="1">
        <v>0.96931999999999996</v>
      </c>
      <c r="AL273" s="4" t="s">
        <v>21</v>
      </c>
      <c r="AM273" s="6" cm="1">
        <f t="array" ref="AM273">IFERROR((SUMPRODUCT(($B$253:$B$276=AM$251)*($F$250:$AJ$250="")*$F$253:$AJ$276)+IF(AM$251="P6",SUMPRODUCT(($F$250:$AJ$250="P6")*$F$253:$AJ$276),0))/(SUMPRODUCT(($B$253:$B$276=AM$251)*($F$250:$AJ$250=""))+IF(AM$251="P6",COUNTIF($F$250:$AJ$250,"P6")*ROWS($B$253:$B$276),0)),"")</f>
        <v>0.89482622222222186</v>
      </c>
      <c r="AN273" s="6" cm="1">
        <f t="array" ref="AN273">IFERROR((SUMPRODUCT(($B$253:$B$276=AN$251)*($F$250:$AJ$250="")*$F$253:$AJ$276)+IF(AN$251="P6",SUMPRODUCT(($F$250:$AJ$250="P6")*$F$253:$AJ$276),0))/(SUMPRODUCT(($B$253:$B$276=AN$251)*($F$250:$AJ$250=""))+IF(AN$251="P6",COUNTIF($F$250:$AJ$250,"P6")*ROWS($B$253:$B$276),0)),"")</f>
        <v>0.93291685714285821</v>
      </c>
      <c r="AO273" s="6" t="str" cm="1">
        <f t="array" ref="AO273">IFERROR((SUMPRODUCT(($B$253:$B$276=AO$251)*($F$250:$AJ$250="")*$F$253:$AJ$276)+IF(AO$251="P6",SUMPRODUCT(($F$250:$AJ$250="P6")*$F$253:$AJ$276),0))/(SUMPRODUCT(($B$253:$B$276=AO$251)*($F$250:$AJ$250=""))+IF(AO$251="P6",COUNTIF($F$250:$AJ$250,"P6")*ROWS($B$253:$B$276),0)),"")</f>
        <v/>
      </c>
      <c r="AP273" s="6" t="str" cm="1">
        <f t="array" ref="AP273">IFERROR((SUMPRODUCT(($B$253:$B$276=AP$251)*($F$250:$AJ$250="")*$F$253:$AJ$276)+IF(AP$251="P6",SUMPRODUCT(($F$250:$AJ$250="P6")*$F$253:$AJ$276),0))/(SUMPRODUCT(($B$253:$B$276=AP$251)*($F$250:$AJ$250=""))+IF(AP$251="P6",COUNTIF($F$250:$AJ$250,"P6")*ROWS($B$253:$B$276),0)),"")</f>
        <v/>
      </c>
      <c r="AQ273" s="6" t="str" cm="1">
        <f t="array" ref="AQ273">IFERROR((SUMPRODUCT(($B$253:$B$276=AQ$251)*($F$250:$AJ$250="")*$F$253:$AJ$276)+IF(AQ$251="P6",SUMPRODUCT(($F$250:$AJ$250="P6")*$F$253:$AJ$276),0))/(SUMPRODUCT(($B$253:$B$276=AQ$251)*($F$250:$AJ$250=""))+IF(AQ$251="P6",COUNTIF($F$250:$AJ$250,"P6")*ROWS($B$253:$B$276),0)),"")</f>
        <v/>
      </c>
      <c r="AR273" s="6" cm="1">
        <f t="array" ref="AR273">IFERROR((SUMPRODUCT(($B$253:$B$276=AR$251)*($F$250:$AJ$250="")*$F$253:$AJ$276)+IF(AR$251="P6",SUMPRODUCT(($F$250:$AJ$250="P6")*$F$253:$AJ$276),0))/(SUMPRODUCT(($B$253:$B$276=AR$251)*($F$250:$AJ$250=""))+IF(AR$251="P6",COUNTIF($F$250:$AJ$250,"P6")*ROWS($B$253:$B$276),0)),"")</f>
        <v>0.93154775943396251</v>
      </c>
    </row>
    <row r="274" spans="1:44" ht="14.25" customHeight="1" x14ac:dyDescent="0.35">
      <c r="A274" s="1" t="s">
        <v>13</v>
      </c>
      <c r="B274" s="1" t="s">
        <v>13</v>
      </c>
      <c r="C274" s="1" t="s">
        <v>13</v>
      </c>
      <c r="D274" s="1" t="s">
        <v>15</v>
      </c>
      <c r="E274" s="1" t="s">
        <v>40</v>
      </c>
      <c r="F274" s="1">
        <v>1.03264</v>
      </c>
      <c r="G274" s="1">
        <v>0.9556</v>
      </c>
      <c r="H274" s="1">
        <v>0.95296000000000003</v>
      </c>
      <c r="I274" s="1">
        <v>1.0097</v>
      </c>
      <c r="J274" s="1">
        <v>0.99843999999999999</v>
      </c>
      <c r="K274" s="1">
        <v>1.03057</v>
      </c>
      <c r="L274" s="1">
        <v>1.0079199999999999</v>
      </c>
      <c r="M274" s="1">
        <v>1.03264</v>
      </c>
      <c r="N274" s="1">
        <v>0.9556</v>
      </c>
      <c r="O274" s="1">
        <v>0.95296000000000003</v>
      </c>
      <c r="P274" s="1">
        <v>1.0097</v>
      </c>
      <c r="Q274" s="1">
        <v>0.99843999999999999</v>
      </c>
      <c r="R274" s="1">
        <v>1.03057</v>
      </c>
      <c r="S274" s="1">
        <v>1.0079199999999999</v>
      </c>
      <c r="T274" s="1">
        <v>0.99297000000000002</v>
      </c>
      <c r="U274" s="1">
        <v>0.9556</v>
      </c>
      <c r="V274" s="1">
        <v>0.95296000000000003</v>
      </c>
      <c r="W274" s="1">
        <v>1.0097</v>
      </c>
      <c r="X274" s="1">
        <v>0.99843999999999999</v>
      </c>
      <c r="Y274" s="1">
        <v>1.03057</v>
      </c>
      <c r="Z274" s="1">
        <v>1.0079199999999999</v>
      </c>
      <c r="AA274" s="1">
        <v>1.03264</v>
      </c>
      <c r="AB274" s="1">
        <v>0.9556</v>
      </c>
      <c r="AC274" s="1">
        <v>0.95296000000000003</v>
      </c>
      <c r="AD274" s="1">
        <v>1.0097</v>
      </c>
      <c r="AE274" s="1">
        <v>0.99843999999999999</v>
      </c>
      <c r="AF274" s="1">
        <v>1.03057</v>
      </c>
      <c r="AG274" s="1">
        <v>1.0079199999999999</v>
      </c>
      <c r="AH274" s="1">
        <v>1.03264</v>
      </c>
      <c r="AI274" s="1">
        <v>0.9556</v>
      </c>
      <c r="AJ274" s="1">
        <v>0.95296000000000003</v>
      </c>
      <c r="AL274" s="4" t="s">
        <v>23</v>
      </c>
      <c r="AM274" s="6" cm="1">
        <f t="array" ref="AM274">IFERROR((SUMPRODUCT(($B$253:$B$276=AM$251)*($F$250:$AJ$250="")*$F$253:$AJ$276)+IF(AM$251="P6",SUMPRODUCT(($F$250:$AJ$250="P6")*$F$253:$AJ$276),0))/(SUMPRODUCT(($B$253:$B$276=AM$251)*($F$250:$AJ$250=""))+IF(AM$251="P6",COUNTIF($F$250:$AJ$250,"P6")*ROWS($B$253:$B$276),0)),"")</f>
        <v>0.89482622222222186</v>
      </c>
      <c r="AN274" s="6" cm="1">
        <f t="array" ref="AN274">IFERROR((SUMPRODUCT(($B$253:$B$276=AN$251)*($F$250:$AJ$250="")*$F$253:$AJ$276)+IF(AN$251="P6",SUMPRODUCT(($F$250:$AJ$250="P6")*$F$253:$AJ$276),0))/(SUMPRODUCT(($B$253:$B$276=AN$251)*($F$250:$AJ$250=""))+IF(AN$251="P6",COUNTIF($F$250:$AJ$250,"P6")*ROWS($B$253:$B$276),0)),"")</f>
        <v>0.93291685714285821</v>
      </c>
      <c r="AO274" s="6" t="str" cm="1">
        <f t="array" ref="AO274">IFERROR((SUMPRODUCT(($B$253:$B$276=AO$251)*($F$250:$AJ$250="")*$F$253:$AJ$276)+IF(AO$251="P6",SUMPRODUCT(($F$250:$AJ$250="P6")*$F$253:$AJ$276),0))/(SUMPRODUCT(($B$253:$B$276=AO$251)*($F$250:$AJ$250=""))+IF(AO$251="P6",COUNTIF($F$250:$AJ$250,"P6")*ROWS($B$253:$B$276),0)),"")</f>
        <v/>
      </c>
      <c r="AP274" s="6" t="str" cm="1">
        <f t="array" ref="AP274">IFERROR((SUMPRODUCT(($B$253:$B$276=AP$251)*($F$250:$AJ$250="")*$F$253:$AJ$276)+IF(AP$251="P6",SUMPRODUCT(($F$250:$AJ$250="P6")*$F$253:$AJ$276),0))/(SUMPRODUCT(($B$253:$B$276=AP$251)*($F$250:$AJ$250=""))+IF(AP$251="P6",COUNTIF($F$250:$AJ$250,"P6")*ROWS($B$253:$B$276),0)),"")</f>
        <v/>
      </c>
      <c r="AQ274" s="6" t="str" cm="1">
        <f t="array" ref="AQ274">IFERROR((SUMPRODUCT(($B$253:$B$276=AQ$251)*($F$250:$AJ$250="")*$F$253:$AJ$276)+IF(AQ$251="P6",SUMPRODUCT(($F$250:$AJ$250="P6")*$F$253:$AJ$276),0))/(SUMPRODUCT(($B$253:$B$276=AQ$251)*($F$250:$AJ$250=""))+IF(AQ$251="P6",COUNTIF($F$250:$AJ$250,"P6")*ROWS($B$253:$B$276),0)),"")</f>
        <v/>
      </c>
      <c r="AR274" s="6" cm="1">
        <f t="array" ref="AR274">IFERROR((SUMPRODUCT(($B$253:$B$276=AR$251)*($F$250:$AJ$250="")*$F$253:$AJ$276)+IF(AR$251="P6",SUMPRODUCT(($F$250:$AJ$250="P6")*$F$253:$AJ$276),0))/(SUMPRODUCT(($B$253:$B$276=AR$251)*($F$250:$AJ$250=""))+IF(AR$251="P6",COUNTIF($F$250:$AJ$250,"P6")*ROWS($B$253:$B$276),0)),"")</f>
        <v>0.93154775943396251</v>
      </c>
    </row>
    <row r="275" spans="1:44" ht="14.25" customHeight="1" x14ac:dyDescent="0.35">
      <c r="A275" s="1" t="s">
        <v>15</v>
      </c>
      <c r="B275" s="1" t="s">
        <v>14</v>
      </c>
      <c r="C275" s="1" t="s">
        <v>14</v>
      </c>
      <c r="D275" s="1" t="s">
        <v>16</v>
      </c>
      <c r="E275" s="1" t="s">
        <v>41</v>
      </c>
      <c r="F275" s="1">
        <v>1.0545</v>
      </c>
      <c r="G275" s="1">
        <v>0.96811000000000003</v>
      </c>
      <c r="H275" s="1">
        <v>0.95357000000000003</v>
      </c>
      <c r="I275" s="1">
        <v>1.0403500000000001</v>
      </c>
      <c r="J275" s="1">
        <v>1.0367999999999999</v>
      </c>
      <c r="K275" s="1">
        <v>1.0622799999999999</v>
      </c>
      <c r="L275" s="1">
        <v>1.04453</v>
      </c>
      <c r="M275" s="1">
        <v>1.0545</v>
      </c>
      <c r="N275" s="1">
        <v>0.96811000000000003</v>
      </c>
      <c r="O275" s="1">
        <v>0.95357000000000003</v>
      </c>
      <c r="P275" s="1">
        <v>1.0403500000000001</v>
      </c>
      <c r="Q275" s="1">
        <v>1.0367999999999999</v>
      </c>
      <c r="R275" s="1">
        <v>1.0622799999999999</v>
      </c>
      <c r="S275" s="1">
        <v>1.04453</v>
      </c>
      <c r="T275" s="1">
        <v>0.98826999999999998</v>
      </c>
      <c r="U275" s="1">
        <v>0.96811000000000003</v>
      </c>
      <c r="V275" s="1">
        <v>0.95357000000000003</v>
      </c>
      <c r="W275" s="1">
        <v>1.0403500000000001</v>
      </c>
      <c r="X275" s="1">
        <v>1.0367999999999999</v>
      </c>
      <c r="Y275" s="1">
        <v>1.0622799999999999</v>
      </c>
      <c r="Z275" s="1">
        <v>1.04453</v>
      </c>
      <c r="AA275" s="1">
        <v>1.0545</v>
      </c>
      <c r="AB275" s="1">
        <v>0.96811000000000003</v>
      </c>
      <c r="AC275" s="1">
        <v>0.95357000000000003</v>
      </c>
      <c r="AD275" s="1">
        <v>1.0403500000000001</v>
      </c>
      <c r="AE275" s="1">
        <v>1.0367999999999999</v>
      </c>
      <c r="AF275" s="1">
        <v>1.0622799999999999</v>
      </c>
      <c r="AG275" s="1">
        <v>1.04453</v>
      </c>
      <c r="AH275" s="1">
        <v>1.0545</v>
      </c>
      <c r="AI275" s="1">
        <v>0.96811000000000003</v>
      </c>
      <c r="AJ275" s="1">
        <v>0.95357000000000003</v>
      </c>
      <c r="AL275" s="4" t="s">
        <v>25</v>
      </c>
      <c r="AM275" s="6" cm="1">
        <f t="array" ref="AM275">IFERROR((SUMPRODUCT(($B$253:$B$276=AM$251)*($F$250:$AJ$250="")*$F$253:$AJ$276)+IF(AM$251="P6",SUMPRODUCT(($F$250:$AJ$250="P6")*$F$253:$AJ$276),0))/(SUMPRODUCT(($B$253:$B$276=AM$251)*($F$250:$AJ$250=""))+IF(AM$251="P6",COUNTIF($F$250:$AJ$250,"P6")*ROWS($B$253:$B$276),0)),"")</f>
        <v>0.89482622222222186</v>
      </c>
      <c r="AN275" s="6" cm="1">
        <f t="array" ref="AN275">IFERROR((SUMPRODUCT(($B$253:$B$276=AN$251)*($F$250:$AJ$250="")*$F$253:$AJ$276)+IF(AN$251="P6",SUMPRODUCT(($F$250:$AJ$250="P6")*$F$253:$AJ$276),0))/(SUMPRODUCT(($B$253:$B$276=AN$251)*($F$250:$AJ$250=""))+IF(AN$251="P6",COUNTIF($F$250:$AJ$250,"P6")*ROWS($B$253:$B$276),0)),"")</f>
        <v>0.93291685714285821</v>
      </c>
      <c r="AO275" s="6" t="str" cm="1">
        <f t="array" ref="AO275">IFERROR((SUMPRODUCT(($B$253:$B$276=AO$251)*($F$250:$AJ$250="")*$F$253:$AJ$276)+IF(AO$251="P6",SUMPRODUCT(($F$250:$AJ$250="P6")*$F$253:$AJ$276),0))/(SUMPRODUCT(($B$253:$B$276=AO$251)*($F$250:$AJ$250=""))+IF(AO$251="P6",COUNTIF($F$250:$AJ$250,"P6")*ROWS($B$253:$B$276),0)),"")</f>
        <v/>
      </c>
      <c r="AP275" s="6" t="str" cm="1">
        <f t="array" ref="AP275">IFERROR((SUMPRODUCT(($B$253:$B$276=AP$251)*($F$250:$AJ$250="")*$F$253:$AJ$276)+IF(AP$251="P6",SUMPRODUCT(($F$250:$AJ$250="P6")*$F$253:$AJ$276),0))/(SUMPRODUCT(($B$253:$B$276=AP$251)*($F$250:$AJ$250=""))+IF(AP$251="P6",COUNTIF($F$250:$AJ$250,"P6")*ROWS($B$253:$B$276),0)),"")</f>
        <v/>
      </c>
      <c r="AQ275" s="6" t="str" cm="1">
        <f t="array" ref="AQ275">IFERROR((SUMPRODUCT(($B$253:$B$276=AQ$251)*($F$250:$AJ$250="")*$F$253:$AJ$276)+IF(AQ$251="P6",SUMPRODUCT(($F$250:$AJ$250="P6")*$F$253:$AJ$276),0))/(SUMPRODUCT(($B$253:$B$276=AQ$251)*($F$250:$AJ$250=""))+IF(AQ$251="P6",COUNTIF($F$250:$AJ$250,"P6")*ROWS($B$253:$B$276),0)),"")</f>
        <v/>
      </c>
      <c r="AR275" s="6" cm="1">
        <f t="array" ref="AR275">IFERROR((SUMPRODUCT(($B$253:$B$276=AR$251)*($F$250:$AJ$250="")*$F$253:$AJ$276)+IF(AR$251="P6",SUMPRODUCT(($F$250:$AJ$250="P6")*$F$253:$AJ$276),0))/(SUMPRODUCT(($B$253:$B$276=AR$251)*($F$250:$AJ$250=""))+IF(AR$251="P6",COUNTIF($F$250:$AJ$250,"P6")*ROWS($B$253:$B$276),0)),"")</f>
        <v>0.93154775943396251</v>
      </c>
    </row>
    <row r="276" spans="1:44" ht="14.25" customHeight="1" x14ac:dyDescent="0.35">
      <c r="A276" s="1" t="s">
        <v>15</v>
      </c>
      <c r="B276" s="1" t="s">
        <v>14</v>
      </c>
      <c r="C276" s="1" t="s">
        <v>14</v>
      </c>
      <c r="D276" s="1" t="s">
        <v>16</v>
      </c>
      <c r="E276" s="1" t="s">
        <v>42</v>
      </c>
      <c r="F276" s="1">
        <v>1.06304</v>
      </c>
      <c r="G276" s="1">
        <v>0.98070000000000002</v>
      </c>
      <c r="H276" s="1">
        <v>0.96736</v>
      </c>
      <c r="I276" s="1">
        <v>1.0545199999999999</v>
      </c>
      <c r="J276" s="1">
        <v>1.06162</v>
      </c>
      <c r="K276" s="1">
        <v>1.07752</v>
      </c>
      <c r="L276" s="1">
        <v>1.05009</v>
      </c>
      <c r="M276" s="1">
        <v>1.06304</v>
      </c>
      <c r="N276" s="1">
        <v>0.98070000000000002</v>
      </c>
      <c r="O276" s="1">
        <v>0.96736</v>
      </c>
      <c r="P276" s="1">
        <v>1.0545199999999999</v>
      </c>
      <c r="Q276" s="1">
        <v>1.06162</v>
      </c>
      <c r="R276" s="1">
        <v>1.07752</v>
      </c>
      <c r="S276" s="1">
        <v>1.05009</v>
      </c>
      <c r="T276" s="1">
        <v>0.98843999999999999</v>
      </c>
      <c r="U276" s="1">
        <v>0.98070000000000002</v>
      </c>
      <c r="V276" s="1">
        <v>0.96736</v>
      </c>
      <c r="W276" s="1">
        <v>1.0545199999999999</v>
      </c>
      <c r="X276" s="1">
        <v>1.06162</v>
      </c>
      <c r="Y276" s="1">
        <v>1.07752</v>
      </c>
      <c r="Z276" s="1">
        <v>1.05009</v>
      </c>
      <c r="AA276" s="1">
        <v>1.06304</v>
      </c>
      <c r="AB276" s="1">
        <v>0.98070000000000002</v>
      </c>
      <c r="AC276" s="1">
        <v>0.96736</v>
      </c>
      <c r="AD276" s="1">
        <v>1.0545199999999999</v>
      </c>
      <c r="AE276" s="1">
        <v>1.06162</v>
      </c>
      <c r="AF276" s="1">
        <v>1.07752</v>
      </c>
      <c r="AG276" s="1">
        <v>1.05009</v>
      </c>
      <c r="AH276" s="1">
        <v>1.06304</v>
      </c>
      <c r="AI276" s="1">
        <v>0.98070000000000002</v>
      </c>
      <c r="AJ276" s="1">
        <v>0.96736</v>
      </c>
      <c r="AL276" s="4" t="s">
        <v>27</v>
      </c>
      <c r="AM276" s="6" cm="1">
        <f t="array" ref="AM276">IFERROR((SUMPRODUCT(($B$253:$B$276=AM$251)*($F$250:$AJ$250="")*$F$253:$AJ$276)+IF(AM$251="P6",SUMPRODUCT(($F$250:$AJ$250="P6")*$F$253:$AJ$276),0))/(SUMPRODUCT(($B$253:$B$276=AM$251)*($F$250:$AJ$250=""))+IF(AM$251="P6",COUNTIF($F$250:$AJ$250,"P6")*ROWS($B$253:$B$276),0)),"")</f>
        <v>0.89482622222222186</v>
      </c>
      <c r="AN276" s="6" cm="1">
        <f t="array" ref="AN276">IFERROR((SUMPRODUCT(($B$253:$B$276=AN$251)*($F$250:$AJ$250="")*$F$253:$AJ$276)+IF(AN$251="P6",SUMPRODUCT(($F$250:$AJ$250="P6")*$F$253:$AJ$276),0))/(SUMPRODUCT(($B$253:$B$276=AN$251)*($F$250:$AJ$250=""))+IF(AN$251="P6",COUNTIF($F$250:$AJ$250,"P6")*ROWS($B$253:$B$276),0)),"")</f>
        <v>0.93291685714285821</v>
      </c>
      <c r="AO276" s="6" t="str" cm="1">
        <f t="array" ref="AO276">IFERROR((SUMPRODUCT(($B$253:$B$276=AO$251)*($F$250:$AJ$250="")*$F$253:$AJ$276)+IF(AO$251="P6",SUMPRODUCT(($F$250:$AJ$250="P6")*$F$253:$AJ$276),0))/(SUMPRODUCT(($B$253:$B$276=AO$251)*($F$250:$AJ$250=""))+IF(AO$251="P6",COUNTIF($F$250:$AJ$250,"P6")*ROWS($B$253:$B$276),0)),"")</f>
        <v/>
      </c>
      <c r="AP276" s="6" t="str" cm="1">
        <f t="array" ref="AP276">IFERROR((SUMPRODUCT(($B$253:$B$276=AP$251)*($F$250:$AJ$250="")*$F$253:$AJ$276)+IF(AP$251="P6",SUMPRODUCT(($F$250:$AJ$250="P6")*$F$253:$AJ$276),0))/(SUMPRODUCT(($B$253:$B$276=AP$251)*($F$250:$AJ$250=""))+IF(AP$251="P6",COUNTIF($F$250:$AJ$250,"P6")*ROWS($B$253:$B$276),0)),"")</f>
        <v/>
      </c>
      <c r="AQ276" s="6" t="str" cm="1">
        <f t="array" ref="AQ276">IFERROR((SUMPRODUCT(($B$253:$B$276=AQ$251)*($F$250:$AJ$250="")*$F$253:$AJ$276)+IF(AQ$251="P6",SUMPRODUCT(($F$250:$AJ$250="P6")*$F$253:$AJ$276),0))/(SUMPRODUCT(($B$253:$B$276=AQ$251)*($F$250:$AJ$250=""))+IF(AQ$251="P6",COUNTIF($F$250:$AJ$250,"P6")*ROWS($B$253:$B$276),0)),"")</f>
        <v/>
      </c>
      <c r="AR276" s="6" cm="1">
        <f t="array" ref="AR276">IFERROR((SUMPRODUCT(($B$253:$B$276=AR$251)*($F$250:$AJ$250="")*$F$253:$AJ$276)+IF(AR$251="P6",SUMPRODUCT(($F$250:$AJ$250="P6")*$F$253:$AJ$276),0))/(SUMPRODUCT(($B$253:$B$276=AR$251)*($F$250:$AJ$250=""))+IF(AR$251="P6",COUNTIF($F$250:$AJ$250,"P6")*ROWS($B$253:$B$276),0)),"")</f>
        <v>0.93154775943396251</v>
      </c>
    </row>
    <row r="277" spans="1:44" ht="14.25" customHeight="1" x14ac:dyDescent="0.35">
      <c r="AL277" s="4" t="s">
        <v>29</v>
      </c>
      <c r="AM277" s="6" cm="1">
        <f t="array" ref="AM277">IFERROR((SUMPRODUCT(($B$253:$B$276=AM$251)*($F$250:$AJ$250="")*$F$253:$AJ$276)+IF(AM$251="P6",SUMPRODUCT(($F$250:$AJ$250="P6")*$F$253:$AJ$276),0))/(SUMPRODUCT(($B$253:$B$276=AM$251)*($F$250:$AJ$250=""))+IF(AM$251="P6",COUNTIF($F$250:$AJ$250,"P6")*ROWS($B$253:$B$276),0)),"")</f>
        <v>0.89482622222222186</v>
      </c>
      <c r="AN277" s="6" cm="1">
        <f t="array" ref="AN277">IFERROR((SUMPRODUCT(($B$253:$B$276=AN$251)*($F$250:$AJ$250="")*$F$253:$AJ$276)+IF(AN$251="P6",SUMPRODUCT(($F$250:$AJ$250="P6")*$F$253:$AJ$276),0))/(SUMPRODUCT(($B$253:$B$276=AN$251)*($F$250:$AJ$250=""))+IF(AN$251="P6",COUNTIF($F$250:$AJ$250,"P6")*ROWS($B$253:$B$276),0)),"")</f>
        <v>0.93291685714285821</v>
      </c>
      <c r="AO277" s="6" t="str" cm="1">
        <f t="array" ref="AO277">IFERROR((SUMPRODUCT(($B$253:$B$276=AO$251)*($F$250:$AJ$250="")*$F$253:$AJ$276)+IF(AO$251="P6",SUMPRODUCT(($F$250:$AJ$250="P6")*$F$253:$AJ$276),0))/(SUMPRODUCT(($B$253:$B$276=AO$251)*($F$250:$AJ$250=""))+IF(AO$251="P6",COUNTIF($F$250:$AJ$250,"P6")*ROWS($B$253:$B$276),0)),"")</f>
        <v/>
      </c>
      <c r="AP277" s="6" t="str" cm="1">
        <f t="array" ref="AP277">IFERROR((SUMPRODUCT(($B$253:$B$276=AP$251)*($F$250:$AJ$250="")*$F$253:$AJ$276)+IF(AP$251="P6",SUMPRODUCT(($F$250:$AJ$250="P6")*$F$253:$AJ$276),0))/(SUMPRODUCT(($B$253:$B$276=AP$251)*($F$250:$AJ$250=""))+IF(AP$251="P6",COUNTIF($F$250:$AJ$250,"P6")*ROWS($B$253:$B$276),0)),"")</f>
        <v/>
      </c>
      <c r="AQ277" s="6" t="str" cm="1">
        <f t="array" ref="AQ277">IFERROR((SUMPRODUCT(($B$253:$B$276=AQ$251)*($F$250:$AJ$250="")*$F$253:$AJ$276)+IF(AQ$251="P6",SUMPRODUCT(($F$250:$AJ$250="P6")*$F$253:$AJ$276),0))/(SUMPRODUCT(($B$253:$B$276=AQ$251)*($F$250:$AJ$250=""))+IF(AQ$251="P6",COUNTIF($F$250:$AJ$250,"P6")*ROWS($B$253:$B$276),0)),"")</f>
        <v/>
      </c>
      <c r="AR277" s="6" cm="1">
        <f t="array" ref="AR277">IFERROR((SUMPRODUCT(($B$253:$B$276=AR$251)*($F$250:$AJ$250="")*$F$253:$AJ$276)+IF(AR$251="P6",SUMPRODUCT(($F$250:$AJ$250="P6")*$F$253:$AJ$276),0))/(SUMPRODUCT(($B$253:$B$276=AR$251)*($F$250:$AJ$250=""))+IF(AR$251="P6",COUNTIF($F$250:$AJ$250,"P6")*ROWS($B$253:$B$276),0)),"")</f>
        <v>0.93154775943396251</v>
      </c>
    </row>
    <row r="280" spans="1:44" ht="14" customHeight="1" x14ac:dyDescent="0.35"/>
    <row r="281" spans="1:44" ht="14.25" customHeight="1" x14ac:dyDescent="0.35">
      <c r="A281" s="15" t="s">
        <v>51</v>
      </c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</row>
    <row r="282" spans="1:44" ht="14.25" customHeight="1" x14ac:dyDescent="0.3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</row>
    <row r="283" spans="1:44" ht="14.25" customHeight="1" x14ac:dyDescent="0.35">
      <c r="AL283" s="10"/>
      <c r="AM283" s="10"/>
      <c r="AN283" s="10"/>
      <c r="AO283" s="10"/>
      <c r="AP283" s="10"/>
      <c r="AQ283" s="10"/>
      <c r="AR283" s="10"/>
    </row>
    <row r="284" spans="1:44" ht="14.25" customHeight="1" x14ac:dyDescent="0.35">
      <c r="F284" s="1" t="str">
        <f>IF(OR(F286="S",F286="D"),"P3","")</f>
        <v/>
      </c>
      <c r="G284" s="1" t="str">
        <f t="shared" ref="G284:AI284" si="33">IF(OR(G286="S",G286="D"),"P3","")</f>
        <v/>
      </c>
      <c r="H284" s="1" t="str">
        <f t="shared" si="33"/>
        <v/>
      </c>
      <c r="I284" s="1" t="str">
        <f t="shared" si="33"/>
        <v/>
      </c>
      <c r="J284" s="1" t="str">
        <f t="shared" si="33"/>
        <v/>
      </c>
      <c r="K284" s="1" t="str">
        <f t="shared" si="33"/>
        <v>P3</v>
      </c>
      <c r="L284" s="1" t="str">
        <f t="shared" si="33"/>
        <v>P3</v>
      </c>
      <c r="M284" s="1" t="str">
        <f t="shared" si="33"/>
        <v/>
      </c>
      <c r="N284" s="1" t="str">
        <f t="shared" si="33"/>
        <v/>
      </c>
      <c r="O284" s="1" t="str">
        <f t="shared" si="33"/>
        <v/>
      </c>
      <c r="P284" s="1" t="str">
        <f t="shared" si="33"/>
        <v/>
      </c>
      <c r="Q284" s="1" t="str">
        <f t="shared" si="33"/>
        <v/>
      </c>
      <c r="R284" s="1" t="str">
        <f t="shared" si="33"/>
        <v>P3</v>
      </c>
      <c r="S284" s="1" t="str">
        <f t="shared" si="33"/>
        <v>P3</v>
      </c>
      <c r="T284" s="1" t="str">
        <f t="shared" si="33"/>
        <v/>
      </c>
      <c r="U284" s="1" t="str">
        <f t="shared" si="33"/>
        <v/>
      </c>
      <c r="V284" s="1" t="str">
        <f t="shared" si="33"/>
        <v/>
      </c>
      <c r="W284" s="1" t="str">
        <f t="shared" si="33"/>
        <v/>
      </c>
      <c r="X284" s="1" t="str">
        <f t="shared" si="33"/>
        <v/>
      </c>
      <c r="Y284" s="1" t="str">
        <f t="shared" si="33"/>
        <v>P3</v>
      </c>
      <c r="Z284" s="1" t="str">
        <f t="shared" si="33"/>
        <v>P3</v>
      </c>
      <c r="AA284" s="1" t="str">
        <f t="shared" si="33"/>
        <v/>
      </c>
      <c r="AB284" s="1" t="str">
        <f t="shared" si="33"/>
        <v/>
      </c>
      <c r="AC284" s="1" t="str">
        <f t="shared" si="33"/>
        <v/>
      </c>
      <c r="AD284" s="1" t="str">
        <f t="shared" si="33"/>
        <v/>
      </c>
      <c r="AE284" s="1" t="str">
        <f t="shared" si="33"/>
        <v/>
      </c>
      <c r="AF284" s="1" t="str">
        <f t="shared" si="33"/>
        <v>P3</v>
      </c>
      <c r="AG284" s="1" t="str">
        <f t="shared" si="33"/>
        <v>P3</v>
      </c>
      <c r="AH284" s="1" t="str">
        <f t="shared" si="33"/>
        <v/>
      </c>
      <c r="AI284" s="1" t="str">
        <f t="shared" si="33"/>
        <v/>
      </c>
      <c r="AL284" s="10"/>
      <c r="AM284" s="10"/>
      <c r="AN284" s="10"/>
      <c r="AO284" s="10"/>
      <c r="AP284" s="10"/>
      <c r="AQ284" s="10"/>
      <c r="AR284" s="10"/>
    </row>
    <row r="285" spans="1:44" ht="14.25" customHeight="1" x14ac:dyDescent="0.35">
      <c r="F285" s="1" t="str">
        <f>IF(OR(F286="S",F286="D"),"P6","")</f>
        <v/>
      </c>
      <c r="G285" s="1" t="str">
        <f t="shared" ref="G285:AI285" si="34">IF(OR(G286="S",G286="D"),"P6","")</f>
        <v/>
      </c>
      <c r="H285" s="1" t="str">
        <f t="shared" si="34"/>
        <v/>
      </c>
      <c r="I285" s="1" t="str">
        <f t="shared" si="34"/>
        <v/>
      </c>
      <c r="J285" s="1" t="str">
        <f t="shared" si="34"/>
        <v/>
      </c>
      <c r="K285" s="1" t="str">
        <f t="shared" si="34"/>
        <v>P6</v>
      </c>
      <c r="L285" s="1" t="str">
        <f t="shared" si="34"/>
        <v>P6</v>
      </c>
      <c r="M285" s="1" t="str">
        <f t="shared" si="34"/>
        <v/>
      </c>
      <c r="N285" s="1" t="str">
        <f t="shared" si="34"/>
        <v/>
      </c>
      <c r="O285" s="1" t="str">
        <f t="shared" si="34"/>
        <v/>
      </c>
      <c r="P285" s="1" t="str">
        <f t="shared" si="34"/>
        <v/>
      </c>
      <c r="Q285" s="1" t="str">
        <f t="shared" si="34"/>
        <v/>
      </c>
      <c r="R285" s="1" t="str">
        <f t="shared" si="34"/>
        <v>P6</v>
      </c>
      <c r="S285" s="1" t="str">
        <f t="shared" si="34"/>
        <v>P6</v>
      </c>
      <c r="T285" s="1" t="str">
        <f t="shared" si="34"/>
        <v/>
      </c>
      <c r="U285" s="1" t="str">
        <f t="shared" si="34"/>
        <v/>
      </c>
      <c r="V285" s="1" t="str">
        <f t="shared" si="34"/>
        <v/>
      </c>
      <c r="W285" s="1" t="str">
        <f t="shared" si="34"/>
        <v/>
      </c>
      <c r="X285" s="1" t="str">
        <f t="shared" si="34"/>
        <v/>
      </c>
      <c r="Y285" s="1" t="str">
        <f t="shared" si="34"/>
        <v>P6</v>
      </c>
      <c r="Z285" s="1" t="str">
        <f t="shared" si="34"/>
        <v>P6</v>
      </c>
      <c r="AA285" s="1" t="str">
        <f t="shared" si="34"/>
        <v/>
      </c>
      <c r="AB285" s="1" t="str">
        <f t="shared" si="34"/>
        <v/>
      </c>
      <c r="AC285" s="1" t="str">
        <f t="shared" si="34"/>
        <v/>
      </c>
      <c r="AD285" s="1" t="str">
        <f t="shared" si="34"/>
        <v/>
      </c>
      <c r="AE285" s="1" t="str">
        <f t="shared" si="34"/>
        <v/>
      </c>
      <c r="AF285" s="1" t="str">
        <f t="shared" si="34"/>
        <v>P6</v>
      </c>
      <c r="AG285" s="1" t="str">
        <f t="shared" si="34"/>
        <v>P6</v>
      </c>
      <c r="AH285" s="1" t="str">
        <f t="shared" si="34"/>
        <v/>
      </c>
      <c r="AI285" s="1" t="str">
        <f t="shared" si="34"/>
        <v/>
      </c>
      <c r="AL285" s="14" t="s">
        <v>102</v>
      </c>
      <c r="AM285" s="14"/>
      <c r="AN285" s="14"/>
      <c r="AO285" s="14"/>
      <c r="AP285" s="14"/>
      <c r="AQ285" s="14"/>
      <c r="AR285" s="14"/>
    </row>
    <row r="286" spans="1:44" ht="14.25" customHeight="1" x14ac:dyDescent="0.35">
      <c r="F286" s="1" t="str">
        <f>CHOOSE(WEEKDAY(F287,2),"L","M","X","J","V","S","D")</f>
        <v>L</v>
      </c>
      <c r="G286" s="1" t="str">
        <f t="shared" ref="G286:AI286" si="35">CHOOSE(WEEKDAY(G287,2),"L","M","X","J","V","S","D")</f>
        <v>M</v>
      </c>
      <c r="H286" s="1" t="str">
        <f t="shared" si="35"/>
        <v>X</v>
      </c>
      <c r="I286" s="1" t="str">
        <f t="shared" si="35"/>
        <v>J</v>
      </c>
      <c r="J286" s="1" t="str">
        <f t="shared" si="35"/>
        <v>V</v>
      </c>
      <c r="K286" s="1" t="str">
        <f t="shared" si="35"/>
        <v>S</v>
      </c>
      <c r="L286" s="1" t="str">
        <f t="shared" si="35"/>
        <v>D</v>
      </c>
      <c r="M286" s="1" t="str">
        <f t="shared" si="35"/>
        <v>L</v>
      </c>
      <c r="N286" s="1" t="str">
        <f t="shared" si="35"/>
        <v>M</v>
      </c>
      <c r="O286" s="1" t="str">
        <f t="shared" si="35"/>
        <v>X</v>
      </c>
      <c r="P286" s="1" t="str">
        <f t="shared" si="35"/>
        <v>J</v>
      </c>
      <c r="Q286" s="1" t="str">
        <f t="shared" si="35"/>
        <v>V</v>
      </c>
      <c r="R286" s="1" t="str">
        <f t="shared" si="35"/>
        <v>S</v>
      </c>
      <c r="S286" s="1" t="str">
        <f t="shared" si="35"/>
        <v>D</v>
      </c>
      <c r="T286" s="1" t="str">
        <f t="shared" si="35"/>
        <v>L</v>
      </c>
      <c r="U286" s="1" t="str">
        <f t="shared" si="35"/>
        <v>M</v>
      </c>
      <c r="V286" s="1" t="str">
        <f t="shared" si="35"/>
        <v>X</v>
      </c>
      <c r="W286" s="1" t="str">
        <f t="shared" si="35"/>
        <v>J</v>
      </c>
      <c r="X286" s="1" t="str">
        <f t="shared" si="35"/>
        <v>V</v>
      </c>
      <c r="Y286" s="1" t="str">
        <f t="shared" si="35"/>
        <v>S</v>
      </c>
      <c r="Z286" s="1" t="str">
        <f t="shared" si="35"/>
        <v>D</v>
      </c>
      <c r="AA286" s="1" t="str">
        <f t="shared" si="35"/>
        <v>L</v>
      </c>
      <c r="AB286" s="1" t="str">
        <f t="shared" si="35"/>
        <v>M</v>
      </c>
      <c r="AC286" s="1" t="str">
        <f t="shared" si="35"/>
        <v>X</v>
      </c>
      <c r="AD286" s="1" t="str">
        <f t="shared" si="35"/>
        <v>J</v>
      </c>
      <c r="AE286" s="1" t="str">
        <f t="shared" si="35"/>
        <v>V</v>
      </c>
      <c r="AF286" s="1" t="str">
        <f t="shared" si="35"/>
        <v>S</v>
      </c>
      <c r="AG286" s="1" t="str">
        <f t="shared" si="35"/>
        <v>D</v>
      </c>
      <c r="AH286" s="1" t="str">
        <f t="shared" si="35"/>
        <v>L</v>
      </c>
      <c r="AI286" s="1" t="str">
        <f t="shared" si="35"/>
        <v>M</v>
      </c>
      <c r="AL286" s="4"/>
      <c r="AM286" s="4" t="s">
        <v>13</v>
      </c>
      <c r="AN286" s="4" t="s">
        <v>14</v>
      </c>
      <c r="AO286" s="4" t="s">
        <v>15</v>
      </c>
      <c r="AP286" s="4" t="s">
        <v>16</v>
      </c>
      <c r="AQ286" s="4" t="s">
        <v>17</v>
      </c>
      <c r="AR286" s="4" t="s">
        <v>7</v>
      </c>
    </row>
    <row r="287" spans="1:44" ht="14.25" customHeight="1" x14ac:dyDescent="0.35">
      <c r="A287" s="3" t="s">
        <v>76</v>
      </c>
      <c r="B287" s="3" t="s">
        <v>77</v>
      </c>
      <c r="C287" s="3" t="s">
        <v>75</v>
      </c>
      <c r="D287" s="3" t="s">
        <v>74</v>
      </c>
      <c r="F287" s="8">
        <v>45901</v>
      </c>
      <c r="G287" s="8">
        <v>45902</v>
      </c>
      <c r="H287" s="8">
        <v>45903</v>
      </c>
      <c r="I287" s="8">
        <v>45904</v>
      </c>
      <c r="J287" s="8">
        <v>45905</v>
      </c>
      <c r="K287" s="8">
        <v>45906</v>
      </c>
      <c r="L287" s="8">
        <v>45907</v>
      </c>
      <c r="M287" s="8">
        <v>45908</v>
      </c>
      <c r="N287" s="8">
        <v>45909</v>
      </c>
      <c r="O287" s="8">
        <v>45910</v>
      </c>
      <c r="P287" s="8">
        <v>45911</v>
      </c>
      <c r="Q287" s="8">
        <v>45912</v>
      </c>
      <c r="R287" s="8">
        <v>45913</v>
      </c>
      <c r="S287" s="8">
        <v>45914</v>
      </c>
      <c r="T287" s="8">
        <v>45915</v>
      </c>
      <c r="U287" s="8">
        <v>45916</v>
      </c>
      <c r="V287" s="8">
        <v>45917</v>
      </c>
      <c r="W287" s="8">
        <v>45918</v>
      </c>
      <c r="X287" s="8">
        <v>45919</v>
      </c>
      <c r="Y287" s="8">
        <v>45920</v>
      </c>
      <c r="Z287" s="8">
        <v>45921</v>
      </c>
      <c r="AA287" s="8">
        <v>45922</v>
      </c>
      <c r="AB287" s="8">
        <v>45923</v>
      </c>
      <c r="AC287" s="8">
        <v>45924</v>
      </c>
      <c r="AD287" s="8">
        <v>45925</v>
      </c>
      <c r="AE287" s="8">
        <v>45926</v>
      </c>
      <c r="AF287" s="8">
        <v>45927</v>
      </c>
      <c r="AG287" s="8">
        <v>45928</v>
      </c>
      <c r="AH287" s="8">
        <v>45929</v>
      </c>
      <c r="AI287" s="8">
        <v>45930</v>
      </c>
      <c r="AL287" s="4" t="s">
        <v>19</v>
      </c>
      <c r="AM287" s="6" cm="1">
        <f t="array" ref="AM287">IFERROR((SUMPRODUCT(($C$288:$C$311=AM$286)*($F$284:$AI$284="")*$F$288:$AI$311)+IF(AM$286="P3",SUMPRODUCT(($F$284:$AI$284="P3")*$F$288:$AI$311),0))/(SUMPRODUCT(($C$288:$C$311=AM$286)*($F$284:$AI$284=""))+IF(AM$286="P3",COUNTIF($F$284:$AI$284,"P3")*ROWS($C$288:$C$311),0)),"")</f>
        <v>0.86536119318181759</v>
      </c>
      <c r="AN287" s="6" cm="1">
        <f t="array" ref="AN287">IFERROR((SUMPRODUCT(($C$288:$C$311=AN$286)*($F$284:$AI$284="")*$F$288:$AI$311)+IF(AN$286="P3",SUMPRODUCT(($F$284:$AI$284="P3")*$F$288:$AI$311),0))/(SUMPRODUCT(($C$288:$C$311=AN$286)*($F$284:$AI$284=""))+IF(AN$286="P3",COUNTIF($F$284:$AI$284,"P3")*ROWS($C$288:$C$311),0)),"")</f>
        <v>0.89775329545454585</v>
      </c>
      <c r="AO287" s="6" cm="1">
        <f t="array" ref="AO287">IFERROR((SUMPRODUCT(($C$288:$C$311=AO$286)*($F$284:$AI$284="")*$F$288:$AI$311)+IF(AO$286="P3",SUMPRODUCT(($F$284:$AI$284="P3")*$F$288:$AI$311),0))/(SUMPRODUCT(($C$288:$C$311=AO$286)*($F$284:$AI$284=""))+IF(AO$286="P3",COUNTIF($F$284:$AI$284,"P3")*ROWS($C$288:$C$311),0)),"")</f>
        <v>0.91030663043478166</v>
      </c>
      <c r="AP287" s="6" t="str" cm="1">
        <f t="array" ref="AP287">IFERROR((SUMPRODUCT(($C$288:$C$311=AP$286)*($F$284:$AI$284="")*$F$288:$AI$311)+IF(AP$286="P3",SUMPRODUCT(($F$284:$AI$284="P3")*$F$288:$AI$311),0))/(SUMPRODUCT(($C$288:$C$311=AP$286)*($F$284:$AI$284=""))+IF(AP$286="P3",COUNTIF($F$284:$AI$284,"P3")*ROWS($C$288:$C$311),0)),"")</f>
        <v/>
      </c>
      <c r="AQ287" s="6" t="str" cm="1">
        <f t="array" ref="AQ287">IFERROR((SUMPRODUCT(($C$288:$C$311=AQ$286)*($F$284:$AI$284="")*$F$288:$AI$311)+IF(AQ$286="P3",SUMPRODUCT(($F$284:$AI$284="P3")*$F$288:$AI$311),0))/(SUMPRODUCT(($C$288:$C$311=AQ$286)*($F$284:$AI$284=""))+IF(AQ$286="P3",COUNTIF($F$284:$AI$284,"P3")*ROWS($C$288:$C$311),0)),"")</f>
        <v/>
      </c>
      <c r="AR287" s="6" t="str" cm="1">
        <f t="array" ref="AR287">IFERROR((SUMPRODUCT(($C$288:$C$311=AR$286)*($F$284:$AI$284="")*$F$288:$AI$311)+IF(AR$286="P3",SUMPRODUCT(($F$284:$AI$284="P3")*$F$288:$AI$311),0))/(SUMPRODUCT(($C$288:$C$311=AR$286)*($F$284:$AI$284=""))+IF(AR$286="P3",COUNTIF($F$284:$AI$284,"P3")*ROWS($C$288:$C$311),0)),"")</f>
        <v/>
      </c>
    </row>
    <row r="288" spans="1:44" ht="14.25" customHeight="1" x14ac:dyDescent="0.35">
      <c r="A288" s="1" t="s">
        <v>7</v>
      </c>
      <c r="B288" s="1" t="s">
        <v>7</v>
      </c>
      <c r="C288" s="1" t="s">
        <v>15</v>
      </c>
      <c r="D288" s="1" t="s">
        <v>7</v>
      </c>
      <c r="E288" s="1" t="s">
        <v>8</v>
      </c>
      <c r="F288" s="1">
        <v>0.94427000000000005</v>
      </c>
      <c r="G288" s="1">
        <v>0.94199999999999995</v>
      </c>
      <c r="H288" s="1">
        <v>0.90427000000000002</v>
      </c>
      <c r="I288" s="1">
        <v>0.93332000000000004</v>
      </c>
      <c r="J288" s="1">
        <v>0.93179999999999996</v>
      </c>
      <c r="K288" s="1">
        <v>0.91912000000000005</v>
      </c>
      <c r="L288" s="1">
        <v>0.96467999999999998</v>
      </c>
      <c r="M288" s="1">
        <v>0.94427000000000005</v>
      </c>
      <c r="N288" s="1">
        <v>0.94199999999999995</v>
      </c>
      <c r="O288" s="1">
        <v>0.90427000000000002</v>
      </c>
      <c r="P288" s="1">
        <v>0.93332000000000004</v>
      </c>
      <c r="Q288" s="1">
        <v>0.93179999999999996</v>
      </c>
      <c r="R288" s="1">
        <v>0.91912000000000005</v>
      </c>
      <c r="S288" s="1">
        <v>0.96467999999999998</v>
      </c>
      <c r="T288" s="1">
        <v>0.94427000000000005</v>
      </c>
      <c r="U288" s="1">
        <v>0.94199999999999995</v>
      </c>
      <c r="V288" s="1">
        <v>0.90427000000000002</v>
      </c>
      <c r="W288" s="1">
        <v>0.93332000000000004</v>
      </c>
      <c r="X288" s="1">
        <v>0.93179999999999996</v>
      </c>
      <c r="Y288" s="1">
        <v>0.91912000000000005</v>
      </c>
      <c r="Z288" s="1">
        <v>0.96467999999999998</v>
      </c>
      <c r="AA288" s="1">
        <v>0.94427000000000005</v>
      </c>
      <c r="AB288" s="1">
        <v>0.94199999999999995</v>
      </c>
      <c r="AC288" s="1">
        <v>0.90427000000000002</v>
      </c>
      <c r="AD288" s="1">
        <v>0.93332000000000004</v>
      </c>
      <c r="AE288" s="1">
        <v>0.93179999999999996</v>
      </c>
      <c r="AF288" s="1">
        <v>0.91912000000000005</v>
      </c>
      <c r="AG288" s="1">
        <v>0.96467999999999998</v>
      </c>
      <c r="AH288" s="1">
        <v>0.94427000000000005</v>
      </c>
      <c r="AI288" s="1">
        <v>0.94199999999999995</v>
      </c>
      <c r="AL288" s="4" t="s">
        <v>21</v>
      </c>
      <c r="AM288" s="6" t="str" cm="1">
        <f t="array" ref="AM288">IFERROR((SUMPRODUCT(($D$288:$D$311=AM$286)*($F$285:$AI$285="")*$F$288:$AI$311)+IF(AM$286="P6",SUMPRODUCT(($F$285:$AI$285="P6")*$F$288:$AI$311),0))/(SUMPRODUCT(($D$288:$D$311=AM$286)*($F$285:$AI$285=""))+IF(AM$286="P6",COUNTIF($F$285:$AI$285,"P6")*ROWS($D$288:$D$311),0)),"")</f>
        <v/>
      </c>
      <c r="AN288" s="6" t="str" cm="1">
        <f t="array" ref="AN288">IFERROR((SUMPRODUCT(($D$288:$D$311=AN$286)*($F$285:$AI$285="")*$F$288:$AI$311)+IF(AN$286="P6",SUMPRODUCT(($F$285:$AI$285="P6")*$F$288:$AI$311),0))/(SUMPRODUCT(($D$288:$D$311=AN$286)*($F$285:$AI$285=""))+IF(AN$286="P6",COUNTIF($F$285:$AI$285,"P6")*ROWS($D$288:$D$311),0)),"")</f>
        <v/>
      </c>
      <c r="AO288" s="6" cm="1">
        <f t="array" ref="AO288">IFERROR((SUMPRODUCT(($D$288:$D$311=AO$286)*($F$285:$AI$285="")*$F$288:$AI$311)+IF(AO$286="P6",SUMPRODUCT(($F$285:$AI$285="P6")*$F$288:$AI$311),0))/(SUMPRODUCT(($D$288:$D$311=AO$286)*($F$285:$AI$285=""))+IF(AO$286="P6",COUNTIF($F$285:$AI$285,"P6")*ROWS($D$288:$D$311),0)),"")</f>
        <v>0.86180691919191854</v>
      </c>
      <c r="AP288" s="6" cm="1">
        <f t="array" ref="AP288">IFERROR((SUMPRODUCT(($D$288:$D$311=AP$286)*($F$285:$AI$285="")*$F$288:$AI$311)+IF(AP$286="P6",SUMPRODUCT(($F$285:$AI$285="P6")*$F$288:$AI$311),0))/(SUMPRODUCT(($D$288:$D$311=AP$286)*($F$285:$AI$285=""))+IF(AP$286="P6",COUNTIF($F$285:$AI$285,"P6")*ROWS($D$288:$D$311),0)),"")</f>
        <v>0.90695051948051908</v>
      </c>
      <c r="AQ288" s="6" t="str" cm="1">
        <f t="array" ref="AQ288">IFERROR((SUMPRODUCT(($D$288:$D$311=AQ$286)*($F$285:$AI$285="")*$F$288:$AI$311)+IF(AQ$286="P6",SUMPRODUCT(($F$285:$AI$285="P6")*$F$288:$AI$311),0))/(SUMPRODUCT(($D$288:$D$311=AQ$286)*($F$285:$AI$285=""))+IF(AQ$286="P6",COUNTIF($F$285:$AI$285,"P6")*ROWS($D$288:$D$311),0)),"")</f>
        <v/>
      </c>
      <c r="AR288" s="6" cm="1">
        <f t="array" ref="AR288">IFERROR((SUMPRODUCT(($D$288:$D$311=AR$286)*($F$285:$AI$285="")*$F$288:$AI$311)+IF(AR$286="P6",SUMPRODUCT(($F$285:$AI$285="P6")*$F$288:$AI$311),0))/(SUMPRODUCT(($D$288:$D$311=AR$286)*($F$285:$AI$285=""))+IF(AR$286="P6",COUNTIF($F$285:$AI$285,"P6")*ROWS($D$288:$D$311),0)),"")</f>
        <v>0.91030663043478166</v>
      </c>
    </row>
    <row r="289" spans="1:44" ht="14.25" customHeight="1" x14ac:dyDescent="0.35">
      <c r="A289" s="1" t="s">
        <v>7</v>
      </c>
      <c r="B289" s="1" t="s">
        <v>7</v>
      </c>
      <c r="C289" s="1" t="s">
        <v>15</v>
      </c>
      <c r="D289" s="1" t="s">
        <v>7</v>
      </c>
      <c r="E289" s="1" t="s">
        <v>9</v>
      </c>
      <c r="F289" s="1">
        <v>0.96801000000000004</v>
      </c>
      <c r="G289" s="1">
        <v>0.95684000000000002</v>
      </c>
      <c r="H289" s="1">
        <v>0.92778000000000005</v>
      </c>
      <c r="I289" s="1">
        <v>0.94645000000000001</v>
      </c>
      <c r="J289" s="1">
        <v>0.96011999999999997</v>
      </c>
      <c r="K289" s="1">
        <v>0.95765999999999996</v>
      </c>
      <c r="L289" s="1">
        <v>0.99678</v>
      </c>
      <c r="M289" s="1">
        <v>0.96801000000000004</v>
      </c>
      <c r="N289" s="1">
        <v>0.95684000000000002</v>
      </c>
      <c r="O289" s="1">
        <v>0.92778000000000005</v>
      </c>
      <c r="P289" s="1">
        <v>0.94645000000000001</v>
      </c>
      <c r="Q289" s="1">
        <v>0.96011999999999997</v>
      </c>
      <c r="R289" s="1">
        <v>0.95765999999999996</v>
      </c>
      <c r="S289" s="1">
        <v>0.99678</v>
      </c>
      <c r="T289" s="1">
        <v>0.96801000000000004</v>
      </c>
      <c r="U289" s="1">
        <v>0.95684000000000002</v>
      </c>
      <c r="V289" s="1">
        <v>0.92778000000000005</v>
      </c>
      <c r="W289" s="1">
        <v>0.94645000000000001</v>
      </c>
      <c r="X289" s="1">
        <v>0.96011999999999997</v>
      </c>
      <c r="Y289" s="1">
        <v>0.95765999999999996</v>
      </c>
      <c r="Z289" s="1">
        <v>0.99678</v>
      </c>
      <c r="AA289" s="1">
        <v>0.96801000000000004</v>
      </c>
      <c r="AB289" s="1">
        <v>0.95684000000000002</v>
      </c>
      <c r="AC289" s="1">
        <v>0.92778000000000005</v>
      </c>
      <c r="AD289" s="1">
        <v>0.94645000000000001</v>
      </c>
      <c r="AE289" s="1">
        <v>0.96011999999999997</v>
      </c>
      <c r="AF289" s="1">
        <v>0.95765999999999996</v>
      </c>
      <c r="AG289" s="1">
        <v>0.99678</v>
      </c>
      <c r="AH289" s="1">
        <v>0.96801000000000004</v>
      </c>
      <c r="AI289" s="1">
        <v>0.95684000000000002</v>
      </c>
      <c r="AL289" s="4" t="s">
        <v>23</v>
      </c>
      <c r="AM289" s="6" t="str" cm="1">
        <f t="array" ref="AM289">IFERROR((SUMPRODUCT(($D$288:$D$311=AM$286)*($F$285:$AI$285="")*$F$288:$AI$311)+IF(AM$286="P6",SUMPRODUCT(($F$285:$AI$285="P6")*$F$288:$AI$311),0))/(SUMPRODUCT(($D$288:$D$311=AM$286)*($F$285:$AI$285=""))+IF(AM$286="P6",COUNTIF($F$285:$AI$285,"P6")*ROWS($D$288:$D$311),0)),"")</f>
        <v/>
      </c>
      <c r="AN289" s="6" t="str" cm="1">
        <f t="array" ref="AN289">IFERROR((SUMPRODUCT(($D$288:$D$311=AN$286)*($F$285:$AI$285="")*$F$288:$AI$311)+IF(AN$286="P6",SUMPRODUCT(($F$285:$AI$285="P6")*$F$288:$AI$311),0))/(SUMPRODUCT(($D$288:$D$311=AN$286)*($F$285:$AI$285=""))+IF(AN$286="P6",COUNTIF($F$285:$AI$285,"P6")*ROWS($D$288:$D$311),0)),"")</f>
        <v/>
      </c>
      <c r="AO289" s="5" cm="1">
        <f t="array" ref="AO289">IFERROR((SUMPRODUCT(($D$288:$D$311=AO$286)*($F$285:$AI$285="")*$F$288:$AI$311)+IF(AO$286="P6",SUMPRODUCT(($F$285:$AI$285="P6")*$F$288:$AI$311),0))/(SUMPRODUCT(($D$288:$D$311=AO$286)*($F$285:$AI$285=""))+IF(AO$286="P6",COUNTIF($F$285:$AI$285,"P6")*ROWS($D$288:$D$311),0)),"")</f>
        <v>0.86180691919191854</v>
      </c>
      <c r="AP289" s="5" cm="1">
        <f t="array" ref="AP289">IFERROR((SUMPRODUCT(($D$288:$D$311=AP$286)*($F$285:$AI$285="")*$F$288:$AI$311)+IF(AP$286="P6",SUMPRODUCT(($F$285:$AI$285="P6")*$F$288:$AI$311),0))/(SUMPRODUCT(($D$288:$D$311=AP$286)*($F$285:$AI$285=""))+IF(AP$286="P6",COUNTIF($F$285:$AI$285,"P6")*ROWS($D$288:$D$311),0)),"")</f>
        <v>0.90695051948051908</v>
      </c>
      <c r="AQ289" s="5" t="str" cm="1">
        <f t="array" ref="AQ289">IFERROR((SUMPRODUCT(($D$288:$D$311=AQ$286)*($F$285:$AI$285="")*$F$288:$AI$311)+IF(AQ$286="P6",SUMPRODUCT(($F$285:$AI$285="P6")*$F$288:$AI$311),0))/(SUMPRODUCT(($D$288:$D$311=AQ$286)*($F$285:$AI$285=""))+IF(AQ$286="P6",COUNTIF($F$285:$AI$285,"P6")*ROWS($D$288:$D$311),0)),"")</f>
        <v/>
      </c>
      <c r="AR289" s="6" cm="1">
        <f t="array" ref="AR289">IFERROR((SUMPRODUCT(($D$288:$D$311=AR$286)*($F$285:$AI$285="")*$F$288:$AI$311)+IF(AR$286="P6",SUMPRODUCT(($F$285:$AI$285="P6")*$F$288:$AI$311),0))/(SUMPRODUCT(($D$288:$D$311=AR$286)*($F$285:$AI$285=""))+IF(AR$286="P6",COUNTIF($F$285:$AI$285,"P6")*ROWS($D$288:$D$311),0)),"")</f>
        <v>0.91030663043478166</v>
      </c>
    </row>
    <row r="290" spans="1:44" ht="14.25" customHeight="1" x14ac:dyDescent="0.35">
      <c r="A290" s="1" t="s">
        <v>7</v>
      </c>
      <c r="B290" s="1" t="s">
        <v>7</v>
      </c>
      <c r="C290" s="1" t="s">
        <v>15</v>
      </c>
      <c r="D290" s="1" t="s">
        <v>7</v>
      </c>
      <c r="E290" s="1" t="s">
        <v>10</v>
      </c>
      <c r="F290" s="1">
        <v>0.98148999999999997</v>
      </c>
      <c r="G290" s="1">
        <v>0.96111999999999997</v>
      </c>
      <c r="H290" s="1">
        <v>0.93755999999999995</v>
      </c>
      <c r="I290" s="1">
        <v>0.9587</v>
      </c>
      <c r="J290" s="1">
        <v>0.97419</v>
      </c>
      <c r="K290" s="1">
        <v>0.98068</v>
      </c>
      <c r="L290" s="1">
        <v>1.03271</v>
      </c>
      <c r="M290" s="1">
        <v>0.98148999999999997</v>
      </c>
      <c r="N290" s="1">
        <v>0.96111999999999997</v>
      </c>
      <c r="O290" s="1">
        <v>0.93755999999999995</v>
      </c>
      <c r="P290" s="1">
        <v>0.9587</v>
      </c>
      <c r="Q290" s="1">
        <v>0.97419</v>
      </c>
      <c r="R290" s="1">
        <v>0.98068</v>
      </c>
      <c r="S290" s="1">
        <v>1.03271</v>
      </c>
      <c r="T290" s="1">
        <v>0.98148999999999997</v>
      </c>
      <c r="U290" s="1">
        <v>0.96111999999999997</v>
      </c>
      <c r="V290" s="1">
        <v>0.93755999999999995</v>
      </c>
      <c r="W290" s="1">
        <v>0.9587</v>
      </c>
      <c r="X290" s="1">
        <v>0.97419</v>
      </c>
      <c r="Y290" s="1">
        <v>0.98068</v>
      </c>
      <c r="Z290" s="1">
        <v>1.03271</v>
      </c>
      <c r="AA290" s="1">
        <v>0.98148999999999997</v>
      </c>
      <c r="AB290" s="1">
        <v>0.96111999999999997</v>
      </c>
      <c r="AC290" s="1">
        <v>0.93755999999999995</v>
      </c>
      <c r="AD290" s="1">
        <v>0.9587</v>
      </c>
      <c r="AE290" s="1">
        <v>0.97419</v>
      </c>
      <c r="AF290" s="1">
        <v>0.98068</v>
      </c>
      <c r="AG290" s="1">
        <v>1.03271</v>
      </c>
      <c r="AH290" s="1">
        <v>0.98148999999999997</v>
      </c>
      <c r="AI290" s="1">
        <v>0.96111999999999997</v>
      </c>
      <c r="AL290" s="4" t="s">
        <v>25</v>
      </c>
      <c r="AM290" s="6" t="str" cm="1">
        <f t="array" ref="AM290">IFERROR((SUMPRODUCT(($D$288:$D$311=AM$286)*($F$285:$AI$285="")*$F$288:$AI$311)+IF(AM$286="P6",SUMPRODUCT(($F$285:$AI$285="P6")*$F$288:$AI$311),0))/(SUMPRODUCT(($D$288:$D$311=AM$286)*($F$285:$AI$285=""))+IF(AM$286="P6",COUNTIF($F$285:$AI$285,"P6")*ROWS($D$288:$D$311),0)),"")</f>
        <v/>
      </c>
      <c r="AN290" s="6" t="str" cm="1">
        <f t="array" ref="AN290">IFERROR((SUMPRODUCT(($D$288:$D$311=AN$286)*($F$285:$AI$285="")*$F$288:$AI$311)+IF(AN$286="P6",SUMPRODUCT(($F$285:$AI$285="P6")*$F$288:$AI$311),0))/(SUMPRODUCT(($D$288:$D$311=AN$286)*($F$285:$AI$285=""))+IF(AN$286="P6",COUNTIF($F$285:$AI$285,"P6")*ROWS($D$288:$D$311),0)),"")</f>
        <v/>
      </c>
      <c r="AO290" s="5" cm="1">
        <f t="array" ref="AO290">IFERROR((SUMPRODUCT(($D$288:$D$311=AO$286)*($F$285:$AI$285="")*$F$288:$AI$311)+IF(AO$286="P6",SUMPRODUCT(($F$285:$AI$285="P6")*$F$288:$AI$311),0))/(SUMPRODUCT(($D$288:$D$311=AO$286)*($F$285:$AI$285=""))+IF(AO$286="P6",COUNTIF($F$285:$AI$285,"P6")*ROWS($D$288:$D$311),0)),"")</f>
        <v>0.86180691919191854</v>
      </c>
      <c r="AP290" s="5" cm="1">
        <f t="array" ref="AP290">IFERROR((SUMPRODUCT(($D$288:$D$311=AP$286)*($F$285:$AI$285="")*$F$288:$AI$311)+IF(AP$286="P6",SUMPRODUCT(($F$285:$AI$285="P6")*$F$288:$AI$311),0))/(SUMPRODUCT(($D$288:$D$311=AP$286)*($F$285:$AI$285=""))+IF(AP$286="P6",COUNTIF($F$285:$AI$285,"P6")*ROWS($D$288:$D$311),0)),"")</f>
        <v>0.90695051948051908</v>
      </c>
      <c r="AQ290" s="5" t="str" cm="1">
        <f t="array" ref="AQ290">IFERROR((SUMPRODUCT(($D$288:$D$311=AQ$286)*($F$285:$AI$285="")*$F$288:$AI$311)+IF(AQ$286="P6",SUMPRODUCT(($F$285:$AI$285="P6")*$F$288:$AI$311),0))/(SUMPRODUCT(($D$288:$D$311=AQ$286)*($F$285:$AI$285=""))+IF(AQ$286="P6",COUNTIF($F$285:$AI$285,"P6")*ROWS($D$288:$D$311),0)),"")</f>
        <v/>
      </c>
      <c r="AR290" s="6" cm="1">
        <f t="array" ref="AR290">IFERROR((SUMPRODUCT(($D$288:$D$311=AR$286)*($F$285:$AI$285="")*$F$288:$AI$311)+IF(AR$286="P6",SUMPRODUCT(($F$285:$AI$285="P6")*$F$288:$AI$311),0))/(SUMPRODUCT(($D$288:$D$311=AR$286)*($F$285:$AI$285=""))+IF(AR$286="P6",COUNTIF($F$285:$AI$285,"P6")*ROWS($D$288:$D$311),0)),"")</f>
        <v>0.91030663043478166</v>
      </c>
    </row>
    <row r="291" spans="1:44" ht="14.25" customHeight="1" x14ac:dyDescent="0.35">
      <c r="A291" s="1" t="s">
        <v>7</v>
      </c>
      <c r="B291" s="1" t="s">
        <v>7</v>
      </c>
      <c r="C291" s="1" t="s">
        <v>15</v>
      </c>
      <c r="D291" s="1" t="s">
        <v>7</v>
      </c>
      <c r="E291" s="1" t="s">
        <v>11</v>
      </c>
      <c r="F291" s="1">
        <v>0.98436000000000001</v>
      </c>
      <c r="G291" s="1">
        <v>0.96367000000000003</v>
      </c>
      <c r="H291" s="1">
        <v>0.94916</v>
      </c>
      <c r="I291" s="1">
        <v>0.97055000000000002</v>
      </c>
      <c r="J291" s="1">
        <v>0.98168999999999995</v>
      </c>
      <c r="K291" s="1">
        <v>0.98801000000000005</v>
      </c>
      <c r="L291" s="1">
        <v>1.04827</v>
      </c>
      <c r="M291" s="1">
        <v>0.98436000000000001</v>
      </c>
      <c r="N291" s="1">
        <v>0.96367000000000003</v>
      </c>
      <c r="O291" s="1">
        <v>0.94916</v>
      </c>
      <c r="P291" s="1">
        <v>0.97055000000000002</v>
      </c>
      <c r="Q291" s="1">
        <v>0.98168999999999995</v>
      </c>
      <c r="R291" s="1">
        <v>0.98801000000000005</v>
      </c>
      <c r="S291" s="1">
        <v>1.04827</v>
      </c>
      <c r="T291" s="1">
        <v>0.98436000000000001</v>
      </c>
      <c r="U291" s="1">
        <v>0.96367000000000003</v>
      </c>
      <c r="V291" s="1">
        <v>0.94916</v>
      </c>
      <c r="W291" s="1">
        <v>0.97055000000000002</v>
      </c>
      <c r="X291" s="1">
        <v>0.98168999999999995</v>
      </c>
      <c r="Y291" s="1">
        <v>0.98801000000000005</v>
      </c>
      <c r="Z291" s="1">
        <v>1.04827</v>
      </c>
      <c r="AA291" s="1">
        <v>0.98436000000000001</v>
      </c>
      <c r="AB291" s="1">
        <v>0.96367000000000003</v>
      </c>
      <c r="AC291" s="1">
        <v>0.94916</v>
      </c>
      <c r="AD291" s="1">
        <v>0.97055000000000002</v>
      </c>
      <c r="AE291" s="1">
        <v>0.98168999999999995</v>
      </c>
      <c r="AF291" s="1">
        <v>0.98801000000000005</v>
      </c>
      <c r="AG291" s="1">
        <v>1.04827</v>
      </c>
      <c r="AH291" s="1">
        <v>0.98436000000000001</v>
      </c>
      <c r="AI291" s="1">
        <v>0.96367000000000003</v>
      </c>
      <c r="AL291" s="4" t="s">
        <v>27</v>
      </c>
      <c r="AM291" s="6" t="str" cm="1">
        <f t="array" ref="AM291">IFERROR((SUMPRODUCT(($D$288:$D$311=AM$286)*($F$285:$AI$285="")*$F$288:$AI$311)+IF(AM$286="P6",SUMPRODUCT(($F$285:$AI$285="P6")*$F$288:$AI$311),0))/(SUMPRODUCT(($D$288:$D$311=AM$286)*($F$285:$AI$285=""))+IF(AM$286="P6",COUNTIF($F$285:$AI$285,"P6")*ROWS($D$288:$D$311),0)),"")</f>
        <v/>
      </c>
      <c r="AN291" s="6" t="str" cm="1">
        <f t="array" ref="AN291">IFERROR((SUMPRODUCT(($D$288:$D$311=AN$286)*($F$285:$AI$285="")*$F$288:$AI$311)+IF(AN$286="P6",SUMPRODUCT(($F$285:$AI$285="P6")*$F$288:$AI$311),0))/(SUMPRODUCT(($D$288:$D$311=AN$286)*($F$285:$AI$285=""))+IF(AN$286="P6",COUNTIF($F$285:$AI$285,"P6")*ROWS($D$288:$D$311),0)),"")</f>
        <v/>
      </c>
      <c r="AO291" s="5" cm="1">
        <f t="array" ref="AO291">IFERROR((SUMPRODUCT(($D$288:$D$311=AO$286)*($F$285:$AI$285="")*$F$288:$AI$311)+IF(AO$286="P6",SUMPRODUCT(($F$285:$AI$285="P6")*$F$288:$AI$311),0))/(SUMPRODUCT(($D$288:$D$311=AO$286)*($F$285:$AI$285=""))+IF(AO$286="P6",COUNTIF($F$285:$AI$285,"P6")*ROWS($D$288:$D$311),0)),"")</f>
        <v>0.86180691919191854</v>
      </c>
      <c r="AP291" s="5" cm="1">
        <f t="array" ref="AP291">IFERROR((SUMPRODUCT(($D$288:$D$311=AP$286)*($F$285:$AI$285="")*$F$288:$AI$311)+IF(AP$286="P6",SUMPRODUCT(($F$285:$AI$285="P6")*$F$288:$AI$311),0))/(SUMPRODUCT(($D$288:$D$311=AP$286)*($F$285:$AI$285=""))+IF(AP$286="P6",COUNTIF($F$285:$AI$285,"P6")*ROWS($D$288:$D$311),0)),"")</f>
        <v>0.90695051948051908</v>
      </c>
      <c r="AQ291" s="5" t="str" cm="1">
        <f t="array" ref="AQ291">IFERROR((SUMPRODUCT(($D$288:$D$311=AQ$286)*($F$285:$AI$285="")*$F$288:$AI$311)+IF(AQ$286="P6",SUMPRODUCT(($F$285:$AI$285="P6")*$F$288:$AI$311),0))/(SUMPRODUCT(($D$288:$D$311=AQ$286)*($F$285:$AI$285=""))+IF(AQ$286="P6",COUNTIF($F$285:$AI$285,"P6")*ROWS($D$288:$D$311),0)),"")</f>
        <v/>
      </c>
      <c r="AR291" s="6" cm="1">
        <f t="array" ref="AR291">IFERROR((SUMPRODUCT(($D$288:$D$311=AR$286)*($F$285:$AI$285="")*$F$288:$AI$311)+IF(AR$286="P6",SUMPRODUCT(($F$285:$AI$285="P6")*$F$288:$AI$311),0))/(SUMPRODUCT(($D$288:$D$311=AR$286)*($F$285:$AI$285=""))+IF(AR$286="P6",COUNTIF($F$285:$AI$285,"P6")*ROWS($D$288:$D$311),0)),"")</f>
        <v>0.91030663043478166</v>
      </c>
    </row>
    <row r="292" spans="1:44" ht="14.25" customHeight="1" x14ac:dyDescent="0.35">
      <c r="A292" s="1" t="s">
        <v>7</v>
      </c>
      <c r="B292" s="1" t="s">
        <v>7</v>
      </c>
      <c r="C292" s="1" t="s">
        <v>15</v>
      </c>
      <c r="D292" s="1" t="s">
        <v>7</v>
      </c>
      <c r="E292" s="1" t="s">
        <v>12</v>
      </c>
      <c r="F292" s="1">
        <v>0.98933000000000004</v>
      </c>
      <c r="G292" s="1">
        <v>0.97233000000000003</v>
      </c>
      <c r="H292" s="1">
        <v>0.94843</v>
      </c>
      <c r="I292" s="1">
        <v>0.96726999999999996</v>
      </c>
      <c r="J292" s="1">
        <v>0.97782999999999998</v>
      </c>
      <c r="K292" s="1">
        <v>0.99690999999999996</v>
      </c>
      <c r="L292" s="1">
        <v>1.0526899999999999</v>
      </c>
      <c r="M292" s="1">
        <v>0.98933000000000004</v>
      </c>
      <c r="N292" s="1">
        <v>0.97233000000000003</v>
      </c>
      <c r="O292" s="1">
        <v>0.94843</v>
      </c>
      <c r="P292" s="1">
        <v>0.96726999999999996</v>
      </c>
      <c r="Q292" s="1">
        <v>0.97782999999999998</v>
      </c>
      <c r="R292" s="1">
        <v>0.99690999999999996</v>
      </c>
      <c r="S292" s="1">
        <v>1.0526899999999999</v>
      </c>
      <c r="T292" s="1">
        <v>0.98933000000000004</v>
      </c>
      <c r="U292" s="1">
        <v>0.97233000000000003</v>
      </c>
      <c r="V292" s="1">
        <v>0.94843</v>
      </c>
      <c r="W292" s="1">
        <v>0.96726999999999996</v>
      </c>
      <c r="X292" s="1">
        <v>0.97782999999999998</v>
      </c>
      <c r="Y292" s="1">
        <v>0.99690999999999996</v>
      </c>
      <c r="Z292" s="1">
        <v>1.0526899999999999</v>
      </c>
      <c r="AA292" s="1">
        <v>0.98933000000000004</v>
      </c>
      <c r="AB292" s="1">
        <v>0.97233000000000003</v>
      </c>
      <c r="AC292" s="1">
        <v>0.94843</v>
      </c>
      <c r="AD292" s="1">
        <v>0.96726999999999996</v>
      </c>
      <c r="AE292" s="1">
        <v>0.97782999999999998</v>
      </c>
      <c r="AF292" s="1">
        <v>0.99690999999999996</v>
      </c>
      <c r="AG292" s="1">
        <v>1.0526899999999999</v>
      </c>
      <c r="AH292" s="1">
        <v>0.98933000000000004</v>
      </c>
      <c r="AI292" s="1">
        <v>0.97233000000000003</v>
      </c>
      <c r="AL292" s="4" t="s">
        <v>29</v>
      </c>
      <c r="AM292" s="6" t="str" cm="1">
        <f t="array" ref="AM292">IFERROR((SUMPRODUCT(($D$288:$D$311=AM$286)*($F$285:$AI$285="")*$F$288:$AI$311)+IF(AM$286="P6",SUMPRODUCT(($F$285:$AI$285="P6")*$F$288:$AI$311),0))/(SUMPRODUCT(($D$288:$D$311=AM$286)*($F$285:$AI$285=""))+IF(AM$286="P6",COUNTIF($F$285:$AI$285,"P6")*ROWS($D$288:$D$311),0)),"")</f>
        <v/>
      </c>
      <c r="AN292" s="6" t="str" cm="1">
        <f t="array" ref="AN292">IFERROR((SUMPRODUCT(($D$288:$D$311=AN$286)*($F$285:$AI$285="")*$F$288:$AI$311)+IF(AN$286="P6",SUMPRODUCT(($F$285:$AI$285="P6")*$F$288:$AI$311),0))/(SUMPRODUCT(($D$288:$D$311=AN$286)*($F$285:$AI$285=""))+IF(AN$286="P6",COUNTIF($F$285:$AI$285,"P6")*ROWS($D$288:$D$311),0)),"")</f>
        <v/>
      </c>
      <c r="AO292" s="5" cm="1">
        <f t="array" ref="AO292">IFERROR((SUMPRODUCT(($D$288:$D$311=AO$286)*($F$285:$AI$285="")*$F$288:$AI$311)+IF(AO$286="P6",SUMPRODUCT(($F$285:$AI$285="P6")*$F$288:$AI$311),0))/(SUMPRODUCT(($D$288:$D$311=AO$286)*($F$285:$AI$285=""))+IF(AO$286="P6",COUNTIF($F$285:$AI$285,"P6")*ROWS($D$288:$D$311),0)),"")</f>
        <v>0.86180691919191854</v>
      </c>
      <c r="AP292" s="5" cm="1">
        <f t="array" ref="AP292">IFERROR((SUMPRODUCT(($D$288:$D$311=AP$286)*($F$285:$AI$285="")*$F$288:$AI$311)+IF(AP$286="P6",SUMPRODUCT(($F$285:$AI$285="P6")*$F$288:$AI$311),0))/(SUMPRODUCT(($D$288:$D$311=AP$286)*($F$285:$AI$285=""))+IF(AP$286="P6",COUNTIF($F$285:$AI$285,"P6")*ROWS($D$288:$D$311),0)),"")</f>
        <v>0.90695051948051908</v>
      </c>
      <c r="AQ292" s="5" t="str" cm="1">
        <f t="array" ref="AQ292">IFERROR((SUMPRODUCT(($D$288:$D$311=AQ$286)*($F$285:$AI$285="")*$F$288:$AI$311)+IF(AQ$286="P6",SUMPRODUCT(($F$285:$AI$285="P6")*$F$288:$AI$311),0))/(SUMPRODUCT(($D$288:$D$311=AQ$286)*($F$285:$AI$285=""))+IF(AQ$286="P6",COUNTIF($F$285:$AI$285,"P6")*ROWS($D$288:$D$311),0)),"")</f>
        <v/>
      </c>
      <c r="AR292" s="6" cm="1">
        <f t="array" ref="AR292">IFERROR((SUMPRODUCT(($D$288:$D$311=AR$286)*($F$285:$AI$285="")*$F$288:$AI$311)+IF(AR$286="P6",SUMPRODUCT(($F$285:$AI$285="P6")*$F$288:$AI$311),0))/(SUMPRODUCT(($D$288:$D$311=AR$286)*($F$285:$AI$285=""))+IF(AR$286="P6",COUNTIF($F$285:$AI$285,"P6")*ROWS($D$288:$D$311),0)),"")</f>
        <v>0.91030663043478166</v>
      </c>
    </row>
    <row r="293" spans="1:44" ht="14.25" customHeight="1" x14ac:dyDescent="0.35">
      <c r="A293" s="1" t="s">
        <v>7</v>
      </c>
      <c r="B293" s="1" t="s">
        <v>7</v>
      </c>
      <c r="C293" s="1" t="s">
        <v>15</v>
      </c>
      <c r="D293" s="1" t="s">
        <v>7</v>
      </c>
      <c r="E293" s="1" t="s">
        <v>18</v>
      </c>
      <c r="F293" s="1">
        <v>0.95760999999999996</v>
      </c>
      <c r="G293" s="1">
        <v>0.94528999999999996</v>
      </c>
      <c r="H293" s="1">
        <v>0.94333</v>
      </c>
      <c r="I293" s="1">
        <v>0.94038999999999995</v>
      </c>
      <c r="J293" s="1">
        <v>0.94947000000000004</v>
      </c>
      <c r="K293" s="1">
        <v>0.99651999999999996</v>
      </c>
      <c r="L293" s="1">
        <v>1.04681</v>
      </c>
      <c r="M293" s="1">
        <v>0.95760999999999996</v>
      </c>
      <c r="N293" s="1">
        <v>0.94528999999999996</v>
      </c>
      <c r="O293" s="1">
        <v>0.94333</v>
      </c>
      <c r="P293" s="1">
        <v>0.94038999999999995</v>
      </c>
      <c r="Q293" s="1">
        <v>0.94947000000000004</v>
      </c>
      <c r="R293" s="1">
        <v>0.99651999999999996</v>
      </c>
      <c r="S293" s="1">
        <v>1.04681</v>
      </c>
      <c r="T293" s="1">
        <v>0.95760999999999996</v>
      </c>
      <c r="U293" s="1">
        <v>0.94528999999999996</v>
      </c>
      <c r="V293" s="1">
        <v>0.94333</v>
      </c>
      <c r="W293" s="1">
        <v>0.94038999999999995</v>
      </c>
      <c r="X293" s="1">
        <v>0.94947000000000004</v>
      </c>
      <c r="Y293" s="1">
        <v>0.99651999999999996</v>
      </c>
      <c r="Z293" s="1">
        <v>1.04681</v>
      </c>
      <c r="AA293" s="1">
        <v>0.95760999999999996</v>
      </c>
      <c r="AB293" s="1">
        <v>0.94528999999999996</v>
      </c>
      <c r="AC293" s="1">
        <v>0.94333</v>
      </c>
      <c r="AD293" s="1">
        <v>0.94038999999999995</v>
      </c>
      <c r="AE293" s="1">
        <v>0.94947000000000004</v>
      </c>
      <c r="AF293" s="1">
        <v>0.99651999999999996</v>
      </c>
      <c r="AG293" s="1">
        <v>1.04681</v>
      </c>
      <c r="AH293" s="1">
        <v>0.95760999999999996</v>
      </c>
      <c r="AI293" s="1">
        <v>0.94528999999999996</v>
      </c>
      <c r="AL293" s="10"/>
      <c r="AM293" s="10"/>
      <c r="AN293" s="10"/>
      <c r="AO293" s="10"/>
      <c r="AP293" s="10"/>
      <c r="AQ293" s="10"/>
      <c r="AR293" s="10"/>
    </row>
    <row r="294" spans="1:44" ht="14.25" customHeight="1" x14ac:dyDescent="0.35">
      <c r="A294" s="1" t="s">
        <v>7</v>
      </c>
      <c r="B294" s="1" t="s">
        <v>7</v>
      </c>
      <c r="C294" s="1" t="s">
        <v>15</v>
      </c>
      <c r="D294" s="1" t="s">
        <v>7</v>
      </c>
      <c r="E294" s="1" t="s">
        <v>20</v>
      </c>
      <c r="F294" s="1">
        <v>0.87238000000000004</v>
      </c>
      <c r="G294" s="1">
        <v>0.86819999999999997</v>
      </c>
      <c r="H294" s="1">
        <v>0.88453999999999999</v>
      </c>
      <c r="I294" s="1">
        <v>0.87822</v>
      </c>
      <c r="J294" s="1">
        <v>0.88041999999999998</v>
      </c>
      <c r="K294" s="1">
        <v>0.95921999999999996</v>
      </c>
      <c r="L294" s="1">
        <v>1.0234399999999999</v>
      </c>
      <c r="M294" s="1">
        <v>0.87238000000000004</v>
      </c>
      <c r="N294" s="1">
        <v>0.86819999999999997</v>
      </c>
      <c r="O294" s="1">
        <v>0.88453999999999999</v>
      </c>
      <c r="P294" s="1">
        <v>0.87822</v>
      </c>
      <c r="Q294" s="1">
        <v>0.88041999999999998</v>
      </c>
      <c r="R294" s="1">
        <v>0.95921999999999996</v>
      </c>
      <c r="S294" s="1">
        <v>1.0234399999999999</v>
      </c>
      <c r="T294" s="1">
        <v>0.87238000000000004</v>
      </c>
      <c r="U294" s="1">
        <v>0.86819999999999997</v>
      </c>
      <c r="V294" s="1">
        <v>0.88453999999999999</v>
      </c>
      <c r="W294" s="1">
        <v>0.87822</v>
      </c>
      <c r="X294" s="1">
        <v>0.88041999999999998</v>
      </c>
      <c r="Y294" s="1">
        <v>0.95921999999999996</v>
      </c>
      <c r="Z294" s="1">
        <v>1.0234399999999999</v>
      </c>
      <c r="AA294" s="1">
        <v>0.87238000000000004</v>
      </c>
      <c r="AB294" s="1">
        <v>0.86819999999999997</v>
      </c>
      <c r="AC294" s="1">
        <v>0.88453999999999999</v>
      </c>
      <c r="AD294" s="1">
        <v>0.87822</v>
      </c>
      <c r="AE294" s="1">
        <v>0.88041999999999998</v>
      </c>
      <c r="AF294" s="1">
        <v>0.95921999999999996</v>
      </c>
      <c r="AG294" s="1">
        <v>1.0234399999999999</v>
      </c>
      <c r="AH294" s="1">
        <v>0.87238000000000004</v>
      </c>
      <c r="AI294" s="1">
        <v>0.86819999999999997</v>
      </c>
      <c r="AL294" s="10"/>
      <c r="AM294" s="10"/>
      <c r="AN294" s="10"/>
      <c r="AO294" s="10"/>
      <c r="AP294" s="10"/>
      <c r="AQ294" s="10"/>
      <c r="AR294" s="10"/>
    </row>
    <row r="295" spans="1:44" ht="14.25" customHeight="1" x14ac:dyDescent="0.35">
      <c r="A295" s="1" t="s">
        <v>7</v>
      </c>
      <c r="B295" s="1" t="s">
        <v>7</v>
      </c>
      <c r="C295" s="1" t="s">
        <v>15</v>
      </c>
      <c r="D295" s="1" t="s">
        <v>7</v>
      </c>
      <c r="E295" s="1" t="s">
        <v>22</v>
      </c>
      <c r="F295" s="1">
        <v>0.82213000000000003</v>
      </c>
      <c r="G295" s="1">
        <v>0.81564999999999999</v>
      </c>
      <c r="H295" s="1">
        <v>0.82745999999999997</v>
      </c>
      <c r="I295" s="1">
        <v>0.82903000000000004</v>
      </c>
      <c r="J295" s="1">
        <v>0.81340999999999997</v>
      </c>
      <c r="K295" s="1">
        <v>0.92513000000000001</v>
      </c>
      <c r="L295" s="1">
        <v>1.0003500000000001</v>
      </c>
      <c r="M295" s="1">
        <v>0.82213000000000003</v>
      </c>
      <c r="N295" s="1">
        <v>0.81564999999999999</v>
      </c>
      <c r="O295" s="1">
        <v>0.82745999999999997</v>
      </c>
      <c r="P295" s="1">
        <v>0.82903000000000004</v>
      </c>
      <c r="Q295" s="1">
        <v>0.81340999999999997</v>
      </c>
      <c r="R295" s="1">
        <v>0.92513000000000001</v>
      </c>
      <c r="S295" s="1">
        <v>1.0003500000000001</v>
      </c>
      <c r="T295" s="1">
        <v>0.82213000000000003</v>
      </c>
      <c r="U295" s="1">
        <v>0.81564999999999999</v>
      </c>
      <c r="V295" s="1">
        <v>0.82745999999999997</v>
      </c>
      <c r="W295" s="1">
        <v>0.82903000000000004</v>
      </c>
      <c r="X295" s="1">
        <v>0.81340999999999997</v>
      </c>
      <c r="Y295" s="1">
        <v>0.92513000000000001</v>
      </c>
      <c r="Z295" s="1">
        <v>1.0003500000000001</v>
      </c>
      <c r="AA295" s="1">
        <v>0.82213000000000003</v>
      </c>
      <c r="AB295" s="1">
        <v>0.81564999999999999</v>
      </c>
      <c r="AC295" s="1">
        <v>0.82745999999999997</v>
      </c>
      <c r="AD295" s="1">
        <v>0.82903000000000004</v>
      </c>
      <c r="AE295" s="1">
        <v>0.81340999999999997</v>
      </c>
      <c r="AF295" s="1">
        <v>0.92513000000000001</v>
      </c>
      <c r="AG295" s="1">
        <v>1.0003500000000001</v>
      </c>
      <c r="AH295" s="1">
        <v>0.82213000000000003</v>
      </c>
      <c r="AI295" s="1">
        <v>0.81564999999999999</v>
      </c>
      <c r="AL295" s="14" t="s">
        <v>103</v>
      </c>
      <c r="AM295" s="14"/>
      <c r="AN295" s="14"/>
      <c r="AO295" s="14"/>
      <c r="AP295" s="14"/>
      <c r="AQ295" s="14"/>
      <c r="AR295" s="14"/>
    </row>
    <row r="296" spans="1:44" ht="14.25" customHeight="1" x14ac:dyDescent="0.35">
      <c r="A296" s="1" t="s">
        <v>15</v>
      </c>
      <c r="B296" s="1" t="s">
        <v>14</v>
      </c>
      <c r="C296" s="1" t="s">
        <v>14</v>
      </c>
      <c r="D296" s="1" t="s">
        <v>16</v>
      </c>
      <c r="E296" s="1" t="s">
        <v>24</v>
      </c>
      <c r="F296" s="1">
        <v>0.88138000000000005</v>
      </c>
      <c r="G296" s="1">
        <v>0.88492999999999999</v>
      </c>
      <c r="H296" s="1">
        <v>0.89714000000000005</v>
      </c>
      <c r="I296" s="1">
        <v>0.90049999999999997</v>
      </c>
      <c r="J296" s="1">
        <v>0.88485999999999998</v>
      </c>
      <c r="K296" s="1">
        <v>0.89881</v>
      </c>
      <c r="L296" s="1">
        <v>0.97419999999999995</v>
      </c>
      <c r="M296" s="1">
        <v>0.88138000000000005</v>
      </c>
      <c r="N296" s="1">
        <v>0.88492999999999999</v>
      </c>
      <c r="O296" s="1">
        <v>0.89714000000000005</v>
      </c>
      <c r="P296" s="1">
        <v>0.90049999999999997</v>
      </c>
      <c r="Q296" s="1">
        <v>0.88485999999999998</v>
      </c>
      <c r="R296" s="1">
        <v>0.89881</v>
      </c>
      <c r="S296" s="1">
        <v>0.97419999999999995</v>
      </c>
      <c r="T296" s="1">
        <v>0.88138000000000005</v>
      </c>
      <c r="U296" s="1">
        <v>0.88492999999999999</v>
      </c>
      <c r="V296" s="1">
        <v>0.89714000000000005</v>
      </c>
      <c r="W296" s="1">
        <v>0.90049999999999997</v>
      </c>
      <c r="X296" s="1">
        <v>0.88485999999999998</v>
      </c>
      <c r="Y296" s="1">
        <v>0.89881</v>
      </c>
      <c r="Z296" s="1">
        <v>0.97419999999999995</v>
      </c>
      <c r="AA296" s="1">
        <v>0.88138000000000005</v>
      </c>
      <c r="AB296" s="1">
        <v>0.88492999999999999</v>
      </c>
      <c r="AC296" s="1">
        <v>0.89714000000000005</v>
      </c>
      <c r="AD296" s="1">
        <v>0.90049999999999997</v>
      </c>
      <c r="AE296" s="1">
        <v>0.88485999999999998</v>
      </c>
      <c r="AF296" s="1">
        <v>0.89881</v>
      </c>
      <c r="AG296" s="1">
        <v>0.97419999999999995</v>
      </c>
      <c r="AH296" s="1">
        <v>0.88138000000000005</v>
      </c>
      <c r="AI296" s="1">
        <v>0.88492999999999999</v>
      </c>
      <c r="AL296" s="4"/>
      <c r="AM296" s="4" t="s">
        <v>13</v>
      </c>
      <c r="AN296" s="4" t="s">
        <v>14</v>
      </c>
      <c r="AO296" s="4" t="s">
        <v>15</v>
      </c>
      <c r="AP296" s="4" t="s">
        <v>16</v>
      </c>
      <c r="AQ296" s="4" t="s">
        <v>17</v>
      </c>
      <c r="AR296" s="4" t="s">
        <v>7</v>
      </c>
    </row>
    <row r="297" spans="1:44" ht="14.25" customHeight="1" x14ac:dyDescent="0.35">
      <c r="A297" s="1" t="s">
        <v>15</v>
      </c>
      <c r="B297" s="1" t="s">
        <v>14</v>
      </c>
      <c r="C297" s="1" t="s">
        <v>14</v>
      </c>
      <c r="D297" s="1" t="s">
        <v>15</v>
      </c>
      <c r="E297" s="1" t="s">
        <v>26</v>
      </c>
      <c r="F297" s="1">
        <v>0.82232000000000005</v>
      </c>
      <c r="G297" s="1">
        <v>0.83372000000000002</v>
      </c>
      <c r="H297" s="1">
        <v>0.84575</v>
      </c>
      <c r="I297" s="1">
        <v>0.84013000000000004</v>
      </c>
      <c r="J297" s="1">
        <v>0.82762000000000002</v>
      </c>
      <c r="K297" s="1">
        <v>0.82633000000000001</v>
      </c>
      <c r="L297" s="1">
        <v>0.85284000000000004</v>
      </c>
      <c r="M297" s="1">
        <v>0.82232000000000005</v>
      </c>
      <c r="N297" s="1">
        <v>0.83372000000000002</v>
      </c>
      <c r="O297" s="1">
        <v>0.84575</v>
      </c>
      <c r="P297" s="1">
        <v>0.84013000000000004</v>
      </c>
      <c r="Q297" s="1">
        <v>0.82762000000000002</v>
      </c>
      <c r="R297" s="1">
        <v>0.82633000000000001</v>
      </c>
      <c r="S297" s="1">
        <v>0.85284000000000004</v>
      </c>
      <c r="T297" s="1">
        <v>0.82232000000000005</v>
      </c>
      <c r="U297" s="1">
        <v>0.83372000000000002</v>
      </c>
      <c r="V297" s="1">
        <v>0.84575</v>
      </c>
      <c r="W297" s="1">
        <v>0.84013000000000004</v>
      </c>
      <c r="X297" s="1">
        <v>0.82762000000000002</v>
      </c>
      <c r="Y297" s="1">
        <v>0.82633000000000001</v>
      </c>
      <c r="Z297" s="1">
        <v>0.85284000000000004</v>
      </c>
      <c r="AA297" s="1">
        <v>0.82232000000000005</v>
      </c>
      <c r="AB297" s="1">
        <v>0.83372000000000002</v>
      </c>
      <c r="AC297" s="1">
        <v>0.84575</v>
      </c>
      <c r="AD297" s="1">
        <v>0.84013000000000004</v>
      </c>
      <c r="AE297" s="1">
        <v>0.82762000000000002</v>
      </c>
      <c r="AF297" s="1">
        <v>0.82633000000000001</v>
      </c>
      <c r="AG297" s="1">
        <v>0.85284000000000004</v>
      </c>
      <c r="AH297" s="1">
        <v>0.82232000000000005</v>
      </c>
      <c r="AI297" s="1">
        <v>0.83372000000000002</v>
      </c>
      <c r="AL297" s="4" t="s">
        <v>19</v>
      </c>
      <c r="AM297" s="6" cm="1">
        <f t="array" ref="AM297">IFERROR((SUMPRODUCT(($C$288:$C$311=AM$286)*($F$284:$AI$284="")*$F$288:$AI$311)+IF(AM$286="P3",SUMPRODUCT(($F$284:$AI$284="P3")*$F$288:$AI$311),0))/(SUMPRODUCT(($C$288:$C$311=AM$286)*($F$284:$AI$284=""))+IF(AM$286="P3",COUNTIF($F$284:$AI$284,"P3")*ROWS($C$288:$C$311),0)),"")</f>
        <v>0.86536119318181759</v>
      </c>
      <c r="AN297" s="6" cm="1">
        <f t="array" ref="AN297">IFERROR((SUMPRODUCT(($C$288:$C$311=AN$286)*($F$284:$AI$284="")*$F$288:$AI$311)+IF(AN$286="P3",SUMPRODUCT(($F$284:$AI$284="P3")*$F$288:$AI$311),0))/(SUMPRODUCT(($C$288:$C$311=AN$286)*($F$284:$AI$284=""))+IF(AN$286="P3",COUNTIF($F$284:$AI$284,"P3")*ROWS($C$288:$C$311),0)),"")</f>
        <v>0.89775329545454585</v>
      </c>
      <c r="AO297" s="6" cm="1">
        <f t="array" ref="AO297">IFERROR((SUMPRODUCT(($C$288:$C$311=AO$286)*($F$284:$AI$284="")*$F$288:$AI$311)+IF(AO$286="P3",SUMPRODUCT(($F$284:$AI$284="P3")*$F$288:$AI$311),0))/(SUMPRODUCT(($C$288:$C$311=AO$286)*($F$284:$AI$284=""))+IF(AO$286="P3",COUNTIF($F$284:$AI$284,"P3")*ROWS($C$288:$C$311),0)),"")</f>
        <v>0.91030663043478166</v>
      </c>
      <c r="AP297" s="6" t="str" cm="1">
        <f t="array" ref="AP297">IFERROR((SUMPRODUCT(($C$288:$C$311=AP$286)*($F$284:$AI$284="")*$F$288:$AI$311)+IF(AP$286="P3",SUMPRODUCT(($F$284:$AI$284="P3")*$F$288:$AI$311),0))/(SUMPRODUCT(($C$288:$C$311=AP$286)*($F$284:$AI$284=""))+IF(AP$286="P3",COUNTIF($F$284:$AI$284,"P3")*ROWS($C$288:$C$311),0)),"")</f>
        <v/>
      </c>
      <c r="AQ297" s="6" t="str" cm="1">
        <f t="array" ref="AQ297">IFERROR((SUMPRODUCT(($C$288:$C$311=AQ$286)*($F$284:$AI$284="")*$F$288:$AI$311)+IF(AQ$286="P3",SUMPRODUCT(($F$284:$AI$284="P3")*$F$288:$AI$311),0))/(SUMPRODUCT(($C$288:$C$311=AQ$286)*($F$284:$AI$284=""))+IF(AQ$286="P3",COUNTIF($F$284:$AI$284,"P3")*ROWS($C$288:$C$311),0)),"")</f>
        <v/>
      </c>
      <c r="AR297" s="6" t="str" cm="1">
        <f t="array" ref="AR297">IFERROR((SUMPRODUCT(($C$288:$C$311=AR$286)*($F$284:$AI$284="")*$F$288:$AI$311)+IF(AR$286="P3",SUMPRODUCT(($F$284:$AI$284="P3")*$F$288:$AI$311),0))/(SUMPRODUCT(($C$288:$C$311=AR$286)*($F$284:$AI$284=""))+IF(AR$286="P3",COUNTIF($F$284:$AI$284,"P3")*ROWS($C$288:$C$311),0)),"")</f>
        <v/>
      </c>
    </row>
    <row r="298" spans="1:44" ht="14.25" customHeight="1" x14ac:dyDescent="0.35">
      <c r="A298" s="1" t="s">
        <v>13</v>
      </c>
      <c r="B298" s="1" t="s">
        <v>13</v>
      </c>
      <c r="C298" s="1" t="s">
        <v>13</v>
      </c>
      <c r="D298" s="1" t="s">
        <v>15</v>
      </c>
      <c r="E298" s="1" t="s">
        <v>28</v>
      </c>
      <c r="F298" s="1">
        <v>0.81867999999999996</v>
      </c>
      <c r="G298" s="1">
        <v>0.81186999999999998</v>
      </c>
      <c r="H298" s="1">
        <v>0.81964999999999999</v>
      </c>
      <c r="I298" s="1">
        <v>0.79993000000000003</v>
      </c>
      <c r="J298" s="1">
        <v>0.81862999999999997</v>
      </c>
      <c r="K298" s="1">
        <v>0.80008000000000001</v>
      </c>
      <c r="L298" s="1">
        <v>0.83255999999999997</v>
      </c>
      <c r="M298" s="1">
        <v>0.81867999999999996</v>
      </c>
      <c r="N298" s="1">
        <v>0.81186999999999998</v>
      </c>
      <c r="O298" s="1">
        <v>0.81964999999999999</v>
      </c>
      <c r="P298" s="1">
        <v>0.79993000000000003</v>
      </c>
      <c r="Q298" s="1">
        <v>0.81862999999999997</v>
      </c>
      <c r="R298" s="1">
        <v>0.80008000000000001</v>
      </c>
      <c r="S298" s="1">
        <v>0.83255999999999997</v>
      </c>
      <c r="T298" s="1">
        <v>0.81867999999999996</v>
      </c>
      <c r="U298" s="1">
        <v>0.81186999999999998</v>
      </c>
      <c r="V298" s="1">
        <v>0.81964999999999999</v>
      </c>
      <c r="W298" s="1">
        <v>0.79993000000000003</v>
      </c>
      <c r="X298" s="1">
        <v>0.81862999999999997</v>
      </c>
      <c r="Y298" s="1">
        <v>0.80008000000000001</v>
      </c>
      <c r="Z298" s="1">
        <v>0.83255999999999997</v>
      </c>
      <c r="AA298" s="1">
        <v>0.81867999999999996</v>
      </c>
      <c r="AB298" s="1">
        <v>0.81186999999999998</v>
      </c>
      <c r="AC298" s="1">
        <v>0.81964999999999999</v>
      </c>
      <c r="AD298" s="1">
        <v>0.79993000000000003</v>
      </c>
      <c r="AE298" s="1">
        <v>0.81862999999999997</v>
      </c>
      <c r="AF298" s="1">
        <v>0.80008000000000001</v>
      </c>
      <c r="AG298" s="1">
        <v>0.83255999999999997</v>
      </c>
      <c r="AH298" s="1">
        <v>0.81867999999999996</v>
      </c>
      <c r="AI298" s="1">
        <v>0.81186999999999998</v>
      </c>
      <c r="AL298" s="4" t="s">
        <v>21</v>
      </c>
      <c r="AM298" s="6" cm="1">
        <f t="array" ref="AM298">IFERROR((SUMPRODUCT(($A$288:$A$311=AM$286)*($F$285:$AI$285="")*$F$288:$AI$311)+IF(AM$286="P6",SUMPRODUCT(($F$285:$AI$285="P6")*$F$288:$AI$311),0))/(SUMPRODUCT(($A$288:$A$311=AM$286)*($F$285:$AI$285=""))+IF(AM$286="P6",COUNTIF($F$285:$AI$285,"P6")*ROWS($A$288:$A$311),0)),"")</f>
        <v>0.86247090909090895</v>
      </c>
      <c r="AN298" s="6" t="str" cm="1">
        <f t="array" ref="AN298">IFERROR((SUMPRODUCT(($A$288:$A$311=AN$286)*($F$285:$AI$285="")*$F$288:$AI$311)+IF(AN$286="P6",SUMPRODUCT(($F$285:$AI$285="P6")*$F$288:$AI$311),0))/(SUMPRODUCT(($A$288:$A$311=AN$286)*($F$285:$AI$285=""))+IF(AN$286="P6",COUNTIF($F$285:$AI$285,"P6")*ROWS($A$288:$A$311),0)),"")</f>
        <v/>
      </c>
      <c r="AO298" s="6" cm="1">
        <f t="array" ref="AO298">IFERROR((SUMPRODUCT(($A$288:$A$311=AO$286)*($F$285:$AI$285="")*$F$288:$AI$311)+IF(AO$286="P6",SUMPRODUCT(($F$285:$AI$285="P6")*$F$288:$AI$311),0))/(SUMPRODUCT(($A$288:$A$311=AO$286)*($F$285:$AI$285=""))+IF(AO$286="P6",COUNTIF($F$285:$AI$285,"P6")*ROWS($A$288:$A$311),0)),"")</f>
        <v>0.90609681818181786</v>
      </c>
      <c r="AP298" s="6" t="str" cm="1">
        <f t="array" ref="AP298">IFERROR((SUMPRODUCT(($A$288:$A$311=AP$286)*($F$285:$AI$285="")*$F$288:$AI$311)+IF(AP$286="P6",SUMPRODUCT(($F$285:$AI$285="P6")*$F$288:$AI$311),0))/(SUMPRODUCT(($A$288:$A$311=AP$286)*($F$285:$AI$285=""))+IF(AP$286="P6",COUNTIF($F$285:$AI$285,"P6")*ROWS($A$288:$A$311),0)),"")</f>
        <v/>
      </c>
      <c r="AQ298" s="6" t="str" cm="1">
        <f t="array" ref="AQ298">IFERROR((SUMPRODUCT(($A$288:$A$311=AQ$286)*($F$285:$AI$285="")*$F$288:$AI$311)+IF(AQ$286="P6",SUMPRODUCT(($F$285:$AI$285="P6")*$F$288:$AI$311),0))/(SUMPRODUCT(($A$288:$A$311=AQ$286)*($F$285:$AI$285=""))+IF(AQ$286="P6",COUNTIF($F$285:$AI$285,"P6")*ROWS($A$288:$A$311),0)),"")</f>
        <v/>
      </c>
      <c r="AR298" s="6" cm="1">
        <f t="array" ref="AR298">IFERROR((SUMPRODUCT(($A$288:$A$311=AR$286)*($F$285:$AI$285="")*$F$288:$AI$311)+IF(AR$286="P6",SUMPRODUCT(($F$285:$AI$285="P6")*$F$288:$AI$311),0))/(SUMPRODUCT(($A$288:$A$311=AR$286)*($F$285:$AI$285=""))+IF(AR$286="P6",COUNTIF($F$285:$AI$285,"P6")*ROWS($A$288:$A$311),0)),"")</f>
        <v>0.91030663043478166</v>
      </c>
    </row>
    <row r="299" spans="1:44" ht="14.25" customHeight="1" x14ac:dyDescent="0.35">
      <c r="A299" s="1" t="s">
        <v>13</v>
      </c>
      <c r="B299" s="1" t="s">
        <v>13</v>
      </c>
      <c r="C299" s="1" t="s">
        <v>13</v>
      </c>
      <c r="D299" s="1" t="s">
        <v>15</v>
      </c>
      <c r="E299" s="1" t="s">
        <v>30</v>
      </c>
      <c r="F299" s="1">
        <v>0.83508000000000004</v>
      </c>
      <c r="G299" s="1">
        <v>0.82872000000000001</v>
      </c>
      <c r="H299" s="1">
        <v>0.82682999999999995</v>
      </c>
      <c r="I299" s="1">
        <v>0.82023999999999997</v>
      </c>
      <c r="J299" s="1">
        <v>0.81601000000000001</v>
      </c>
      <c r="K299" s="1">
        <v>0.81574000000000002</v>
      </c>
      <c r="L299" s="1">
        <v>0.80554000000000003</v>
      </c>
      <c r="M299" s="1">
        <v>0.83508000000000004</v>
      </c>
      <c r="N299" s="1">
        <v>0.82872000000000001</v>
      </c>
      <c r="O299" s="1">
        <v>0.82682999999999995</v>
      </c>
      <c r="P299" s="1">
        <v>0.82023999999999997</v>
      </c>
      <c r="Q299" s="1">
        <v>0.81601000000000001</v>
      </c>
      <c r="R299" s="1">
        <v>0.81574000000000002</v>
      </c>
      <c r="S299" s="1">
        <v>0.80554000000000003</v>
      </c>
      <c r="T299" s="1">
        <v>0.83508000000000004</v>
      </c>
      <c r="U299" s="1">
        <v>0.82872000000000001</v>
      </c>
      <c r="V299" s="1">
        <v>0.82682999999999995</v>
      </c>
      <c r="W299" s="1">
        <v>0.82023999999999997</v>
      </c>
      <c r="X299" s="1">
        <v>0.81601000000000001</v>
      </c>
      <c r="Y299" s="1">
        <v>0.81574000000000002</v>
      </c>
      <c r="Z299" s="1">
        <v>0.80554000000000003</v>
      </c>
      <c r="AA299" s="1">
        <v>0.83508000000000004</v>
      </c>
      <c r="AB299" s="1">
        <v>0.82872000000000001</v>
      </c>
      <c r="AC299" s="1">
        <v>0.82682999999999995</v>
      </c>
      <c r="AD299" s="1">
        <v>0.82023999999999997</v>
      </c>
      <c r="AE299" s="1">
        <v>0.81601000000000001</v>
      </c>
      <c r="AF299" s="1">
        <v>0.81574000000000002</v>
      </c>
      <c r="AG299" s="1">
        <v>0.80554000000000003</v>
      </c>
      <c r="AH299" s="1">
        <v>0.83508000000000004</v>
      </c>
      <c r="AI299" s="1">
        <v>0.82872000000000001</v>
      </c>
      <c r="AL299" s="4" t="s">
        <v>23</v>
      </c>
      <c r="AM299" s="6" cm="1">
        <f t="array" ref="AM299">IFERROR((SUMPRODUCT(($A$288:$A$311=AM$286)*($F$285:$AI$285="")*$F$288:$AI$311)+IF(AM$286="P6",SUMPRODUCT(($F$285:$AI$285="P6")*$F$288:$AI$311),0))/(SUMPRODUCT(($A$288:$A$311=AM$286)*($F$285:$AI$285=""))+IF(AM$286="P6",COUNTIF($F$285:$AI$285,"P6")*ROWS($A$288:$A$311),0)),"")</f>
        <v>0.86247090909090895</v>
      </c>
      <c r="AN299" s="6" t="str" cm="1">
        <f t="array" ref="AN299">IFERROR((SUMPRODUCT(($A$288:$A$311=AN$286)*($F$285:$AI$285="")*$F$288:$AI$311)+IF(AN$286="P6",SUMPRODUCT(($F$285:$AI$285="P6")*$F$288:$AI$311),0))/(SUMPRODUCT(($A$288:$A$311=AN$286)*($F$285:$AI$285=""))+IF(AN$286="P6",COUNTIF($F$285:$AI$285,"P6")*ROWS($A$288:$A$311),0)),"")</f>
        <v/>
      </c>
      <c r="AO299" s="6" cm="1">
        <f t="array" ref="AO299">IFERROR((SUMPRODUCT(($A$288:$A$311=AO$286)*($F$285:$AI$285="")*$F$288:$AI$311)+IF(AO$286="P6",SUMPRODUCT(($F$285:$AI$285="P6")*$F$288:$AI$311),0))/(SUMPRODUCT(($A$288:$A$311=AO$286)*($F$285:$AI$285=""))+IF(AO$286="P6",COUNTIF($F$285:$AI$285,"P6")*ROWS($A$288:$A$311),0)),"")</f>
        <v>0.90609681818181786</v>
      </c>
      <c r="AP299" s="6" t="str" cm="1">
        <f t="array" ref="AP299">IFERROR((SUMPRODUCT(($A$288:$A$311=AP$286)*($F$285:$AI$285="")*$F$288:$AI$311)+IF(AP$286="P6",SUMPRODUCT(($F$285:$AI$285="P6")*$F$288:$AI$311),0))/(SUMPRODUCT(($A$288:$A$311=AP$286)*($F$285:$AI$285=""))+IF(AP$286="P6",COUNTIF($F$285:$AI$285,"P6")*ROWS($A$288:$A$311),0)),"")</f>
        <v/>
      </c>
      <c r="AQ299" s="6" t="str" cm="1">
        <f t="array" ref="AQ299">IFERROR((SUMPRODUCT(($A$288:$A$311=AQ$286)*($F$285:$AI$285="")*$F$288:$AI$311)+IF(AQ$286="P6",SUMPRODUCT(($F$285:$AI$285="P6")*$F$288:$AI$311),0))/(SUMPRODUCT(($A$288:$A$311=AQ$286)*($F$285:$AI$285=""))+IF(AQ$286="P6",COUNTIF($F$285:$AI$285,"P6")*ROWS($A$288:$A$311),0)),"")</f>
        <v/>
      </c>
      <c r="AR299" s="6" cm="1">
        <f t="array" ref="AR299">IFERROR((SUMPRODUCT(($A$288:$A$311=AR$286)*($F$285:$AI$285="")*$F$288:$AI$311)+IF(AR$286="P6",SUMPRODUCT(($F$285:$AI$285="P6")*$F$288:$AI$311),0))/(SUMPRODUCT(($A$288:$A$311=AR$286)*($F$285:$AI$285=""))+IF(AR$286="P6",COUNTIF($F$285:$AI$285,"P6")*ROWS($A$288:$A$311),0)),"")</f>
        <v>0.91030663043478166</v>
      </c>
    </row>
    <row r="300" spans="1:44" ht="14.25" customHeight="1" x14ac:dyDescent="0.35">
      <c r="A300" s="1" t="s">
        <v>13</v>
      </c>
      <c r="B300" s="1" t="s">
        <v>13</v>
      </c>
      <c r="C300" s="1" t="s">
        <v>13</v>
      </c>
      <c r="D300" s="1" t="s">
        <v>15</v>
      </c>
      <c r="E300" s="1" t="s">
        <v>31</v>
      </c>
      <c r="F300" s="1">
        <v>0.84180999999999995</v>
      </c>
      <c r="G300" s="1">
        <v>0.81342999999999999</v>
      </c>
      <c r="H300" s="1">
        <v>0.81596000000000002</v>
      </c>
      <c r="I300" s="1">
        <v>0.82372999999999996</v>
      </c>
      <c r="J300" s="1">
        <v>0.81767999999999996</v>
      </c>
      <c r="K300" s="1">
        <v>0.79457999999999995</v>
      </c>
      <c r="L300" s="1">
        <v>0.78527999999999998</v>
      </c>
      <c r="M300" s="1">
        <v>0.84180999999999995</v>
      </c>
      <c r="N300" s="1">
        <v>0.81342999999999999</v>
      </c>
      <c r="O300" s="1">
        <v>0.81596000000000002</v>
      </c>
      <c r="P300" s="1">
        <v>0.82372999999999996</v>
      </c>
      <c r="Q300" s="1">
        <v>0.81767999999999996</v>
      </c>
      <c r="R300" s="1">
        <v>0.79457999999999995</v>
      </c>
      <c r="S300" s="1">
        <v>0.78527999999999998</v>
      </c>
      <c r="T300" s="1">
        <v>0.84180999999999995</v>
      </c>
      <c r="U300" s="1">
        <v>0.81342999999999999</v>
      </c>
      <c r="V300" s="1">
        <v>0.81596000000000002</v>
      </c>
      <c r="W300" s="1">
        <v>0.82372999999999996</v>
      </c>
      <c r="X300" s="1">
        <v>0.81767999999999996</v>
      </c>
      <c r="Y300" s="1">
        <v>0.79457999999999995</v>
      </c>
      <c r="Z300" s="1">
        <v>0.78527999999999998</v>
      </c>
      <c r="AA300" s="1">
        <v>0.84180999999999995</v>
      </c>
      <c r="AB300" s="1">
        <v>0.81342999999999999</v>
      </c>
      <c r="AC300" s="1">
        <v>0.81596000000000002</v>
      </c>
      <c r="AD300" s="1">
        <v>0.82372999999999996</v>
      </c>
      <c r="AE300" s="1">
        <v>0.81767999999999996</v>
      </c>
      <c r="AF300" s="1">
        <v>0.79457999999999995</v>
      </c>
      <c r="AG300" s="1">
        <v>0.78527999999999998</v>
      </c>
      <c r="AH300" s="1">
        <v>0.84180999999999995</v>
      </c>
      <c r="AI300" s="1">
        <v>0.81342999999999999</v>
      </c>
      <c r="AL300" s="4" t="s">
        <v>25</v>
      </c>
      <c r="AM300" s="6" cm="1">
        <f t="array" ref="AM300">IFERROR((SUMPRODUCT(($A$288:$A$311=AM$286)*($F$285:$AI$285="")*$F$288:$AI$311)+IF(AM$286="P6",SUMPRODUCT(($F$285:$AI$285="P6")*$F$288:$AI$311),0))/(SUMPRODUCT(($A$288:$A$311=AM$286)*($F$285:$AI$285=""))+IF(AM$286="P6",COUNTIF($F$285:$AI$285,"P6")*ROWS($A$288:$A$311),0)),"")</f>
        <v>0.86247090909090895</v>
      </c>
      <c r="AN300" s="6" t="str" cm="1">
        <f t="array" ref="AN300">IFERROR((SUMPRODUCT(($A$288:$A$311=AN$286)*($F$285:$AI$285="")*$F$288:$AI$311)+IF(AN$286="P6",SUMPRODUCT(($F$285:$AI$285="P6")*$F$288:$AI$311),0))/(SUMPRODUCT(($A$288:$A$311=AN$286)*($F$285:$AI$285=""))+IF(AN$286="P6",COUNTIF($F$285:$AI$285,"P6")*ROWS($A$288:$A$311),0)),"")</f>
        <v/>
      </c>
      <c r="AO300" s="6" cm="1">
        <f t="array" ref="AO300">IFERROR((SUMPRODUCT(($A$288:$A$311=AO$286)*($F$285:$AI$285="")*$F$288:$AI$311)+IF(AO$286="P6",SUMPRODUCT(($F$285:$AI$285="P6")*$F$288:$AI$311),0))/(SUMPRODUCT(($A$288:$A$311=AO$286)*($F$285:$AI$285=""))+IF(AO$286="P6",COUNTIF($F$285:$AI$285,"P6")*ROWS($A$288:$A$311),0)),"")</f>
        <v>0.90609681818181786</v>
      </c>
      <c r="AP300" s="6" t="str" cm="1">
        <f t="array" ref="AP300">IFERROR((SUMPRODUCT(($A$288:$A$311=AP$286)*($F$285:$AI$285="")*$F$288:$AI$311)+IF(AP$286="P6",SUMPRODUCT(($F$285:$AI$285="P6")*$F$288:$AI$311),0))/(SUMPRODUCT(($A$288:$A$311=AP$286)*($F$285:$AI$285=""))+IF(AP$286="P6",COUNTIF($F$285:$AI$285,"P6")*ROWS($A$288:$A$311),0)),"")</f>
        <v/>
      </c>
      <c r="AQ300" s="6" t="str" cm="1">
        <f t="array" ref="AQ300">IFERROR((SUMPRODUCT(($A$288:$A$311=AQ$286)*($F$285:$AI$285="")*$F$288:$AI$311)+IF(AQ$286="P6",SUMPRODUCT(($F$285:$AI$285="P6")*$F$288:$AI$311),0))/(SUMPRODUCT(($A$288:$A$311=AQ$286)*($F$285:$AI$285=""))+IF(AQ$286="P6",COUNTIF($F$285:$AI$285,"P6")*ROWS($A$288:$A$311),0)),"")</f>
        <v/>
      </c>
      <c r="AR300" s="6" cm="1">
        <f t="array" ref="AR300">IFERROR((SUMPRODUCT(($A$288:$A$311=AR$286)*($F$285:$AI$285="")*$F$288:$AI$311)+IF(AR$286="P6",SUMPRODUCT(($F$285:$AI$285="P6")*$F$288:$AI$311),0))/(SUMPRODUCT(($A$288:$A$311=AR$286)*($F$285:$AI$285=""))+IF(AR$286="P6",COUNTIF($F$285:$AI$285,"P6")*ROWS($A$288:$A$311),0)),"")</f>
        <v>0.91030663043478166</v>
      </c>
    </row>
    <row r="301" spans="1:44" ht="14.25" customHeight="1" x14ac:dyDescent="0.35">
      <c r="A301" s="1" t="s">
        <v>13</v>
      </c>
      <c r="B301" s="1" t="s">
        <v>13</v>
      </c>
      <c r="C301" s="1" t="s">
        <v>13</v>
      </c>
      <c r="D301" s="1" t="s">
        <v>15</v>
      </c>
      <c r="E301" s="1" t="s">
        <v>32</v>
      </c>
      <c r="F301" s="1">
        <v>0.82450000000000001</v>
      </c>
      <c r="G301" s="1">
        <v>0.79739000000000004</v>
      </c>
      <c r="H301" s="1">
        <v>0.80667999999999995</v>
      </c>
      <c r="I301" s="1">
        <v>0.81755999999999995</v>
      </c>
      <c r="J301" s="1">
        <v>0.80654999999999999</v>
      </c>
      <c r="K301" s="1">
        <v>0.75895000000000001</v>
      </c>
      <c r="L301" s="1">
        <v>0.76651000000000002</v>
      </c>
      <c r="M301" s="1">
        <v>0.82450000000000001</v>
      </c>
      <c r="N301" s="1">
        <v>0.79739000000000004</v>
      </c>
      <c r="O301" s="1">
        <v>0.80667999999999995</v>
      </c>
      <c r="P301" s="1">
        <v>0.81755999999999995</v>
      </c>
      <c r="Q301" s="1">
        <v>0.80654999999999999</v>
      </c>
      <c r="R301" s="1">
        <v>0.75895000000000001</v>
      </c>
      <c r="S301" s="1">
        <v>0.76651000000000002</v>
      </c>
      <c r="T301" s="1">
        <v>0.82450000000000001</v>
      </c>
      <c r="U301" s="1">
        <v>0.79739000000000004</v>
      </c>
      <c r="V301" s="1">
        <v>0.80667999999999995</v>
      </c>
      <c r="W301" s="1">
        <v>0.81755999999999995</v>
      </c>
      <c r="X301" s="1">
        <v>0.80654999999999999</v>
      </c>
      <c r="Y301" s="1">
        <v>0.75895000000000001</v>
      </c>
      <c r="Z301" s="1">
        <v>0.76651000000000002</v>
      </c>
      <c r="AA301" s="1">
        <v>0.82450000000000001</v>
      </c>
      <c r="AB301" s="1">
        <v>0.79739000000000004</v>
      </c>
      <c r="AC301" s="1">
        <v>0.80667999999999995</v>
      </c>
      <c r="AD301" s="1">
        <v>0.81755999999999995</v>
      </c>
      <c r="AE301" s="1">
        <v>0.80654999999999999</v>
      </c>
      <c r="AF301" s="1">
        <v>0.75895000000000001</v>
      </c>
      <c r="AG301" s="1">
        <v>0.76651000000000002</v>
      </c>
      <c r="AH301" s="1">
        <v>0.82450000000000001</v>
      </c>
      <c r="AI301" s="1">
        <v>0.79739000000000004</v>
      </c>
      <c r="AL301" s="4" t="s">
        <v>27</v>
      </c>
      <c r="AM301" s="6" cm="1">
        <f t="array" ref="AM301">IFERROR((SUMPRODUCT(($A$288:$A$311=AM$286)*($F$285:$AI$285="")*$F$288:$AI$311)+IF(AM$286="P6",SUMPRODUCT(($F$285:$AI$285="P6")*$F$288:$AI$311),0))/(SUMPRODUCT(($A$288:$A$311=AM$286)*($F$285:$AI$285=""))+IF(AM$286="P6",COUNTIF($F$285:$AI$285,"P6")*ROWS($A$288:$A$311),0)),"")</f>
        <v>0.86247090909090895</v>
      </c>
      <c r="AN301" s="6" t="str" cm="1">
        <f t="array" ref="AN301">IFERROR((SUMPRODUCT(($A$288:$A$311=AN$286)*($F$285:$AI$285="")*$F$288:$AI$311)+IF(AN$286="P6",SUMPRODUCT(($F$285:$AI$285="P6")*$F$288:$AI$311),0))/(SUMPRODUCT(($A$288:$A$311=AN$286)*($F$285:$AI$285=""))+IF(AN$286="P6",COUNTIF($F$285:$AI$285,"P6")*ROWS($A$288:$A$311),0)),"")</f>
        <v/>
      </c>
      <c r="AO301" s="6" cm="1">
        <f t="array" ref="AO301">IFERROR((SUMPRODUCT(($A$288:$A$311=AO$286)*($F$285:$AI$285="")*$F$288:$AI$311)+IF(AO$286="P6",SUMPRODUCT(($F$285:$AI$285="P6")*$F$288:$AI$311),0))/(SUMPRODUCT(($A$288:$A$311=AO$286)*($F$285:$AI$285=""))+IF(AO$286="P6",COUNTIF($F$285:$AI$285,"P6")*ROWS($A$288:$A$311),0)),"")</f>
        <v>0.90609681818181786</v>
      </c>
      <c r="AP301" s="6" t="str" cm="1">
        <f t="array" ref="AP301">IFERROR((SUMPRODUCT(($A$288:$A$311=AP$286)*($F$285:$AI$285="")*$F$288:$AI$311)+IF(AP$286="P6",SUMPRODUCT(($F$285:$AI$285="P6")*$F$288:$AI$311),0))/(SUMPRODUCT(($A$288:$A$311=AP$286)*($F$285:$AI$285=""))+IF(AP$286="P6",COUNTIF($F$285:$AI$285,"P6")*ROWS($A$288:$A$311),0)),"")</f>
        <v/>
      </c>
      <c r="AQ301" s="6" t="str" cm="1">
        <f t="array" ref="AQ301">IFERROR((SUMPRODUCT(($A$288:$A$311=AQ$286)*($F$285:$AI$285="")*$F$288:$AI$311)+IF(AQ$286="P6",SUMPRODUCT(($F$285:$AI$285="P6")*$F$288:$AI$311),0))/(SUMPRODUCT(($A$288:$A$311=AQ$286)*($F$285:$AI$285=""))+IF(AQ$286="P6",COUNTIF($F$285:$AI$285,"P6")*ROWS($A$288:$A$311),0)),"")</f>
        <v/>
      </c>
      <c r="AR301" s="6" cm="1">
        <f t="array" ref="AR301">IFERROR((SUMPRODUCT(($A$288:$A$311=AR$286)*($F$285:$AI$285="")*$F$288:$AI$311)+IF(AR$286="P6",SUMPRODUCT(($F$285:$AI$285="P6")*$F$288:$AI$311),0))/(SUMPRODUCT(($A$288:$A$311=AR$286)*($F$285:$AI$285=""))+IF(AR$286="P6",COUNTIF($F$285:$AI$285,"P6")*ROWS($A$288:$A$311),0)),"")</f>
        <v>0.91030663043478166</v>
      </c>
    </row>
    <row r="302" spans="1:44" ht="14.25" customHeight="1" x14ac:dyDescent="0.35">
      <c r="A302" s="1" t="s">
        <v>13</v>
      </c>
      <c r="B302" s="1" t="s">
        <v>13</v>
      </c>
      <c r="C302" s="1" t="s">
        <v>14</v>
      </c>
      <c r="D302" s="1" t="s">
        <v>16</v>
      </c>
      <c r="E302" s="1" t="s">
        <v>33</v>
      </c>
      <c r="F302" s="1">
        <v>0.85097</v>
      </c>
      <c r="G302" s="1">
        <v>0.82477999999999996</v>
      </c>
      <c r="H302" s="1">
        <v>0.84389000000000003</v>
      </c>
      <c r="I302" s="1">
        <v>0.83382000000000001</v>
      </c>
      <c r="J302" s="1">
        <v>0.84401999999999999</v>
      </c>
      <c r="K302" s="1">
        <v>0.74675999999999998</v>
      </c>
      <c r="L302" s="1">
        <v>0.75658999999999998</v>
      </c>
      <c r="M302" s="1">
        <v>0.85097</v>
      </c>
      <c r="N302" s="1">
        <v>0.82477999999999996</v>
      </c>
      <c r="O302" s="1">
        <v>0.84389000000000003</v>
      </c>
      <c r="P302" s="1">
        <v>0.83382000000000001</v>
      </c>
      <c r="Q302" s="1">
        <v>0.84401999999999999</v>
      </c>
      <c r="R302" s="1">
        <v>0.74675999999999998</v>
      </c>
      <c r="S302" s="1">
        <v>0.75658999999999998</v>
      </c>
      <c r="T302" s="1">
        <v>0.85097</v>
      </c>
      <c r="U302" s="1">
        <v>0.82477999999999996</v>
      </c>
      <c r="V302" s="1">
        <v>0.84389000000000003</v>
      </c>
      <c r="W302" s="1">
        <v>0.83382000000000001</v>
      </c>
      <c r="X302" s="1">
        <v>0.84401999999999999</v>
      </c>
      <c r="Y302" s="1">
        <v>0.74675999999999998</v>
      </c>
      <c r="Z302" s="1">
        <v>0.75658999999999998</v>
      </c>
      <c r="AA302" s="1">
        <v>0.85097</v>
      </c>
      <c r="AB302" s="1">
        <v>0.82477999999999996</v>
      </c>
      <c r="AC302" s="1">
        <v>0.84389000000000003</v>
      </c>
      <c r="AD302" s="1">
        <v>0.83382000000000001</v>
      </c>
      <c r="AE302" s="1">
        <v>0.84401999999999999</v>
      </c>
      <c r="AF302" s="1">
        <v>0.74675999999999998</v>
      </c>
      <c r="AG302" s="1">
        <v>0.75658999999999998</v>
      </c>
      <c r="AH302" s="1">
        <v>0.85097</v>
      </c>
      <c r="AI302" s="1">
        <v>0.82477999999999996</v>
      </c>
      <c r="AL302" s="4" t="s">
        <v>29</v>
      </c>
      <c r="AM302" s="6" cm="1">
        <f t="array" ref="AM302">IFERROR((SUMPRODUCT(($A$288:$A$311=AM$286)*($F$285:$AI$285="")*$F$288:$AI$311)+IF(AM$286="P6",SUMPRODUCT(($F$285:$AI$285="P6")*$F$288:$AI$311),0))/(SUMPRODUCT(($A$288:$A$311=AM$286)*($F$285:$AI$285=""))+IF(AM$286="P6",COUNTIF($F$285:$AI$285,"P6")*ROWS($A$288:$A$311),0)),"")</f>
        <v>0.86247090909090895</v>
      </c>
      <c r="AN302" s="6" t="str" cm="1">
        <f t="array" ref="AN302">IFERROR((SUMPRODUCT(($A$288:$A$311=AN$286)*($F$285:$AI$285="")*$F$288:$AI$311)+IF(AN$286="P6",SUMPRODUCT(($F$285:$AI$285="P6")*$F$288:$AI$311),0))/(SUMPRODUCT(($A$288:$A$311=AN$286)*($F$285:$AI$285=""))+IF(AN$286="P6",COUNTIF($F$285:$AI$285,"P6")*ROWS($A$288:$A$311),0)),"")</f>
        <v/>
      </c>
      <c r="AO302" s="6" cm="1">
        <f t="array" ref="AO302">IFERROR((SUMPRODUCT(($A$288:$A$311=AO$286)*($F$285:$AI$285="")*$F$288:$AI$311)+IF(AO$286="P6",SUMPRODUCT(($F$285:$AI$285="P6")*$F$288:$AI$311),0))/(SUMPRODUCT(($A$288:$A$311=AO$286)*($F$285:$AI$285=""))+IF(AO$286="P6",COUNTIF($F$285:$AI$285,"P6")*ROWS($A$288:$A$311),0)),"")</f>
        <v>0.90609681818181786</v>
      </c>
      <c r="AP302" s="6" t="str" cm="1">
        <f t="array" ref="AP302">IFERROR((SUMPRODUCT(($A$288:$A$311=AP$286)*($F$285:$AI$285="")*$F$288:$AI$311)+IF(AP$286="P6",SUMPRODUCT(($F$285:$AI$285="P6")*$F$288:$AI$311),0))/(SUMPRODUCT(($A$288:$A$311=AP$286)*($F$285:$AI$285=""))+IF(AP$286="P6",COUNTIF($F$285:$AI$285,"P6")*ROWS($A$288:$A$311),0)),"")</f>
        <v/>
      </c>
      <c r="AQ302" s="6" t="str" cm="1">
        <f t="array" ref="AQ302">IFERROR((SUMPRODUCT(($A$288:$A$311=AQ$286)*($F$285:$AI$285="")*$F$288:$AI$311)+IF(AQ$286="P6",SUMPRODUCT(($F$285:$AI$285="P6")*$F$288:$AI$311),0))/(SUMPRODUCT(($A$288:$A$311=AQ$286)*($F$285:$AI$285=""))+IF(AQ$286="P6",COUNTIF($F$285:$AI$285,"P6")*ROWS($A$288:$A$311),0)),"")</f>
        <v/>
      </c>
      <c r="AR302" s="6" cm="1">
        <f t="array" ref="AR302">IFERROR((SUMPRODUCT(($A$288:$A$311=AR$286)*($F$285:$AI$285="")*$F$288:$AI$311)+IF(AR$286="P6",SUMPRODUCT(($F$285:$AI$285="P6")*$F$288:$AI$311),0))/(SUMPRODUCT(($A$288:$A$311=AR$286)*($F$285:$AI$285=""))+IF(AR$286="P6",COUNTIF($F$285:$AI$285,"P6")*ROWS($A$288:$A$311),0)),"")</f>
        <v>0.91030663043478166</v>
      </c>
    </row>
    <row r="303" spans="1:44" ht="14.25" customHeight="1" x14ac:dyDescent="0.35">
      <c r="A303" s="1" t="s">
        <v>15</v>
      </c>
      <c r="B303" s="1" t="s">
        <v>14</v>
      </c>
      <c r="C303" s="1" t="s">
        <v>14</v>
      </c>
      <c r="D303" s="1" t="s">
        <v>16</v>
      </c>
      <c r="E303" s="1" t="s">
        <v>34</v>
      </c>
      <c r="F303" s="1">
        <v>0.87517</v>
      </c>
      <c r="G303" s="1">
        <v>0.84616999999999998</v>
      </c>
      <c r="H303" s="1">
        <v>0.85582000000000003</v>
      </c>
      <c r="I303" s="1">
        <v>0.83301999999999998</v>
      </c>
      <c r="J303" s="1">
        <v>0.86324000000000001</v>
      </c>
      <c r="K303" s="1">
        <v>0.78503999999999996</v>
      </c>
      <c r="L303" s="1">
        <v>0.77249000000000001</v>
      </c>
      <c r="M303" s="1">
        <v>0.87517</v>
      </c>
      <c r="N303" s="1">
        <v>0.84616999999999998</v>
      </c>
      <c r="O303" s="1">
        <v>0.85582000000000003</v>
      </c>
      <c r="P303" s="1">
        <v>0.83301999999999998</v>
      </c>
      <c r="Q303" s="1">
        <v>0.86324000000000001</v>
      </c>
      <c r="R303" s="1">
        <v>0.78503999999999996</v>
      </c>
      <c r="S303" s="1">
        <v>0.77249000000000001</v>
      </c>
      <c r="T303" s="1">
        <v>0.87517</v>
      </c>
      <c r="U303" s="1">
        <v>0.84616999999999998</v>
      </c>
      <c r="V303" s="1">
        <v>0.85582000000000003</v>
      </c>
      <c r="W303" s="1">
        <v>0.83301999999999998</v>
      </c>
      <c r="X303" s="1">
        <v>0.86324000000000001</v>
      </c>
      <c r="Y303" s="1">
        <v>0.78503999999999996</v>
      </c>
      <c r="Z303" s="1">
        <v>0.77249000000000001</v>
      </c>
      <c r="AA303" s="1">
        <v>0.87517</v>
      </c>
      <c r="AB303" s="1">
        <v>0.84616999999999998</v>
      </c>
      <c r="AC303" s="1">
        <v>0.85582000000000003</v>
      </c>
      <c r="AD303" s="1">
        <v>0.83301999999999998</v>
      </c>
      <c r="AE303" s="1">
        <v>0.86324000000000001</v>
      </c>
      <c r="AF303" s="1">
        <v>0.78503999999999996</v>
      </c>
      <c r="AG303" s="1">
        <v>0.77249000000000001</v>
      </c>
      <c r="AH303" s="1">
        <v>0.87517</v>
      </c>
      <c r="AI303" s="1">
        <v>0.84616999999999998</v>
      </c>
      <c r="AL303" s="10"/>
      <c r="AM303" s="10"/>
      <c r="AN303" s="10"/>
      <c r="AO303" s="10"/>
      <c r="AP303" s="10"/>
      <c r="AQ303" s="10"/>
      <c r="AR303" s="10"/>
    </row>
    <row r="304" spans="1:44" ht="14.25" customHeight="1" x14ac:dyDescent="0.35">
      <c r="A304" s="1" t="s">
        <v>15</v>
      </c>
      <c r="B304" s="1" t="s">
        <v>14</v>
      </c>
      <c r="C304" s="1" t="s">
        <v>14</v>
      </c>
      <c r="D304" s="1" t="s">
        <v>16</v>
      </c>
      <c r="E304" s="1" t="s">
        <v>35</v>
      </c>
      <c r="F304" s="1">
        <v>0.88592000000000004</v>
      </c>
      <c r="G304" s="1">
        <v>0.86390999999999996</v>
      </c>
      <c r="H304" s="1">
        <v>0.87599000000000005</v>
      </c>
      <c r="I304" s="1">
        <v>0.84243000000000001</v>
      </c>
      <c r="J304" s="1">
        <v>0.87063000000000001</v>
      </c>
      <c r="K304" s="1">
        <v>0.82055999999999996</v>
      </c>
      <c r="L304" s="1">
        <v>0.82020000000000004</v>
      </c>
      <c r="M304" s="1">
        <v>0.88592000000000004</v>
      </c>
      <c r="N304" s="1">
        <v>0.86390999999999996</v>
      </c>
      <c r="O304" s="1">
        <v>0.87599000000000005</v>
      </c>
      <c r="P304" s="1">
        <v>0.84243000000000001</v>
      </c>
      <c r="Q304" s="1">
        <v>0.87063000000000001</v>
      </c>
      <c r="R304" s="1">
        <v>0.82055999999999996</v>
      </c>
      <c r="S304" s="1">
        <v>0.82020000000000004</v>
      </c>
      <c r="T304" s="1">
        <v>0.88592000000000004</v>
      </c>
      <c r="U304" s="1">
        <v>0.86390999999999996</v>
      </c>
      <c r="V304" s="1">
        <v>0.87599000000000005</v>
      </c>
      <c r="W304" s="1">
        <v>0.84243000000000001</v>
      </c>
      <c r="X304" s="1">
        <v>0.87063000000000001</v>
      </c>
      <c r="Y304" s="1">
        <v>0.82055999999999996</v>
      </c>
      <c r="Z304" s="1">
        <v>0.82020000000000004</v>
      </c>
      <c r="AA304" s="1">
        <v>0.88592000000000004</v>
      </c>
      <c r="AB304" s="1">
        <v>0.86390999999999996</v>
      </c>
      <c r="AC304" s="1">
        <v>0.87599000000000005</v>
      </c>
      <c r="AD304" s="1">
        <v>0.84243000000000001</v>
      </c>
      <c r="AE304" s="1">
        <v>0.87063000000000001</v>
      </c>
      <c r="AF304" s="1">
        <v>0.82055999999999996</v>
      </c>
      <c r="AG304" s="1">
        <v>0.82020000000000004</v>
      </c>
      <c r="AH304" s="1">
        <v>0.88592000000000004</v>
      </c>
      <c r="AI304" s="1">
        <v>0.86390999999999996</v>
      </c>
      <c r="AL304" s="10"/>
      <c r="AM304" s="10"/>
      <c r="AN304" s="10"/>
      <c r="AO304" s="10"/>
      <c r="AP304" s="10"/>
      <c r="AQ304" s="10"/>
      <c r="AR304" s="10"/>
    </row>
    <row r="305" spans="1:44" ht="14.25" customHeight="1" x14ac:dyDescent="0.35">
      <c r="A305" s="1" t="s">
        <v>15</v>
      </c>
      <c r="B305" s="1" t="s">
        <v>14</v>
      </c>
      <c r="C305" s="1" t="s">
        <v>14</v>
      </c>
      <c r="D305" s="1" t="s">
        <v>16</v>
      </c>
      <c r="E305" s="1" t="s">
        <v>36</v>
      </c>
      <c r="F305" s="1">
        <v>0.90381</v>
      </c>
      <c r="G305" s="1">
        <v>0.87241000000000002</v>
      </c>
      <c r="H305" s="1">
        <v>0.88336999999999999</v>
      </c>
      <c r="I305" s="1">
        <v>0.85746999999999995</v>
      </c>
      <c r="J305" s="1">
        <v>0.89834999999999998</v>
      </c>
      <c r="K305" s="1">
        <v>0.84409999999999996</v>
      </c>
      <c r="L305" s="1">
        <v>0.86985999999999997</v>
      </c>
      <c r="M305" s="1">
        <v>0.90381</v>
      </c>
      <c r="N305" s="1">
        <v>0.87241000000000002</v>
      </c>
      <c r="O305" s="1">
        <v>0.88336999999999999</v>
      </c>
      <c r="P305" s="1">
        <v>0.85746999999999995</v>
      </c>
      <c r="Q305" s="1">
        <v>0.89834999999999998</v>
      </c>
      <c r="R305" s="1">
        <v>0.84409999999999996</v>
      </c>
      <c r="S305" s="1">
        <v>0.86985999999999997</v>
      </c>
      <c r="T305" s="1">
        <v>0.90381</v>
      </c>
      <c r="U305" s="1">
        <v>0.87241000000000002</v>
      </c>
      <c r="V305" s="1">
        <v>0.88336999999999999</v>
      </c>
      <c r="W305" s="1">
        <v>0.85746999999999995</v>
      </c>
      <c r="X305" s="1">
        <v>0.89834999999999998</v>
      </c>
      <c r="Y305" s="1">
        <v>0.84409999999999996</v>
      </c>
      <c r="Z305" s="1">
        <v>0.86985999999999997</v>
      </c>
      <c r="AA305" s="1">
        <v>0.90381</v>
      </c>
      <c r="AB305" s="1">
        <v>0.87241000000000002</v>
      </c>
      <c r="AC305" s="1">
        <v>0.88336999999999999</v>
      </c>
      <c r="AD305" s="1">
        <v>0.85746999999999995</v>
      </c>
      <c r="AE305" s="1">
        <v>0.89834999999999998</v>
      </c>
      <c r="AF305" s="1">
        <v>0.84409999999999996</v>
      </c>
      <c r="AG305" s="1">
        <v>0.86985999999999997</v>
      </c>
      <c r="AH305" s="1">
        <v>0.90381</v>
      </c>
      <c r="AI305" s="1">
        <v>0.87241000000000002</v>
      </c>
      <c r="AL305" s="14" t="s">
        <v>104</v>
      </c>
      <c r="AM305" s="14"/>
      <c r="AN305" s="14"/>
      <c r="AO305" s="14"/>
      <c r="AP305" s="14"/>
      <c r="AQ305" s="14"/>
      <c r="AR305" s="14"/>
    </row>
    <row r="306" spans="1:44" ht="14.25" customHeight="1" x14ac:dyDescent="0.35">
      <c r="A306" s="1" t="s">
        <v>13</v>
      </c>
      <c r="B306" s="1" t="s">
        <v>13</v>
      </c>
      <c r="C306" s="1" t="s">
        <v>13</v>
      </c>
      <c r="D306" s="1" t="s">
        <v>15</v>
      </c>
      <c r="E306" s="1" t="s">
        <v>37</v>
      </c>
      <c r="F306" s="1">
        <v>0.89954000000000001</v>
      </c>
      <c r="G306" s="1">
        <v>0.87329000000000001</v>
      </c>
      <c r="H306" s="1">
        <v>0.88500999999999996</v>
      </c>
      <c r="I306" s="1">
        <v>0.87534999999999996</v>
      </c>
      <c r="J306" s="1">
        <v>0.90003999999999995</v>
      </c>
      <c r="K306" s="1">
        <v>0.85228000000000004</v>
      </c>
      <c r="L306" s="1">
        <v>0.88417999999999997</v>
      </c>
      <c r="M306" s="1">
        <v>0.89954000000000001</v>
      </c>
      <c r="N306" s="1">
        <v>0.87329000000000001</v>
      </c>
      <c r="O306" s="1">
        <v>0.88500999999999996</v>
      </c>
      <c r="P306" s="1">
        <v>0.87534999999999996</v>
      </c>
      <c r="Q306" s="1">
        <v>0.90003999999999995</v>
      </c>
      <c r="R306" s="1">
        <v>0.85228000000000004</v>
      </c>
      <c r="S306" s="1">
        <v>0.88417999999999997</v>
      </c>
      <c r="T306" s="1">
        <v>0.89954000000000001</v>
      </c>
      <c r="U306" s="1">
        <v>0.87329000000000001</v>
      </c>
      <c r="V306" s="1">
        <v>0.88500999999999996</v>
      </c>
      <c r="W306" s="1">
        <v>0.87534999999999996</v>
      </c>
      <c r="X306" s="1">
        <v>0.90003999999999995</v>
      </c>
      <c r="Y306" s="1">
        <v>0.85228000000000004</v>
      </c>
      <c r="Z306" s="1">
        <v>0.88417999999999997</v>
      </c>
      <c r="AA306" s="1">
        <v>0.89954000000000001</v>
      </c>
      <c r="AB306" s="1">
        <v>0.87329000000000001</v>
      </c>
      <c r="AC306" s="1">
        <v>0.88500999999999996</v>
      </c>
      <c r="AD306" s="1">
        <v>0.87534999999999996</v>
      </c>
      <c r="AE306" s="1">
        <v>0.90003999999999995</v>
      </c>
      <c r="AF306" s="1">
        <v>0.85228000000000004</v>
      </c>
      <c r="AG306" s="1">
        <v>0.88417999999999997</v>
      </c>
      <c r="AH306" s="1">
        <v>0.89954000000000001</v>
      </c>
      <c r="AI306" s="1">
        <v>0.87329000000000001</v>
      </c>
      <c r="AL306" s="4"/>
      <c r="AM306" s="4" t="s">
        <v>13</v>
      </c>
      <c r="AN306" s="4" t="s">
        <v>14</v>
      </c>
      <c r="AO306" s="4" t="s">
        <v>15</v>
      </c>
      <c r="AP306" s="4" t="s">
        <v>16</v>
      </c>
      <c r="AQ306" s="4" t="s">
        <v>17</v>
      </c>
      <c r="AR306" s="4" t="s">
        <v>7</v>
      </c>
    </row>
    <row r="307" spans="1:44" ht="14.25" customHeight="1" x14ac:dyDescent="0.35">
      <c r="A307" s="1" t="s">
        <v>13</v>
      </c>
      <c r="B307" s="1" t="s">
        <v>13</v>
      </c>
      <c r="C307" s="1" t="s">
        <v>13</v>
      </c>
      <c r="D307" s="1" t="s">
        <v>15</v>
      </c>
      <c r="E307" s="1" t="s">
        <v>38</v>
      </c>
      <c r="F307" s="1">
        <v>0.91483000000000003</v>
      </c>
      <c r="G307" s="1">
        <v>0.88792000000000004</v>
      </c>
      <c r="H307" s="1">
        <v>0.90763000000000005</v>
      </c>
      <c r="I307" s="1">
        <v>0.89761000000000002</v>
      </c>
      <c r="J307" s="1">
        <v>0.90032000000000001</v>
      </c>
      <c r="K307" s="1">
        <v>0.85594999999999999</v>
      </c>
      <c r="L307" s="1">
        <v>0.89153000000000004</v>
      </c>
      <c r="M307" s="1">
        <v>0.91483000000000003</v>
      </c>
      <c r="N307" s="1">
        <v>0.88792000000000004</v>
      </c>
      <c r="O307" s="1">
        <v>0.90763000000000005</v>
      </c>
      <c r="P307" s="1">
        <v>0.89761000000000002</v>
      </c>
      <c r="Q307" s="1">
        <v>0.90032000000000001</v>
      </c>
      <c r="R307" s="1">
        <v>0.85594999999999999</v>
      </c>
      <c r="S307" s="1">
        <v>0.89153000000000004</v>
      </c>
      <c r="T307" s="1">
        <v>0.91483000000000003</v>
      </c>
      <c r="U307" s="1">
        <v>0.88792000000000004</v>
      </c>
      <c r="V307" s="1">
        <v>0.90763000000000005</v>
      </c>
      <c r="W307" s="1">
        <v>0.89761000000000002</v>
      </c>
      <c r="X307" s="1">
        <v>0.90032000000000001</v>
      </c>
      <c r="Y307" s="1">
        <v>0.85594999999999999</v>
      </c>
      <c r="Z307" s="1">
        <v>0.89153000000000004</v>
      </c>
      <c r="AA307" s="1">
        <v>0.91483000000000003</v>
      </c>
      <c r="AB307" s="1">
        <v>0.88792000000000004</v>
      </c>
      <c r="AC307" s="1">
        <v>0.90763000000000005</v>
      </c>
      <c r="AD307" s="1">
        <v>0.89761000000000002</v>
      </c>
      <c r="AE307" s="1">
        <v>0.90032000000000001</v>
      </c>
      <c r="AF307" s="1">
        <v>0.85594999999999999</v>
      </c>
      <c r="AG307" s="1">
        <v>0.89153000000000004</v>
      </c>
      <c r="AH307" s="1">
        <v>0.91483000000000003</v>
      </c>
      <c r="AI307" s="1">
        <v>0.88792000000000004</v>
      </c>
      <c r="AL307" s="4" t="s">
        <v>19</v>
      </c>
      <c r="AM307" s="6" cm="1">
        <f t="array" ref="AM307">IFERROR((SUMPRODUCT(($C$288:$C$311=AM$286)*($F$284:$AI$284="")*$F$288:$AI$311)+IF(AM$286="P3",SUMPRODUCT(($F$284:$AI$284="P3")*$F$288:$AI$311),0))/(SUMPRODUCT(($C$288:$C$311=AM$286)*($F$284:$AI$284=""))+IF(AM$286="P3",COUNTIF($F$284:$AI$284,"P3")*ROWS($C$288:$C$311),0)),"")</f>
        <v>0.86536119318181759</v>
      </c>
      <c r="AN307" s="6" cm="1">
        <f t="array" ref="AN307">IFERROR((SUMPRODUCT(($C$288:$C$311=AN$286)*($F$284:$AI$284="")*$F$288:$AI$311)+IF(AN$286="P3",SUMPRODUCT(($F$284:$AI$284="P3")*$F$288:$AI$311),0))/(SUMPRODUCT(($C$288:$C$311=AN$286)*($F$284:$AI$284=""))+IF(AN$286="P3",COUNTIF($F$284:$AI$284,"P3")*ROWS($C$288:$C$311),0)),"")</f>
        <v>0.89775329545454585</v>
      </c>
      <c r="AO307" s="6" cm="1">
        <f t="array" ref="AO307">IFERROR((SUMPRODUCT(($C$288:$C$311=AO$286)*($F$284:$AI$284="")*$F$288:$AI$311)+IF(AO$286="P3",SUMPRODUCT(($F$284:$AI$284="P3")*$F$288:$AI$311),0))/(SUMPRODUCT(($C$288:$C$311=AO$286)*($F$284:$AI$284=""))+IF(AO$286="P3",COUNTIF($F$284:$AI$284,"P3")*ROWS($C$288:$C$311),0)),"")</f>
        <v>0.91030663043478166</v>
      </c>
      <c r="AP307" s="6" t="str" cm="1">
        <f t="array" ref="AP307">IFERROR((SUMPRODUCT(($C$288:$C$311=AP$286)*($F$284:$AI$284="")*$F$288:$AI$311)+IF(AP$286="P3",SUMPRODUCT(($F$284:$AI$284="P3")*$F$288:$AI$311),0))/(SUMPRODUCT(($C$288:$C$311=AP$286)*($F$284:$AI$284=""))+IF(AP$286="P3",COUNTIF($F$284:$AI$284,"P3")*ROWS($C$288:$C$311),0)),"")</f>
        <v/>
      </c>
      <c r="AQ307" s="6" t="str" cm="1">
        <f t="array" ref="AQ307">IFERROR((SUMPRODUCT(($C$288:$C$311=AQ$286)*($F$284:$AI$284="")*$F$288:$AI$311)+IF(AQ$286="P3",SUMPRODUCT(($F$284:$AI$284="P3")*$F$288:$AI$311),0))/(SUMPRODUCT(($C$288:$C$311=AQ$286)*($F$284:$AI$284=""))+IF(AQ$286="P3",COUNTIF($F$284:$AI$284,"P3")*ROWS($C$288:$C$311),0)),"")</f>
        <v/>
      </c>
      <c r="AR307" s="6" t="str" cm="1">
        <f t="array" ref="AR307">IFERROR((SUMPRODUCT(($C$288:$C$311=AR$286)*($F$284:$AI$284="")*$F$288:$AI$311)+IF(AR$286="P3",SUMPRODUCT(($F$284:$AI$284="P3")*$F$288:$AI$311),0))/(SUMPRODUCT(($C$288:$C$311=AR$286)*($F$284:$AI$284=""))+IF(AR$286="P3",COUNTIF($F$284:$AI$284,"P3")*ROWS($C$288:$C$311),0)),"")</f>
        <v/>
      </c>
    </row>
    <row r="308" spans="1:44" ht="14.25" customHeight="1" x14ac:dyDescent="0.35">
      <c r="A308" s="1" t="s">
        <v>13</v>
      </c>
      <c r="B308" s="1" t="s">
        <v>13</v>
      </c>
      <c r="C308" s="1" t="s">
        <v>13</v>
      </c>
      <c r="D308" s="1" t="s">
        <v>15</v>
      </c>
      <c r="E308" s="1" t="s">
        <v>39</v>
      </c>
      <c r="F308" s="1">
        <v>0.93718999999999997</v>
      </c>
      <c r="G308" s="1">
        <v>0.90330999999999995</v>
      </c>
      <c r="H308" s="1">
        <v>0.92032000000000003</v>
      </c>
      <c r="I308" s="1">
        <v>0.92198999999999998</v>
      </c>
      <c r="J308" s="1">
        <v>0.93359000000000003</v>
      </c>
      <c r="K308" s="1">
        <v>0.86582999999999999</v>
      </c>
      <c r="L308" s="1">
        <v>0.89263000000000003</v>
      </c>
      <c r="M308" s="1">
        <v>0.93718999999999997</v>
      </c>
      <c r="N308" s="1">
        <v>0.90330999999999995</v>
      </c>
      <c r="O308" s="1">
        <v>0.92032000000000003</v>
      </c>
      <c r="P308" s="1">
        <v>0.92198999999999998</v>
      </c>
      <c r="Q308" s="1">
        <v>0.93359000000000003</v>
      </c>
      <c r="R308" s="1">
        <v>0.86582999999999999</v>
      </c>
      <c r="S308" s="1">
        <v>0.89263000000000003</v>
      </c>
      <c r="T308" s="1">
        <v>0.93718999999999997</v>
      </c>
      <c r="U308" s="1">
        <v>0.90330999999999995</v>
      </c>
      <c r="V308" s="1">
        <v>0.92032000000000003</v>
      </c>
      <c r="W308" s="1">
        <v>0.92198999999999998</v>
      </c>
      <c r="X308" s="1">
        <v>0.93359000000000003</v>
      </c>
      <c r="Y308" s="1">
        <v>0.86582999999999999</v>
      </c>
      <c r="Z308" s="1">
        <v>0.89263000000000003</v>
      </c>
      <c r="AA308" s="1">
        <v>0.93718999999999997</v>
      </c>
      <c r="AB308" s="1">
        <v>0.90330999999999995</v>
      </c>
      <c r="AC308" s="1">
        <v>0.92032000000000003</v>
      </c>
      <c r="AD308" s="1">
        <v>0.92198999999999998</v>
      </c>
      <c r="AE308" s="1">
        <v>0.93359000000000003</v>
      </c>
      <c r="AF308" s="1">
        <v>0.86582999999999999</v>
      </c>
      <c r="AG308" s="1">
        <v>0.89263000000000003</v>
      </c>
      <c r="AH308" s="1">
        <v>0.93718999999999997</v>
      </c>
      <c r="AI308" s="1">
        <v>0.90330999999999995</v>
      </c>
      <c r="AL308" s="4" t="s">
        <v>21</v>
      </c>
      <c r="AM308" s="6" cm="1">
        <f t="array" ref="AM308">IFERROR((SUMPRODUCT(($B$288:$B$311=AM$286)*($F$285:$AI$285="")*$F$288:$AI$311)+IF(AM$286="P6",SUMPRODUCT(($F$285:$AI$285="P6")*$F$288:$AI$311),0))/(SUMPRODUCT(($B$288:$B$311=AM$286)*($F$285:$AI$285=""))+IF(AM$286="P6",COUNTIF($F$285:$AI$285,"P6")*ROWS($B$288:$B$311),0)),"")</f>
        <v>0.86247090909090895</v>
      </c>
      <c r="AN308" s="6" cm="1">
        <f t="array" ref="AN308">IFERROR((SUMPRODUCT(($B$288:$B$311=AN$286)*($F$285:$AI$285="")*$F$288:$AI$311)+IF(AN$286="P6",SUMPRODUCT(($F$285:$AI$285="P6")*$F$288:$AI$311),0))/(SUMPRODUCT(($B$288:$B$311=AN$286)*($F$285:$AI$285=""))+IF(AN$286="P6",COUNTIF($F$285:$AI$285,"P6")*ROWS($B$288:$B$311),0)),"")</f>
        <v>0.90609681818181786</v>
      </c>
      <c r="AO308" s="6" t="str" cm="1">
        <f t="array" ref="AO308">IFERROR((SUMPRODUCT(($B$288:$B$311=AO$286)*($F$285:$AI$285="")*$F$288:$AI$311)+IF(AO$286="P6",SUMPRODUCT(($F$285:$AI$285="P6")*$F$288:$AI$311),0))/(SUMPRODUCT(($B$288:$B$311=AO$286)*($F$285:$AI$285=""))+IF(AO$286="P6",COUNTIF($F$285:$AI$285,"P6")*ROWS($B$288:$B$311),0)),"")</f>
        <v/>
      </c>
      <c r="AP308" s="6" t="str" cm="1">
        <f t="array" ref="AP308">IFERROR((SUMPRODUCT(($B$288:$B$311=AP$286)*($F$285:$AI$285="")*$F$288:$AI$311)+IF(AP$286="P6",SUMPRODUCT(($F$285:$AI$285="P6")*$F$288:$AI$311),0))/(SUMPRODUCT(($B$288:$B$311=AP$286)*($F$285:$AI$285=""))+IF(AP$286="P6",COUNTIF($F$285:$AI$285,"P6")*ROWS($B$288:$B$311),0)),"")</f>
        <v/>
      </c>
      <c r="AQ308" s="6" t="str" cm="1">
        <f t="array" ref="AQ308">IFERROR((SUMPRODUCT(($B$288:$B$311=AQ$286)*($F$285:$AI$285="")*$F$288:$AI$311)+IF(AQ$286="P6",SUMPRODUCT(($F$285:$AI$285="P6")*$F$288:$AI$311),0))/(SUMPRODUCT(($B$288:$B$311=AQ$286)*($F$285:$AI$285=""))+IF(AQ$286="P6",COUNTIF($F$285:$AI$285,"P6")*ROWS($B$288:$B$311),0)),"")</f>
        <v/>
      </c>
      <c r="AR308" s="6" cm="1">
        <f t="array" ref="AR308">IFERROR((SUMPRODUCT(($B$288:$B$311=AR$286)*($F$285:$AI$285="")*$F$288:$AI$311)+IF(AR$286="P6",SUMPRODUCT(($F$285:$AI$285="P6")*$F$288:$AI$311),0))/(SUMPRODUCT(($B$288:$B$311=AR$286)*($F$285:$AI$285=""))+IF(AR$286="P6",COUNTIF($F$285:$AI$285,"P6")*ROWS($B$288:$B$311),0)),"")</f>
        <v>0.91030663043478166</v>
      </c>
    </row>
    <row r="309" spans="1:44" ht="14.25" customHeight="1" x14ac:dyDescent="0.35">
      <c r="A309" s="1" t="s">
        <v>13</v>
      </c>
      <c r="B309" s="1" t="s">
        <v>13</v>
      </c>
      <c r="C309" s="1" t="s">
        <v>13</v>
      </c>
      <c r="D309" s="1" t="s">
        <v>15</v>
      </c>
      <c r="E309" s="1" t="s">
        <v>40</v>
      </c>
      <c r="F309" s="1">
        <v>0.94357999999999997</v>
      </c>
      <c r="G309" s="1">
        <v>0.91647000000000001</v>
      </c>
      <c r="H309" s="1">
        <v>0.94750000000000001</v>
      </c>
      <c r="I309" s="1">
        <v>0.93727000000000005</v>
      </c>
      <c r="J309" s="1">
        <v>0.95030000000000003</v>
      </c>
      <c r="K309" s="1">
        <v>0.86353999999999997</v>
      </c>
      <c r="L309" s="1">
        <v>0.88344999999999996</v>
      </c>
      <c r="M309" s="1">
        <v>0.94357999999999997</v>
      </c>
      <c r="N309" s="1">
        <v>0.91647000000000001</v>
      </c>
      <c r="O309" s="1">
        <v>0.94750000000000001</v>
      </c>
      <c r="P309" s="1">
        <v>0.93727000000000005</v>
      </c>
      <c r="Q309" s="1">
        <v>0.95030000000000003</v>
      </c>
      <c r="R309" s="1">
        <v>0.86353999999999997</v>
      </c>
      <c r="S309" s="1">
        <v>0.88344999999999996</v>
      </c>
      <c r="T309" s="1">
        <v>0.94357999999999997</v>
      </c>
      <c r="U309" s="1">
        <v>0.91647000000000001</v>
      </c>
      <c r="V309" s="1">
        <v>0.94750000000000001</v>
      </c>
      <c r="W309" s="1">
        <v>0.93727000000000005</v>
      </c>
      <c r="X309" s="1">
        <v>0.95030000000000003</v>
      </c>
      <c r="Y309" s="1">
        <v>0.86353999999999997</v>
      </c>
      <c r="Z309" s="1">
        <v>0.88344999999999996</v>
      </c>
      <c r="AA309" s="1">
        <v>0.94357999999999997</v>
      </c>
      <c r="AB309" s="1">
        <v>0.91647000000000001</v>
      </c>
      <c r="AC309" s="1">
        <v>0.94750000000000001</v>
      </c>
      <c r="AD309" s="1">
        <v>0.93727000000000005</v>
      </c>
      <c r="AE309" s="1">
        <v>0.95030000000000003</v>
      </c>
      <c r="AF309" s="1">
        <v>0.86353999999999997</v>
      </c>
      <c r="AG309" s="1">
        <v>0.88344999999999996</v>
      </c>
      <c r="AH309" s="1">
        <v>0.94357999999999997</v>
      </c>
      <c r="AI309" s="1">
        <v>0.91647000000000001</v>
      </c>
      <c r="AL309" s="4" t="s">
        <v>23</v>
      </c>
      <c r="AM309" s="6" cm="1">
        <f t="array" ref="AM309">IFERROR((SUMPRODUCT(($B$288:$B$311=AM$286)*($F$285:$AI$285="")*$F$288:$AI$311)+IF(AM$286="P6",SUMPRODUCT(($F$285:$AI$285="P6")*$F$288:$AI$311),0))/(SUMPRODUCT(($B$288:$B$311=AM$286)*($F$285:$AI$285=""))+IF(AM$286="P6",COUNTIF($F$285:$AI$285,"P6")*ROWS($B$288:$B$311),0)),"")</f>
        <v>0.86247090909090895</v>
      </c>
      <c r="AN309" s="6" cm="1">
        <f t="array" ref="AN309">IFERROR((SUMPRODUCT(($B$288:$B$311=AN$286)*($F$285:$AI$285="")*$F$288:$AI$311)+IF(AN$286="P6",SUMPRODUCT(($F$285:$AI$285="P6")*$F$288:$AI$311),0))/(SUMPRODUCT(($B$288:$B$311=AN$286)*($F$285:$AI$285=""))+IF(AN$286="P6",COUNTIF($F$285:$AI$285,"P6")*ROWS($B$288:$B$311),0)),"")</f>
        <v>0.90609681818181786</v>
      </c>
      <c r="AO309" s="6" t="str" cm="1">
        <f t="array" ref="AO309">IFERROR((SUMPRODUCT(($B$288:$B$311=AO$286)*($F$285:$AI$285="")*$F$288:$AI$311)+IF(AO$286="P6",SUMPRODUCT(($F$285:$AI$285="P6")*$F$288:$AI$311),0))/(SUMPRODUCT(($B$288:$B$311=AO$286)*($F$285:$AI$285=""))+IF(AO$286="P6",COUNTIF($F$285:$AI$285,"P6")*ROWS($B$288:$B$311),0)),"")</f>
        <v/>
      </c>
      <c r="AP309" s="6" t="str" cm="1">
        <f t="array" ref="AP309">IFERROR((SUMPRODUCT(($B$288:$B$311=AP$286)*($F$285:$AI$285="")*$F$288:$AI$311)+IF(AP$286="P6",SUMPRODUCT(($F$285:$AI$285="P6")*$F$288:$AI$311),0))/(SUMPRODUCT(($B$288:$B$311=AP$286)*($F$285:$AI$285=""))+IF(AP$286="P6",COUNTIF($F$285:$AI$285,"P6")*ROWS($B$288:$B$311),0)),"")</f>
        <v/>
      </c>
      <c r="AQ309" s="6" t="str" cm="1">
        <f t="array" ref="AQ309">IFERROR((SUMPRODUCT(($B$288:$B$311=AQ$286)*($F$285:$AI$285="")*$F$288:$AI$311)+IF(AQ$286="P6",SUMPRODUCT(($F$285:$AI$285="P6")*$F$288:$AI$311),0))/(SUMPRODUCT(($B$288:$B$311=AQ$286)*($F$285:$AI$285=""))+IF(AQ$286="P6",COUNTIF($F$285:$AI$285,"P6")*ROWS($B$288:$B$311),0)),"")</f>
        <v/>
      </c>
      <c r="AR309" s="6" cm="1">
        <f t="array" ref="AR309">IFERROR((SUMPRODUCT(($B$288:$B$311=AR$286)*($F$285:$AI$285="")*$F$288:$AI$311)+IF(AR$286="P6",SUMPRODUCT(($F$285:$AI$285="P6")*$F$288:$AI$311),0))/(SUMPRODUCT(($B$288:$B$311=AR$286)*($F$285:$AI$285=""))+IF(AR$286="P6",COUNTIF($F$285:$AI$285,"P6")*ROWS($B$288:$B$311),0)),"")</f>
        <v>0.91030663043478166</v>
      </c>
    </row>
    <row r="310" spans="1:44" ht="14.25" customHeight="1" x14ac:dyDescent="0.35">
      <c r="A310" s="1" t="s">
        <v>15</v>
      </c>
      <c r="B310" s="1" t="s">
        <v>14</v>
      </c>
      <c r="C310" s="1" t="s">
        <v>14</v>
      </c>
      <c r="D310" s="1" t="s">
        <v>16</v>
      </c>
      <c r="E310" s="1" t="s">
        <v>41</v>
      </c>
      <c r="F310" s="1">
        <v>0.99560000000000004</v>
      </c>
      <c r="G310" s="1">
        <v>0.96521000000000001</v>
      </c>
      <c r="H310" s="1">
        <v>1.0070600000000001</v>
      </c>
      <c r="I310" s="1">
        <v>0.99378</v>
      </c>
      <c r="J310" s="1">
        <v>1.0063899999999999</v>
      </c>
      <c r="K310" s="1">
        <v>0.8962</v>
      </c>
      <c r="L310" s="1">
        <v>0.90395999999999999</v>
      </c>
      <c r="M310" s="1">
        <v>0.99560000000000004</v>
      </c>
      <c r="N310" s="1">
        <v>0.96521000000000001</v>
      </c>
      <c r="O310" s="1">
        <v>1.0070600000000001</v>
      </c>
      <c r="P310" s="1">
        <v>0.99378</v>
      </c>
      <c r="Q310" s="1">
        <v>1.0063899999999999</v>
      </c>
      <c r="R310" s="1">
        <v>0.8962</v>
      </c>
      <c r="S310" s="1">
        <v>0.90395999999999999</v>
      </c>
      <c r="T310" s="1">
        <v>0.99560000000000004</v>
      </c>
      <c r="U310" s="1">
        <v>0.96521000000000001</v>
      </c>
      <c r="V310" s="1">
        <v>1.0070600000000001</v>
      </c>
      <c r="W310" s="1">
        <v>0.99378</v>
      </c>
      <c r="X310" s="1">
        <v>1.0063899999999999</v>
      </c>
      <c r="Y310" s="1">
        <v>0.8962</v>
      </c>
      <c r="Z310" s="1">
        <v>0.90395999999999999</v>
      </c>
      <c r="AA310" s="1">
        <v>0.99560000000000004</v>
      </c>
      <c r="AB310" s="1">
        <v>0.96521000000000001</v>
      </c>
      <c r="AC310" s="1">
        <v>1.0070600000000001</v>
      </c>
      <c r="AD310" s="1">
        <v>0.99378</v>
      </c>
      <c r="AE310" s="1">
        <v>1.0063899999999999</v>
      </c>
      <c r="AF310" s="1">
        <v>0.8962</v>
      </c>
      <c r="AG310" s="1">
        <v>0.90395999999999999</v>
      </c>
      <c r="AH310" s="1">
        <v>0.99560000000000004</v>
      </c>
      <c r="AI310" s="1">
        <v>0.96521000000000001</v>
      </c>
      <c r="AL310" s="4" t="s">
        <v>25</v>
      </c>
      <c r="AM310" s="6" cm="1">
        <f t="array" ref="AM310">IFERROR((SUMPRODUCT(($B$288:$B$311=AM$286)*($F$285:$AI$285="")*$F$288:$AI$311)+IF(AM$286="P6",SUMPRODUCT(($F$285:$AI$285="P6")*$F$288:$AI$311),0))/(SUMPRODUCT(($B$288:$B$311=AM$286)*($F$285:$AI$285=""))+IF(AM$286="P6",COUNTIF($F$285:$AI$285,"P6")*ROWS($B$288:$B$311),0)),"")</f>
        <v>0.86247090909090895</v>
      </c>
      <c r="AN310" s="6" cm="1">
        <f t="array" ref="AN310">IFERROR((SUMPRODUCT(($B$288:$B$311=AN$286)*($F$285:$AI$285="")*$F$288:$AI$311)+IF(AN$286="P6",SUMPRODUCT(($F$285:$AI$285="P6")*$F$288:$AI$311),0))/(SUMPRODUCT(($B$288:$B$311=AN$286)*($F$285:$AI$285=""))+IF(AN$286="P6",COUNTIF($F$285:$AI$285,"P6")*ROWS($B$288:$B$311),0)),"")</f>
        <v>0.90609681818181786</v>
      </c>
      <c r="AO310" s="6" t="str" cm="1">
        <f t="array" ref="AO310">IFERROR((SUMPRODUCT(($B$288:$B$311=AO$286)*($F$285:$AI$285="")*$F$288:$AI$311)+IF(AO$286="P6",SUMPRODUCT(($F$285:$AI$285="P6")*$F$288:$AI$311),0))/(SUMPRODUCT(($B$288:$B$311=AO$286)*($F$285:$AI$285=""))+IF(AO$286="P6",COUNTIF($F$285:$AI$285,"P6")*ROWS($B$288:$B$311),0)),"")</f>
        <v/>
      </c>
      <c r="AP310" s="6" t="str" cm="1">
        <f t="array" ref="AP310">IFERROR((SUMPRODUCT(($B$288:$B$311=AP$286)*($F$285:$AI$285="")*$F$288:$AI$311)+IF(AP$286="P6",SUMPRODUCT(($F$285:$AI$285="P6")*$F$288:$AI$311),0))/(SUMPRODUCT(($B$288:$B$311=AP$286)*($F$285:$AI$285=""))+IF(AP$286="P6",COUNTIF($F$285:$AI$285,"P6")*ROWS($B$288:$B$311),0)),"")</f>
        <v/>
      </c>
      <c r="AQ310" s="6" t="str" cm="1">
        <f t="array" ref="AQ310">IFERROR((SUMPRODUCT(($B$288:$B$311=AQ$286)*($F$285:$AI$285="")*$F$288:$AI$311)+IF(AQ$286="P6",SUMPRODUCT(($F$285:$AI$285="P6")*$F$288:$AI$311),0))/(SUMPRODUCT(($B$288:$B$311=AQ$286)*($F$285:$AI$285=""))+IF(AQ$286="P6",COUNTIF($F$285:$AI$285,"P6")*ROWS($B$288:$B$311),0)),"")</f>
        <v/>
      </c>
      <c r="AR310" s="6" cm="1">
        <f t="array" ref="AR310">IFERROR((SUMPRODUCT(($B$288:$B$311=AR$286)*($F$285:$AI$285="")*$F$288:$AI$311)+IF(AR$286="P6",SUMPRODUCT(($F$285:$AI$285="P6")*$F$288:$AI$311),0))/(SUMPRODUCT(($B$288:$B$311=AR$286)*($F$285:$AI$285=""))+IF(AR$286="P6",COUNTIF($F$285:$AI$285,"P6")*ROWS($B$288:$B$311),0)),"")</f>
        <v>0.91030663043478166</v>
      </c>
    </row>
    <row r="311" spans="1:44" ht="14.25" customHeight="1" x14ac:dyDescent="0.35">
      <c r="A311" s="1" t="s">
        <v>15</v>
      </c>
      <c r="B311" s="1" t="s">
        <v>14</v>
      </c>
      <c r="C311" s="1" t="s">
        <v>14</v>
      </c>
      <c r="D311" s="1" t="s">
        <v>16</v>
      </c>
      <c r="E311" s="1" t="s">
        <v>42</v>
      </c>
      <c r="F311" s="1">
        <v>1.0368200000000001</v>
      </c>
      <c r="G311" s="1">
        <v>0.99273999999999996</v>
      </c>
      <c r="H311" s="1">
        <v>1.0281100000000001</v>
      </c>
      <c r="I311" s="1">
        <v>1.0241199999999999</v>
      </c>
      <c r="J311" s="1">
        <v>1.0238100000000001</v>
      </c>
      <c r="K311" s="1">
        <v>0.92315999999999998</v>
      </c>
      <c r="L311" s="1">
        <v>0.92325999999999997</v>
      </c>
      <c r="M311" s="1">
        <v>1.0368200000000001</v>
      </c>
      <c r="N311" s="1">
        <v>0.99273999999999996</v>
      </c>
      <c r="O311" s="1">
        <v>1.0281100000000001</v>
      </c>
      <c r="P311" s="1">
        <v>1.0241199999999999</v>
      </c>
      <c r="Q311" s="1">
        <v>1.0238100000000001</v>
      </c>
      <c r="R311" s="1">
        <v>0.92315999999999998</v>
      </c>
      <c r="S311" s="1">
        <v>0.92325999999999997</v>
      </c>
      <c r="T311" s="1">
        <v>1.0368200000000001</v>
      </c>
      <c r="U311" s="1">
        <v>0.99273999999999996</v>
      </c>
      <c r="V311" s="1">
        <v>1.0281100000000001</v>
      </c>
      <c r="W311" s="1">
        <v>1.0241199999999999</v>
      </c>
      <c r="X311" s="1">
        <v>1.0238100000000001</v>
      </c>
      <c r="Y311" s="1">
        <v>0.92315999999999998</v>
      </c>
      <c r="Z311" s="1">
        <v>0.92325999999999997</v>
      </c>
      <c r="AA311" s="1">
        <v>1.0368200000000001</v>
      </c>
      <c r="AB311" s="1">
        <v>0.99273999999999996</v>
      </c>
      <c r="AC311" s="1">
        <v>1.0281100000000001</v>
      </c>
      <c r="AD311" s="1">
        <v>1.0241199999999999</v>
      </c>
      <c r="AE311" s="1">
        <v>1.0238100000000001</v>
      </c>
      <c r="AF311" s="1">
        <v>0.92315999999999998</v>
      </c>
      <c r="AG311" s="1">
        <v>0.92325999999999997</v>
      </c>
      <c r="AH311" s="1">
        <v>1.0368200000000001</v>
      </c>
      <c r="AI311" s="1">
        <v>0.99273999999999996</v>
      </c>
      <c r="AL311" s="4" t="s">
        <v>27</v>
      </c>
      <c r="AM311" s="6" cm="1">
        <f t="array" ref="AM311">IFERROR((SUMPRODUCT(($B$288:$B$311=AM$286)*($F$285:$AI$285="")*$F$288:$AI$311)+IF(AM$286="P6",SUMPRODUCT(($F$285:$AI$285="P6")*$F$288:$AI$311),0))/(SUMPRODUCT(($B$288:$B$311=AM$286)*($F$285:$AI$285=""))+IF(AM$286="P6",COUNTIF($F$285:$AI$285,"P6")*ROWS($B$288:$B$311),0)),"")</f>
        <v>0.86247090909090895</v>
      </c>
      <c r="AN311" s="6" cm="1">
        <f t="array" ref="AN311">IFERROR((SUMPRODUCT(($B$288:$B$311=AN$286)*($F$285:$AI$285="")*$F$288:$AI$311)+IF(AN$286="P6",SUMPRODUCT(($F$285:$AI$285="P6")*$F$288:$AI$311),0))/(SUMPRODUCT(($B$288:$B$311=AN$286)*($F$285:$AI$285=""))+IF(AN$286="P6",COUNTIF($F$285:$AI$285,"P6")*ROWS($B$288:$B$311),0)),"")</f>
        <v>0.90609681818181786</v>
      </c>
      <c r="AO311" s="6" t="str" cm="1">
        <f t="array" ref="AO311">IFERROR((SUMPRODUCT(($B$288:$B$311=AO$286)*($F$285:$AI$285="")*$F$288:$AI$311)+IF(AO$286="P6",SUMPRODUCT(($F$285:$AI$285="P6")*$F$288:$AI$311),0))/(SUMPRODUCT(($B$288:$B$311=AO$286)*($F$285:$AI$285=""))+IF(AO$286="P6",COUNTIF($F$285:$AI$285,"P6")*ROWS($B$288:$B$311),0)),"")</f>
        <v/>
      </c>
      <c r="AP311" s="6" t="str" cm="1">
        <f t="array" ref="AP311">IFERROR((SUMPRODUCT(($B$288:$B$311=AP$286)*($F$285:$AI$285="")*$F$288:$AI$311)+IF(AP$286="P6",SUMPRODUCT(($F$285:$AI$285="P6")*$F$288:$AI$311),0))/(SUMPRODUCT(($B$288:$B$311=AP$286)*($F$285:$AI$285=""))+IF(AP$286="P6",COUNTIF($F$285:$AI$285,"P6")*ROWS($B$288:$B$311),0)),"")</f>
        <v/>
      </c>
      <c r="AQ311" s="6" t="str" cm="1">
        <f t="array" ref="AQ311">IFERROR((SUMPRODUCT(($B$288:$B$311=AQ$286)*($F$285:$AI$285="")*$F$288:$AI$311)+IF(AQ$286="P6",SUMPRODUCT(($F$285:$AI$285="P6")*$F$288:$AI$311),0))/(SUMPRODUCT(($B$288:$B$311=AQ$286)*($F$285:$AI$285=""))+IF(AQ$286="P6",COUNTIF($F$285:$AI$285,"P6")*ROWS($B$288:$B$311),0)),"")</f>
        <v/>
      </c>
      <c r="AR311" s="6" cm="1">
        <f t="array" ref="AR311">IFERROR((SUMPRODUCT(($B$288:$B$311=AR$286)*($F$285:$AI$285="")*$F$288:$AI$311)+IF(AR$286="P6",SUMPRODUCT(($F$285:$AI$285="P6")*$F$288:$AI$311),0))/(SUMPRODUCT(($B$288:$B$311=AR$286)*($F$285:$AI$285=""))+IF(AR$286="P6",COUNTIF($F$285:$AI$285,"P6")*ROWS($B$288:$B$311),0)),"")</f>
        <v>0.91030663043478166</v>
      </c>
    </row>
    <row r="312" spans="1:44" ht="14.25" customHeight="1" x14ac:dyDescent="0.35">
      <c r="AL312" s="4" t="s">
        <v>29</v>
      </c>
      <c r="AM312" s="6" cm="1">
        <f t="array" ref="AM312">IFERROR((SUMPRODUCT(($B$288:$B$311=AM$286)*($F$285:$AI$285="")*$F$288:$AI$311)+IF(AM$286="P6",SUMPRODUCT(($F$285:$AI$285="P6")*$F$288:$AI$311),0))/(SUMPRODUCT(($B$288:$B$311=AM$286)*($F$285:$AI$285=""))+IF(AM$286="P6",COUNTIF($F$285:$AI$285,"P6")*ROWS($B$288:$B$311),0)),"")</f>
        <v>0.86247090909090895</v>
      </c>
      <c r="AN312" s="6" cm="1">
        <f t="array" ref="AN312">IFERROR((SUMPRODUCT(($B$288:$B$311=AN$286)*($F$285:$AI$285="")*$F$288:$AI$311)+IF(AN$286="P6",SUMPRODUCT(($F$285:$AI$285="P6")*$F$288:$AI$311),0))/(SUMPRODUCT(($B$288:$B$311=AN$286)*($F$285:$AI$285=""))+IF(AN$286="P6",COUNTIF($F$285:$AI$285,"P6")*ROWS($B$288:$B$311),0)),"")</f>
        <v>0.90609681818181786</v>
      </c>
      <c r="AO312" s="6" t="str" cm="1">
        <f t="array" ref="AO312">IFERROR((SUMPRODUCT(($B$288:$B$311=AO$286)*($F$285:$AI$285="")*$F$288:$AI$311)+IF(AO$286="P6",SUMPRODUCT(($F$285:$AI$285="P6")*$F$288:$AI$311),0))/(SUMPRODUCT(($B$288:$B$311=AO$286)*($F$285:$AI$285=""))+IF(AO$286="P6",COUNTIF($F$285:$AI$285,"P6")*ROWS($B$288:$B$311),0)),"")</f>
        <v/>
      </c>
      <c r="AP312" s="6" t="str" cm="1">
        <f t="array" ref="AP312">IFERROR((SUMPRODUCT(($B$288:$B$311=AP$286)*($F$285:$AI$285="")*$F$288:$AI$311)+IF(AP$286="P6",SUMPRODUCT(($F$285:$AI$285="P6")*$F$288:$AI$311),0))/(SUMPRODUCT(($B$288:$B$311=AP$286)*($F$285:$AI$285=""))+IF(AP$286="P6",COUNTIF($F$285:$AI$285,"P6")*ROWS($B$288:$B$311),0)),"")</f>
        <v/>
      </c>
      <c r="AQ312" s="6" t="str" cm="1">
        <f t="array" ref="AQ312">IFERROR((SUMPRODUCT(($B$288:$B$311=AQ$286)*($F$285:$AI$285="")*$F$288:$AI$311)+IF(AQ$286="P6",SUMPRODUCT(($F$285:$AI$285="P6")*$F$288:$AI$311),0))/(SUMPRODUCT(($B$288:$B$311=AQ$286)*($F$285:$AI$285=""))+IF(AQ$286="P6",COUNTIF($F$285:$AI$285,"P6")*ROWS($B$288:$B$311),0)),"")</f>
        <v/>
      </c>
      <c r="AR312" s="6" cm="1">
        <f t="array" ref="AR312">IFERROR((SUMPRODUCT(($B$288:$B$311=AR$286)*($F$285:$AI$285="")*$F$288:$AI$311)+IF(AR$286="P6",SUMPRODUCT(($F$285:$AI$285="P6")*$F$288:$AI$311),0))/(SUMPRODUCT(($B$288:$B$311=AR$286)*($F$285:$AI$285=""))+IF(AR$286="P6",COUNTIF($F$285:$AI$285,"P6")*ROWS($B$288:$B$311),0)),"")</f>
        <v>0.91030663043478166</v>
      </c>
    </row>
    <row r="316" spans="1:44" ht="14.25" customHeight="1" x14ac:dyDescent="0.35">
      <c r="A316" s="15" t="s">
        <v>52</v>
      </c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</row>
    <row r="317" spans="1:44" ht="14.25" customHeight="1" x14ac:dyDescent="0.3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</row>
    <row r="318" spans="1:44" ht="14.25" customHeight="1" x14ac:dyDescent="0.35">
      <c r="AL318" s="10"/>
      <c r="AM318" s="10"/>
      <c r="AN318" s="10"/>
      <c r="AO318" s="10"/>
      <c r="AP318" s="10"/>
      <c r="AQ318" s="10"/>
      <c r="AR318" s="10"/>
    </row>
    <row r="319" spans="1:44" ht="14.25" customHeight="1" x14ac:dyDescent="0.35">
      <c r="F319" s="1" t="str">
        <f>IF(OR(F321="S",F321="D"),"P3","")</f>
        <v/>
      </c>
      <c r="G319" s="1" t="str">
        <f t="shared" ref="G319:AJ319" si="36">IF(OR(G321="S",G321="D"),"P3","")</f>
        <v/>
      </c>
      <c r="H319" s="1" t="str">
        <f t="shared" si="36"/>
        <v/>
      </c>
      <c r="I319" s="1" t="str">
        <f t="shared" si="36"/>
        <v>P3</v>
      </c>
      <c r="J319" s="1" t="str">
        <f t="shared" si="36"/>
        <v>P3</v>
      </c>
      <c r="K319" s="1" t="str">
        <f t="shared" si="36"/>
        <v/>
      </c>
      <c r="L319" s="1" t="str">
        <f t="shared" si="36"/>
        <v/>
      </c>
      <c r="M319" s="1" t="str">
        <f t="shared" si="36"/>
        <v/>
      </c>
      <c r="N319" s="1" t="str">
        <f t="shared" si="36"/>
        <v/>
      </c>
      <c r="O319" s="1" t="str">
        <f t="shared" si="36"/>
        <v/>
      </c>
      <c r="P319" s="1" t="str">
        <f t="shared" si="36"/>
        <v>P3</v>
      </c>
      <c r="Q319" s="1" t="str">
        <f t="shared" si="36"/>
        <v>P3</v>
      </c>
      <c r="R319" s="1" t="str">
        <f t="shared" si="36"/>
        <v/>
      </c>
      <c r="S319" s="1" t="str">
        <f t="shared" si="36"/>
        <v/>
      </c>
      <c r="T319" s="1" t="str">
        <f t="shared" si="36"/>
        <v/>
      </c>
      <c r="U319" s="1" t="str">
        <f t="shared" si="36"/>
        <v/>
      </c>
      <c r="V319" s="1" t="str">
        <f t="shared" si="36"/>
        <v/>
      </c>
      <c r="W319" s="1" t="str">
        <f t="shared" si="36"/>
        <v>P3</v>
      </c>
      <c r="X319" s="1" t="str">
        <f t="shared" si="36"/>
        <v>P3</v>
      </c>
      <c r="Y319" s="1" t="str">
        <f t="shared" si="36"/>
        <v/>
      </c>
      <c r="Z319" s="1" t="str">
        <f t="shared" si="36"/>
        <v/>
      </c>
      <c r="AA319" s="1" t="str">
        <f t="shared" si="36"/>
        <v/>
      </c>
      <c r="AB319" s="1" t="str">
        <f t="shared" si="36"/>
        <v/>
      </c>
      <c r="AC319" s="1" t="str">
        <f t="shared" si="36"/>
        <v/>
      </c>
      <c r="AD319" s="1" t="str">
        <f t="shared" si="36"/>
        <v>P3</v>
      </c>
      <c r="AE319" s="1" t="str">
        <f t="shared" si="36"/>
        <v>P3</v>
      </c>
      <c r="AF319" s="1" t="str">
        <f t="shared" si="36"/>
        <v/>
      </c>
      <c r="AG319" s="1" t="str">
        <f t="shared" si="36"/>
        <v/>
      </c>
      <c r="AH319" s="1" t="str">
        <f t="shared" si="36"/>
        <v/>
      </c>
      <c r="AI319" s="1" t="str">
        <f t="shared" si="36"/>
        <v/>
      </c>
      <c r="AJ319" s="1" t="str">
        <f t="shared" si="36"/>
        <v/>
      </c>
      <c r="AL319" s="10"/>
      <c r="AM319" s="10"/>
      <c r="AN319" s="10"/>
      <c r="AO319" s="10"/>
      <c r="AP319" s="10"/>
      <c r="AQ319" s="10"/>
      <c r="AR319" s="10"/>
    </row>
    <row r="320" spans="1:44" ht="14.25" customHeight="1" x14ac:dyDescent="0.35">
      <c r="F320" s="1" t="str">
        <f>IF(OR(F321="S",F321="D"),"P6","")</f>
        <v/>
      </c>
      <c r="G320" s="1" t="str">
        <f t="shared" ref="G320:AJ320" si="37">IF(OR(G321="S",G321="D"),"P6","")</f>
        <v/>
      </c>
      <c r="H320" s="1" t="str">
        <f t="shared" si="37"/>
        <v/>
      </c>
      <c r="I320" s="1" t="str">
        <f t="shared" si="37"/>
        <v>P6</v>
      </c>
      <c r="J320" s="1" t="str">
        <f t="shared" si="37"/>
        <v>P6</v>
      </c>
      <c r="K320" s="1" t="str">
        <f t="shared" si="37"/>
        <v/>
      </c>
      <c r="L320" s="1" t="str">
        <f t="shared" si="37"/>
        <v/>
      </c>
      <c r="M320" s="1" t="str">
        <f t="shared" si="37"/>
        <v/>
      </c>
      <c r="N320" s="1" t="str">
        <f t="shared" si="37"/>
        <v/>
      </c>
      <c r="O320" s="1" t="str">
        <f t="shared" si="37"/>
        <v/>
      </c>
      <c r="P320" s="1" t="str">
        <f t="shared" si="37"/>
        <v>P6</v>
      </c>
      <c r="Q320" s="1" t="str">
        <f t="shared" si="37"/>
        <v>P6</v>
      </c>
      <c r="R320" s="1" t="str">
        <f t="shared" si="37"/>
        <v/>
      </c>
      <c r="S320" s="1" t="str">
        <f t="shared" si="37"/>
        <v/>
      </c>
      <c r="T320" s="1" t="str">
        <f t="shared" si="37"/>
        <v/>
      </c>
      <c r="U320" s="1" t="str">
        <f t="shared" si="37"/>
        <v/>
      </c>
      <c r="V320" s="1" t="str">
        <f t="shared" si="37"/>
        <v/>
      </c>
      <c r="W320" s="1" t="str">
        <f t="shared" si="37"/>
        <v>P6</v>
      </c>
      <c r="X320" s="1" t="str">
        <f t="shared" si="37"/>
        <v>P6</v>
      </c>
      <c r="Y320" s="1" t="str">
        <f t="shared" si="37"/>
        <v/>
      </c>
      <c r="Z320" s="1" t="str">
        <f t="shared" si="37"/>
        <v/>
      </c>
      <c r="AA320" s="1" t="str">
        <f t="shared" si="37"/>
        <v/>
      </c>
      <c r="AB320" s="1" t="str">
        <f t="shared" si="37"/>
        <v/>
      </c>
      <c r="AC320" s="1" t="str">
        <f t="shared" si="37"/>
        <v/>
      </c>
      <c r="AD320" s="1" t="str">
        <f t="shared" si="37"/>
        <v>P6</v>
      </c>
      <c r="AE320" s="1" t="str">
        <f t="shared" si="37"/>
        <v>P6</v>
      </c>
      <c r="AF320" s="1" t="str">
        <f t="shared" si="37"/>
        <v/>
      </c>
      <c r="AG320" s="1" t="str">
        <f t="shared" si="37"/>
        <v/>
      </c>
      <c r="AH320" s="1" t="str">
        <f t="shared" si="37"/>
        <v/>
      </c>
      <c r="AI320" s="1" t="str">
        <f t="shared" si="37"/>
        <v/>
      </c>
      <c r="AJ320" s="1" t="str">
        <f t="shared" si="37"/>
        <v/>
      </c>
      <c r="AL320" s="14" t="s">
        <v>105</v>
      </c>
      <c r="AM320" s="14"/>
      <c r="AN320" s="14"/>
      <c r="AO320" s="14"/>
      <c r="AP320" s="14"/>
      <c r="AQ320" s="14"/>
      <c r="AR320" s="14"/>
    </row>
    <row r="321" spans="1:44" ht="14.25" customHeight="1" x14ac:dyDescent="0.35">
      <c r="F321" s="1" t="str">
        <f>CHOOSE(WEEKDAY(F322,2),"L","M","X","J","V","S","D")</f>
        <v>X</v>
      </c>
      <c r="G321" s="1" t="str">
        <f t="shared" ref="G321:AJ321" si="38">CHOOSE(WEEKDAY(G322,2),"L","M","X","J","V","S","D")</f>
        <v>J</v>
      </c>
      <c r="H321" s="1" t="str">
        <f t="shared" si="38"/>
        <v>V</v>
      </c>
      <c r="I321" s="1" t="str">
        <f t="shared" si="38"/>
        <v>S</v>
      </c>
      <c r="J321" s="1" t="str">
        <f t="shared" si="38"/>
        <v>D</v>
      </c>
      <c r="K321" s="1" t="str">
        <f t="shared" si="38"/>
        <v>L</v>
      </c>
      <c r="L321" s="1" t="str">
        <f t="shared" si="38"/>
        <v>M</v>
      </c>
      <c r="M321" s="1" t="str">
        <f t="shared" si="38"/>
        <v>X</v>
      </c>
      <c r="N321" s="1" t="str">
        <f t="shared" si="38"/>
        <v>J</v>
      </c>
      <c r="O321" s="1" t="str">
        <f t="shared" si="38"/>
        <v>V</v>
      </c>
      <c r="P321" s="1" t="str">
        <f t="shared" si="38"/>
        <v>S</v>
      </c>
      <c r="Q321" s="1" t="str">
        <f t="shared" si="38"/>
        <v>D</v>
      </c>
      <c r="R321" s="1" t="str">
        <f t="shared" si="38"/>
        <v>L</v>
      </c>
      <c r="S321" s="1" t="str">
        <f t="shared" si="38"/>
        <v>M</v>
      </c>
      <c r="T321" s="1" t="str">
        <f t="shared" si="38"/>
        <v>X</v>
      </c>
      <c r="U321" s="1" t="str">
        <f t="shared" si="38"/>
        <v>J</v>
      </c>
      <c r="V321" s="1" t="str">
        <f t="shared" si="38"/>
        <v>V</v>
      </c>
      <c r="W321" s="1" t="str">
        <f t="shared" si="38"/>
        <v>S</v>
      </c>
      <c r="X321" s="1" t="str">
        <f t="shared" si="38"/>
        <v>D</v>
      </c>
      <c r="Y321" s="1" t="str">
        <f t="shared" si="38"/>
        <v>L</v>
      </c>
      <c r="Z321" s="1" t="str">
        <f t="shared" si="38"/>
        <v>M</v>
      </c>
      <c r="AA321" s="1" t="str">
        <f t="shared" si="38"/>
        <v>X</v>
      </c>
      <c r="AB321" s="1" t="str">
        <f t="shared" si="38"/>
        <v>J</v>
      </c>
      <c r="AC321" s="1" t="str">
        <f t="shared" si="38"/>
        <v>V</v>
      </c>
      <c r="AD321" s="1" t="str">
        <f t="shared" si="38"/>
        <v>S</v>
      </c>
      <c r="AE321" s="1" t="str">
        <f t="shared" si="38"/>
        <v>D</v>
      </c>
      <c r="AF321" s="1" t="str">
        <f t="shared" si="38"/>
        <v>L</v>
      </c>
      <c r="AG321" s="1" t="str">
        <f t="shared" si="38"/>
        <v>M</v>
      </c>
      <c r="AH321" s="1" t="str">
        <f t="shared" si="38"/>
        <v>X</v>
      </c>
      <c r="AI321" s="1" t="str">
        <f t="shared" si="38"/>
        <v>J</v>
      </c>
      <c r="AJ321" s="1" t="str">
        <f t="shared" si="38"/>
        <v>V</v>
      </c>
      <c r="AL321" s="4"/>
      <c r="AM321" s="4" t="s">
        <v>13</v>
      </c>
      <c r="AN321" s="4" t="s">
        <v>14</v>
      </c>
      <c r="AO321" s="4" t="s">
        <v>15</v>
      </c>
      <c r="AP321" s="4" t="s">
        <v>16</v>
      </c>
      <c r="AQ321" s="4" t="s">
        <v>17</v>
      </c>
      <c r="AR321" s="4" t="s">
        <v>7</v>
      </c>
    </row>
    <row r="322" spans="1:44" ht="14.25" customHeight="1" x14ac:dyDescent="0.35">
      <c r="A322" s="3" t="s">
        <v>76</v>
      </c>
      <c r="B322" s="3" t="s">
        <v>77</v>
      </c>
      <c r="C322" s="3" t="s">
        <v>75</v>
      </c>
      <c r="D322" s="3" t="s">
        <v>74</v>
      </c>
      <c r="F322" s="8">
        <v>45931</v>
      </c>
      <c r="G322" s="8">
        <v>45932</v>
      </c>
      <c r="H322" s="8">
        <v>45933</v>
      </c>
      <c r="I322" s="8">
        <v>45934</v>
      </c>
      <c r="J322" s="8">
        <v>45935</v>
      </c>
      <c r="K322" s="8">
        <v>45936</v>
      </c>
      <c r="L322" s="8">
        <v>45937</v>
      </c>
      <c r="M322" s="8">
        <v>45938</v>
      </c>
      <c r="N322" s="8">
        <v>45939</v>
      </c>
      <c r="O322" s="8">
        <v>45940</v>
      </c>
      <c r="P322" s="8">
        <v>45941</v>
      </c>
      <c r="Q322" s="8">
        <v>45942</v>
      </c>
      <c r="R322" s="8">
        <v>45943</v>
      </c>
      <c r="S322" s="8">
        <v>45944</v>
      </c>
      <c r="T322" s="8">
        <v>45945</v>
      </c>
      <c r="U322" s="8">
        <v>45946</v>
      </c>
      <c r="V322" s="8">
        <v>45947</v>
      </c>
      <c r="W322" s="8">
        <v>45948</v>
      </c>
      <c r="X322" s="8">
        <v>45949</v>
      </c>
      <c r="Y322" s="8">
        <v>45950</v>
      </c>
      <c r="Z322" s="8">
        <v>45951</v>
      </c>
      <c r="AA322" s="8">
        <v>45952</v>
      </c>
      <c r="AB322" s="8">
        <v>45953</v>
      </c>
      <c r="AC322" s="8">
        <v>45954</v>
      </c>
      <c r="AD322" s="8">
        <v>45955</v>
      </c>
      <c r="AE322" s="8">
        <v>45956</v>
      </c>
      <c r="AF322" s="8">
        <v>45957</v>
      </c>
      <c r="AG322" s="8">
        <v>45958</v>
      </c>
      <c r="AH322" s="8">
        <v>45959</v>
      </c>
      <c r="AI322" s="8">
        <v>45960</v>
      </c>
      <c r="AJ322" s="8">
        <v>45961</v>
      </c>
      <c r="AL322" s="4" t="s">
        <v>19</v>
      </c>
      <c r="AM322" s="6" cm="1">
        <f t="array" ref="AM322">IFERROR((SUMPRODUCT(($C$323:$C$347=AM$321)*($F$319:$AJ$319="")*$F$323:$AJ$347)+IF(AM$321="P3",SUMPRODUCT(($F$319:$AJ$319="P3")*$F$323:$AJ$347),0))/(SUMPRODUCT(($C$323:$C$347=AM$321)*($F$319:$AJ$319=""))+IF(AM$321="P3",COUNTIF($F$319:$AJ$319,"P3")*ROWS($C$323:$C$347),0)),"")</f>
        <v>0.92342336956521798</v>
      </c>
      <c r="AN322" s="6" cm="1">
        <f t="array" ref="AN322">IFERROR((SUMPRODUCT(($C$323:$C$347=AN$321)*($F$319:$AJ$319="")*$F$323:$AJ$347)+IF(AN$321="P3",SUMPRODUCT(($F$319:$AJ$319="P3")*$F$323:$AJ$347),0))/(SUMPRODUCT(($C$323:$C$347=AN$321)*($F$319:$AJ$319=""))+IF(AN$321="P3",COUNTIF($F$319:$AJ$319,"P3")*ROWS($C$323:$C$347),0)),"")</f>
        <v>1.0802021195652178</v>
      </c>
      <c r="AO322" s="6" cm="1">
        <f t="array" ref="AO322">IFERROR((SUMPRODUCT(($C$323:$C$347=AO$321)*($F$319:$AJ$319="")*$F$323:$AJ$347)+IF(AO$321="P3",SUMPRODUCT(($F$319:$AJ$319="P3")*$F$323:$AJ$347),0))/(SUMPRODUCT(($C$323:$C$347=AO$321)*($F$319:$AJ$319=""))+IF(AO$321="P3",COUNTIF($F$319:$AJ$319,"P3")*ROWS($C$323:$C$347),0)),"")</f>
        <v>0.91571326781326789</v>
      </c>
      <c r="AP322" s="6" t="str" cm="1">
        <f t="array" ref="AP322">IFERROR((SUMPRODUCT(($C$323:$C$347=AP$321)*($F$319:$AJ$319="")*$F$323:$AJ$347)+IF(AP$321="P3",SUMPRODUCT(($F$319:$AJ$319="P3")*$F$323:$AJ$347),0))/(SUMPRODUCT(($C$323:$C$347=AP$321)*($F$319:$AJ$319=""))+IF(AP$321="P3",COUNTIF($F$319:$AJ$319,"P3")*ROWS($C$323:$C$347),0)),"")</f>
        <v/>
      </c>
      <c r="AQ322" s="6" t="str" cm="1">
        <f t="array" ref="AQ322">IFERROR((SUMPRODUCT(($C$323:$C$347=AQ$321)*($F$319:$AJ$319="")*$F$323:$AJ$347)+IF(AQ$321="P3",SUMPRODUCT(($F$319:$AJ$319="P3")*$F$323:$AJ$347),0))/(SUMPRODUCT(($C$323:$C$347=AQ$321)*($F$319:$AJ$319=""))+IF(AQ$321="P3",COUNTIF($F$319:$AJ$319,"P3")*ROWS($C$323:$C$347),0)),"")</f>
        <v/>
      </c>
      <c r="AR322" s="6" t="str" cm="1">
        <f t="array" ref="AR322">IFERROR((SUMPRODUCT(($C$323:$C$347=AR$321)*($F$319:$AJ$319="")*$F$323:$AJ$347)+IF(AR$321="P3",SUMPRODUCT(($F$319:$AJ$319="P3")*$F$323:$AJ$347),0))/(SUMPRODUCT(($C$323:$C$347=AR$321)*($F$319:$AJ$319=""))+IF(AR$321="P3",COUNTIF($F$319:$AJ$319,"P3")*ROWS($C$323:$C$347),0)),"")</f>
        <v/>
      </c>
    </row>
    <row r="323" spans="1:44" ht="14.25" customHeight="1" x14ac:dyDescent="0.35">
      <c r="A323" s="1" t="s">
        <v>7</v>
      </c>
      <c r="B323" s="1" t="s">
        <v>7</v>
      </c>
      <c r="C323" s="1" t="s">
        <v>15</v>
      </c>
      <c r="D323" s="1" t="s">
        <v>7</v>
      </c>
      <c r="E323" s="1" t="s">
        <v>8</v>
      </c>
      <c r="F323" s="1">
        <v>1.02085</v>
      </c>
      <c r="G323" s="1">
        <v>1.0087900000000001</v>
      </c>
      <c r="H323" s="1">
        <v>1.0224599999999999</v>
      </c>
      <c r="I323" s="1">
        <v>1.01102</v>
      </c>
      <c r="J323" s="1">
        <v>1.0460400000000001</v>
      </c>
      <c r="K323" s="1">
        <v>1.0994999999999999</v>
      </c>
      <c r="L323" s="1">
        <v>1.00529</v>
      </c>
      <c r="M323" s="1">
        <v>1.02085</v>
      </c>
      <c r="N323" s="1">
        <v>1.0087900000000001</v>
      </c>
      <c r="O323" s="1">
        <v>1.0224599999999999</v>
      </c>
      <c r="P323" s="1">
        <v>1.01102</v>
      </c>
      <c r="Q323" s="1">
        <v>0.98563000000000001</v>
      </c>
      <c r="R323" s="1">
        <v>1.0994999999999999</v>
      </c>
      <c r="S323" s="1">
        <v>1.00529</v>
      </c>
      <c r="T323" s="1">
        <v>1.02085</v>
      </c>
      <c r="U323" s="1">
        <v>1.0087900000000001</v>
      </c>
      <c r="V323" s="1">
        <v>1.0224599999999999</v>
      </c>
      <c r="W323" s="1">
        <v>1.01102</v>
      </c>
      <c r="X323" s="1">
        <v>1.0460400000000001</v>
      </c>
      <c r="Y323" s="1">
        <v>1.0994999999999999</v>
      </c>
      <c r="Z323" s="1">
        <v>1.00529</v>
      </c>
      <c r="AA323" s="1">
        <v>1.02085</v>
      </c>
      <c r="AB323" s="1">
        <v>1.0087900000000001</v>
      </c>
      <c r="AC323" s="1">
        <v>1.0224599999999999</v>
      </c>
      <c r="AD323" s="1">
        <v>1.01102</v>
      </c>
      <c r="AE323" s="1">
        <v>1.0460400000000001</v>
      </c>
      <c r="AF323" s="1">
        <v>1.0994999999999999</v>
      </c>
      <c r="AG323" s="1">
        <v>1.00529</v>
      </c>
      <c r="AH323" s="1">
        <v>1.02085</v>
      </c>
      <c r="AI323" s="1">
        <v>1.0087900000000001</v>
      </c>
      <c r="AJ323" s="1">
        <v>1.0224599999999999</v>
      </c>
      <c r="AL323" s="4" t="s">
        <v>21</v>
      </c>
      <c r="AM323" s="6" t="str" cm="1">
        <f t="array" ref="AM323">IFERROR((SUMPRODUCT(($D$323:$D$347=AM$321)*($F$320:$AJ$320="")*$F$323:$AJ$347)+IF(AM$321="P6",SUMPRODUCT(($F$320:$AJ$320="P6")*$F$323:$AJ$347),0))/(SUMPRODUCT(($D$323:$D$347=AM$321)*($F$320:$AJ$320=""))+IF(AM$321="P6",COUNTIF($F$320:$AJ$320,"P6")*ROWS($D$323:$D$347),0)),"")</f>
        <v/>
      </c>
      <c r="AN323" s="6" t="str" cm="1">
        <f t="array" ref="AN323">IFERROR((SUMPRODUCT(($D$323:$D$347=AN$321)*($F$320:$AJ$320="")*$F$323:$AJ$347)+IF(AN$321="P6",SUMPRODUCT(($F$320:$AJ$320="P6")*$F$323:$AJ$347),0))/(SUMPRODUCT(($D$323:$D$347=AN$321)*($F$320:$AJ$320=""))+IF(AN$321="P6",COUNTIF($F$320:$AJ$320,"P6")*ROWS($D$323:$D$347),0)),"")</f>
        <v/>
      </c>
      <c r="AO323" s="6" t="str" cm="1">
        <f t="array" ref="AO323">IFERROR((SUMPRODUCT(($D$323:$D$347=AO$321)*($F$320:$AJ$320="")*$F$323:$AJ$347)+IF(AO$321="P6",SUMPRODUCT(($F$320:$AJ$320="P6")*$F$323:$AJ$347),0))/(SUMPRODUCT(($D$323:$D$347=AO$321)*($F$320:$AJ$320=""))+IF(AO$321="P6",COUNTIF($F$320:$AJ$320,"P6")*ROWS($D$323:$D$347),0)),"")</f>
        <v/>
      </c>
      <c r="AP323" s="6" cm="1">
        <f t="array" ref="AP323">IFERROR((SUMPRODUCT(($D$323:$D$347=AP$321)*($F$320:$AJ$320="")*$F$323:$AJ$347)+IF(AP$321="P6",SUMPRODUCT(($F$320:$AJ$320="P6")*$F$323:$AJ$347),0))/(SUMPRODUCT(($D$323:$D$347=AP$321)*($F$320:$AJ$320=""))+IF(AP$321="P6",COUNTIF($F$320:$AJ$320,"P6")*ROWS($D$323:$D$347),0)),"")</f>
        <v>0.92204280193236743</v>
      </c>
      <c r="AQ323" s="6" cm="1">
        <f t="array" ref="AQ323">IFERROR((SUMPRODUCT(($D$323:$D$347=AQ$321)*($F$320:$AJ$320="")*$F$323:$AJ$347)+IF(AQ$321="P6",SUMPRODUCT(($F$320:$AJ$320="P6")*$F$323:$AJ$347),0))/(SUMPRODUCT(($D$323:$D$347=AQ$321)*($F$320:$AJ$320=""))+IF(AQ$321="P6",COUNTIF($F$320:$AJ$320,"P6")*ROWS($D$323:$D$347),0)),"")</f>
        <v>1.104374099378882</v>
      </c>
      <c r="AR323" s="6" cm="1">
        <f t="array" ref="AR323">IFERROR((SUMPRODUCT(($D$323:$D$347=AR$321)*($F$320:$AJ$320="")*$F$323:$AJ$347)+IF(AR$321="P6",SUMPRODUCT(($F$320:$AJ$320="P6")*$F$323:$AJ$347),0))/(SUMPRODUCT(($D$323:$D$347=AR$321)*($F$320:$AJ$320=""))+IF(AR$321="P6",COUNTIF($F$320:$AJ$320,"P6")*ROWS($D$323:$D$347),0)),"")</f>
        <v>0.91571326781326789</v>
      </c>
    </row>
    <row r="324" spans="1:44" ht="14.25" customHeight="1" x14ac:dyDescent="0.35">
      <c r="A324" s="1" t="s">
        <v>7</v>
      </c>
      <c r="B324" s="1" t="s">
        <v>7</v>
      </c>
      <c r="C324" s="1" t="s">
        <v>15</v>
      </c>
      <c r="D324" s="1" t="s">
        <v>7</v>
      </c>
      <c r="E324" s="1" t="s">
        <v>9</v>
      </c>
      <c r="F324" s="1">
        <v>1.0389200000000001</v>
      </c>
      <c r="G324" s="1">
        <v>1.03409</v>
      </c>
      <c r="H324" s="1">
        <v>1.0461</v>
      </c>
      <c r="I324" s="1">
        <v>1.0437799999999999</v>
      </c>
      <c r="J324" s="1">
        <v>1.10226</v>
      </c>
      <c r="K324" s="1">
        <v>1.1267799999999999</v>
      </c>
      <c r="L324" s="1">
        <v>1.02925</v>
      </c>
      <c r="M324" s="1">
        <v>1.0389200000000001</v>
      </c>
      <c r="N324" s="1">
        <v>1.03409</v>
      </c>
      <c r="O324" s="1">
        <v>1.0461</v>
      </c>
      <c r="P324" s="1">
        <v>1.0437799999999999</v>
      </c>
      <c r="Q324" s="1">
        <v>1.02705</v>
      </c>
      <c r="R324" s="1">
        <v>1.1267799999999999</v>
      </c>
      <c r="S324" s="1">
        <v>1.02925</v>
      </c>
      <c r="T324" s="1">
        <v>1.0389200000000001</v>
      </c>
      <c r="U324" s="1">
        <v>1.03409</v>
      </c>
      <c r="V324" s="1">
        <v>1.0461</v>
      </c>
      <c r="W324" s="1">
        <v>1.0437799999999999</v>
      </c>
      <c r="X324" s="1">
        <v>1.10226</v>
      </c>
      <c r="Y324" s="1">
        <v>1.1267799999999999</v>
      </c>
      <c r="Z324" s="1">
        <v>1.02925</v>
      </c>
      <c r="AA324" s="1">
        <v>1.0389200000000001</v>
      </c>
      <c r="AB324" s="1">
        <v>1.03409</v>
      </c>
      <c r="AC324" s="1">
        <v>1.0461</v>
      </c>
      <c r="AD324" s="1">
        <v>1.0437799999999999</v>
      </c>
      <c r="AE324" s="1">
        <v>1.10226</v>
      </c>
      <c r="AF324" s="1">
        <v>1.1267799999999999</v>
      </c>
      <c r="AG324" s="1">
        <v>1.02925</v>
      </c>
      <c r="AH324" s="1">
        <v>1.0389200000000001</v>
      </c>
      <c r="AI324" s="1">
        <v>1.03409</v>
      </c>
      <c r="AJ324" s="1">
        <v>1.0461</v>
      </c>
      <c r="AL324" s="4" t="s">
        <v>23</v>
      </c>
      <c r="AM324" s="6" t="str" cm="1">
        <f t="array" ref="AM324">IFERROR((SUMPRODUCT(($D$323:$D$347=AM$321)*($F$320:$AJ$320="")*$F$323:$AJ$347)+IF(AM$321="P6",SUMPRODUCT(($F$320:$AJ$320="P6")*$F$323:$AJ$347),0))/(SUMPRODUCT(($D$323:$D$347=AM$321)*($F$320:$AJ$320=""))+IF(AM$321="P6",COUNTIF($F$320:$AJ$320,"P6")*ROWS($D$323:$D$347),0)),"")</f>
        <v/>
      </c>
      <c r="AN324" s="6" t="str" cm="1">
        <f t="array" ref="AN324">IFERROR((SUMPRODUCT(($D$323:$D$347=AN$321)*($F$320:$AJ$320="")*$F$323:$AJ$347)+IF(AN$321="P6",SUMPRODUCT(($F$320:$AJ$320="P6")*$F$323:$AJ$347),0))/(SUMPRODUCT(($D$323:$D$347=AN$321)*($F$320:$AJ$320=""))+IF(AN$321="P6",COUNTIF($F$320:$AJ$320,"P6")*ROWS($D$323:$D$347),0)),"")</f>
        <v/>
      </c>
      <c r="AO324" s="5" t="str" cm="1">
        <f t="array" ref="AO324">IFERROR((SUMPRODUCT(($D$323:$D$347=AO$321)*($F$320:$AJ$320="")*$F$323:$AJ$347)+IF(AO$321="P6",SUMPRODUCT(($F$320:$AJ$320="P6")*$F$323:$AJ$347),0))/(SUMPRODUCT(($D$323:$D$347=AO$321)*($F$320:$AJ$320=""))+IF(AO$321="P6",COUNTIF($F$320:$AJ$320,"P6")*ROWS($D$323:$D$347),0)),"")</f>
        <v/>
      </c>
      <c r="AP324" s="5" cm="1">
        <f t="array" ref="AP324">IFERROR((SUMPRODUCT(($D$323:$D$347=AP$321)*($F$320:$AJ$320="")*$F$323:$AJ$347)+IF(AP$321="P6",SUMPRODUCT(($F$320:$AJ$320="P6")*$F$323:$AJ$347),0))/(SUMPRODUCT(($D$323:$D$347=AP$321)*($F$320:$AJ$320=""))+IF(AP$321="P6",COUNTIF($F$320:$AJ$320,"P6")*ROWS($D$323:$D$347),0)),"")</f>
        <v>0.92204280193236743</v>
      </c>
      <c r="AQ324" s="5" cm="1">
        <f t="array" ref="AQ324">IFERROR((SUMPRODUCT(($D$323:$D$347=AQ$321)*($F$320:$AJ$320="")*$F$323:$AJ$347)+IF(AQ$321="P6",SUMPRODUCT(($F$320:$AJ$320="P6")*$F$323:$AJ$347),0))/(SUMPRODUCT(($D$323:$D$347=AQ$321)*($F$320:$AJ$320=""))+IF(AQ$321="P6",COUNTIF($F$320:$AJ$320,"P6")*ROWS($D$323:$D$347),0)),"")</f>
        <v>1.104374099378882</v>
      </c>
      <c r="AR324" s="6" cm="1">
        <f t="array" ref="AR324">IFERROR((SUMPRODUCT(($D$323:$D$347=AR$321)*($F$320:$AJ$320="")*$F$323:$AJ$347)+IF(AR$321="P6",SUMPRODUCT(($F$320:$AJ$320="P6")*$F$323:$AJ$347),0))/(SUMPRODUCT(($D$323:$D$347=AR$321)*($F$320:$AJ$320=""))+IF(AR$321="P6",COUNTIF($F$320:$AJ$320,"P6")*ROWS($D$323:$D$347),0)),"")</f>
        <v>0.91571326781326789</v>
      </c>
    </row>
    <row r="325" spans="1:44" ht="14.25" customHeight="1" x14ac:dyDescent="0.35">
      <c r="A325" s="1" t="s">
        <v>7</v>
      </c>
      <c r="B325" s="1" t="s">
        <v>7</v>
      </c>
      <c r="C325" s="1" t="s">
        <v>15</v>
      </c>
      <c r="D325" s="1" t="s">
        <v>7</v>
      </c>
      <c r="E325" s="1" t="s">
        <v>10</v>
      </c>
      <c r="F325" s="1">
        <v>1.0508900000000001</v>
      </c>
      <c r="G325" s="1">
        <v>1.0567200000000001</v>
      </c>
      <c r="H325" s="1">
        <v>1.07778</v>
      </c>
      <c r="I325" s="1">
        <v>1.0744100000000001</v>
      </c>
      <c r="J325" s="1">
        <v>1.1469100000000001</v>
      </c>
      <c r="K325" s="1">
        <v>1.1451800000000001</v>
      </c>
      <c r="L325" s="1">
        <v>1.0528500000000001</v>
      </c>
      <c r="M325" s="1">
        <v>1.0508900000000001</v>
      </c>
      <c r="N325" s="1">
        <v>1.0567200000000001</v>
      </c>
      <c r="O325" s="1">
        <v>1.07778</v>
      </c>
      <c r="P325" s="1">
        <v>1.0744100000000001</v>
      </c>
      <c r="Q325" s="1">
        <v>1.0387</v>
      </c>
      <c r="R325" s="1">
        <v>1.1451800000000001</v>
      </c>
      <c r="S325" s="1">
        <v>1.0528500000000001</v>
      </c>
      <c r="T325" s="1">
        <v>1.0508900000000001</v>
      </c>
      <c r="U325" s="1">
        <v>1.0567200000000001</v>
      </c>
      <c r="V325" s="1">
        <v>1.07778</v>
      </c>
      <c r="W325" s="1">
        <v>1.0744100000000001</v>
      </c>
      <c r="X325" s="1">
        <v>1.1469100000000001</v>
      </c>
      <c r="Y325" s="1">
        <v>1.1451800000000001</v>
      </c>
      <c r="Z325" s="1">
        <v>1.0528500000000001</v>
      </c>
      <c r="AA325" s="1">
        <v>1.0508900000000001</v>
      </c>
      <c r="AB325" s="1">
        <v>1.0567200000000001</v>
      </c>
      <c r="AC325" s="1">
        <v>1.07778</v>
      </c>
      <c r="AD325" s="1">
        <v>1.0744100000000001</v>
      </c>
      <c r="AE325" s="1">
        <v>1.1469100000000001</v>
      </c>
      <c r="AF325" s="1">
        <v>1.1451800000000001</v>
      </c>
      <c r="AG325" s="1">
        <v>1.0528500000000001</v>
      </c>
      <c r="AH325" s="1">
        <v>1.0508900000000001</v>
      </c>
      <c r="AI325" s="1">
        <v>1.0567200000000001</v>
      </c>
      <c r="AJ325" s="1">
        <v>1.07778</v>
      </c>
      <c r="AL325" s="4" t="s">
        <v>25</v>
      </c>
      <c r="AM325" s="6" t="str" cm="1">
        <f t="array" ref="AM325">IFERROR((SUMPRODUCT(($D$323:$D$347=AM$321)*($F$320:$AJ$320="")*$F$323:$AJ$347)+IF(AM$321="P6",SUMPRODUCT(($F$320:$AJ$320="P6")*$F$323:$AJ$347),0))/(SUMPRODUCT(($D$323:$D$347=AM$321)*($F$320:$AJ$320=""))+IF(AM$321="P6",COUNTIF($F$320:$AJ$320,"P6")*ROWS($D$323:$D$347),0)),"")</f>
        <v/>
      </c>
      <c r="AN325" s="6" t="str" cm="1">
        <f t="array" ref="AN325">IFERROR((SUMPRODUCT(($D$323:$D$347=AN$321)*($F$320:$AJ$320="")*$F$323:$AJ$347)+IF(AN$321="P6",SUMPRODUCT(($F$320:$AJ$320="P6")*$F$323:$AJ$347),0))/(SUMPRODUCT(($D$323:$D$347=AN$321)*($F$320:$AJ$320=""))+IF(AN$321="P6",COUNTIF($F$320:$AJ$320,"P6")*ROWS($D$323:$D$347),0)),"")</f>
        <v/>
      </c>
      <c r="AO325" s="5" t="str" cm="1">
        <f t="array" ref="AO325">IFERROR((SUMPRODUCT(($D$323:$D$347=AO$321)*($F$320:$AJ$320="")*$F$323:$AJ$347)+IF(AO$321="P6",SUMPRODUCT(($F$320:$AJ$320="P6")*$F$323:$AJ$347),0))/(SUMPRODUCT(($D$323:$D$347=AO$321)*($F$320:$AJ$320=""))+IF(AO$321="P6",COUNTIF($F$320:$AJ$320,"P6")*ROWS($D$323:$D$347),0)),"")</f>
        <v/>
      </c>
      <c r="AP325" s="5" cm="1">
        <f t="array" ref="AP325">IFERROR((SUMPRODUCT(($D$323:$D$347=AP$321)*($F$320:$AJ$320="")*$F$323:$AJ$347)+IF(AP$321="P6",SUMPRODUCT(($F$320:$AJ$320="P6")*$F$323:$AJ$347),0))/(SUMPRODUCT(($D$323:$D$347=AP$321)*($F$320:$AJ$320=""))+IF(AP$321="P6",COUNTIF($F$320:$AJ$320,"P6")*ROWS($D$323:$D$347),0)),"")</f>
        <v>0.92204280193236743</v>
      </c>
      <c r="AQ325" s="5" cm="1">
        <f t="array" ref="AQ325">IFERROR((SUMPRODUCT(($D$323:$D$347=AQ$321)*($F$320:$AJ$320="")*$F$323:$AJ$347)+IF(AQ$321="P6",SUMPRODUCT(($F$320:$AJ$320="P6")*$F$323:$AJ$347),0))/(SUMPRODUCT(($D$323:$D$347=AQ$321)*($F$320:$AJ$320=""))+IF(AQ$321="P6",COUNTIF($F$320:$AJ$320,"P6")*ROWS($D$323:$D$347),0)),"")</f>
        <v>1.104374099378882</v>
      </c>
      <c r="AR325" s="6" cm="1">
        <f t="array" ref="AR325">IFERROR((SUMPRODUCT(($D$323:$D$347=AR$321)*($F$320:$AJ$320="")*$F$323:$AJ$347)+IF(AR$321="P6",SUMPRODUCT(($F$320:$AJ$320="P6")*$F$323:$AJ$347),0))/(SUMPRODUCT(($D$323:$D$347=AR$321)*($F$320:$AJ$320=""))+IF(AR$321="P6",COUNTIF($F$320:$AJ$320,"P6")*ROWS($D$323:$D$347),0)),"")</f>
        <v>0.91571326781326789</v>
      </c>
    </row>
    <row r="326" spans="1:44" ht="14.25" customHeight="1" x14ac:dyDescent="0.35">
      <c r="A326" s="1" t="s">
        <v>7</v>
      </c>
      <c r="B326" s="1" t="s">
        <v>7</v>
      </c>
      <c r="C326" s="1" t="s">
        <v>15</v>
      </c>
      <c r="D326" s="1" t="s">
        <v>7</v>
      </c>
      <c r="E326" s="1" t="s">
        <v>11</v>
      </c>
      <c r="F326" s="1">
        <v>1.0565100000000001</v>
      </c>
      <c r="G326" s="1">
        <v>1.0635600000000001</v>
      </c>
      <c r="H326" s="1">
        <v>1.08403</v>
      </c>
      <c r="I326" s="1">
        <v>1.0905199999999999</v>
      </c>
      <c r="J326" s="1">
        <v>1.1314599999999999</v>
      </c>
      <c r="K326" s="1">
        <v>1.1553800000000001</v>
      </c>
      <c r="L326" s="1">
        <v>1.0662700000000001</v>
      </c>
      <c r="M326" s="1">
        <v>1.0565100000000001</v>
      </c>
      <c r="N326" s="1">
        <v>1.0635600000000001</v>
      </c>
      <c r="O326" s="1">
        <v>1.08403</v>
      </c>
      <c r="P326" s="1">
        <v>1.0905199999999999</v>
      </c>
      <c r="Q326" s="1">
        <v>1.0416000000000001</v>
      </c>
      <c r="R326" s="1">
        <v>1.1553800000000001</v>
      </c>
      <c r="S326" s="1">
        <v>1.0662700000000001</v>
      </c>
      <c r="T326" s="1">
        <v>1.0565100000000001</v>
      </c>
      <c r="U326" s="1">
        <v>1.0635600000000001</v>
      </c>
      <c r="V326" s="1">
        <v>1.08403</v>
      </c>
      <c r="W326" s="1">
        <v>1.0905199999999999</v>
      </c>
      <c r="X326" s="1">
        <v>1.1314599999999999</v>
      </c>
      <c r="Y326" s="1">
        <v>1.1553800000000001</v>
      </c>
      <c r="Z326" s="1">
        <v>1.0662700000000001</v>
      </c>
      <c r="AA326" s="1">
        <v>1.0565100000000001</v>
      </c>
      <c r="AB326" s="1">
        <v>1.0635600000000001</v>
      </c>
      <c r="AC326" s="1">
        <v>1.08403</v>
      </c>
      <c r="AD326" s="1">
        <v>1.0905199999999999</v>
      </c>
      <c r="AE326" s="1">
        <v>1.1314599999999999</v>
      </c>
      <c r="AF326" s="1">
        <v>1.1553800000000001</v>
      </c>
      <c r="AG326" s="1">
        <v>1.0662700000000001</v>
      </c>
      <c r="AH326" s="1">
        <v>1.0565100000000001</v>
      </c>
      <c r="AI326" s="1">
        <v>1.0635600000000001</v>
      </c>
      <c r="AJ326" s="1">
        <v>1.08403</v>
      </c>
      <c r="AL326" s="4" t="s">
        <v>27</v>
      </c>
      <c r="AM326" s="6" t="str" cm="1">
        <f t="array" ref="AM326">IFERROR((SUMPRODUCT(($D$323:$D$347=AM$321)*($F$320:$AJ$320="")*$F$323:$AJ$347)+IF(AM$321="P6",SUMPRODUCT(($F$320:$AJ$320="P6")*$F$323:$AJ$347),0))/(SUMPRODUCT(($D$323:$D$347=AM$321)*($F$320:$AJ$320=""))+IF(AM$321="P6",COUNTIF($F$320:$AJ$320,"P6")*ROWS($D$323:$D$347),0)),"")</f>
        <v/>
      </c>
      <c r="AN326" s="6" t="str" cm="1">
        <f t="array" ref="AN326">IFERROR((SUMPRODUCT(($D$323:$D$347=AN$321)*($F$320:$AJ$320="")*$F$323:$AJ$347)+IF(AN$321="P6",SUMPRODUCT(($F$320:$AJ$320="P6")*$F$323:$AJ$347),0))/(SUMPRODUCT(($D$323:$D$347=AN$321)*($F$320:$AJ$320=""))+IF(AN$321="P6",COUNTIF($F$320:$AJ$320,"P6")*ROWS($D$323:$D$347),0)),"")</f>
        <v/>
      </c>
      <c r="AO326" s="5" t="str" cm="1">
        <f t="array" ref="AO326">IFERROR((SUMPRODUCT(($D$323:$D$347=AO$321)*($F$320:$AJ$320="")*$F$323:$AJ$347)+IF(AO$321="P6",SUMPRODUCT(($F$320:$AJ$320="P6")*$F$323:$AJ$347),0))/(SUMPRODUCT(($D$323:$D$347=AO$321)*($F$320:$AJ$320=""))+IF(AO$321="P6",COUNTIF($F$320:$AJ$320,"P6")*ROWS($D$323:$D$347),0)),"")</f>
        <v/>
      </c>
      <c r="AP326" s="5" cm="1">
        <f t="array" ref="AP326">IFERROR((SUMPRODUCT(($D$323:$D$347=AP$321)*($F$320:$AJ$320="")*$F$323:$AJ$347)+IF(AP$321="P6",SUMPRODUCT(($F$320:$AJ$320="P6")*$F$323:$AJ$347),0))/(SUMPRODUCT(($D$323:$D$347=AP$321)*($F$320:$AJ$320=""))+IF(AP$321="P6",COUNTIF($F$320:$AJ$320,"P6")*ROWS($D$323:$D$347),0)),"")</f>
        <v>0.92204280193236743</v>
      </c>
      <c r="AQ326" s="5" cm="1">
        <f t="array" ref="AQ326">IFERROR((SUMPRODUCT(($D$323:$D$347=AQ$321)*($F$320:$AJ$320="")*$F$323:$AJ$347)+IF(AQ$321="P6",SUMPRODUCT(($F$320:$AJ$320="P6")*$F$323:$AJ$347),0))/(SUMPRODUCT(($D$323:$D$347=AQ$321)*($F$320:$AJ$320=""))+IF(AQ$321="P6",COUNTIF($F$320:$AJ$320,"P6")*ROWS($D$323:$D$347),0)),"")</f>
        <v>1.104374099378882</v>
      </c>
      <c r="AR326" s="6" cm="1">
        <f t="array" ref="AR326">IFERROR((SUMPRODUCT(($D$323:$D$347=AR$321)*($F$320:$AJ$320="")*$F$323:$AJ$347)+IF(AR$321="P6",SUMPRODUCT(($F$320:$AJ$320="P6")*$F$323:$AJ$347),0))/(SUMPRODUCT(($D$323:$D$347=AR$321)*($F$320:$AJ$320=""))+IF(AR$321="P6",COUNTIF($F$320:$AJ$320,"P6")*ROWS($D$323:$D$347),0)),"")</f>
        <v>0.91571326781326789</v>
      </c>
    </row>
    <row r="327" spans="1:44" ht="14.25" customHeight="1" x14ac:dyDescent="0.35">
      <c r="A327" s="1" t="s">
        <v>7</v>
      </c>
      <c r="B327" s="1" t="s">
        <v>7</v>
      </c>
      <c r="C327" s="1" t="s">
        <v>15</v>
      </c>
      <c r="D327" s="1" t="s">
        <v>7</v>
      </c>
      <c r="E327" s="1" t="s">
        <v>12</v>
      </c>
      <c r="F327" s="1">
        <v>1.0612999999999999</v>
      </c>
      <c r="G327" s="1">
        <v>1.04677</v>
      </c>
      <c r="H327" s="1">
        <v>1.07359</v>
      </c>
      <c r="I327" s="1">
        <v>1.10636</v>
      </c>
      <c r="J327" s="1">
        <v>1.1561900000000001</v>
      </c>
      <c r="K327" s="1">
        <v>1.13104</v>
      </c>
      <c r="L327" s="1">
        <v>1.0689</v>
      </c>
      <c r="M327" s="1">
        <v>1.0612999999999999</v>
      </c>
      <c r="N327" s="1">
        <v>1.04677</v>
      </c>
      <c r="O327" s="1">
        <v>1.07359</v>
      </c>
      <c r="P327" s="1">
        <v>1.10636</v>
      </c>
      <c r="Q327" s="1">
        <v>1.05457</v>
      </c>
      <c r="R327" s="1">
        <v>1.13104</v>
      </c>
      <c r="S327" s="1">
        <v>1.0689</v>
      </c>
      <c r="T327" s="1">
        <v>1.0612999999999999</v>
      </c>
      <c r="U327" s="1">
        <v>1.04677</v>
      </c>
      <c r="V327" s="1">
        <v>1.07359</v>
      </c>
      <c r="W327" s="1">
        <v>1.10636</v>
      </c>
      <c r="X327" s="1">
        <v>1.1561900000000001</v>
      </c>
      <c r="Y327" s="1">
        <v>1.13104</v>
      </c>
      <c r="Z327" s="1">
        <v>1.0689</v>
      </c>
      <c r="AA327" s="1">
        <v>1.0612999999999999</v>
      </c>
      <c r="AB327" s="1">
        <v>1.04677</v>
      </c>
      <c r="AC327" s="1">
        <v>1.07359</v>
      </c>
      <c r="AD327" s="1">
        <v>1.10636</v>
      </c>
      <c r="AE327" s="1">
        <v>1.1561900000000001</v>
      </c>
      <c r="AF327" s="1">
        <v>1.13104</v>
      </c>
      <c r="AG327" s="1">
        <v>1.0689</v>
      </c>
      <c r="AH327" s="1">
        <v>1.0612999999999999</v>
      </c>
      <c r="AI327" s="1">
        <v>1.04677</v>
      </c>
      <c r="AJ327" s="1">
        <v>1.07359</v>
      </c>
      <c r="AL327" s="4" t="s">
        <v>29</v>
      </c>
      <c r="AM327" s="6" t="str" cm="1">
        <f t="array" ref="AM327">IFERROR((SUMPRODUCT(($D$323:$D$347=AM$321)*($F$320:$AJ$320="")*$F$323:$AJ$347)+IF(AM$321="P6",SUMPRODUCT(($F$320:$AJ$320="P6")*$F$323:$AJ$347),0))/(SUMPRODUCT(($D$323:$D$347=AM$321)*($F$320:$AJ$320=""))+IF(AM$321="P6",COUNTIF($F$320:$AJ$320,"P6")*ROWS($D$323:$D$347),0)),"")</f>
        <v/>
      </c>
      <c r="AN327" s="6" t="str" cm="1">
        <f t="array" ref="AN327">IFERROR((SUMPRODUCT(($D$323:$D$347=AN$321)*($F$320:$AJ$320="")*$F$323:$AJ$347)+IF(AN$321="P6",SUMPRODUCT(($F$320:$AJ$320="P6")*$F$323:$AJ$347),0))/(SUMPRODUCT(($D$323:$D$347=AN$321)*($F$320:$AJ$320=""))+IF(AN$321="P6",COUNTIF($F$320:$AJ$320,"P6")*ROWS($D$323:$D$347),0)),"")</f>
        <v/>
      </c>
      <c r="AO327" s="5" t="str" cm="1">
        <f t="array" ref="AO327">IFERROR((SUMPRODUCT(($D$323:$D$347=AO$321)*($F$320:$AJ$320="")*$F$323:$AJ$347)+IF(AO$321="P6",SUMPRODUCT(($F$320:$AJ$320="P6")*$F$323:$AJ$347),0))/(SUMPRODUCT(($D$323:$D$347=AO$321)*($F$320:$AJ$320=""))+IF(AO$321="P6",COUNTIF($F$320:$AJ$320,"P6")*ROWS($D$323:$D$347),0)),"")</f>
        <v/>
      </c>
      <c r="AP327" s="5" cm="1">
        <f t="array" ref="AP327">IFERROR((SUMPRODUCT(($D$323:$D$347=AP$321)*($F$320:$AJ$320="")*$F$323:$AJ$347)+IF(AP$321="P6",SUMPRODUCT(($F$320:$AJ$320="P6")*$F$323:$AJ$347),0))/(SUMPRODUCT(($D$323:$D$347=AP$321)*($F$320:$AJ$320=""))+IF(AP$321="P6",COUNTIF($F$320:$AJ$320,"P6")*ROWS($D$323:$D$347),0)),"")</f>
        <v>0.92204280193236743</v>
      </c>
      <c r="AQ327" s="5" cm="1">
        <f t="array" ref="AQ327">IFERROR((SUMPRODUCT(($D$323:$D$347=AQ$321)*($F$320:$AJ$320="")*$F$323:$AJ$347)+IF(AQ$321="P6",SUMPRODUCT(($F$320:$AJ$320="P6")*$F$323:$AJ$347),0))/(SUMPRODUCT(($D$323:$D$347=AQ$321)*($F$320:$AJ$320=""))+IF(AQ$321="P6",COUNTIF($F$320:$AJ$320,"P6")*ROWS($D$323:$D$347),0)),"")</f>
        <v>1.104374099378882</v>
      </c>
      <c r="AR327" s="6" cm="1">
        <f t="array" ref="AR327">IFERROR((SUMPRODUCT(($D$323:$D$347=AR$321)*($F$320:$AJ$320="")*$F$323:$AJ$347)+IF(AR$321="P6",SUMPRODUCT(($F$320:$AJ$320="P6")*$F$323:$AJ$347),0))/(SUMPRODUCT(($D$323:$D$347=AR$321)*($F$320:$AJ$320=""))+IF(AR$321="P6",COUNTIF($F$320:$AJ$320,"P6")*ROWS($D$323:$D$347),0)),"")</f>
        <v>0.91571326781326789</v>
      </c>
    </row>
    <row r="328" spans="1:44" ht="14.25" customHeight="1" x14ac:dyDescent="0.35">
      <c r="A328" s="1" t="s">
        <v>7</v>
      </c>
      <c r="B328" s="1" t="s">
        <v>7</v>
      </c>
      <c r="C328" s="1" t="s">
        <v>15</v>
      </c>
      <c r="D328" s="1" t="s">
        <v>7</v>
      </c>
      <c r="E328" s="1" t="s">
        <v>18</v>
      </c>
      <c r="F328" s="1">
        <v>1.0287999999999999</v>
      </c>
      <c r="G328" s="1">
        <v>1.0081100000000001</v>
      </c>
      <c r="H328" s="1">
        <v>1.0552699999999999</v>
      </c>
      <c r="I328" s="1">
        <v>1.1108499999999999</v>
      </c>
      <c r="J328" s="1">
        <v>1.1485799999999999</v>
      </c>
      <c r="K328" s="1">
        <v>1.07548</v>
      </c>
      <c r="L328" s="1">
        <v>1.03674</v>
      </c>
      <c r="M328" s="1">
        <v>1.0287999999999999</v>
      </c>
      <c r="N328" s="1">
        <v>1.0081100000000001</v>
      </c>
      <c r="O328" s="1">
        <v>1.0552699999999999</v>
      </c>
      <c r="P328" s="1">
        <v>1.1108499999999999</v>
      </c>
      <c r="Q328" s="1">
        <v>1.0651299999999999</v>
      </c>
      <c r="R328" s="1">
        <v>1.07548</v>
      </c>
      <c r="S328" s="1">
        <v>1.03674</v>
      </c>
      <c r="T328" s="1">
        <v>1.0287999999999999</v>
      </c>
      <c r="U328" s="1">
        <v>1.0081100000000001</v>
      </c>
      <c r="V328" s="1">
        <v>1.0552699999999999</v>
      </c>
      <c r="W328" s="1">
        <v>1.1108499999999999</v>
      </c>
      <c r="X328" s="1">
        <v>1.1485799999999999</v>
      </c>
      <c r="Y328" s="1">
        <v>1.07548</v>
      </c>
      <c r="Z328" s="1">
        <v>1.03674</v>
      </c>
      <c r="AA328" s="1">
        <v>1.0287999999999999</v>
      </c>
      <c r="AB328" s="1">
        <v>1.0081100000000001</v>
      </c>
      <c r="AC328" s="1">
        <v>1.0552699999999999</v>
      </c>
      <c r="AD328" s="1">
        <v>1.1108499999999999</v>
      </c>
      <c r="AE328" s="1">
        <v>1.1485799999999999</v>
      </c>
      <c r="AF328" s="1">
        <v>1.07548</v>
      </c>
      <c r="AG328" s="1">
        <v>1.03674</v>
      </c>
      <c r="AH328" s="1">
        <v>1.0287999999999999</v>
      </c>
      <c r="AI328" s="1">
        <v>1.0081100000000001</v>
      </c>
      <c r="AJ328" s="1">
        <v>1.0552699999999999</v>
      </c>
      <c r="AL328" s="10"/>
      <c r="AM328" s="10"/>
      <c r="AN328" s="10"/>
      <c r="AO328" s="10"/>
      <c r="AP328" s="10"/>
      <c r="AQ328" s="10"/>
      <c r="AR328" s="10"/>
    </row>
    <row r="329" spans="1:44" ht="14.25" customHeight="1" x14ac:dyDescent="0.35">
      <c r="A329" s="1" t="s">
        <v>7</v>
      </c>
      <c r="B329" s="1" t="s">
        <v>7</v>
      </c>
      <c r="C329" s="1" t="s">
        <v>15</v>
      </c>
      <c r="D329" s="1" t="s">
        <v>7</v>
      </c>
      <c r="E329" s="1" t="s">
        <v>20</v>
      </c>
      <c r="F329" s="1">
        <v>0.94308000000000003</v>
      </c>
      <c r="G329" s="1">
        <v>0.92715000000000003</v>
      </c>
      <c r="H329" s="1">
        <v>0.9476</v>
      </c>
      <c r="I329" s="1">
        <v>1.0618300000000001</v>
      </c>
      <c r="J329" s="1">
        <v>1.1152500000000001</v>
      </c>
      <c r="K329" s="1">
        <v>0.95660000000000001</v>
      </c>
      <c r="L329" s="1">
        <v>0.94662000000000002</v>
      </c>
      <c r="M329" s="1">
        <v>0.94308000000000003</v>
      </c>
      <c r="N329" s="1">
        <v>0.92715000000000003</v>
      </c>
      <c r="O329" s="1">
        <v>0.9476</v>
      </c>
      <c r="P329" s="1">
        <v>1.0618300000000001</v>
      </c>
      <c r="Q329" s="1">
        <v>1.0357700000000001</v>
      </c>
      <c r="R329" s="1">
        <v>0.95660000000000001</v>
      </c>
      <c r="S329" s="1">
        <v>0.94662000000000002</v>
      </c>
      <c r="T329" s="1">
        <v>0.94308000000000003</v>
      </c>
      <c r="U329" s="1">
        <v>0.92715000000000003</v>
      </c>
      <c r="V329" s="1">
        <v>0.9476</v>
      </c>
      <c r="W329" s="1">
        <v>1.0618300000000001</v>
      </c>
      <c r="X329" s="1">
        <v>1.1152500000000001</v>
      </c>
      <c r="Y329" s="1">
        <v>0.95660000000000001</v>
      </c>
      <c r="Z329" s="1">
        <v>0.94662000000000002</v>
      </c>
      <c r="AA329" s="1">
        <v>0.94308000000000003</v>
      </c>
      <c r="AB329" s="1">
        <v>0.92715000000000003</v>
      </c>
      <c r="AC329" s="1">
        <v>0.9476</v>
      </c>
      <c r="AD329" s="1">
        <v>1.0618300000000001</v>
      </c>
      <c r="AE329" s="1">
        <v>1.1152500000000001</v>
      </c>
      <c r="AF329" s="1">
        <v>0.95660000000000001</v>
      </c>
      <c r="AG329" s="1">
        <v>0.94662000000000002</v>
      </c>
      <c r="AH329" s="1">
        <v>0.94308000000000003</v>
      </c>
      <c r="AI329" s="1">
        <v>0.92715000000000003</v>
      </c>
      <c r="AJ329" s="1">
        <v>0.9476</v>
      </c>
      <c r="AL329" s="10"/>
      <c r="AM329" s="10"/>
      <c r="AN329" s="10"/>
      <c r="AO329" s="10"/>
      <c r="AP329" s="10"/>
      <c r="AQ329" s="10"/>
      <c r="AR329" s="10"/>
    </row>
    <row r="330" spans="1:44" ht="14.25" customHeight="1" x14ac:dyDescent="0.35">
      <c r="A330" s="1" t="s">
        <v>7</v>
      </c>
      <c r="B330" s="1" t="s">
        <v>7</v>
      </c>
      <c r="C330" s="1" t="s">
        <v>15</v>
      </c>
      <c r="D330" s="1" t="s">
        <v>7</v>
      </c>
      <c r="E330" s="1" t="s">
        <v>22</v>
      </c>
      <c r="F330" s="1">
        <v>0.88185000000000002</v>
      </c>
      <c r="G330" s="1">
        <v>0.84757000000000005</v>
      </c>
      <c r="H330" s="1">
        <v>0.86334</v>
      </c>
      <c r="I330" s="1">
        <v>0.99167000000000005</v>
      </c>
      <c r="J330" s="1">
        <v>1.0801499999999999</v>
      </c>
      <c r="K330" s="1">
        <v>0.87289000000000005</v>
      </c>
      <c r="L330" s="1">
        <v>0.86785000000000001</v>
      </c>
      <c r="M330" s="1">
        <v>0.88185000000000002</v>
      </c>
      <c r="N330" s="1">
        <v>0.84757000000000005</v>
      </c>
      <c r="O330" s="1">
        <v>0.86334</v>
      </c>
      <c r="P330" s="1">
        <v>0.99167000000000005</v>
      </c>
      <c r="Q330" s="1">
        <v>0.99521999999999999</v>
      </c>
      <c r="R330" s="1">
        <v>0.87289000000000005</v>
      </c>
      <c r="S330" s="1">
        <v>0.86785000000000001</v>
      </c>
      <c r="T330" s="1">
        <v>0.88185000000000002</v>
      </c>
      <c r="U330" s="1">
        <v>0.84757000000000005</v>
      </c>
      <c r="V330" s="1">
        <v>0.86334</v>
      </c>
      <c r="W330" s="1">
        <v>0.99167000000000005</v>
      </c>
      <c r="X330" s="1">
        <v>1.0801499999999999</v>
      </c>
      <c r="Y330" s="1">
        <v>0.87289000000000005</v>
      </c>
      <c r="Z330" s="1">
        <v>0.86785000000000001</v>
      </c>
      <c r="AA330" s="1">
        <v>0.88185000000000002</v>
      </c>
      <c r="AB330" s="1">
        <v>0.84757000000000005</v>
      </c>
      <c r="AC330" s="1">
        <v>0.86334</v>
      </c>
      <c r="AD330" s="1">
        <v>0.99167000000000005</v>
      </c>
      <c r="AE330" s="1">
        <v>1.0801499999999999</v>
      </c>
      <c r="AF330" s="1">
        <v>0.87289000000000005</v>
      </c>
      <c r="AG330" s="1">
        <v>0.86785000000000001</v>
      </c>
      <c r="AH330" s="1">
        <v>0.88185000000000002</v>
      </c>
      <c r="AI330" s="1">
        <v>0.84757000000000005</v>
      </c>
      <c r="AJ330" s="1">
        <v>0.86334</v>
      </c>
      <c r="AL330" s="14" t="s">
        <v>106</v>
      </c>
      <c r="AM330" s="14"/>
      <c r="AN330" s="14"/>
      <c r="AO330" s="14"/>
      <c r="AP330" s="14"/>
      <c r="AQ330" s="14"/>
      <c r="AR330" s="14"/>
    </row>
    <row r="331" spans="1:44" ht="14.25" customHeight="1" x14ac:dyDescent="0.35">
      <c r="A331" s="1" t="s">
        <v>15</v>
      </c>
      <c r="B331" s="1" t="s">
        <v>15</v>
      </c>
      <c r="C331" s="1" t="s">
        <v>14</v>
      </c>
      <c r="D331" s="1" t="s">
        <v>17</v>
      </c>
      <c r="E331" s="1" t="s">
        <v>24</v>
      </c>
      <c r="F331" s="1">
        <v>1.1408799999999999</v>
      </c>
      <c r="G331" s="1">
        <v>1.1024</v>
      </c>
      <c r="H331" s="1">
        <v>1.0990200000000001</v>
      </c>
      <c r="I331" s="1">
        <v>0.95860000000000001</v>
      </c>
      <c r="J331" s="1">
        <v>1.04166</v>
      </c>
      <c r="K331" s="1">
        <v>1.1271500000000001</v>
      </c>
      <c r="L331" s="1">
        <v>1.1186100000000001</v>
      </c>
      <c r="M331" s="1">
        <v>1.1408799999999999</v>
      </c>
      <c r="N331" s="1">
        <v>1.1024</v>
      </c>
      <c r="O331" s="1">
        <v>1.0990200000000001</v>
      </c>
      <c r="P331" s="1">
        <v>0.95860000000000001</v>
      </c>
      <c r="Q331" s="1">
        <v>0.97221000000000002</v>
      </c>
      <c r="R331" s="1">
        <v>1.1271500000000001</v>
      </c>
      <c r="S331" s="1">
        <v>1.1186100000000001</v>
      </c>
      <c r="T331" s="1">
        <v>1.1408799999999999</v>
      </c>
      <c r="U331" s="1">
        <v>1.1024</v>
      </c>
      <c r="V331" s="1">
        <v>1.0990200000000001</v>
      </c>
      <c r="W331" s="1">
        <v>0.95860000000000001</v>
      </c>
      <c r="X331" s="1">
        <v>1.04166</v>
      </c>
      <c r="Y331" s="1">
        <v>1.1271500000000001</v>
      </c>
      <c r="Z331" s="1">
        <v>1.1186100000000001</v>
      </c>
      <c r="AA331" s="1">
        <v>1.1408799999999999</v>
      </c>
      <c r="AB331" s="1">
        <v>1.1024</v>
      </c>
      <c r="AC331" s="1">
        <v>1.0990200000000001</v>
      </c>
      <c r="AD331" s="1">
        <v>0.95860000000000001</v>
      </c>
      <c r="AE331" s="1">
        <v>1.04166</v>
      </c>
      <c r="AF331" s="1">
        <v>1.1271500000000001</v>
      </c>
      <c r="AG331" s="1">
        <v>1.1186100000000001</v>
      </c>
      <c r="AH331" s="1">
        <v>1.1408799999999999</v>
      </c>
      <c r="AI331" s="1">
        <v>1.1024</v>
      </c>
      <c r="AJ331" s="1">
        <v>1.0990200000000001</v>
      </c>
      <c r="AL331" s="4"/>
      <c r="AM331" s="4" t="s">
        <v>13</v>
      </c>
      <c r="AN331" s="4" t="s">
        <v>14</v>
      </c>
      <c r="AO331" s="4" t="s">
        <v>15</v>
      </c>
      <c r="AP331" s="4" t="s">
        <v>16</v>
      </c>
      <c r="AQ331" s="4" t="s">
        <v>17</v>
      </c>
      <c r="AR331" s="4" t="s">
        <v>7</v>
      </c>
    </row>
    <row r="332" spans="1:44" ht="14.25" customHeight="1" x14ac:dyDescent="0.35">
      <c r="A332" s="1" t="s">
        <v>15</v>
      </c>
      <c r="B332" s="1" t="s">
        <v>15</v>
      </c>
      <c r="C332" s="1" t="s">
        <v>14</v>
      </c>
      <c r="D332" s="1" t="s">
        <v>16</v>
      </c>
      <c r="E332" s="1" t="s">
        <v>26</v>
      </c>
      <c r="F332" s="1">
        <v>0.93103999999999998</v>
      </c>
      <c r="G332" s="1">
        <v>0.91415999999999997</v>
      </c>
      <c r="H332" s="1">
        <v>0.89968000000000004</v>
      </c>
      <c r="I332" s="1">
        <v>0.85787000000000002</v>
      </c>
      <c r="J332" s="1">
        <v>0.94003999999999999</v>
      </c>
      <c r="K332" s="1">
        <v>0.90991999999999995</v>
      </c>
      <c r="L332" s="1">
        <v>0.89722000000000002</v>
      </c>
      <c r="M332" s="1">
        <v>0.93103999999999998</v>
      </c>
      <c r="N332" s="1">
        <v>0.91415999999999997</v>
      </c>
      <c r="O332" s="1">
        <v>0.89968000000000004</v>
      </c>
      <c r="P332" s="1">
        <v>0.85787000000000002</v>
      </c>
      <c r="Q332" s="1">
        <v>0.89519000000000004</v>
      </c>
      <c r="R332" s="1">
        <v>0.90991999999999995</v>
      </c>
      <c r="S332" s="1">
        <v>0.89722000000000002</v>
      </c>
      <c r="T332" s="1">
        <v>0.93103999999999998</v>
      </c>
      <c r="U332" s="1">
        <v>0.91415999999999997</v>
      </c>
      <c r="V332" s="1">
        <v>0.89968000000000004</v>
      </c>
      <c r="W332" s="1">
        <v>0.85787000000000002</v>
      </c>
      <c r="X332" s="1">
        <v>0.94003999999999999</v>
      </c>
      <c r="Y332" s="1">
        <v>0.90991999999999995</v>
      </c>
      <c r="Z332" s="1">
        <v>0.89722000000000002</v>
      </c>
      <c r="AA332" s="1">
        <v>0.93103999999999998</v>
      </c>
      <c r="AB332" s="1">
        <v>0.91415999999999997</v>
      </c>
      <c r="AC332" s="1">
        <v>0.89968000000000004</v>
      </c>
      <c r="AD332" s="1">
        <v>0.85787000000000002</v>
      </c>
      <c r="AE332" s="1">
        <v>0.94003999999999999</v>
      </c>
      <c r="AF332" s="1">
        <v>0.90991999999999995</v>
      </c>
      <c r="AG332" s="1">
        <v>0.89722000000000002</v>
      </c>
      <c r="AH332" s="1">
        <v>0.93103999999999998</v>
      </c>
      <c r="AI332" s="1">
        <v>0.91415999999999997</v>
      </c>
      <c r="AJ332" s="1">
        <v>0.89968000000000004</v>
      </c>
      <c r="AL332" s="4" t="s">
        <v>19</v>
      </c>
      <c r="AM332" s="6" cm="1">
        <f t="array" ref="AM332">IFERROR((SUMPRODUCT(($C$323:$C$347=AM$321)*($F$319:$AJ$319="")*$F$323:$AJ$347)+IF(AM$321="P3",SUMPRODUCT(($F$319:$AJ$319="P3")*$F$323:$AJ$347),0))/(SUMPRODUCT(($C$323:$C$347=AM$321)*($F$319:$AJ$319=""))+IF(AM$321="P3",COUNTIF($F$319:$AJ$319,"P3")*ROWS($C$323:$C$347),0)),"")</f>
        <v>0.92342336956521798</v>
      </c>
      <c r="AN332" s="6" cm="1">
        <f t="array" ref="AN332">IFERROR((SUMPRODUCT(($C$323:$C$347=AN$321)*($F$319:$AJ$319="")*$F$323:$AJ$347)+IF(AN$321="P3",SUMPRODUCT(($F$319:$AJ$319="P3")*$F$323:$AJ$347),0))/(SUMPRODUCT(($C$323:$C$347=AN$321)*($F$319:$AJ$319=""))+IF(AN$321="P3",COUNTIF($F$319:$AJ$319,"P3")*ROWS($C$323:$C$347),0)),"")</f>
        <v>1.0802021195652178</v>
      </c>
      <c r="AO332" s="6" cm="1">
        <f t="array" ref="AO332">IFERROR((SUMPRODUCT(($C$323:$C$347=AO$321)*($F$319:$AJ$319="")*$F$323:$AJ$347)+IF(AO$321="P3",SUMPRODUCT(($F$319:$AJ$319="P3")*$F$323:$AJ$347),0))/(SUMPRODUCT(($C$323:$C$347=AO$321)*($F$319:$AJ$319=""))+IF(AO$321="P3",COUNTIF($F$319:$AJ$319,"P3")*ROWS($C$323:$C$347),0)),"")</f>
        <v>0.91571326781326789</v>
      </c>
      <c r="AP332" s="6" t="str" cm="1">
        <f t="array" ref="AP332">IFERROR((SUMPRODUCT(($C$323:$C$347=AP$321)*($F$319:$AJ$319="")*$F$323:$AJ$347)+IF(AP$321="P3",SUMPRODUCT(($F$319:$AJ$319="P3")*$F$323:$AJ$347),0))/(SUMPRODUCT(($C$323:$C$347=AP$321)*($F$319:$AJ$319=""))+IF(AP$321="P3",COUNTIF($F$319:$AJ$319,"P3")*ROWS($C$323:$C$347),0)),"")</f>
        <v/>
      </c>
      <c r="AQ332" s="6" t="str" cm="1">
        <f t="array" ref="AQ332">IFERROR((SUMPRODUCT(($C$323:$C$347=AQ$321)*($F$319:$AJ$319="")*$F$323:$AJ$347)+IF(AQ$321="P3",SUMPRODUCT(($F$319:$AJ$319="P3")*$F$323:$AJ$347),0))/(SUMPRODUCT(($C$323:$C$347=AQ$321)*($F$319:$AJ$319=""))+IF(AQ$321="P3",COUNTIF($F$319:$AJ$319,"P3")*ROWS($C$323:$C$347),0)),"")</f>
        <v/>
      </c>
      <c r="AR332" s="6" t="str" cm="1">
        <f t="array" ref="AR332">IFERROR((SUMPRODUCT(($C$323:$C$347=AR$321)*($F$319:$AJ$319="")*$F$323:$AJ$347)+IF(AR$321="P3",SUMPRODUCT(($F$319:$AJ$319="P3")*$F$323:$AJ$347),0))/(SUMPRODUCT(($C$323:$C$347=AR$321)*($F$319:$AJ$319=""))+IF(AR$321="P3",COUNTIF($F$319:$AJ$319,"P3")*ROWS($C$323:$C$347),0)),"")</f>
        <v/>
      </c>
    </row>
    <row r="333" spans="1:44" ht="14.25" customHeight="1" x14ac:dyDescent="0.35">
      <c r="A333" s="1" t="s">
        <v>13</v>
      </c>
      <c r="B333" s="1" t="s">
        <v>14</v>
      </c>
      <c r="C333" s="1" t="s">
        <v>13</v>
      </c>
      <c r="D333" s="1" t="s">
        <v>16</v>
      </c>
      <c r="E333" s="1" t="s">
        <v>28</v>
      </c>
      <c r="F333" s="1">
        <v>0.90005000000000002</v>
      </c>
      <c r="G333" s="1">
        <v>0.86533000000000004</v>
      </c>
      <c r="H333" s="1">
        <v>0.85014000000000001</v>
      </c>
      <c r="I333" s="1">
        <v>0.78808999999999996</v>
      </c>
      <c r="J333" s="1">
        <v>0.85036999999999996</v>
      </c>
      <c r="K333" s="1">
        <v>0.88122999999999996</v>
      </c>
      <c r="L333" s="1">
        <v>0.85487000000000002</v>
      </c>
      <c r="M333" s="1">
        <v>0.90005000000000002</v>
      </c>
      <c r="N333" s="1">
        <v>0.86533000000000004</v>
      </c>
      <c r="O333" s="1">
        <v>0.85014000000000001</v>
      </c>
      <c r="P333" s="1">
        <v>0.78808999999999996</v>
      </c>
      <c r="Q333" s="1">
        <v>0.86263999999999996</v>
      </c>
      <c r="R333" s="1">
        <v>0.88122999999999996</v>
      </c>
      <c r="S333" s="1">
        <v>0.85487000000000002</v>
      </c>
      <c r="T333" s="1">
        <v>0.90005000000000002</v>
      </c>
      <c r="U333" s="1">
        <v>0.86533000000000004</v>
      </c>
      <c r="V333" s="1">
        <v>0.85014000000000001</v>
      </c>
      <c r="W333" s="1">
        <v>0.78808999999999996</v>
      </c>
      <c r="X333" s="1">
        <v>0.85036999999999996</v>
      </c>
      <c r="Y333" s="1">
        <v>0.88122999999999996</v>
      </c>
      <c r="Z333" s="1">
        <v>0.85487000000000002</v>
      </c>
      <c r="AA333" s="1">
        <v>0.90005000000000002</v>
      </c>
      <c r="AB333" s="1">
        <v>0.86533000000000004</v>
      </c>
      <c r="AC333" s="1">
        <v>0.85014000000000001</v>
      </c>
      <c r="AD333" s="1">
        <v>0.78808999999999996</v>
      </c>
      <c r="AE333" s="1">
        <v>0.85036999999999996</v>
      </c>
      <c r="AF333" s="1">
        <v>0.88122999999999996</v>
      </c>
      <c r="AG333" s="1">
        <v>0.85487000000000002</v>
      </c>
      <c r="AH333" s="1">
        <v>0.90005000000000002</v>
      </c>
      <c r="AI333" s="1">
        <v>0.86533000000000004</v>
      </c>
      <c r="AJ333" s="1">
        <v>0.85014000000000001</v>
      </c>
      <c r="AL333" s="4" t="s">
        <v>21</v>
      </c>
      <c r="AM333" s="6" cm="1">
        <f t="array" ref="AM333">IFERROR((SUMPRODUCT(($A$323:$A$347=AM$321)*($F$320:$AJ$320="")*$F$323:$AJ$347)+IF(AM$321="P6",SUMPRODUCT(($F$320:$AJ$320="P6")*$F$323:$AJ$347),0))/(SUMPRODUCT(($A$323:$A$347=AM$321)*($F$320:$AJ$320=""))+IF(AM$321="P6",COUNTIF($F$320:$AJ$320,"P6")*ROWS($A$323:$A$347),0)),"")</f>
        <v>0.92951294685990393</v>
      </c>
      <c r="AN333" s="6" t="str" cm="1">
        <f t="array" ref="AN333">IFERROR((SUMPRODUCT(($A$323:$A$347=AN$321)*($F$320:$AJ$320="")*$F$323:$AJ$347)+IF(AN$321="P6",SUMPRODUCT(($F$320:$AJ$320="P6")*$F$323:$AJ$347),0))/(SUMPRODUCT(($A$323:$A$347=AN$321)*($F$320:$AJ$320=""))+IF(AN$321="P6",COUNTIF($F$320:$AJ$320,"P6")*ROWS($A$323:$A$347),0)),"")</f>
        <v/>
      </c>
      <c r="AO333" s="6" cm="1">
        <f t="array" ref="AO333">IFERROR((SUMPRODUCT(($A$323:$A$347=AO$321)*($F$320:$AJ$320="")*$F$323:$AJ$347)+IF(AO$321="P6",SUMPRODUCT(($F$320:$AJ$320="P6")*$F$323:$AJ$347),0))/(SUMPRODUCT(($A$323:$A$347=AO$321)*($F$320:$AJ$320=""))+IF(AO$321="P6",COUNTIF($F$320:$AJ$320,"P6")*ROWS($A$323:$A$347),0)),"")</f>
        <v>1.0947696273291923</v>
      </c>
      <c r="AP333" s="6" t="str" cm="1">
        <f t="array" ref="AP333">IFERROR((SUMPRODUCT(($A$323:$A$347=AP$321)*($F$320:$AJ$320="")*$F$323:$AJ$347)+IF(AP$321="P6",SUMPRODUCT(($F$320:$AJ$320="P6")*$F$323:$AJ$347),0))/(SUMPRODUCT(($A$323:$A$347=AP$321)*($F$320:$AJ$320=""))+IF(AP$321="P6",COUNTIF($F$320:$AJ$320,"P6")*ROWS($A$323:$A$347),0)),"")</f>
        <v/>
      </c>
      <c r="AQ333" s="6" t="str" cm="1">
        <f t="array" ref="AQ333">IFERROR((SUMPRODUCT(($A$323:$A$347=AQ$321)*($F$320:$AJ$320="")*$F$323:$AJ$347)+IF(AQ$321="P6",SUMPRODUCT(($F$320:$AJ$320="P6")*$F$323:$AJ$347),0))/(SUMPRODUCT(($A$323:$A$347=AQ$321)*($F$320:$AJ$320=""))+IF(AQ$321="P6",COUNTIF($F$320:$AJ$320,"P6")*ROWS($A$323:$A$347),0)),"")</f>
        <v/>
      </c>
      <c r="AR333" s="6" cm="1">
        <f t="array" ref="AR333">IFERROR((SUMPRODUCT(($A$323:$A$347=AR$321)*($F$320:$AJ$320="")*$F$323:$AJ$347)+IF(AR$321="P6",SUMPRODUCT(($F$320:$AJ$320="P6")*$F$323:$AJ$347),0))/(SUMPRODUCT(($A$323:$A$347=AR$321)*($F$320:$AJ$320=""))+IF(AR$321="P6",COUNTIF($F$320:$AJ$320,"P6")*ROWS($A$323:$A$347),0)),"")</f>
        <v>0.91571326781326789</v>
      </c>
    </row>
    <row r="334" spans="1:44" ht="14.25" customHeight="1" x14ac:dyDescent="0.35">
      <c r="A334" s="1" t="s">
        <v>13</v>
      </c>
      <c r="B334" s="1" t="s">
        <v>14</v>
      </c>
      <c r="C334" s="1" t="s">
        <v>13</v>
      </c>
      <c r="D334" s="1" t="s">
        <v>16</v>
      </c>
      <c r="E334" s="1" t="s">
        <v>30</v>
      </c>
      <c r="F334" s="1">
        <v>0.89612000000000003</v>
      </c>
      <c r="G334" s="1">
        <v>0.87921000000000005</v>
      </c>
      <c r="H334" s="1">
        <v>0.84108000000000005</v>
      </c>
      <c r="I334" s="1">
        <v>0.77210000000000001</v>
      </c>
      <c r="J334" s="1">
        <v>0.82372000000000001</v>
      </c>
      <c r="K334" s="1">
        <v>0.86965999999999999</v>
      </c>
      <c r="L334" s="1">
        <v>0.84394000000000002</v>
      </c>
      <c r="M334" s="1">
        <v>0.89612000000000003</v>
      </c>
      <c r="N334" s="1">
        <v>0.87921000000000005</v>
      </c>
      <c r="O334" s="1">
        <v>0.84108000000000005</v>
      </c>
      <c r="P334" s="1">
        <v>0.77210000000000001</v>
      </c>
      <c r="Q334" s="1">
        <v>0.87475000000000003</v>
      </c>
      <c r="R334" s="1">
        <v>0.86965999999999999</v>
      </c>
      <c r="S334" s="1">
        <v>0.84394000000000002</v>
      </c>
      <c r="T334" s="1">
        <v>0.89612000000000003</v>
      </c>
      <c r="U334" s="1">
        <v>0.87921000000000005</v>
      </c>
      <c r="V334" s="1">
        <v>0.84108000000000005</v>
      </c>
      <c r="W334" s="1">
        <v>0.77210000000000001</v>
      </c>
      <c r="X334" s="1">
        <v>0.82372000000000001</v>
      </c>
      <c r="Y334" s="1">
        <v>0.86965999999999999</v>
      </c>
      <c r="Z334" s="1">
        <v>0.84394000000000002</v>
      </c>
      <c r="AA334" s="1">
        <v>0.89612000000000003</v>
      </c>
      <c r="AB334" s="1">
        <v>0.87921000000000005</v>
      </c>
      <c r="AC334" s="1">
        <v>0.84108000000000005</v>
      </c>
      <c r="AD334" s="1">
        <v>0.77210000000000001</v>
      </c>
      <c r="AE334" s="1">
        <v>0.82372000000000001</v>
      </c>
      <c r="AF334" s="1">
        <v>0.86965999999999999</v>
      </c>
      <c r="AG334" s="1">
        <v>0.84394000000000002</v>
      </c>
      <c r="AH334" s="1">
        <v>0.89612000000000003</v>
      </c>
      <c r="AI334" s="1">
        <v>0.87921000000000005</v>
      </c>
      <c r="AJ334" s="1">
        <v>0.84108000000000005</v>
      </c>
      <c r="AL334" s="4" t="s">
        <v>23</v>
      </c>
      <c r="AM334" s="6" cm="1">
        <f t="array" ref="AM334">IFERROR((SUMPRODUCT(($A$323:$A$347=AM$321)*($F$320:$AJ$320="")*$F$323:$AJ$347)+IF(AM$321="P6",SUMPRODUCT(($F$320:$AJ$320="P6")*$F$323:$AJ$347),0))/(SUMPRODUCT(($A$323:$A$347=AM$321)*($F$320:$AJ$320=""))+IF(AM$321="P6",COUNTIF($F$320:$AJ$320,"P6")*ROWS($A$323:$A$347),0)),"")</f>
        <v>0.92951294685990393</v>
      </c>
      <c r="AN334" s="6" t="str" cm="1">
        <f t="array" ref="AN334">IFERROR((SUMPRODUCT(($A$323:$A$347=AN$321)*($F$320:$AJ$320="")*$F$323:$AJ$347)+IF(AN$321="P6",SUMPRODUCT(($F$320:$AJ$320="P6")*$F$323:$AJ$347),0))/(SUMPRODUCT(($A$323:$A$347=AN$321)*($F$320:$AJ$320=""))+IF(AN$321="P6",COUNTIF($F$320:$AJ$320,"P6")*ROWS($A$323:$A$347),0)),"")</f>
        <v/>
      </c>
      <c r="AO334" s="6" cm="1">
        <f t="array" ref="AO334">IFERROR((SUMPRODUCT(($A$323:$A$347=AO$321)*($F$320:$AJ$320="")*$F$323:$AJ$347)+IF(AO$321="P6",SUMPRODUCT(($F$320:$AJ$320="P6")*$F$323:$AJ$347),0))/(SUMPRODUCT(($A$323:$A$347=AO$321)*($F$320:$AJ$320=""))+IF(AO$321="P6",COUNTIF($F$320:$AJ$320,"P6")*ROWS($A$323:$A$347),0)),"")</f>
        <v>1.0947696273291923</v>
      </c>
      <c r="AP334" s="6" t="str" cm="1">
        <f t="array" ref="AP334">IFERROR((SUMPRODUCT(($A$323:$A$347=AP$321)*($F$320:$AJ$320="")*$F$323:$AJ$347)+IF(AP$321="P6",SUMPRODUCT(($F$320:$AJ$320="P6")*$F$323:$AJ$347),0))/(SUMPRODUCT(($A$323:$A$347=AP$321)*($F$320:$AJ$320=""))+IF(AP$321="P6",COUNTIF($F$320:$AJ$320,"P6")*ROWS($A$323:$A$347),0)),"")</f>
        <v/>
      </c>
      <c r="AQ334" s="6" t="str" cm="1">
        <f t="array" ref="AQ334">IFERROR((SUMPRODUCT(($A$323:$A$347=AQ$321)*($F$320:$AJ$320="")*$F$323:$AJ$347)+IF(AQ$321="P6",SUMPRODUCT(($F$320:$AJ$320="P6")*$F$323:$AJ$347),0))/(SUMPRODUCT(($A$323:$A$347=AQ$321)*($F$320:$AJ$320=""))+IF(AQ$321="P6",COUNTIF($F$320:$AJ$320,"P6")*ROWS($A$323:$A$347),0)),"")</f>
        <v/>
      </c>
      <c r="AR334" s="6" cm="1">
        <f t="array" ref="AR334">IFERROR((SUMPRODUCT(($A$323:$A$347=AR$321)*($F$320:$AJ$320="")*$F$323:$AJ$347)+IF(AR$321="P6",SUMPRODUCT(($F$320:$AJ$320="P6")*$F$323:$AJ$347),0))/(SUMPRODUCT(($A$323:$A$347=AR$321)*($F$320:$AJ$320=""))+IF(AR$321="P6",COUNTIF($F$320:$AJ$320,"P6")*ROWS($A$323:$A$347),0)),"")</f>
        <v>0.91571326781326789</v>
      </c>
    </row>
    <row r="335" spans="1:44" ht="14.25" customHeight="1" x14ac:dyDescent="0.35">
      <c r="A335" s="1" t="s">
        <v>13</v>
      </c>
      <c r="B335" s="1" t="s">
        <v>14</v>
      </c>
      <c r="C335" s="1" t="s">
        <v>13</v>
      </c>
      <c r="D335" s="1" t="s">
        <v>16</v>
      </c>
      <c r="E335" s="1" t="s">
        <v>31</v>
      </c>
      <c r="F335" s="1">
        <v>0.88471999999999995</v>
      </c>
      <c r="G335" s="1">
        <v>0.85829999999999995</v>
      </c>
      <c r="H335" s="1">
        <v>0.83919999999999995</v>
      </c>
      <c r="I335" s="1">
        <v>0.77242</v>
      </c>
      <c r="J335" s="1">
        <v>0.79934000000000005</v>
      </c>
      <c r="K335" s="1">
        <v>0.85904000000000003</v>
      </c>
      <c r="L335" s="1">
        <v>0.85033000000000003</v>
      </c>
      <c r="M335" s="1">
        <v>0.88471999999999995</v>
      </c>
      <c r="N335" s="1">
        <v>0.85829999999999995</v>
      </c>
      <c r="O335" s="1">
        <v>0.83919999999999995</v>
      </c>
      <c r="P335" s="1">
        <v>0.77242</v>
      </c>
      <c r="Q335" s="1">
        <v>0.85995999999999995</v>
      </c>
      <c r="R335" s="1">
        <v>0.85904000000000003</v>
      </c>
      <c r="S335" s="1">
        <v>0.85033000000000003</v>
      </c>
      <c r="T335" s="1">
        <v>0.88471999999999995</v>
      </c>
      <c r="U335" s="1">
        <v>0.85829999999999995</v>
      </c>
      <c r="V335" s="1">
        <v>0.83919999999999995</v>
      </c>
      <c r="W335" s="1">
        <v>0.77242</v>
      </c>
      <c r="X335" s="1">
        <v>0.79934000000000005</v>
      </c>
      <c r="Y335" s="1">
        <v>0.85904000000000003</v>
      </c>
      <c r="Z335" s="1">
        <v>0.85033000000000003</v>
      </c>
      <c r="AA335" s="1">
        <v>0.88471999999999995</v>
      </c>
      <c r="AB335" s="1">
        <v>0.85829999999999995</v>
      </c>
      <c r="AC335" s="1">
        <v>0.83919999999999995</v>
      </c>
      <c r="AD335" s="1">
        <v>0.77242</v>
      </c>
      <c r="AE335" s="1">
        <v>0.79934000000000005</v>
      </c>
      <c r="AF335" s="1">
        <v>0.85904000000000003</v>
      </c>
      <c r="AG335" s="1">
        <v>0.85033000000000003</v>
      </c>
      <c r="AH335" s="1">
        <v>0.88471999999999995</v>
      </c>
      <c r="AI335" s="1">
        <v>0.85829999999999995</v>
      </c>
      <c r="AJ335" s="1">
        <v>0.83919999999999995</v>
      </c>
      <c r="AL335" s="4" t="s">
        <v>25</v>
      </c>
      <c r="AM335" s="6" cm="1">
        <f t="array" ref="AM335">IFERROR((SUMPRODUCT(($A$323:$A$347=AM$321)*($F$320:$AJ$320="")*$F$323:$AJ$347)+IF(AM$321="P6",SUMPRODUCT(($F$320:$AJ$320="P6")*$F$323:$AJ$347),0))/(SUMPRODUCT(($A$323:$A$347=AM$321)*($F$320:$AJ$320=""))+IF(AM$321="P6",COUNTIF($F$320:$AJ$320,"P6")*ROWS($A$323:$A$347),0)),"")</f>
        <v>0.92951294685990393</v>
      </c>
      <c r="AN335" s="6" t="str" cm="1">
        <f t="array" ref="AN335">IFERROR((SUMPRODUCT(($A$323:$A$347=AN$321)*($F$320:$AJ$320="")*$F$323:$AJ$347)+IF(AN$321="P6",SUMPRODUCT(($F$320:$AJ$320="P6")*$F$323:$AJ$347),0))/(SUMPRODUCT(($A$323:$A$347=AN$321)*($F$320:$AJ$320=""))+IF(AN$321="P6",COUNTIF($F$320:$AJ$320,"P6")*ROWS($A$323:$A$347),0)),"")</f>
        <v/>
      </c>
      <c r="AO335" s="6" cm="1">
        <f t="array" ref="AO335">IFERROR((SUMPRODUCT(($A$323:$A$347=AO$321)*($F$320:$AJ$320="")*$F$323:$AJ$347)+IF(AO$321="P6",SUMPRODUCT(($F$320:$AJ$320="P6")*$F$323:$AJ$347),0))/(SUMPRODUCT(($A$323:$A$347=AO$321)*($F$320:$AJ$320=""))+IF(AO$321="P6",COUNTIF($F$320:$AJ$320,"P6")*ROWS($A$323:$A$347),0)),"")</f>
        <v>1.0947696273291923</v>
      </c>
      <c r="AP335" s="6" t="str" cm="1">
        <f t="array" ref="AP335">IFERROR((SUMPRODUCT(($A$323:$A$347=AP$321)*($F$320:$AJ$320="")*$F$323:$AJ$347)+IF(AP$321="P6",SUMPRODUCT(($F$320:$AJ$320="P6")*$F$323:$AJ$347),0))/(SUMPRODUCT(($A$323:$A$347=AP$321)*($F$320:$AJ$320=""))+IF(AP$321="P6",COUNTIF($F$320:$AJ$320,"P6")*ROWS($A$323:$A$347),0)),"")</f>
        <v/>
      </c>
      <c r="AQ335" s="6" t="str" cm="1">
        <f t="array" ref="AQ335">IFERROR((SUMPRODUCT(($A$323:$A$347=AQ$321)*($F$320:$AJ$320="")*$F$323:$AJ$347)+IF(AQ$321="P6",SUMPRODUCT(($F$320:$AJ$320="P6")*$F$323:$AJ$347),0))/(SUMPRODUCT(($A$323:$A$347=AQ$321)*($F$320:$AJ$320=""))+IF(AQ$321="P6",COUNTIF($F$320:$AJ$320,"P6")*ROWS($A$323:$A$347),0)),"")</f>
        <v/>
      </c>
      <c r="AR335" s="6" cm="1">
        <f t="array" ref="AR335">IFERROR((SUMPRODUCT(($A$323:$A$347=AR$321)*($F$320:$AJ$320="")*$F$323:$AJ$347)+IF(AR$321="P6",SUMPRODUCT(($F$320:$AJ$320="P6")*$F$323:$AJ$347),0))/(SUMPRODUCT(($A$323:$A$347=AR$321)*($F$320:$AJ$320=""))+IF(AR$321="P6",COUNTIF($F$320:$AJ$320,"P6")*ROWS($A$323:$A$347),0)),"")</f>
        <v>0.91571326781326789</v>
      </c>
    </row>
    <row r="336" spans="1:44" ht="14.25" customHeight="1" x14ac:dyDescent="0.35">
      <c r="A336" s="1" t="s">
        <v>13</v>
      </c>
      <c r="B336" s="1" t="s">
        <v>14</v>
      </c>
      <c r="C336" s="1" t="s">
        <v>13</v>
      </c>
      <c r="D336" s="1" t="s">
        <v>16</v>
      </c>
      <c r="E336" s="1" t="s">
        <v>32</v>
      </c>
      <c r="F336" s="1">
        <v>0.85367999999999999</v>
      </c>
      <c r="G336" s="1">
        <v>0.83650999999999998</v>
      </c>
      <c r="H336" s="1">
        <v>0.81921999999999995</v>
      </c>
      <c r="I336" s="1">
        <v>0.75592999999999999</v>
      </c>
      <c r="J336" s="1">
        <v>0.79849999999999999</v>
      </c>
      <c r="K336" s="1">
        <v>0.85116000000000003</v>
      </c>
      <c r="L336" s="1">
        <v>0.85657000000000005</v>
      </c>
      <c r="M336" s="1">
        <v>0.85367999999999999</v>
      </c>
      <c r="N336" s="1">
        <v>0.83650999999999998</v>
      </c>
      <c r="O336" s="1">
        <v>0.81921999999999995</v>
      </c>
      <c r="P336" s="1">
        <v>0.75592999999999999</v>
      </c>
      <c r="Q336" s="1">
        <v>0.84691000000000005</v>
      </c>
      <c r="R336" s="1">
        <v>0.85116000000000003</v>
      </c>
      <c r="S336" s="1">
        <v>0.85657000000000005</v>
      </c>
      <c r="T336" s="1">
        <v>0.85367999999999999</v>
      </c>
      <c r="U336" s="1">
        <v>0.83650999999999998</v>
      </c>
      <c r="V336" s="1">
        <v>0.81921999999999995</v>
      </c>
      <c r="W336" s="1">
        <v>0.75592999999999999</v>
      </c>
      <c r="X336" s="1">
        <v>0.79849999999999999</v>
      </c>
      <c r="Y336" s="1">
        <v>0.85116000000000003</v>
      </c>
      <c r="Z336" s="1">
        <v>0.85657000000000005</v>
      </c>
      <c r="AA336" s="1">
        <v>0.85367999999999999</v>
      </c>
      <c r="AB336" s="1">
        <v>0.83650999999999998</v>
      </c>
      <c r="AC336" s="1">
        <v>0.81921999999999995</v>
      </c>
      <c r="AD336" s="1">
        <v>0.75592999999999999</v>
      </c>
      <c r="AE336" s="1">
        <v>0.79849999999999999</v>
      </c>
      <c r="AF336" s="1">
        <v>0.85116000000000003</v>
      </c>
      <c r="AG336" s="1">
        <v>0.85657000000000005</v>
      </c>
      <c r="AH336" s="1">
        <v>0.85367999999999999</v>
      </c>
      <c r="AI336" s="1">
        <v>0.83650999999999998</v>
      </c>
      <c r="AJ336" s="1">
        <v>0.81921999999999995</v>
      </c>
      <c r="AL336" s="4" t="s">
        <v>27</v>
      </c>
      <c r="AM336" s="6" cm="1">
        <f t="array" ref="AM336">IFERROR((SUMPRODUCT(($A$323:$A$347=AM$321)*($F$320:$AJ$320="")*$F$323:$AJ$347)+IF(AM$321="P6",SUMPRODUCT(($F$320:$AJ$320="P6")*$F$323:$AJ$347),0))/(SUMPRODUCT(($A$323:$A$347=AM$321)*($F$320:$AJ$320=""))+IF(AM$321="P6",COUNTIF($F$320:$AJ$320,"P6")*ROWS($A$323:$A$347),0)),"")</f>
        <v>0.92951294685990393</v>
      </c>
      <c r="AN336" s="6" t="str" cm="1">
        <f t="array" ref="AN336">IFERROR((SUMPRODUCT(($A$323:$A$347=AN$321)*($F$320:$AJ$320="")*$F$323:$AJ$347)+IF(AN$321="P6",SUMPRODUCT(($F$320:$AJ$320="P6")*$F$323:$AJ$347),0))/(SUMPRODUCT(($A$323:$A$347=AN$321)*($F$320:$AJ$320=""))+IF(AN$321="P6",COUNTIF($F$320:$AJ$320,"P6")*ROWS($A$323:$A$347),0)),"")</f>
        <v/>
      </c>
      <c r="AO336" s="6" cm="1">
        <f t="array" ref="AO336">IFERROR((SUMPRODUCT(($A$323:$A$347=AO$321)*($F$320:$AJ$320="")*$F$323:$AJ$347)+IF(AO$321="P6",SUMPRODUCT(($F$320:$AJ$320="P6")*$F$323:$AJ$347),0))/(SUMPRODUCT(($A$323:$A$347=AO$321)*($F$320:$AJ$320=""))+IF(AO$321="P6",COUNTIF($F$320:$AJ$320,"P6")*ROWS($A$323:$A$347),0)),"")</f>
        <v>1.0947696273291923</v>
      </c>
      <c r="AP336" s="6" t="str" cm="1">
        <f t="array" ref="AP336">IFERROR((SUMPRODUCT(($A$323:$A$347=AP$321)*($F$320:$AJ$320="")*$F$323:$AJ$347)+IF(AP$321="P6",SUMPRODUCT(($F$320:$AJ$320="P6")*$F$323:$AJ$347),0))/(SUMPRODUCT(($A$323:$A$347=AP$321)*($F$320:$AJ$320=""))+IF(AP$321="P6",COUNTIF($F$320:$AJ$320,"P6")*ROWS($A$323:$A$347),0)),"")</f>
        <v/>
      </c>
      <c r="AQ336" s="6" t="str" cm="1">
        <f t="array" ref="AQ336">IFERROR((SUMPRODUCT(($A$323:$A$347=AQ$321)*($F$320:$AJ$320="")*$F$323:$AJ$347)+IF(AQ$321="P6",SUMPRODUCT(($F$320:$AJ$320="P6")*$F$323:$AJ$347),0))/(SUMPRODUCT(($A$323:$A$347=AQ$321)*($F$320:$AJ$320=""))+IF(AQ$321="P6",COUNTIF($F$320:$AJ$320,"P6")*ROWS($A$323:$A$347),0)),"")</f>
        <v/>
      </c>
      <c r="AR336" s="6" cm="1">
        <f t="array" ref="AR336">IFERROR((SUMPRODUCT(($A$323:$A$347=AR$321)*($F$320:$AJ$320="")*$F$323:$AJ$347)+IF(AR$321="P6",SUMPRODUCT(($F$320:$AJ$320="P6")*$F$323:$AJ$347),0))/(SUMPRODUCT(($A$323:$A$347=AR$321)*($F$320:$AJ$320=""))+IF(AR$321="P6",COUNTIF($F$320:$AJ$320,"P6")*ROWS($A$323:$A$347),0)),"")</f>
        <v>0.91571326781326789</v>
      </c>
    </row>
    <row r="337" spans="1:44" ht="14.25" customHeight="1" x14ac:dyDescent="0.35">
      <c r="A337" s="1" t="s">
        <v>13</v>
      </c>
      <c r="B337" s="1" t="s">
        <v>14</v>
      </c>
      <c r="C337" s="1" t="s">
        <v>14</v>
      </c>
      <c r="D337" s="1" t="s">
        <v>17</v>
      </c>
      <c r="E337" s="1" t="s">
        <v>33</v>
      </c>
      <c r="F337" s="1">
        <v>1.00132</v>
      </c>
      <c r="G337" s="1">
        <v>0.95491999999999999</v>
      </c>
      <c r="H337" s="1">
        <v>0.95516000000000001</v>
      </c>
      <c r="I337" s="1">
        <v>0.75458000000000003</v>
      </c>
      <c r="J337" s="1">
        <v>0.79605999999999999</v>
      </c>
      <c r="K337" s="1">
        <v>0.97243000000000002</v>
      </c>
      <c r="L337" s="1">
        <v>1.0131399999999999</v>
      </c>
      <c r="M337" s="1">
        <v>1.00132</v>
      </c>
      <c r="N337" s="1">
        <v>0.95491999999999999</v>
      </c>
      <c r="O337" s="1">
        <v>0.95516000000000001</v>
      </c>
      <c r="P337" s="1">
        <v>0.75458000000000003</v>
      </c>
      <c r="Q337" s="1">
        <v>0.84689000000000003</v>
      </c>
      <c r="R337" s="1">
        <v>0.97243000000000002</v>
      </c>
      <c r="S337" s="1">
        <v>1.0131399999999999</v>
      </c>
      <c r="T337" s="1">
        <v>1.00132</v>
      </c>
      <c r="U337" s="1">
        <v>0.95491999999999999</v>
      </c>
      <c r="V337" s="1">
        <v>0.95516000000000001</v>
      </c>
      <c r="W337" s="1">
        <v>0.75458000000000003</v>
      </c>
      <c r="X337" s="1">
        <v>0.79605999999999999</v>
      </c>
      <c r="Y337" s="1">
        <v>0.97243000000000002</v>
      </c>
      <c r="Z337" s="1">
        <v>1.0131399999999999</v>
      </c>
      <c r="AA337" s="1">
        <v>1.00132</v>
      </c>
      <c r="AB337" s="1">
        <v>0.95491999999999999</v>
      </c>
      <c r="AC337" s="1">
        <v>0.95516000000000001</v>
      </c>
      <c r="AD337" s="1">
        <v>0.75458000000000003</v>
      </c>
      <c r="AE337" s="1">
        <v>0.79605999999999999</v>
      </c>
      <c r="AF337" s="1">
        <v>0.97243000000000002</v>
      </c>
      <c r="AG337" s="1">
        <v>1.0131399999999999</v>
      </c>
      <c r="AH337" s="1">
        <v>1.00132</v>
      </c>
      <c r="AI337" s="1">
        <v>0.95491999999999999</v>
      </c>
      <c r="AJ337" s="1">
        <v>0.95516000000000001</v>
      </c>
      <c r="AL337" s="4" t="s">
        <v>29</v>
      </c>
      <c r="AM337" s="6" cm="1">
        <f t="array" ref="AM337">IFERROR((SUMPRODUCT(($A$323:$A$347=AM$321)*($F$320:$AJ$320="")*$F$323:$AJ$347)+IF(AM$321="P6",SUMPRODUCT(($F$320:$AJ$320="P6")*$F$323:$AJ$347),0))/(SUMPRODUCT(($A$323:$A$347=AM$321)*($F$320:$AJ$320=""))+IF(AM$321="P6",COUNTIF($F$320:$AJ$320,"P6")*ROWS($A$323:$A$347),0)),"")</f>
        <v>0.92951294685990393</v>
      </c>
      <c r="AN337" s="6" t="str" cm="1">
        <f t="array" ref="AN337">IFERROR((SUMPRODUCT(($A$323:$A$347=AN$321)*($F$320:$AJ$320="")*$F$323:$AJ$347)+IF(AN$321="P6",SUMPRODUCT(($F$320:$AJ$320="P6")*$F$323:$AJ$347),0))/(SUMPRODUCT(($A$323:$A$347=AN$321)*($F$320:$AJ$320=""))+IF(AN$321="P6",COUNTIF($F$320:$AJ$320,"P6")*ROWS($A$323:$A$347),0)),"")</f>
        <v/>
      </c>
      <c r="AO337" s="6" cm="1">
        <f t="array" ref="AO337">IFERROR((SUMPRODUCT(($A$323:$A$347=AO$321)*($F$320:$AJ$320="")*$F$323:$AJ$347)+IF(AO$321="P6",SUMPRODUCT(($F$320:$AJ$320="P6")*$F$323:$AJ$347),0))/(SUMPRODUCT(($A$323:$A$347=AO$321)*($F$320:$AJ$320=""))+IF(AO$321="P6",COUNTIF($F$320:$AJ$320,"P6")*ROWS($A$323:$A$347),0)),"")</f>
        <v>1.0947696273291923</v>
      </c>
      <c r="AP337" s="6" t="str" cm="1">
        <f t="array" ref="AP337">IFERROR((SUMPRODUCT(($A$323:$A$347=AP$321)*($F$320:$AJ$320="")*$F$323:$AJ$347)+IF(AP$321="P6",SUMPRODUCT(($F$320:$AJ$320="P6")*$F$323:$AJ$347),0))/(SUMPRODUCT(($A$323:$A$347=AP$321)*($F$320:$AJ$320=""))+IF(AP$321="P6",COUNTIF($F$320:$AJ$320,"P6")*ROWS($A$323:$A$347),0)),"")</f>
        <v/>
      </c>
      <c r="AQ337" s="6" t="str" cm="1">
        <f t="array" ref="AQ337">IFERROR((SUMPRODUCT(($A$323:$A$347=AQ$321)*($F$320:$AJ$320="")*$F$323:$AJ$347)+IF(AQ$321="P6",SUMPRODUCT(($F$320:$AJ$320="P6")*$F$323:$AJ$347),0))/(SUMPRODUCT(($A$323:$A$347=AQ$321)*($F$320:$AJ$320=""))+IF(AQ$321="P6",COUNTIF($F$320:$AJ$320,"P6")*ROWS($A$323:$A$347),0)),"")</f>
        <v/>
      </c>
      <c r="AR337" s="6" cm="1">
        <f t="array" ref="AR337">IFERROR((SUMPRODUCT(($A$323:$A$347=AR$321)*($F$320:$AJ$320="")*$F$323:$AJ$347)+IF(AR$321="P6",SUMPRODUCT(($F$320:$AJ$320="P6")*$F$323:$AJ$347),0))/(SUMPRODUCT(($A$323:$A$347=AR$321)*($F$320:$AJ$320=""))+IF(AR$321="P6",COUNTIF($F$320:$AJ$320,"P6")*ROWS($A$323:$A$347),0)),"")</f>
        <v>0.91571326781326789</v>
      </c>
    </row>
    <row r="338" spans="1:44" ht="14.25" customHeight="1" x14ac:dyDescent="0.35">
      <c r="A338" s="1" t="s">
        <v>15</v>
      </c>
      <c r="B338" s="1" t="s">
        <v>15</v>
      </c>
      <c r="C338" s="1" t="s">
        <v>14</v>
      </c>
      <c r="D338" s="1" t="s">
        <v>17</v>
      </c>
      <c r="E338" s="1" t="s">
        <v>34</v>
      </c>
      <c r="F338" s="1">
        <v>1.0417400000000001</v>
      </c>
      <c r="G338" s="1">
        <v>0.99258000000000002</v>
      </c>
      <c r="H338" s="1">
        <v>1.0009300000000001</v>
      </c>
      <c r="I338" s="1">
        <v>0.79954000000000003</v>
      </c>
      <c r="J338" s="1">
        <v>0.82099999999999995</v>
      </c>
      <c r="K338" s="1">
        <v>1.0117499999999999</v>
      </c>
      <c r="L338" s="1">
        <v>1.07639</v>
      </c>
      <c r="M338" s="1">
        <v>1.0417400000000001</v>
      </c>
      <c r="N338" s="1">
        <v>0.99258000000000002</v>
      </c>
      <c r="O338" s="1">
        <v>1.0009300000000001</v>
      </c>
      <c r="P338" s="1">
        <v>0.79954000000000003</v>
      </c>
      <c r="Q338" s="1">
        <v>0.88678999999999997</v>
      </c>
      <c r="R338" s="1">
        <v>1.0117499999999999</v>
      </c>
      <c r="S338" s="1">
        <v>1.07639</v>
      </c>
      <c r="T338" s="1">
        <v>1.0417400000000001</v>
      </c>
      <c r="U338" s="1">
        <v>0.99258000000000002</v>
      </c>
      <c r="V338" s="1">
        <v>1.0009300000000001</v>
      </c>
      <c r="W338" s="1">
        <v>0.79954000000000003</v>
      </c>
      <c r="X338" s="1">
        <v>0.82099999999999995</v>
      </c>
      <c r="Y338" s="1">
        <v>1.0117499999999999</v>
      </c>
      <c r="Z338" s="1">
        <v>1.07639</v>
      </c>
      <c r="AA338" s="1">
        <v>1.0417400000000001</v>
      </c>
      <c r="AB338" s="1">
        <v>0.99258000000000002</v>
      </c>
      <c r="AC338" s="1">
        <v>1.0009300000000001</v>
      </c>
      <c r="AD338" s="1">
        <v>0.79954000000000003</v>
      </c>
      <c r="AE338" s="1">
        <v>0.82099999999999995</v>
      </c>
      <c r="AF338" s="1">
        <v>1.0117499999999999</v>
      </c>
      <c r="AG338" s="1">
        <v>1.07639</v>
      </c>
      <c r="AH338" s="1">
        <v>1.0417400000000001</v>
      </c>
      <c r="AI338" s="1">
        <v>0.99258000000000002</v>
      </c>
      <c r="AJ338" s="1">
        <v>1.0009300000000001</v>
      </c>
      <c r="AL338" s="10"/>
      <c r="AM338" s="10"/>
      <c r="AN338" s="10"/>
      <c r="AO338" s="10"/>
      <c r="AP338" s="10"/>
      <c r="AQ338" s="10"/>
      <c r="AR338" s="10"/>
    </row>
    <row r="339" spans="1:44" ht="14.25" customHeight="1" x14ac:dyDescent="0.35">
      <c r="A339" s="1" t="s">
        <v>15</v>
      </c>
      <c r="B339" s="1" t="s">
        <v>15</v>
      </c>
      <c r="C339" s="1" t="s">
        <v>14</v>
      </c>
      <c r="D339" s="1" t="s">
        <v>17</v>
      </c>
      <c r="E339" s="1" t="s">
        <v>35</v>
      </c>
      <c r="F339" s="1">
        <v>1.0825899999999999</v>
      </c>
      <c r="G339" s="1">
        <v>1.03359</v>
      </c>
      <c r="H339" s="1">
        <v>1.0425800000000001</v>
      </c>
      <c r="I339" s="1">
        <v>0.85641</v>
      </c>
      <c r="J339" s="1">
        <v>0.84548999999999996</v>
      </c>
      <c r="K339" s="1">
        <v>1.0605599999999999</v>
      </c>
      <c r="L339" s="1">
        <v>1.11097</v>
      </c>
      <c r="M339" s="1">
        <v>1.0825899999999999</v>
      </c>
      <c r="N339" s="1">
        <v>1.03359</v>
      </c>
      <c r="O339" s="1">
        <v>1.0425800000000001</v>
      </c>
      <c r="P339" s="1">
        <v>0.85641</v>
      </c>
      <c r="Q339" s="1">
        <v>0.93179999999999996</v>
      </c>
      <c r="R339" s="1">
        <v>1.0605599999999999</v>
      </c>
      <c r="S339" s="1">
        <v>1.11097</v>
      </c>
      <c r="T339" s="1">
        <v>1.0825899999999999</v>
      </c>
      <c r="U339" s="1">
        <v>1.03359</v>
      </c>
      <c r="V339" s="1">
        <v>1.0425800000000001</v>
      </c>
      <c r="W339" s="1">
        <v>0.85641</v>
      </c>
      <c r="X339" s="1">
        <v>0.84548999999999996</v>
      </c>
      <c r="Y339" s="1">
        <v>1.0605599999999999</v>
      </c>
      <c r="Z339" s="1">
        <v>1.11097</v>
      </c>
      <c r="AA339" s="1">
        <v>1.0825899999999999</v>
      </c>
      <c r="AB339" s="1">
        <v>1.03359</v>
      </c>
      <c r="AC339" s="1">
        <v>1.0425800000000001</v>
      </c>
      <c r="AD339" s="1">
        <v>0.85641</v>
      </c>
      <c r="AE339" s="1">
        <v>0.84548999999999996</v>
      </c>
      <c r="AF339" s="1">
        <v>1.0605599999999999</v>
      </c>
      <c r="AG339" s="1">
        <v>1.11097</v>
      </c>
      <c r="AH339" s="1">
        <v>1.0825899999999999</v>
      </c>
      <c r="AI339" s="1">
        <v>1.03359</v>
      </c>
      <c r="AJ339" s="1">
        <v>1.0425800000000001</v>
      </c>
      <c r="AL339" s="10"/>
      <c r="AM339" s="10"/>
      <c r="AN339" s="10"/>
      <c r="AO339" s="10"/>
      <c r="AP339" s="10"/>
      <c r="AQ339" s="10"/>
      <c r="AR339" s="10"/>
    </row>
    <row r="340" spans="1:44" ht="14.25" customHeight="1" x14ac:dyDescent="0.35">
      <c r="A340" s="1" t="s">
        <v>15</v>
      </c>
      <c r="B340" s="1" t="s">
        <v>15</v>
      </c>
      <c r="C340" s="1" t="s">
        <v>14</v>
      </c>
      <c r="D340" s="1" t="s">
        <v>17</v>
      </c>
      <c r="E340" s="1" t="s">
        <v>36</v>
      </c>
      <c r="F340" s="1">
        <v>1.0616300000000001</v>
      </c>
      <c r="G340" s="1">
        <v>1.0537799999999999</v>
      </c>
      <c r="H340" s="1">
        <v>1.07196</v>
      </c>
      <c r="I340" s="1">
        <v>0.87941000000000003</v>
      </c>
      <c r="J340" s="1">
        <v>0.92008999999999996</v>
      </c>
      <c r="K340" s="1">
        <v>1.0621799999999999</v>
      </c>
      <c r="L340" s="1">
        <v>1.11866</v>
      </c>
      <c r="M340" s="1">
        <v>1.0616300000000001</v>
      </c>
      <c r="N340" s="1">
        <v>1.0537799999999999</v>
      </c>
      <c r="O340" s="1">
        <v>1.07196</v>
      </c>
      <c r="P340" s="1">
        <v>0.87941000000000003</v>
      </c>
      <c r="Q340" s="1">
        <v>0.95233999999999996</v>
      </c>
      <c r="R340" s="1">
        <v>1.0621799999999999</v>
      </c>
      <c r="S340" s="1">
        <v>1.11866</v>
      </c>
      <c r="T340" s="1">
        <v>1.0616300000000001</v>
      </c>
      <c r="U340" s="1">
        <v>1.0537799999999999</v>
      </c>
      <c r="V340" s="1">
        <v>1.07196</v>
      </c>
      <c r="W340" s="1">
        <v>0.87941000000000003</v>
      </c>
      <c r="X340" s="1">
        <v>0.92008999999999996</v>
      </c>
      <c r="Y340" s="1">
        <v>1.0621799999999999</v>
      </c>
      <c r="Z340" s="1">
        <v>1.11866</v>
      </c>
      <c r="AA340" s="1">
        <v>1.0616300000000001</v>
      </c>
      <c r="AB340" s="1">
        <v>1.0537799999999999</v>
      </c>
      <c r="AC340" s="1">
        <v>1.07196</v>
      </c>
      <c r="AD340" s="1">
        <v>0.87941000000000003</v>
      </c>
      <c r="AE340" s="1">
        <v>0.92008999999999996</v>
      </c>
      <c r="AF340" s="1">
        <v>1.0621799999999999</v>
      </c>
      <c r="AG340" s="1">
        <v>1.11866</v>
      </c>
      <c r="AH340" s="1">
        <v>1.0616300000000001</v>
      </c>
      <c r="AI340" s="1">
        <v>1.0537799999999999</v>
      </c>
      <c r="AJ340" s="1">
        <v>1.07196</v>
      </c>
      <c r="AL340" s="14" t="s">
        <v>107</v>
      </c>
      <c r="AM340" s="14"/>
      <c r="AN340" s="14"/>
      <c r="AO340" s="14"/>
      <c r="AP340" s="14"/>
      <c r="AQ340" s="14"/>
      <c r="AR340" s="14"/>
    </row>
    <row r="341" spans="1:44" ht="14.25" customHeight="1" x14ac:dyDescent="0.35">
      <c r="A341" s="1" t="s">
        <v>13</v>
      </c>
      <c r="B341" s="1" t="s">
        <v>14</v>
      </c>
      <c r="C341" s="1" t="s">
        <v>13</v>
      </c>
      <c r="D341" s="1" t="s">
        <v>16</v>
      </c>
      <c r="E341" s="1" t="s">
        <v>37</v>
      </c>
      <c r="F341" s="1">
        <v>0.95016</v>
      </c>
      <c r="G341" s="1">
        <v>0.93303000000000003</v>
      </c>
      <c r="H341" s="1">
        <v>0.98272999999999999</v>
      </c>
      <c r="I341" s="1">
        <v>0.93532999999999999</v>
      </c>
      <c r="J341" s="1">
        <v>0.95345000000000002</v>
      </c>
      <c r="K341" s="1">
        <v>0.94206000000000001</v>
      </c>
      <c r="L341" s="1">
        <v>0.95148999999999995</v>
      </c>
      <c r="M341" s="1">
        <v>0.95016</v>
      </c>
      <c r="N341" s="1">
        <v>0.93303000000000003</v>
      </c>
      <c r="O341" s="1">
        <v>0.98272999999999999</v>
      </c>
      <c r="P341" s="1">
        <v>0.93532999999999999</v>
      </c>
      <c r="Q341" s="1">
        <v>0.94743999999999995</v>
      </c>
      <c r="R341" s="1">
        <v>0.94206000000000001</v>
      </c>
      <c r="S341" s="1">
        <v>0.95148999999999995</v>
      </c>
      <c r="T341" s="1">
        <v>0.95016</v>
      </c>
      <c r="U341" s="1">
        <v>0.93303000000000003</v>
      </c>
      <c r="V341" s="1">
        <v>0.98272999999999999</v>
      </c>
      <c r="W341" s="1">
        <v>0.93532999999999999</v>
      </c>
      <c r="X341" s="1">
        <v>0.95345000000000002</v>
      </c>
      <c r="Y341" s="1">
        <v>0.94206000000000001</v>
      </c>
      <c r="Z341" s="1">
        <v>0.95148999999999995</v>
      </c>
      <c r="AA341" s="1">
        <v>0.95016</v>
      </c>
      <c r="AB341" s="1">
        <v>0.93303000000000003</v>
      </c>
      <c r="AC341" s="1">
        <v>0.98272999999999999</v>
      </c>
      <c r="AD341" s="1">
        <v>0.93532999999999999</v>
      </c>
      <c r="AE341" s="1">
        <v>0.95345000000000002</v>
      </c>
      <c r="AF341" s="1">
        <v>0.94206000000000001</v>
      </c>
      <c r="AG341" s="1">
        <v>0.95148999999999995</v>
      </c>
      <c r="AH341" s="1">
        <v>0.95016</v>
      </c>
      <c r="AI341" s="1">
        <v>0.93303000000000003</v>
      </c>
      <c r="AJ341" s="1">
        <v>0.98272999999999999</v>
      </c>
      <c r="AL341" s="4"/>
      <c r="AM341" s="4" t="s">
        <v>13</v>
      </c>
      <c r="AN341" s="4" t="s">
        <v>14</v>
      </c>
      <c r="AO341" s="4" t="s">
        <v>15</v>
      </c>
      <c r="AP341" s="4" t="s">
        <v>16</v>
      </c>
      <c r="AQ341" s="4" t="s">
        <v>17</v>
      </c>
      <c r="AR341" s="4" t="s">
        <v>7</v>
      </c>
    </row>
    <row r="342" spans="1:44" ht="14.25" customHeight="1" x14ac:dyDescent="0.35">
      <c r="A342" s="1" t="s">
        <v>13</v>
      </c>
      <c r="B342" s="1" t="s">
        <v>14</v>
      </c>
      <c r="C342" s="1" t="s">
        <v>13</v>
      </c>
      <c r="D342" s="1" t="s">
        <v>16</v>
      </c>
      <c r="E342" s="1" t="s">
        <v>38</v>
      </c>
      <c r="F342" s="1">
        <v>0.97180999999999995</v>
      </c>
      <c r="G342" s="1">
        <v>0.95904</v>
      </c>
      <c r="H342" s="1">
        <v>1.02685</v>
      </c>
      <c r="I342" s="1">
        <v>0.98277999999999999</v>
      </c>
      <c r="J342" s="1">
        <v>0.99653000000000003</v>
      </c>
      <c r="K342" s="1">
        <v>0.98860999999999999</v>
      </c>
      <c r="L342" s="1">
        <v>0.99078999999999995</v>
      </c>
      <c r="M342" s="1">
        <v>0.97180999999999995</v>
      </c>
      <c r="N342" s="1">
        <v>0.95904</v>
      </c>
      <c r="O342" s="1">
        <v>1.02685</v>
      </c>
      <c r="P342" s="1">
        <v>0.98277999999999999</v>
      </c>
      <c r="Q342" s="1">
        <v>0.95852999999999999</v>
      </c>
      <c r="R342" s="1">
        <v>0.98860999999999999</v>
      </c>
      <c r="S342" s="1">
        <v>0.99078999999999995</v>
      </c>
      <c r="T342" s="1">
        <v>0.97180999999999995</v>
      </c>
      <c r="U342" s="1">
        <v>0.95904</v>
      </c>
      <c r="V342" s="1">
        <v>1.02685</v>
      </c>
      <c r="W342" s="1">
        <v>0.98277999999999999</v>
      </c>
      <c r="X342" s="1">
        <v>0.99653000000000003</v>
      </c>
      <c r="Y342" s="1">
        <v>0.98860999999999999</v>
      </c>
      <c r="Z342" s="1">
        <v>0.99078999999999995</v>
      </c>
      <c r="AA342" s="1">
        <v>0.97180999999999995</v>
      </c>
      <c r="AB342" s="1">
        <v>0.95904</v>
      </c>
      <c r="AC342" s="1">
        <v>1.02685</v>
      </c>
      <c r="AD342" s="1">
        <v>0.98277999999999999</v>
      </c>
      <c r="AE342" s="1">
        <v>0.99653000000000003</v>
      </c>
      <c r="AF342" s="1">
        <v>0.98860999999999999</v>
      </c>
      <c r="AG342" s="1">
        <v>0.99078999999999995</v>
      </c>
      <c r="AH342" s="1">
        <v>0.97180999999999995</v>
      </c>
      <c r="AI342" s="1">
        <v>0.95904</v>
      </c>
      <c r="AJ342" s="1">
        <v>1.02685</v>
      </c>
      <c r="AL342" s="4" t="s">
        <v>19</v>
      </c>
      <c r="AM342" s="6" cm="1">
        <f t="array" ref="AM342">IFERROR((SUMPRODUCT(($C$323:$C$347=AM$321)*($F$319:$AJ$319="")*$F$323:$AJ$347)+IF(AM$321="P3",SUMPRODUCT(($F$319:$AJ$319="P3")*$F$323:$AJ$347),0))/(SUMPRODUCT(($C$323:$C$347=AM$321)*($F$319:$AJ$319=""))+IF(AM$321="P3",COUNTIF($F$319:$AJ$319,"P3")*ROWS($C$323:$C$347),0)),"")</f>
        <v>0.92342336956521798</v>
      </c>
      <c r="AN342" s="6" cm="1">
        <f t="array" ref="AN342">IFERROR((SUMPRODUCT(($C$323:$C$347=AN$321)*($F$319:$AJ$319="")*$F$323:$AJ$347)+IF(AN$321="P3",SUMPRODUCT(($F$319:$AJ$319="P3")*$F$323:$AJ$347),0))/(SUMPRODUCT(($C$323:$C$347=AN$321)*($F$319:$AJ$319=""))+IF(AN$321="P3",COUNTIF($F$319:$AJ$319,"P3")*ROWS($C$323:$C$347),0)),"")</f>
        <v>1.0802021195652178</v>
      </c>
      <c r="AO342" s="6" cm="1">
        <f t="array" ref="AO342">IFERROR((SUMPRODUCT(($C$323:$C$347=AO$321)*($F$319:$AJ$319="")*$F$323:$AJ$347)+IF(AO$321="P3",SUMPRODUCT(($F$319:$AJ$319="P3")*$F$323:$AJ$347),0))/(SUMPRODUCT(($C$323:$C$347=AO$321)*($F$319:$AJ$319=""))+IF(AO$321="P3",COUNTIF($F$319:$AJ$319,"P3")*ROWS($C$323:$C$347),0)),"")</f>
        <v>0.91571326781326789</v>
      </c>
      <c r="AP342" s="6" t="str" cm="1">
        <f t="array" ref="AP342">IFERROR((SUMPRODUCT(($C$323:$C$347=AP$321)*($F$319:$AJ$319="")*$F$323:$AJ$347)+IF(AP$321="P3",SUMPRODUCT(($F$319:$AJ$319="P3")*$F$323:$AJ$347),0))/(SUMPRODUCT(($C$323:$C$347=AP$321)*($F$319:$AJ$319=""))+IF(AP$321="P3",COUNTIF($F$319:$AJ$319,"P3")*ROWS($C$323:$C$347),0)),"")</f>
        <v/>
      </c>
      <c r="AQ342" s="6" t="str" cm="1">
        <f t="array" ref="AQ342">IFERROR((SUMPRODUCT(($C$323:$C$347=AQ$321)*($F$319:$AJ$319="")*$F$323:$AJ$347)+IF(AQ$321="P3",SUMPRODUCT(($F$319:$AJ$319="P3")*$F$323:$AJ$347),0))/(SUMPRODUCT(($C$323:$C$347=AQ$321)*($F$319:$AJ$319=""))+IF(AQ$321="P3",COUNTIF($F$319:$AJ$319,"P3")*ROWS($C$323:$C$347),0)),"")</f>
        <v/>
      </c>
      <c r="AR342" s="6" t="str" cm="1">
        <f t="array" ref="AR342">IFERROR((SUMPRODUCT(($C$323:$C$347=AR$321)*($F$319:$AJ$319="")*$F$323:$AJ$347)+IF(AR$321="P3",SUMPRODUCT(($F$319:$AJ$319="P3")*$F$323:$AJ$347),0))/(SUMPRODUCT(($C$323:$C$347=AR$321)*($F$319:$AJ$319=""))+IF(AR$321="P3",COUNTIF($F$319:$AJ$319,"P3")*ROWS($C$323:$C$347),0)),"")</f>
        <v/>
      </c>
    </row>
    <row r="343" spans="1:44" ht="14.25" customHeight="1" x14ac:dyDescent="0.35">
      <c r="A343" s="1" t="s">
        <v>13</v>
      </c>
      <c r="B343" s="1" t="s">
        <v>14</v>
      </c>
      <c r="C343" s="1" t="s">
        <v>13</v>
      </c>
      <c r="D343" s="1" t="s">
        <v>16</v>
      </c>
      <c r="E343" s="1" t="s">
        <v>39</v>
      </c>
      <c r="F343" s="1">
        <v>0.97443000000000002</v>
      </c>
      <c r="G343" s="1">
        <v>0.98250999999999999</v>
      </c>
      <c r="H343" s="1">
        <v>1.0159</v>
      </c>
      <c r="I343" s="1">
        <v>0.96016999999999997</v>
      </c>
      <c r="J343" s="1">
        <v>1.00864</v>
      </c>
      <c r="K343" s="1">
        <v>0.99365000000000003</v>
      </c>
      <c r="L343" s="1">
        <v>0.99150000000000005</v>
      </c>
      <c r="M343" s="1">
        <v>0.97443000000000002</v>
      </c>
      <c r="N343" s="1">
        <v>0.98250999999999999</v>
      </c>
      <c r="O343" s="1">
        <v>1.0159</v>
      </c>
      <c r="P343" s="1">
        <v>0.96016999999999997</v>
      </c>
      <c r="Q343" s="1">
        <v>0.93666000000000005</v>
      </c>
      <c r="R343" s="1">
        <v>0.99365000000000003</v>
      </c>
      <c r="S343" s="1">
        <v>0.99150000000000005</v>
      </c>
      <c r="T343" s="1">
        <v>0.97443000000000002</v>
      </c>
      <c r="U343" s="1">
        <v>0.98250999999999999</v>
      </c>
      <c r="V343" s="1">
        <v>1.0159</v>
      </c>
      <c r="W343" s="1">
        <v>0.96016999999999997</v>
      </c>
      <c r="X343" s="1">
        <v>1.00864</v>
      </c>
      <c r="Y343" s="1">
        <v>0.99365000000000003</v>
      </c>
      <c r="Z343" s="1">
        <v>0.99150000000000005</v>
      </c>
      <c r="AA343" s="1">
        <v>0.97443000000000002</v>
      </c>
      <c r="AB343" s="1">
        <v>0.98250999999999999</v>
      </c>
      <c r="AC343" s="1">
        <v>1.0159</v>
      </c>
      <c r="AD343" s="1">
        <v>0.96016999999999997</v>
      </c>
      <c r="AE343" s="1">
        <v>1.00864</v>
      </c>
      <c r="AF343" s="1">
        <v>0.99365000000000003</v>
      </c>
      <c r="AG343" s="1">
        <v>0.99150000000000005</v>
      </c>
      <c r="AH343" s="1">
        <v>0.97443000000000002</v>
      </c>
      <c r="AI343" s="1">
        <v>0.98250999999999999</v>
      </c>
      <c r="AJ343" s="1">
        <v>1.0159</v>
      </c>
      <c r="AL343" s="4" t="s">
        <v>21</v>
      </c>
      <c r="AM343" s="6" t="str" cm="1">
        <f t="array" ref="AM343">IFERROR((SUMPRODUCT(($B$323:$B$347=AM$321)*($F$320:$AJ$320="")*$F$323:$AJ$347)+IF(AM$321="P6",SUMPRODUCT(($F$320:$AJ$320="P6")*$F$323:$AJ$347),0))/(SUMPRODUCT(($B$323:$B$347=AM$321)*($F$320:$AJ$320=""))+IF(AM$321="P6",COUNTIF($F$320:$AJ$320,"P6")*ROWS($B$323:$B$347),0)),"")</f>
        <v/>
      </c>
      <c r="AN343" s="6" cm="1">
        <f t="array" ref="AN343">IFERROR((SUMPRODUCT(($B$323:$B$347=AN$321)*($F$320:$AJ$320="")*$F$323:$AJ$347)+IF(AN$321="P6",SUMPRODUCT(($F$320:$AJ$320="P6")*$F$323:$AJ$347),0))/(SUMPRODUCT(($B$323:$B$347=AN$321)*($F$320:$AJ$320=""))+IF(AN$321="P6",COUNTIF($F$320:$AJ$320,"P6")*ROWS($B$323:$B$347),0)),"")</f>
        <v>0.92951294685990393</v>
      </c>
      <c r="AO343" s="6" cm="1">
        <f t="array" ref="AO343">IFERROR((SUMPRODUCT(($B$323:$B$347=AO$321)*($F$320:$AJ$320="")*$F$323:$AJ$347)+IF(AO$321="P6",SUMPRODUCT(($F$320:$AJ$320="P6")*$F$323:$AJ$347),0))/(SUMPRODUCT(($B$323:$B$347=AO$321)*($F$320:$AJ$320=""))+IF(AO$321="P6",COUNTIF($F$320:$AJ$320,"P6")*ROWS($B$323:$B$347),0)),"")</f>
        <v>1.0947696273291923</v>
      </c>
      <c r="AP343" s="6" t="str" cm="1">
        <f t="array" ref="AP343">IFERROR((SUMPRODUCT(($B$323:$B$347=AP$321)*($F$320:$AJ$320="")*$F$323:$AJ$347)+IF(AP$321="P6",SUMPRODUCT(($F$320:$AJ$320="P6")*$F$323:$AJ$347),0))/(SUMPRODUCT(($B$323:$B$347=AP$321)*($F$320:$AJ$320=""))+IF(AP$321="P6",COUNTIF($F$320:$AJ$320,"P6")*ROWS($B$323:$B$347),0)),"")</f>
        <v/>
      </c>
      <c r="AQ343" s="6" t="str" cm="1">
        <f t="array" ref="AQ343">IFERROR((SUMPRODUCT(($B$323:$B$347=AQ$321)*($F$320:$AJ$320="")*$F$323:$AJ$347)+IF(AQ$321="P6",SUMPRODUCT(($F$320:$AJ$320="P6")*$F$323:$AJ$347),0))/(SUMPRODUCT(($B$323:$B$347=AQ$321)*($F$320:$AJ$320=""))+IF(AQ$321="P6",COUNTIF($F$320:$AJ$320,"P6")*ROWS($B$323:$B$347),0)),"")</f>
        <v/>
      </c>
      <c r="AR343" s="6" cm="1">
        <f t="array" ref="AR343">IFERROR((SUMPRODUCT(($B$323:$B$347=AR$321)*($F$320:$AJ$320="")*$F$323:$AJ$347)+IF(AR$321="P6",SUMPRODUCT(($F$320:$AJ$320="P6")*$F$323:$AJ$347),0))/(SUMPRODUCT(($B$323:$B$347=AR$321)*($F$320:$AJ$320=""))+IF(AR$321="P6",COUNTIF($F$320:$AJ$320,"P6")*ROWS($B$323:$B$347),0)),"")</f>
        <v>0.91571326781326789</v>
      </c>
    </row>
    <row r="344" spans="1:44" ht="14.25" customHeight="1" x14ac:dyDescent="0.35">
      <c r="A344" s="1" t="s">
        <v>13</v>
      </c>
      <c r="B344" s="1" t="s">
        <v>14</v>
      </c>
      <c r="C344" s="1" t="s">
        <v>13</v>
      </c>
      <c r="D344" s="1" t="s">
        <v>16</v>
      </c>
      <c r="E344" s="1" t="s">
        <v>40</v>
      </c>
      <c r="F344" s="1">
        <v>1.00675</v>
      </c>
      <c r="G344" s="1">
        <v>1.0048600000000001</v>
      </c>
      <c r="H344" s="1">
        <v>1.03423</v>
      </c>
      <c r="I344" s="1">
        <v>0.96845000000000003</v>
      </c>
      <c r="J344" s="1">
        <v>1.0095799999999999</v>
      </c>
      <c r="K344" s="1">
        <v>1.0252300000000001</v>
      </c>
      <c r="L344" s="1">
        <v>1.0200199999999999</v>
      </c>
      <c r="M344" s="1">
        <v>1.00675</v>
      </c>
      <c r="N344" s="1">
        <v>1.0048600000000001</v>
      </c>
      <c r="O344" s="1">
        <v>1.03423</v>
      </c>
      <c r="P344" s="1">
        <v>0.96845000000000003</v>
      </c>
      <c r="Q344" s="1">
        <v>0.93361000000000005</v>
      </c>
      <c r="R344" s="1">
        <v>1.0252300000000001</v>
      </c>
      <c r="S344" s="1">
        <v>1.0200199999999999</v>
      </c>
      <c r="T344" s="1">
        <v>1.00675</v>
      </c>
      <c r="U344" s="1">
        <v>1.0048600000000001</v>
      </c>
      <c r="V344" s="1">
        <v>1.03423</v>
      </c>
      <c r="W344" s="1">
        <v>0.96845000000000003</v>
      </c>
      <c r="X344" s="1">
        <v>1.0095799999999999</v>
      </c>
      <c r="Y344" s="1">
        <v>1.0252300000000001</v>
      </c>
      <c r="Z344" s="1">
        <v>1.0200199999999999</v>
      </c>
      <c r="AA344" s="1">
        <v>1.00675</v>
      </c>
      <c r="AB344" s="1">
        <v>1.0048600000000001</v>
      </c>
      <c r="AC344" s="1">
        <v>1.03423</v>
      </c>
      <c r="AD344" s="1">
        <v>0.96845000000000003</v>
      </c>
      <c r="AE344" s="1">
        <v>1.0095799999999999</v>
      </c>
      <c r="AF344" s="1">
        <v>1.0252300000000001</v>
      </c>
      <c r="AG344" s="1">
        <v>1.0200199999999999</v>
      </c>
      <c r="AH344" s="1">
        <v>1.00675</v>
      </c>
      <c r="AI344" s="1">
        <v>1.0048600000000001</v>
      </c>
      <c r="AJ344" s="1">
        <v>1.03423</v>
      </c>
      <c r="AL344" s="4" t="s">
        <v>23</v>
      </c>
      <c r="AM344" s="6" t="str" cm="1">
        <f t="array" ref="AM344">IFERROR((SUMPRODUCT(($B$323:$B$347=AM$321)*($F$320:$AJ$320="")*$F$323:$AJ$347)+IF(AM$321="P6",SUMPRODUCT(($F$320:$AJ$320="P6")*$F$323:$AJ$347),0))/(SUMPRODUCT(($B$323:$B$347=AM$321)*($F$320:$AJ$320=""))+IF(AM$321="P6",COUNTIF($F$320:$AJ$320,"P6")*ROWS($B$323:$B$347),0)),"")</f>
        <v/>
      </c>
      <c r="AN344" s="6" cm="1">
        <f t="array" ref="AN344">IFERROR((SUMPRODUCT(($B$323:$B$347=AN$321)*($F$320:$AJ$320="")*$F$323:$AJ$347)+IF(AN$321="P6",SUMPRODUCT(($F$320:$AJ$320="P6")*$F$323:$AJ$347),0))/(SUMPRODUCT(($B$323:$B$347=AN$321)*($F$320:$AJ$320=""))+IF(AN$321="P6",COUNTIF($F$320:$AJ$320,"P6")*ROWS($B$323:$B$347),0)),"")</f>
        <v>0.92951294685990393</v>
      </c>
      <c r="AO344" s="6" cm="1">
        <f t="array" ref="AO344">IFERROR((SUMPRODUCT(($B$323:$B$347=AO$321)*($F$320:$AJ$320="")*$F$323:$AJ$347)+IF(AO$321="P6",SUMPRODUCT(($F$320:$AJ$320="P6")*$F$323:$AJ$347),0))/(SUMPRODUCT(($B$323:$B$347=AO$321)*($F$320:$AJ$320=""))+IF(AO$321="P6",COUNTIF($F$320:$AJ$320,"P6")*ROWS($B$323:$B$347),0)),"")</f>
        <v>1.0947696273291923</v>
      </c>
      <c r="AP344" s="6" t="str" cm="1">
        <f t="array" ref="AP344">IFERROR((SUMPRODUCT(($B$323:$B$347=AP$321)*($F$320:$AJ$320="")*$F$323:$AJ$347)+IF(AP$321="P6",SUMPRODUCT(($F$320:$AJ$320="P6")*$F$323:$AJ$347),0))/(SUMPRODUCT(($B$323:$B$347=AP$321)*($F$320:$AJ$320=""))+IF(AP$321="P6",COUNTIF($F$320:$AJ$320,"P6")*ROWS($B$323:$B$347),0)),"")</f>
        <v/>
      </c>
      <c r="AQ344" s="6" t="str" cm="1">
        <f t="array" ref="AQ344">IFERROR((SUMPRODUCT(($B$323:$B$347=AQ$321)*($F$320:$AJ$320="")*$F$323:$AJ$347)+IF(AQ$321="P6",SUMPRODUCT(($F$320:$AJ$320="P6")*$F$323:$AJ$347),0))/(SUMPRODUCT(($B$323:$B$347=AQ$321)*($F$320:$AJ$320=""))+IF(AQ$321="P6",COUNTIF($F$320:$AJ$320,"P6")*ROWS($B$323:$B$347),0)),"")</f>
        <v/>
      </c>
      <c r="AR344" s="6" cm="1">
        <f t="array" ref="AR344">IFERROR((SUMPRODUCT(($B$323:$B$347=AR$321)*($F$320:$AJ$320="")*$F$323:$AJ$347)+IF(AR$321="P6",SUMPRODUCT(($F$320:$AJ$320="P6")*$F$323:$AJ$347),0))/(SUMPRODUCT(($B$323:$B$347=AR$321)*($F$320:$AJ$320=""))+IF(AR$321="P6",COUNTIF($F$320:$AJ$320,"P6")*ROWS($B$323:$B$347),0)),"")</f>
        <v>0.91571326781326789</v>
      </c>
    </row>
    <row r="345" spans="1:44" ht="14.25" customHeight="1" x14ac:dyDescent="0.35">
      <c r="A345" s="1" t="s">
        <v>15</v>
      </c>
      <c r="B345" s="1" t="s">
        <v>15</v>
      </c>
      <c r="C345" s="1" t="s">
        <v>14</v>
      </c>
      <c r="D345" s="1" t="s">
        <v>17</v>
      </c>
      <c r="E345" s="1" t="s">
        <v>41</v>
      </c>
      <c r="F345" s="1">
        <v>1.19757</v>
      </c>
      <c r="G345" s="1">
        <v>1.2087300000000001</v>
      </c>
      <c r="H345" s="1">
        <v>1.2276499999999999</v>
      </c>
      <c r="I345" s="1">
        <v>0.99151</v>
      </c>
      <c r="J345" s="1">
        <v>1.0243899999999999</v>
      </c>
      <c r="K345" s="1">
        <v>1.21576</v>
      </c>
      <c r="L345" s="1">
        <v>1.2169300000000001</v>
      </c>
      <c r="M345" s="1">
        <v>1.19757</v>
      </c>
      <c r="N345" s="1">
        <v>1.2087300000000001</v>
      </c>
      <c r="O345" s="1">
        <v>1.2276499999999999</v>
      </c>
      <c r="P345" s="1">
        <v>0.99151</v>
      </c>
      <c r="Q345" s="1">
        <v>0.95104999999999995</v>
      </c>
      <c r="R345" s="1">
        <v>1.21576</v>
      </c>
      <c r="S345" s="1">
        <v>1.2169300000000001</v>
      </c>
      <c r="T345" s="1">
        <v>1.19757</v>
      </c>
      <c r="U345" s="1">
        <v>1.2087300000000001</v>
      </c>
      <c r="V345" s="1">
        <v>1.2276499999999999</v>
      </c>
      <c r="W345" s="1">
        <v>0.99151</v>
      </c>
      <c r="X345" s="1">
        <v>1.0243899999999999</v>
      </c>
      <c r="Y345" s="1">
        <v>1.21576</v>
      </c>
      <c r="Z345" s="1">
        <v>1.2169300000000001</v>
      </c>
      <c r="AA345" s="1">
        <v>1.19757</v>
      </c>
      <c r="AB345" s="1">
        <v>1.2087300000000001</v>
      </c>
      <c r="AC345" s="1">
        <v>1.2276499999999999</v>
      </c>
      <c r="AD345" s="1">
        <v>0.99151</v>
      </c>
      <c r="AE345" s="1">
        <v>1.0243899999999999</v>
      </c>
      <c r="AF345" s="1">
        <v>1.21576</v>
      </c>
      <c r="AG345" s="1">
        <v>1.2169300000000001</v>
      </c>
      <c r="AH345" s="1">
        <v>1.19757</v>
      </c>
      <c r="AI345" s="1">
        <v>1.2087300000000001</v>
      </c>
      <c r="AJ345" s="1">
        <v>1.2276499999999999</v>
      </c>
      <c r="AL345" s="4" t="s">
        <v>25</v>
      </c>
      <c r="AM345" s="6" t="str" cm="1">
        <f t="array" ref="AM345">IFERROR((SUMPRODUCT(($B$323:$B$347=AM$321)*($F$320:$AJ$320="")*$F$323:$AJ$347)+IF(AM$321="P6",SUMPRODUCT(($F$320:$AJ$320="P6")*$F$323:$AJ$347),0))/(SUMPRODUCT(($B$323:$B$347=AM$321)*($F$320:$AJ$320=""))+IF(AM$321="P6",COUNTIF($F$320:$AJ$320,"P6")*ROWS($B$323:$B$347),0)),"")</f>
        <v/>
      </c>
      <c r="AN345" s="6" cm="1">
        <f t="array" ref="AN345">IFERROR((SUMPRODUCT(($B$323:$B$347=AN$321)*($F$320:$AJ$320="")*$F$323:$AJ$347)+IF(AN$321="P6",SUMPRODUCT(($F$320:$AJ$320="P6")*$F$323:$AJ$347),0))/(SUMPRODUCT(($B$323:$B$347=AN$321)*($F$320:$AJ$320=""))+IF(AN$321="P6",COUNTIF($F$320:$AJ$320,"P6")*ROWS($B$323:$B$347),0)),"")</f>
        <v>0.92951294685990393</v>
      </c>
      <c r="AO345" s="6" cm="1">
        <f t="array" ref="AO345">IFERROR((SUMPRODUCT(($B$323:$B$347=AO$321)*($F$320:$AJ$320="")*$F$323:$AJ$347)+IF(AO$321="P6",SUMPRODUCT(($F$320:$AJ$320="P6")*$F$323:$AJ$347),0))/(SUMPRODUCT(($B$323:$B$347=AO$321)*($F$320:$AJ$320=""))+IF(AO$321="P6",COUNTIF($F$320:$AJ$320,"P6")*ROWS($B$323:$B$347),0)),"")</f>
        <v>1.0947696273291923</v>
      </c>
      <c r="AP345" s="6" t="str" cm="1">
        <f t="array" ref="AP345">IFERROR((SUMPRODUCT(($B$323:$B$347=AP$321)*($F$320:$AJ$320="")*$F$323:$AJ$347)+IF(AP$321="P6",SUMPRODUCT(($F$320:$AJ$320="P6")*$F$323:$AJ$347),0))/(SUMPRODUCT(($B$323:$B$347=AP$321)*($F$320:$AJ$320=""))+IF(AP$321="P6",COUNTIF($F$320:$AJ$320,"P6")*ROWS($B$323:$B$347),0)),"")</f>
        <v/>
      </c>
      <c r="AQ345" s="6" t="str" cm="1">
        <f t="array" ref="AQ345">IFERROR((SUMPRODUCT(($B$323:$B$347=AQ$321)*($F$320:$AJ$320="")*$F$323:$AJ$347)+IF(AQ$321="P6",SUMPRODUCT(($F$320:$AJ$320="P6")*$F$323:$AJ$347),0))/(SUMPRODUCT(($B$323:$B$347=AQ$321)*($F$320:$AJ$320=""))+IF(AQ$321="P6",COUNTIF($F$320:$AJ$320,"P6")*ROWS($B$323:$B$347),0)),"")</f>
        <v/>
      </c>
      <c r="AR345" s="6" cm="1">
        <f t="array" ref="AR345">IFERROR((SUMPRODUCT(($B$323:$B$347=AR$321)*($F$320:$AJ$320="")*$F$323:$AJ$347)+IF(AR$321="P6",SUMPRODUCT(($F$320:$AJ$320="P6")*$F$323:$AJ$347),0))/(SUMPRODUCT(($B$323:$B$347=AR$321)*($F$320:$AJ$320=""))+IF(AR$321="P6",COUNTIF($F$320:$AJ$320,"P6")*ROWS($B$323:$B$347),0)),"")</f>
        <v>0.91571326781326789</v>
      </c>
    </row>
    <row r="346" spans="1:44" ht="14.25" customHeight="1" x14ac:dyDescent="0.35">
      <c r="A346" s="1" t="s">
        <v>15</v>
      </c>
      <c r="B346" s="1" t="s">
        <v>15</v>
      </c>
      <c r="C346" s="1" t="s">
        <v>14</v>
      </c>
      <c r="D346" s="1" t="s">
        <v>17</v>
      </c>
      <c r="E346" s="1" t="s">
        <v>42</v>
      </c>
      <c r="F346" s="1">
        <v>1.26139</v>
      </c>
      <c r="G346" s="1">
        <v>1.2584599999999999</v>
      </c>
      <c r="H346" s="1">
        <v>1.26115</v>
      </c>
      <c r="I346" s="1">
        <v>1.0105900000000001</v>
      </c>
      <c r="J346" s="1">
        <v>1.04295</v>
      </c>
      <c r="K346" s="1">
        <v>1.26728</v>
      </c>
      <c r="L346" s="1">
        <v>1.26671</v>
      </c>
      <c r="M346" s="1">
        <v>1.26139</v>
      </c>
      <c r="N346" s="1">
        <v>1.2584599999999999</v>
      </c>
      <c r="O346" s="1">
        <v>1.26115</v>
      </c>
      <c r="P346" s="1">
        <v>1.0105900000000001</v>
      </c>
      <c r="Q346" s="1">
        <v>0.98250000000000004</v>
      </c>
      <c r="R346" s="1">
        <v>1.26728</v>
      </c>
      <c r="S346" s="1">
        <v>1.26671</v>
      </c>
      <c r="T346" s="1">
        <v>1.26139</v>
      </c>
      <c r="U346" s="1">
        <v>1.2584599999999999</v>
      </c>
      <c r="V346" s="1">
        <v>1.26115</v>
      </c>
      <c r="W346" s="1">
        <v>1.0105900000000001</v>
      </c>
      <c r="X346" s="1">
        <v>1.04295</v>
      </c>
      <c r="Y346" s="1">
        <v>1.26728</v>
      </c>
      <c r="Z346" s="1">
        <v>1.26671</v>
      </c>
      <c r="AA346" s="1">
        <v>1.26139</v>
      </c>
      <c r="AB346" s="1">
        <v>1.2584599999999999</v>
      </c>
      <c r="AC346" s="1">
        <v>1.26115</v>
      </c>
      <c r="AD346" s="1">
        <v>1.0105900000000001</v>
      </c>
      <c r="AE346" s="1">
        <v>1.04295</v>
      </c>
      <c r="AF346" s="1">
        <v>1.26728</v>
      </c>
      <c r="AG346" s="1">
        <v>1.26671</v>
      </c>
      <c r="AH346" s="1">
        <v>1.26139</v>
      </c>
      <c r="AI346" s="1">
        <v>1.2584599999999999</v>
      </c>
      <c r="AJ346" s="1">
        <v>1.26115</v>
      </c>
      <c r="AL346" s="4" t="s">
        <v>27</v>
      </c>
      <c r="AM346" s="6" t="str" cm="1">
        <f t="array" ref="AM346">IFERROR((SUMPRODUCT(($B$323:$B$347=AM$321)*($F$320:$AJ$320="")*$F$323:$AJ$347)+IF(AM$321="P6",SUMPRODUCT(($F$320:$AJ$320="P6")*$F$323:$AJ$347),0))/(SUMPRODUCT(($B$323:$B$347=AM$321)*($F$320:$AJ$320=""))+IF(AM$321="P6",COUNTIF($F$320:$AJ$320,"P6")*ROWS($B$323:$B$347),0)),"")</f>
        <v/>
      </c>
      <c r="AN346" s="6" cm="1">
        <f t="array" ref="AN346">IFERROR((SUMPRODUCT(($B$323:$B$347=AN$321)*($F$320:$AJ$320="")*$F$323:$AJ$347)+IF(AN$321="P6",SUMPRODUCT(($F$320:$AJ$320="P6")*$F$323:$AJ$347),0))/(SUMPRODUCT(($B$323:$B$347=AN$321)*($F$320:$AJ$320=""))+IF(AN$321="P6",COUNTIF($F$320:$AJ$320,"P6")*ROWS($B$323:$B$347),0)),"")</f>
        <v>0.92951294685990393</v>
      </c>
      <c r="AO346" s="6" cm="1">
        <f t="array" ref="AO346">IFERROR((SUMPRODUCT(($B$323:$B$347=AO$321)*($F$320:$AJ$320="")*$F$323:$AJ$347)+IF(AO$321="P6",SUMPRODUCT(($F$320:$AJ$320="P6")*$F$323:$AJ$347),0))/(SUMPRODUCT(($B$323:$B$347=AO$321)*($F$320:$AJ$320=""))+IF(AO$321="P6",COUNTIF($F$320:$AJ$320,"P6")*ROWS($B$323:$B$347),0)),"")</f>
        <v>1.0947696273291923</v>
      </c>
      <c r="AP346" s="6" t="str" cm="1">
        <f t="array" ref="AP346">IFERROR((SUMPRODUCT(($B$323:$B$347=AP$321)*($F$320:$AJ$320="")*$F$323:$AJ$347)+IF(AP$321="P6",SUMPRODUCT(($F$320:$AJ$320="P6")*$F$323:$AJ$347),0))/(SUMPRODUCT(($B$323:$B$347=AP$321)*($F$320:$AJ$320=""))+IF(AP$321="P6",COUNTIF($F$320:$AJ$320,"P6")*ROWS($B$323:$B$347),0)),"")</f>
        <v/>
      </c>
      <c r="AQ346" s="6" t="str" cm="1">
        <f t="array" ref="AQ346">IFERROR((SUMPRODUCT(($B$323:$B$347=AQ$321)*($F$320:$AJ$320="")*$F$323:$AJ$347)+IF(AQ$321="P6",SUMPRODUCT(($F$320:$AJ$320="P6")*$F$323:$AJ$347),0))/(SUMPRODUCT(($B$323:$B$347=AQ$321)*($F$320:$AJ$320=""))+IF(AQ$321="P6",COUNTIF($F$320:$AJ$320,"P6")*ROWS($B$323:$B$347),0)),"")</f>
        <v/>
      </c>
      <c r="AR346" s="6" cm="1">
        <f t="array" ref="AR346">IFERROR((SUMPRODUCT(($B$323:$B$347=AR$321)*($F$320:$AJ$320="")*$F$323:$AJ$347)+IF(AR$321="P6",SUMPRODUCT(($F$320:$AJ$320="P6")*$F$323:$AJ$347),0))/(SUMPRODUCT(($B$323:$B$347=AR$321)*($F$320:$AJ$320=""))+IF(AR$321="P6",COUNTIF($F$320:$AJ$320,"P6")*ROWS($B$323:$B$347),0)),"")</f>
        <v>0.91571326781326789</v>
      </c>
    </row>
    <row r="347" spans="1:44" ht="14.25" customHeight="1" x14ac:dyDescent="0.35">
      <c r="A347" s="1" t="s">
        <v>7</v>
      </c>
      <c r="B347" s="1" t="s">
        <v>7</v>
      </c>
      <c r="C347" s="9" t="s">
        <v>15</v>
      </c>
      <c r="D347" s="9" t="s">
        <v>7</v>
      </c>
      <c r="E347" s="9" t="s">
        <v>53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P347" s="9">
        <v>0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  <c r="Z347" s="9">
        <v>0</v>
      </c>
      <c r="AA347" s="9">
        <v>0</v>
      </c>
      <c r="AB347" s="9">
        <v>0</v>
      </c>
      <c r="AC347" s="9">
        <v>0</v>
      </c>
      <c r="AD347" s="9">
        <v>0</v>
      </c>
      <c r="AE347" s="9">
        <v>1.1073999999999999</v>
      </c>
      <c r="AF347" s="9">
        <v>0</v>
      </c>
      <c r="AG347" s="9">
        <v>0</v>
      </c>
      <c r="AH347" s="9">
        <v>0</v>
      </c>
      <c r="AI347" s="9">
        <v>0</v>
      </c>
      <c r="AJ347" s="9">
        <v>0</v>
      </c>
      <c r="AL347" s="4" t="s">
        <v>29</v>
      </c>
      <c r="AM347" s="6" t="str" cm="1">
        <f t="array" ref="AM347">IFERROR((SUMPRODUCT(($B$323:$B$347=AM$321)*($F$320:$AJ$320="")*$F$323:$AJ$347)+IF(AM$321="P6",SUMPRODUCT(($F$320:$AJ$320="P6")*$F$323:$AJ$347),0))/(SUMPRODUCT(($B$323:$B$347=AM$321)*($F$320:$AJ$320=""))+IF(AM$321="P6",COUNTIF($F$320:$AJ$320,"P6")*ROWS($B$323:$B$347),0)),"")</f>
        <v/>
      </c>
      <c r="AN347" s="6" cm="1">
        <f t="array" ref="AN347">IFERROR((SUMPRODUCT(($B$323:$B$347=AN$321)*($F$320:$AJ$320="")*$F$323:$AJ$347)+IF(AN$321="P6",SUMPRODUCT(($F$320:$AJ$320="P6")*$F$323:$AJ$347),0))/(SUMPRODUCT(($B$323:$B$347=AN$321)*($F$320:$AJ$320=""))+IF(AN$321="P6",COUNTIF($F$320:$AJ$320,"P6")*ROWS($B$323:$B$347),0)),"")</f>
        <v>0.92951294685990393</v>
      </c>
      <c r="AO347" s="6" cm="1">
        <f t="array" ref="AO347">IFERROR((SUMPRODUCT(($B$323:$B$347=AO$321)*($F$320:$AJ$320="")*$F$323:$AJ$347)+IF(AO$321="P6",SUMPRODUCT(($F$320:$AJ$320="P6")*$F$323:$AJ$347),0))/(SUMPRODUCT(($B$323:$B$347=AO$321)*($F$320:$AJ$320=""))+IF(AO$321="P6",COUNTIF($F$320:$AJ$320,"P6")*ROWS($B$323:$B$347),0)),"")</f>
        <v>1.0947696273291923</v>
      </c>
      <c r="AP347" s="6" t="str" cm="1">
        <f t="array" ref="AP347">IFERROR((SUMPRODUCT(($B$323:$B$347=AP$321)*($F$320:$AJ$320="")*$F$323:$AJ$347)+IF(AP$321="P6",SUMPRODUCT(($F$320:$AJ$320="P6")*$F$323:$AJ$347),0))/(SUMPRODUCT(($B$323:$B$347=AP$321)*($F$320:$AJ$320=""))+IF(AP$321="P6",COUNTIF($F$320:$AJ$320,"P6")*ROWS($B$323:$B$347),0)),"")</f>
        <v/>
      </c>
      <c r="AQ347" s="6" t="str" cm="1">
        <f t="array" ref="AQ347">IFERROR((SUMPRODUCT(($B$323:$B$347=AQ$321)*($F$320:$AJ$320="")*$F$323:$AJ$347)+IF(AQ$321="P6",SUMPRODUCT(($F$320:$AJ$320="P6")*$F$323:$AJ$347),0))/(SUMPRODUCT(($B$323:$B$347=AQ$321)*($F$320:$AJ$320=""))+IF(AQ$321="P6",COUNTIF($F$320:$AJ$320,"P6")*ROWS($B$323:$B$347),0)),"")</f>
        <v/>
      </c>
      <c r="AR347" s="6" cm="1">
        <f t="array" ref="AR347">IFERROR((SUMPRODUCT(($B$323:$B$347=AR$321)*($F$320:$AJ$320="")*$F$323:$AJ$347)+IF(AR$321="P6",SUMPRODUCT(($F$320:$AJ$320="P6")*$F$323:$AJ$347),0))/(SUMPRODUCT(($B$323:$B$347=AR$321)*($F$320:$AJ$320=""))+IF(AR$321="P6",COUNTIF($F$320:$AJ$320,"P6")*ROWS($B$323:$B$347),0)),"")</f>
        <v>0.91571326781326789</v>
      </c>
    </row>
    <row r="351" spans="1:44" ht="14.25" customHeight="1" x14ac:dyDescent="0.35">
      <c r="A351" s="15" t="s">
        <v>54</v>
      </c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</row>
    <row r="352" spans="1:44" ht="14.25" customHeight="1" x14ac:dyDescent="0.3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</row>
    <row r="353" spans="1:44" ht="14.25" customHeight="1" x14ac:dyDescent="0.35">
      <c r="AL353" s="10"/>
      <c r="AM353" s="10"/>
      <c r="AN353" s="10"/>
      <c r="AO353" s="10"/>
      <c r="AP353" s="10"/>
      <c r="AQ353" s="10"/>
      <c r="AR353" s="10"/>
    </row>
    <row r="354" spans="1:44" ht="14.25" customHeight="1" x14ac:dyDescent="0.35">
      <c r="F354" s="1" t="str">
        <f>IF(OR(F356="S",F356="D"),"P3","")</f>
        <v>P3</v>
      </c>
      <c r="G354" s="1" t="str">
        <f t="shared" ref="G354:AI354" si="39">IF(OR(G356="S",G356="D"),"P3","")</f>
        <v>P3</v>
      </c>
      <c r="H354" s="1" t="str">
        <f t="shared" si="39"/>
        <v/>
      </c>
      <c r="I354" s="1" t="str">
        <f t="shared" si="39"/>
        <v/>
      </c>
      <c r="J354" s="1" t="str">
        <f t="shared" si="39"/>
        <v/>
      </c>
      <c r="K354" s="1" t="str">
        <f t="shared" si="39"/>
        <v/>
      </c>
      <c r="L354" s="1" t="str">
        <f t="shared" si="39"/>
        <v/>
      </c>
      <c r="M354" s="1" t="str">
        <f t="shared" si="39"/>
        <v>P3</v>
      </c>
      <c r="N354" s="1" t="str">
        <f t="shared" si="39"/>
        <v>P3</v>
      </c>
      <c r="O354" s="1" t="str">
        <f t="shared" si="39"/>
        <v/>
      </c>
      <c r="P354" s="1" t="str">
        <f t="shared" si="39"/>
        <v/>
      </c>
      <c r="Q354" s="1" t="str">
        <f t="shared" si="39"/>
        <v/>
      </c>
      <c r="R354" s="1" t="str">
        <f t="shared" si="39"/>
        <v/>
      </c>
      <c r="S354" s="1" t="str">
        <f t="shared" si="39"/>
        <v/>
      </c>
      <c r="T354" s="1" t="str">
        <f t="shared" si="39"/>
        <v>P3</v>
      </c>
      <c r="U354" s="1" t="str">
        <f t="shared" si="39"/>
        <v>P3</v>
      </c>
      <c r="V354" s="1" t="str">
        <f t="shared" si="39"/>
        <v/>
      </c>
      <c r="W354" s="1" t="str">
        <f t="shared" si="39"/>
        <v/>
      </c>
      <c r="X354" s="1" t="str">
        <f t="shared" si="39"/>
        <v/>
      </c>
      <c r="Y354" s="1" t="str">
        <f t="shared" si="39"/>
        <v/>
      </c>
      <c r="Z354" s="1" t="str">
        <f t="shared" si="39"/>
        <v/>
      </c>
      <c r="AA354" s="1" t="str">
        <f t="shared" si="39"/>
        <v>P3</v>
      </c>
      <c r="AB354" s="1" t="str">
        <f t="shared" si="39"/>
        <v>P3</v>
      </c>
      <c r="AC354" s="1" t="str">
        <f t="shared" si="39"/>
        <v/>
      </c>
      <c r="AD354" s="1" t="str">
        <f t="shared" si="39"/>
        <v/>
      </c>
      <c r="AE354" s="1" t="str">
        <f t="shared" si="39"/>
        <v/>
      </c>
      <c r="AF354" s="1" t="str">
        <f t="shared" si="39"/>
        <v/>
      </c>
      <c r="AG354" s="1" t="str">
        <f t="shared" si="39"/>
        <v/>
      </c>
      <c r="AH354" s="1" t="str">
        <f t="shared" si="39"/>
        <v>P3</v>
      </c>
      <c r="AI354" s="1" t="str">
        <f t="shared" si="39"/>
        <v>P3</v>
      </c>
      <c r="AL354" s="10"/>
      <c r="AM354" s="10"/>
      <c r="AN354" s="10"/>
      <c r="AO354" s="10"/>
      <c r="AP354" s="10"/>
      <c r="AQ354" s="10"/>
      <c r="AR354" s="10"/>
    </row>
    <row r="355" spans="1:44" ht="14.25" customHeight="1" x14ac:dyDescent="0.35">
      <c r="F355" s="1" t="str">
        <f>IF(OR(F356="S",F356="D"),"P6","")</f>
        <v>P6</v>
      </c>
      <c r="G355" s="1" t="str">
        <f t="shared" ref="G355:AI355" si="40">IF(OR(G356="S",G356="D"),"P6","")</f>
        <v>P6</v>
      </c>
      <c r="H355" s="1" t="str">
        <f t="shared" si="40"/>
        <v/>
      </c>
      <c r="I355" s="1" t="str">
        <f t="shared" si="40"/>
        <v/>
      </c>
      <c r="J355" s="1" t="str">
        <f t="shared" si="40"/>
        <v/>
      </c>
      <c r="K355" s="1" t="str">
        <f t="shared" si="40"/>
        <v/>
      </c>
      <c r="L355" s="1" t="str">
        <f t="shared" si="40"/>
        <v/>
      </c>
      <c r="M355" s="1" t="str">
        <f t="shared" si="40"/>
        <v>P6</v>
      </c>
      <c r="N355" s="1" t="str">
        <f t="shared" si="40"/>
        <v>P6</v>
      </c>
      <c r="O355" s="1" t="str">
        <f t="shared" si="40"/>
        <v/>
      </c>
      <c r="P355" s="1" t="str">
        <f t="shared" si="40"/>
        <v/>
      </c>
      <c r="Q355" s="1" t="str">
        <f t="shared" si="40"/>
        <v/>
      </c>
      <c r="R355" s="1" t="str">
        <f t="shared" si="40"/>
        <v/>
      </c>
      <c r="S355" s="1" t="str">
        <f t="shared" si="40"/>
        <v/>
      </c>
      <c r="T355" s="1" t="str">
        <f t="shared" si="40"/>
        <v>P6</v>
      </c>
      <c r="U355" s="1" t="str">
        <f t="shared" si="40"/>
        <v>P6</v>
      </c>
      <c r="V355" s="1" t="str">
        <f t="shared" si="40"/>
        <v/>
      </c>
      <c r="W355" s="1" t="str">
        <f t="shared" si="40"/>
        <v/>
      </c>
      <c r="X355" s="1" t="str">
        <f t="shared" si="40"/>
        <v/>
      </c>
      <c r="Y355" s="1" t="str">
        <f t="shared" si="40"/>
        <v/>
      </c>
      <c r="Z355" s="1" t="str">
        <f t="shared" si="40"/>
        <v/>
      </c>
      <c r="AA355" s="1" t="str">
        <f t="shared" si="40"/>
        <v>P6</v>
      </c>
      <c r="AB355" s="1" t="str">
        <f t="shared" si="40"/>
        <v>P6</v>
      </c>
      <c r="AC355" s="1" t="str">
        <f t="shared" si="40"/>
        <v/>
      </c>
      <c r="AD355" s="1" t="str">
        <f t="shared" si="40"/>
        <v/>
      </c>
      <c r="AE355" s="1" t="str">
        <f t="shared" si="40"/>
        <v/>
      </c>
      <c r="AF355" s="1" t="str">
        <f t="shared" si="40"/>
        <v/>
      </c>
      <c r="AG355" s="1" t="str">
        <f t="shared" si="40"/>
        <v/>
      </c>
      <c r="AH355" s="1" t="str">
        <f t="shared" si="40"/>
        <v>P6</v>
      </c>
      <c r="AI355" s="1" t="str">
        <f t="shared" si="40"/>
        <v>P6</v>
      </c>
      <c r="AL355" s="14" t="s">
        <v>108</v>
      </c>
      <c r="AM355" s="14"/>
      <c r="AN355" s="14"/>
      <c r="AO355" s="14"/>
      <c r="AP355" s="14"/>
      <c r="AQ355" s="14"/>
      <c r="AR355" s="14"/>
    </row>
    <row r="356" spans="1:44" ht="14.25" customHeight="1" x14ac:dyDescent="0.35">
      <c r="F356" s="1" t="str">
        <f>CHOOSE(WEEKDAY(F357,2),"L","M","X","J","V","S","D")</f>
        <v>S</v>
      </c>
      <c r="G356" s="1" t="str">
        <f t="shared" ref="G356:AI356" si="41">CHOOSE(WEEKDAY(G357,2),"L","M","X","J","V","S","D")</f>
        <v>D</v>
      </c>
      <c r="H356" s="1" t="str">
        <f t="shared" si="41"/>
        <v>L</v>
      </c>
      <c r="I356" s="1" t="str">
        <f t="shared" si="41"/>
        <v>M</v>
      </c>
      <c r="J356" s="1" t="str">
        <f t="shared" si="41"/>
        <v>X</v>
      </c>
      <c r="K356" s="1" t="str">
        <f t="shared" si="41"/>
        <v>J</v>
      </c>
      <c r="L356" s="1" t="str">
        <f t="shared" si="41"/>
        <v>V</v>
      </c>
      <c r="M356" s="1" t="str">
        <f t="shared" si="41"/>
        <v>S</v>
      </c>
      <c r="N356" s="1" t="str">
        <f t="shared" si="41"/>
        <v>D</v>
      </c>
      <c r="O356" s="1" t="str">
        <f t="shared" si="41"/>
        <v>L</v>
      </c>
      <c r="P356" s="1" t="str">
        <f t="shared" si="41"/>
        <v>M</v>
      </c>
      <c r="Q356" s="1" t="str">
        <f t="shared" si="41"/>
        <v>X</v>
      </c>
      <c r="R356" s="1" t="str">
        <f t="shared" si="41"/>
        <v>J</v>
      </c>
      <c r="S356" s="1" t="str">
        <f t="shared" si="41"/>
        <v>V</v>
      </c>
      <c r="T356" s="1" t="str">
        <f t="shared" si="41"/>
        <v>S</v>
      </c>
      <c r="U356" s="1" t="str">
        <f t="shared" si="41"/>
        <v>D</v>
      </c>
      <c r="V356" s="1" t="str">
        <f t="shared" si="41"/>
        <v>L</v>
      </c>
      <c r="W356" s="1" t="str">
        <f t="shared" si="41"/>
        <v>M</v>
      </c>
      <c r="X356" s="1" t="str">
        <f t="shared" si="41"/>
        <v>X</v>
      </c>
      <c r="Y356" s="1" t="str">
        <f t="shared" si="41"/>
        <v>J</v>
      </c>
      <c r="Z356" s="1" t="str">
        <f t="shared" si="41"/>
        <v>V</v>
      </c>
      <c r="AA356" s="1" t="str">
        <f t="shared" si="41"/>
        <v>S</v>
      </c>
      <c r="AB356" s="1" t="str">
        <f t="shared" si="41"/>
        <v>D</v>
      </c>
      <c r="AC356" s="1" t="str">
        <f t="shared" si="41"/>
        <v>L</v>
      </c>
      <c r="AD356" s="1" t="str">
        <f t="shared" si="41"/>
        <v>M</v>
      </c>
      <c r="AE356" s="1" t="str">
        <f t="shared" si="41"/>
        <v>X</v>
      </c>
      <c r="AF356" s="1" t="str">
        <f t="shared" si="41"/>
        <v>J</v>
      </c>
      <c r="AG356" s="1" t="str">
        <f t="shared" si="41"/>
        <v>V</v>
      </c>
      <c r="AH356" s="1" t="str">
        <f t="shared" si="41"/>
        <v>S</v>
      </c>
      <c r="AI356" s="1" t="str">
        <f t="shared" si="41"/>
        <v>D</v>
      </c>
      <c r="AL356" s="4"/>
      <c r="AM356" s="4" t="s">
        <v>13</v>
      </c>
      <c r="AN356" s="4" t="s">
        <v>14</v>
      </c>
      <c r="AO356" s="4" t="s">
        <v>15</v>
      </c>
      <c r="AP356" s="4" t="s">
        <v>16</v>
      </c>
      <c r="AQ356" s="4" t="s">
        <v>17</v>
      </c>
      <c r="AR356" s="4" t="s">
        <v>7</v>
      </c>
    </row>
    <row r="357" spans="1:44" ht="14.25" customHeight="1" x14ac:dyDescent="0.35">
      <c r="A357" s="3" t="s">
        <v>76</v>
      </c>
      <c r="B357" s="3" t="s">
        <v>77</v>
      </c>
      <c r="C357" s="3" t="s">
        <v>75</v>
      </c>
      <c r="D357" s="3" t="s">
        <v>74</v>
      </c>
      <c r="F357" s="8">
        <v>45962</v>
      </c>
      <c r="G357" s="8">
        <v>45963</v>
      </c>
      <c r="H357" s="8">
        <v>45964</v>
      </c>
      <c r="I357" s="8">
        <v>45965</v>
      </c>
      <c r="J357" s="8">
        <v>45966</v>
      </c>
      <c r="K357" s="8">
        <v>45967</v>
      </c>
      <c r="L357" s="8">
        <v>45968</v>
      </c>
      <c r="M357" s="8">
        <v>45969</v>
      </c>
      <c r="N357" s="8">
        <v>45970</v>
      </c>
      <c r="O357" s="8">
        <v>45971</v>
      </c>
      <c r="P357" s="8">
        <v>45972</v>
      </c>
      <c r="Q357" s="8">
        <v>45973</v>
      </c>
      <c r="R357" s="8">
        <v>45974</v>
      </c>
      <c r="S357" s="8">
        <v>45975</v>
      </c>
      <c r="T357" s="8">
        <v>45976</v>
      </c>
      <c r="U357" s="8">
        <v>45977</v>
      </c>
      <c r="V357" s="8">
        <v>45978</v>
      </c>
      <c r="W357" s="8">
        <v>45979</v>
      </c>
      <c r="X357" s="8">
        <v>45980</v>
      </c>
      <c r="Y357" s="8">
        <v>45981</v>
      </c>
      <c r="Z357" s="8">
        <v>45982</v>
      </c>
      <c r="AA357" s="8">
        <v>45983</v>
      </c>
      <c r="AB357" s="8">
        <v>45984</v>
      </c>
      <c r="AC357" s="8">
        <v>45985</v>
      </c>
      <c r="AD357" s="8">
        <v>45986</v>
      </c>
      <c r="AE357" s="8">
        <v>45987</v>
      </c>
      <c r="AF357" s="8">
        <v>45988</v>
      </c>
      <c r="AG357" s="8">
        <v>45989</v>
      </c>
      <c r="AH357" s="8">
        <v>45990</v>
      </c>
      <c r="AI357" s="8">
        <v>45991</v>
      </c>
      <c r="AL357" s="4" t="s">
        <v>19</v>
      </c>
      <c r="AM357" s="6" cm="1">
        <f t="array" ref="AM357">IFERROR((SUMPRODUCT(($C$358:$C$381=AM$356)*($F$354:$AI$354="")*$F$358:$AI$381)+IF(AM$356="P3",SUMPRODUCT(($F$354:$AI$354="P3")*$F$358:$AI$381),0))/(SUMPRODUCT(($C$358:$C$381=AM$356)*($F$354:$AI$354=""))+IF(AM$356="P3",COUNTIF($F$354:$AI$354,"P3")*ROWS($C$358:$C$381),0)),"")</f>
        <v>0.96887525000000063</v>
      </c>
      <c r="AN357" s="6" cm="1">
        <f t="array" ref="AN357">IFERROR((SUMPRODUCT(($C$358:$C$381=AN$356)*($F$354:$AI$354="")*$F$358:$AI$381)+IF(AN$356="P3",SUMPRODUCT(($F$354:$AI$354="P3")*$F$358:$AI$381),0))/(SUMPRODUCT(($C$358:$C$381=AN$356)*($F$354:$AI$354=""))+IF(AN$356="P3",COUNTIF($F$354:$AI$354,"P3")*ROWS($C$358:$C$381),0)),"")</f>
        <v>1.0202852500000004</v>
      </c>
      <c r="AO357" s="6" cm="1">
        <f t="array" ref="AO357">IFERROR((SUMPRODUCT(($C$358:$C$381=AO$356)*($F$354:$AI$354="")*$F$358:$AI$381)+IF(AO$356="P3",SUMPRODUCT(($F$354:$AI$354="P3")*$F$358:$AI$381),0))/(SUMPRODUCT(($C$358:$C$381=AO$356)*($F$354:$AI$354=""))+IF(AO$356="P3",COUNTIF($F$354:$AI$354,"P3")*ROWS($C$358:$C$381),0)),"")</f>
        <v>1.046211625</v>
      </c>
      <c r="AP357" s="6" t="str" cm="1">
        <f t="array" ref="AP357">IFERROR((SUMPRODUCT(($C$358:$C$381=AP$356)*($F$354:$AI$354="")*$F$358:$AI$381)+IF(AP$356="P3",SUMPRODUCT(($F$354:$AI$354="P3")*$F$358:$AI$381),0))/(SUMPRODUCT(($C$358:$C$381=AP$356)*($F$354:$AI$354=""))+IF(AP$356="P3",COUNTIF($F$354:$AI$354,"P3")*ROWS($C$358:$C$381),0)),"")</f>
        <v/>
      </c>
      <c r="AQ357" s="6" t="str" cm="1">
        <f t="array" ref="AQ357">IFERROR((SUMPRODUCT(($C$358:$C$381=AQ$356)*($F$354:$AI$354="")*$F$358:$AI$381)+IF(AQ$356="P3",SUMPRODUCT(($F$354:$AI$354="P3")*$F$358:$AI$381),0))/(SUMPRODUCT(($C$358:$C$381=AQ$356)*($F$354:$AI$354=""))+IF(AQ$356="P3",COUNTIF($F$354:$AI$354,"P3")*ROWS($C$358:$C$381),0)),"")</f>
        <v/>
      </c>
      <c r="AR357" s="6" t="str" cm="1">
        <f t="array" ref="AR357">IFERROR((SUMPRODUCT(($C$358:$C$381=AR$356)*($F$354:$AI$354="")*$F$358:$AI$381)+IF(AR$356="P3",SUMPRODUCT(($F$354:$AI$354="P3")*$F$358:$AI$381),0))/(SUMPRODUCT(($C$358:$C$381=AR$356)*($F$354:$AI$354=""))+IF(AR$356="P3",COUNTIF($F$354:$AI$354,"P3")*ROWS($C$358:$C$381),0)),"")</f>
        <v/>
      </c>
    </row>
    <row r="358" spans="1:44" ht="14.25" customHeight="1" x14ac:dyDescent="0.35">
      <c r="A358" s="1" t="s">
        <v>7</v>
      </c>
      <c r="B358" s="1" t="s">
        <v>7</v>
      </c>
      <c r="C358" s="1" t="s">
        <v>15</v>
      </c>
      <c r="D358" s="1" t="s">
        <v>7</v>
      </c>
      <c r="E358" s="1" t="s">
        <v>8</v>
      </c>
      <c r="F358" s="1">
        <v>1.13364</v>
      </c>
      <c r="G358" s="1">
        <v>1.08188</v>
      </c>
      <c r="H358" s="1">
        <v>1.1066499999999999</v>
      </c>
      <c r="I358" s="1">
        <v>1.0680499999999999</v>
      </c>
      <c r="J358" s="1">
        <v>1.07674</v>
      </c>
      <c r="K358" s="1">
        <v>1.09151</v>
      </c>
      <c r="L358" s="1">
        <v>1.07544</v>
      </c>
      <c r="M358" s="1">
        <v>1.07602</v>
      </c>
      <c r="N358" s="1">
        <v>1.08188</v>
      </c>
      <c r="O358" s="1">
        <v>1.1066499999999999</v>
      </c>
      <c r="P358" s="1">
        <v>1.0680499999999999</v>
      </c>
      <c r="Q358" s="1">
        <v>1.07674</v>
      </c>
      <c r="R358" s="1">
        <v>1.09151</v>
      </c>
      <c r="S358" s="1">
        <v>1.07544</v>
      </c>
      <c r="T358" s="1">
        <v>1.07602</v>
      </c>
      <c r="U358" s="1">
        <v>1.08188</v>
      </c>
      <c r="V358" s="1">
        <v>1.1066499999999999</v>
      </c>
      <c r="W358" s="1">
        <v>1.0680499999999999</v>
      </c>
      <c r="X358" s="1">
        <v>1.07674</v>
      </c>
      <c r="Y358" s="1">
        <v>1.09151</v>
      </c>
      <c r="Z358" s="1">
        <v>1.07544</v>
      </c>
      <c r="AA358" s="1">
        <v>1.07602</v>
      </c>
      <c r="AB358" s="1">
        <v>1.08188</v>
      </c>
      <c r="AC358" s="1">
        <v>1.1066499999999999</v>
      </c>
      <c r="AD358" s="1">
        <v>1.0680499999999999</v>
      </c>
      <c r="AE358" s="1">
        <v>1.07674</v>
      </c>
      <c r="AF358" s="1">
        <v>1.09151</v>
      </c>
      <c r="AG358" s="1">
        <v>1.07544</v>
      </c>
      <c r="AH358" s="1">
        <v>1.07602</v>
      </c>
      <c r="AI358" s="1">
        <v>1.08188</v>
      </c>
      <c r="AL358" s="4" t="s">
        <v>21</v>
      </c>
      <c r="AM358" s="6" t="str" cm="1">
        <f t="array" ref="AM358">IFERROR((SUMPRODUCT(($D$358:$D$381=AM$356)*($F$355:$AI$355="")*$F$358:$AI$381)+IF(AM$356="P6",SUMPRODUCT(($F$355:$AI$355="P6")*$F$358:$AI$381),0))/(SUMPRODUCT(($D$358:$D$381=AM$356)*($F$355:$AI$355=""))+IF(AM$356="P6",COUNTIF($F$355:$AI$355,"P6")*ROWS($D$358:$D$381),0)),"")</f>
        <v/>
      </c>
      <c r="AN358" s="6" cm="1">
        <f t="array" ref="AN358">IFERROR((SUMPRODUCT(($D$358:$D$381=AN$356)*($F$355:$AI$355="")*$F$358:$AI$381)+IF(AN$356="P6",SUMPRODUCT(($F$355:$AI$355="P6")*$F$358:$AI$381),0))/(SUMPRODUCT(($D$358:$D$381=AN$356)*($F$355:$AI$355=""))+IF(AN$356="P6",COUNTIF($F$355:$AI$355,"P6")*ROWS($D$358:$D$381),0)),"")</f>
        <v>0.96277533333333387</v>
      </c>
      <c r="AO358" s="6" cm="1">
        <f t="array" ref="AO358">IFERROR((SUMPRODUCT(($D$358:$D$381=AO$356)*($F$355:$AI$355="")*$F$358:$AI$381)+IF(AO$356="P6",SUMPRODUCT(($F$355:$AI$355="P6")*$F$358:$AI$381),0))/(SUMPRODUCT(($D$358:$D$381=AO$356)*($F$355:$AI$355=""))+IF(AO$356="P6",COUNTIF($F$355:$AI$355,"P6")*ROWS($D$358:$D$381),0)),"")</f>
        <v>1.0354722857142857</v>
      </c>
      <c r="AP358" s="6" t="str" cm="1">
        <f t="array" ref="AP358">IFERROR((SUMPRODUCT(($D$358:$D$381=AP$356)*($F$355:$AI$355="")*$F$358:$AI$381)+IF(AP$356="P6",SUMPRODUCT(($F$355:$AI$355="P6")*$F$358:$AI$381),0))/(SUMPRODUCT(($D$358:$D$381=AP$356)*($F$355:$AI$355=""))+IF(AP$356="P6",COUNTIF($F$355:$AI$355,"P6")*ROWS($D$358:$D$381),0)),"")</f>
        <v/>
      </c>
      <c r="AQ358" s="6" t="str" cm="1">
        <f t="array" ref="AQ358">IFERROR((SUMPRODUCT(($D$358:$D$381=AQ$356)*($F$355:$AI$355="")*$F$358:$AI$381)+IF(AQ$356="P6",SUMPRODUCT(($F$355:$AI$355="P6")*$F$358:$AI$381),0))/(SUMPRODUCT(($D$358:$D$381=AQ$356)*($F$355:$AI$355=""))+IF(AQ$356="P6",COUNTIF($F$355:$AI$355,"P6")*ROWS($D$358:$D$381),0)),"")</f>
        <v/>
      </c>
      <c r="AR358" s="6" cm="1">
        <f t="array" ref="AR358">IFERROR((SUMPRODUCT(($D$358:$D$381=AR$356)*($F$355:$AI$355="")*$F$358:$AI$381)+IF(AR$356="P6",SUMPRODUCT(($F$355:$AI$355="P6")*$F$358:$AI$381),0))/(SUMPRODUCT(($D$358:$D$381=AR$356)*($F$355:$AI$355=""))+IF(AR$356="P6",COUNTIF($F$355:$AI$355,"P6")*ROWS($D$358:$D$381),0)),"")</f>
        <v>1.046211625</v>
      </c>
    </row>
    <row r="359" spans="1:44" ht="14.25" customHeight="1" x14ac:dyDescent="0.35">
      <c r="A359" s="1" t="s">
        <v>7</v>
      </c>
      <c r="B359" s="1" t="s">
        <v>7</v>
      </c>
      <c r="C359" s="1" t="s">
        <v>15</v>
      </c>
      <c r="D359" s="1" t="s">
        <v>7</v>
      </c>
      <c r="E359" s="1" t="s">
        <v>9</v>
      </c>
      <c r="F359" s="1">
        <v>1.16926</v>
      </c>
      <c r="G359" s="1">
        <v>1.1192800000000001</v>
      </c>
      <c r="H359" s="1">
        <v>1.1425099999999999</v>
      </c>
      <c r="I359" s="1">
        <v>1.0942000000000001</v>
      </c>
      <c r="J359" s="1">
        <v>1.11134</v>
      </c>
      <c r="K359" s="1">
        <v>1.1246100000000001</v>
      </c>
      <c r="L359" s="1">
        <v>1.1041099999999999</v>
      </c>
      <c r="M359" s="1">
        <v>1.1104400000000001</v>
      </c>
      <c r="N359" s="1">
        <v>1.1192800000000001</v>
      </c>
      <c r="O359" s="1">
        <v>1.1425099999999999</v>
      </c>
      <c r="P359" s="1">
        <v>1.0942000000000001</v>
      </c>
      <c r="Q359" s="1">
        <v>1.11134</v>
      </c>
      <c r="R359" s="1">
        <v>1.1246100000000001</v>
      </c>
      <c r="S359" s="1">
        <v>1.1041099999999999</v>
      </c>
      <c r="T359" s="1">
        <v>1.1104400000000001</v>
      </c>
      <c r="U359" s="1">
        <v>1.1192800000000001</v>
      </c>
      <c r="V359" s="1">
        <v>1.1425099999999999</v>
      </c>
      <c r="W359" s="1">
        <v>1.0942000000000001</v>
      </c>
      <c r="X359" s="1">
        <v>1.11134</v>
      </c>
      <c r="Y359" s="1">
        <v>1.1246100000000001</v>
      </c>
      <c r="Z359" s="1">
        <v>1.1041099999999999</v>
      </c>
      <c r="AA359" s="1">
        <v>1.1104400000000001</v>
      </c>
      <c r="AB359" s="1">
        <v>1.1192800000000001</v>
      </c>
      <c r="AC359" s="1">
        <v>1.1425099999999999</v>
      </c>
      <c r="AD359" s="1">
        <v>1.0942000000000001</v>
      </c>
      <c r="AE359" s="1">
        <v>1.11134</v>
      </c>
      <c r="AF359" s="1">
        <v>1.1246100000000001</v>
      </c>
      <c r="AG359" s="1">
        <v>1.1041099999999999</v>
      </c>
      <c r="AH359" s="1">
        <v>1.1104400000000001</v>
      </c>
      <c r="AI359" s="1">
        <v>1.1192800000000001</v>
      </c>
      <c r="AL359" s="4" t="s">
        <v>23</v>
      </c>
      <c r="AM359" s="6" t="str" cm="1">
        <f t="array" ref="AM359">IFERROR((SUMPRODUCT(($D$358:$D$381=AM$356)*($F$355:$AI$355="")*$F$358:$AI$381)+IF(AM$356="P6",SUMPRODUCT(($F$355:$AI$355="P6")*$F$358:$AI$381),0))/(SUMPRODUCT(($D$358:$D$381=AM$356)*($F$355:$AI$355=""))+IF(AM$356="P6",COUNTIF($F$355:$AI$355,"P6")*ROWS($D$358:$D$381),0)),"")</f>
        <v/>
      </c>
      <c r="AN359" s="6" cm="1">
        <f t="array" ref="AN359">IFERROR((SUMPRODUCT(($D$358:$D$381=AN$356)*($F$355:$AI$355="")*$F$358:$AI$381)+IF(AN$356="P6",SUMPRODUCT(($F$355:$AI$355="P6")*$F$358:$AI$381),0))/(SUMPRODUCT(($D$358:$D$381=AN$356)*($F$355:$AI$355=""))+IF(AN$356="P6",COUNTIF($F$355:$AI$355,"P6")*ROWS($D$358:$D$381),0)),"")</f>
        <v>0.96277533333333387</v>
      </c>
      <c r="AO359" s="5" cm="1">
        <f t="array" ref="AO359">IFERROR((SUMPRODUCT(($D$358:$D$381=AO$356)*($F$355:$AI$355="")*$F$358:$AI$381)+IF(AO$356="P6",SUMPRODUCT(($F$355:$AI$355="P6")*$F$358:$AI$381),0))/(SUMPRODUCT(($D$358:$D$381=AO$356)*($F$355:$AI$355=""))+IF(AO$356="P6",COUNTIF($F$355:$AI$355,"P6")*ROWS($D$358:$D$381),0)),"")</f>
        <v>1.0354722857142857</v>
      </c>
      <c r="AP359" s="5" t="str" cm="1">
        <f t="array" ref="AP359">IFERROR((SUMPRODUCT(($D$358:$D$381=AP$356)*($F$355:$AI$355="")*$F$358:$AI$381)+IF(AP$356="P6",SUMPRODUCT(($F$355:$AI$355="P6")*$F$358:$AI$381),0))/(SUMPRODUCT(($D$358:$D$381=AP$356)*($F$355:$AI$355=""))+IF(AP$356="P6",COUNTIF($F$355:$AI$355,"P6")*ROWS($D$358:$D$381),0)),"")</f>
        <v/>
      </c>
      <c r="AQ359" s="5" t="str" cm="1">
        <f t="array" ref="AQ359">IFERROR((SUMPRODUCT(($D$358:$D$381=AQ$356)*($F$355:$AI$355="")*$F$358:$AI$381)+IF(AQ$356="P6",SUMPRODUCT(($F$355:$AI$355="P6")*$F$358:$AI$381),0))/(SUMPRODUCT(($D$358:$D$381=AQ$356)*($F$355:$AI$355=""))+IF(AQ$356="P6",COUNTIF($F$355:$AI$355,"P6")*ROWS($D$358:$D$381),0)),"")</f>
        <v/>
      </c>
      <c r="AR359" s="6" cm="1">
        <f t="array" ref="AR359">IFERROR((SUMPRODUCT(($D$358:$D$381=AR$356)*($F$355:$AI$355="")*$F$358:$AI$381)+IF(AR$356="P6",SUMPRODUCT(($F$355:$AI$355="P6")*$F$358:$AI$381),0))/(SUMPRODUCT(($D$358:$D$381=AR$356)*($F$355:$AI$355=""))+IF(AR$356="P6",COUNTIF($F$355:$AI$355,"P6")*ROWS($D$358:$D$381),0)),"")</f>
        <v>1.046211625</v>
      </c>
    </row>
    <row r="360" spans="1:44" ht="14.25" customHeight="1" x14ac:dyDescent="0.35">
      <c r="A360" s="1" t="s">
        <v>7</v>
      </c>
      <c r="B360" s="1" t="s">
        <v>7</v>
      </c>
      <c r="C360" s="1" t="s">
        <v>15</v>
      </c>
      <c r="D360" s="1" t="s">
        <v>7</v>
      </c>
      <c r="E360" s="1" t="s">
        <v>10</v>
      </c>
      <c r="F360" s="1">
        <v>1.19059</v>
      </c>
      <c r="G360" s="1">
        <v>1.149</v>
      </c>
      <c r="H360" s="1">
        <v>1.16865</v>
      </c>
      <c r="I360" s="1">
        <v>1.1097900000000001</v>
      </c>
      <c r="J360" s="1">
        <v>1.1268400000000001</v>
      </c>
      <c r="K360" s="1">
        <v>1.1356599999999999</v>
      </c>
      <c r="L360" s="1">
        <v>1.12748</v>
      </c>
      <c r="M360" s="1">
        <v>1.12188</v>
      </c>
      <c r="N360" s="1">
        <v>1.149</v>
      </c>
      <c r="O360" s="1">
        <v>1.16865</v>
      </c>
      <c r="P360" s="1">
        <v>1.1097900000000001</v>
      </c>
      <c r="Q360" s="1">
        <v>1.1268400000000001</v>
      </c>
      <c r="R360" s="1">
        <v>1.1356599999999999</v>
      </c>
      <c r="S360" s="1">
        <v>1.12748</v>
      </c>
      <c r="T360" s="1">
        <v>1.12188</v>
      </c>
      <c r="U360" s="1">
        <v>1.149</v>
      </c>
      <c r="V360" s="1">
        <v>1.16865</v>
      </c>
      <c r="W360" s="1">
        <v>1.1097900000000001</v>
      </c>
      <c r="X360" s="1">
        <v>1.1268400000000001</v>
      </c>
      <c r="Y360" s="1">
        <v>1.1356599999999999</v>
      </c>
      <c r="Z360" s="1">
        <v>1.12748</v>
      </c>
      <c r="AA360" s="1">
        <v>1.12188</v>
      </c>
      <c r="AB360" s="1">
        <v>1.149</v>
      </c>
      <c r="AC360" s="1">
        <v>1.16865</v>
      </c>
      <c r="AD360" s="1">
        <v>1.1097900000000001</v>
      </c>
      <c r="AE360" s="1">
        <v>1.1268400000000001</v>
      </c>
      <c r="AF360" s="1">
        <v>1.1356599999999999</v>
      </c>
      <c r="AG360" s="1">
        <v>1.12748</v>
      </c>
      <c r="AH360" s="1">
        <v>1.12188</v>
      </c>
      <c r="AI360" s="1">
        <v>1.149</v>
      </c>
      <c r="AL360" s="4" t="s">
        <v>25</v>
      </c>
      <c r="AM360" s="6" t="str" cm="1">
        <f t="array" ref="AM360">IFERROR((SUMPRODUCT(($D$358:$D$381=AM$356)*($F$355:$AI$355="")*$F$358:$AI$381)+IF(AM$356="P6",SUMPRODUCT(($F$355:$AI$355="P6")*$F$358:$AI$381),0))/(SUMPRODUCT(($D$358:$D$381=AM$356)*($F$355:$AI$355=""))+IF(AM$356="P6",COUNTIF($F$355:$AI$355,"P6")*ROWS($D$358:$D$381),0)),"")</f>
        <v/>
      </c>
      <c r="AN360" s="6" cm="1">
        <f t="array" ref="AN360">IFERROR((SUMPRODUCT(($D$358:$D$381=AN$356)*($F$355:$AI$355="")*$F$358:$AI$381)+IF(AN$356="P6",SUMPRODUCT(($F$355:$AI$355="P6")*$F$358:$AI$381),0))/(SUMPRODUCT(($D$358:$D$381=AN$356)*($F$355:$AI$355=""))+IF(AN$356="P6",COUNTIF($F$355:$AI$355,"P6")*ROWS($D$358:$D$381),0)),"")</f>
        <v>0.96277533333333387</v>
      </c>
      <c r="AO360" s="5" cm="1">
        <f t="array" ref="AO360">IFERROR((SUMPRODUCT(($D$358:$D$381=AO$356)*($F$355:$AI$355="")*$F$358:$AI$381)+IF(AO$356="P6",SUMPRODUCT(($F$355:$AI$355="P6")*$F$358:$AI$381),0))/(SUMPRODUCT(($D$358:$D$381=AO$356)*($F$355:$AI$355=""))+IF(AO$356="P6",COUNTIF($F$355:$AI$355,"P6")*ROWS($D$358:$D$381),0)),"")</f>
        <v>1.0354722857142857</v>
      </c>
      <c r="AP360" s="5" t="str" cm="1">
        <f t="array" ref="AP360">IFERROR((SUMPRODUCT(($D$358:$D$381=AP$356)*($F$355:$AI$355="")*$F$358:$AI$381)+IF(AP$356="P6",SUMPRODUCT(($F$355:$AI$355="P6")*$F$358:$AI$381),0))/(SUMPRODUCT(($D$358:$D$381=AP$356)*($F$355:$AI$355=""))+IF(AP$356="P6",COUNTIF($F$355:$AI$355,"P6")*ROWS($D$358:$D$381),0)),"")</f>
        <v/>
      </c>
      <c r="AQ360" s="5" t="str" cm="1">
        <f t="array" ref="AQ360">IFERROR((SUMPRODUCT(($D$358:$D$381=AQ$356)*($F$355:$AI$355="")*$F$358:$AI$381)+IF(AQ$356="P6",SUMPRODUCT(($F$355:$AI$355="P6")*$F$358:$AI$381),0))/(SUMPRODUCT(($D$358:$D$381=AQ$356)*($F$355:$AI$355=""))+IF(AQ$356="P6",COUNTIF($F$355:$AI$355,"P6")*ROWS($D$358:$D$381),0)),"")</f>
        <v/>
      </c>
      <c r="AR360" s="6" cm="1">
        <f t="array" ref="AR360">IFERROR((SUMPRODUCT(($D$358:$D$381=AR$356)*($F$355:$AI$355="")*$F$358:$AI$381)+IF(AR$356="P6",SUMPRODUCT(($F$355:$AI$355="P6")*$F$358:$AI$381),0))/(SUMPRODUCT(($D$358:$D$381=AR$356)*($F$355:$AI$355=""))+IF(AR$356="P6",COUNTIF($F$355:$AI$355,"P6")*ROWS($D$358:$D$381),0)),"")</f>
        <v>1.046211625</v>
      </c>
    </row>
    <row r="361" spans="1:44" ht="14.25" customHeight="1" x14ac:dyDescent="0.35">
      <c r="A361" s="1" t="s">
        <v>7</v>
      </c>
      <c r="B361" s="1" t="s">
        <v>7</v>
      </c>
      <c r="C361" s="1" t="s">
        <v>15</v>
      </c>
      <c r="D361" s="1" t="s">
        <v>7</v>
      </c>
      <c r="E361" s="1" t="s">
        <v>11</v>
      </c>
      <c r="F361" s="1">
        <v>1.21936</v>
      </c>
      <c r="G361" s="1">
        <v>1.16628</v>
      </c>
      <c r="H361" s="1">
        <v>1.17188</v>
      </c>
      <c r="I361" s="1">
        <v>1.11622</v>
      </c>
      <c r="J361" s="1">
        <v>1.12459</v>
      </c>
      <c r="K361" s="1">
        <v>1.1403099999999999</v>
      </c>
      <c r="L361" s="1">
        <v>1.13202</v>
      </c>
      <c r="M361" s="1">
        <v>1.1456200000000001</v>
      </c>
      <c r="N361" s="1">
        <v>1.16628</v>
      </c>
      <c r="O361" s="1">
        <v>1.17188</v>
      </c>
      <c r="P361" s="1">
        <v>1.11622</v>
      </c>
      <c r="Q361" s="1">
        <v>1.12459</v>
      </c>
      <c r="R361" s="1">
        <v>1.1403099999999999</v>
      </c>
      <c r="S361" s="1">
        <v>1.13202</v>
      </c>
      <c r="T361" s="1">
        <v>1.1456200000000001</v>
      </c>
      <c r="U361" s="1">
        <v>1.16628</v>
      </c>
      <c r="V361" s="1">
        <v>1.17188</v>
      </c>
      <c r="W361" s="1">
        <v>1.11622</v>
      </c>
      <c r="X361" s="1">
        <v>1.12459</v>
      </c>
      <c r="Y361" s="1">
        <v>1.1403099999999999</v>
      </c>
      <c r="Z361" s="1">
        <v>1.13202</v>
      </c>
      <c r="AA361" s="1">
        <v>1.1456200000000001</v>
      </c>
      <c r="AB361" s="1">
        <v>1.16628</v>
      </c>
      <c r="AC361" s="1">
        <v>1.17188</v>
      </c>
      <c r="AD361" s="1">
        <v>1.11622</v>
      </c>
      <c r="AE361" s="1">
        <v>1.12459</v>
      </c>
      <c r="AF361" s="1">
        <v>1.1403099999999999</v>
      </c>
      <c r="AG361" s="1">
        <v>1.13202</v>
      </c>
      <c r="AH361" s="1">
        <v>1.1456200000000001</v>
      </c>
      <c r="AI361" s="1">
        <v>1.16628</v>
      </c>
      <c r="AL361" s="4" t="s">
        <v>27</v>
      </c>
      <c r="AM361" s="6" t="str" cm="1">
        <f t="array" ref="AM361">IFERROR((SUMPRODUCT(($D$358:$D$381=AM$356)*($F$355:$AI$355="")*$F$358:$AI$381)+IF(AM$356="P6",SUMPRODUCT(($F$355:$AI$355="P6")*$F$358:$AI$381),0))/(SUMPRODUCT(($D$358:$D$381=AM$356)*($F$355:$AI$355=""))+IF(AM$356="P6",COUNTIF($F$355:$AI$355,"P6")*ROWS($D$358:$D$381),0)),"")</f>
        <v/>
      </c>
      <c r="AN361" s="6" cm="1">
        <f t="array" ref="AN361">IFERROR((SUMPRODUCT(($D$358:$D$381=AN$356)*($F$355:$AI$355="")*$F$358:$AI$381)+IF(AN$356="P6",SUMPRODUCT(($F$355:$AI$355="P6")*$F$358:$AI$381),0))/(SUMPRODUCT(($D$358:$D$381=AN$356)*($F$355:$AI$355=""))+IF(AN$356="P6",COUNTIF($F$355:$AI$355,"P6")*ROWS($D$358:$D$381),0)),"")</f>
        <v>0.96277533333333387</v>
      </c>
      <c r="AO361" s="5" cm="1">
        <f t="array" ref="AO361">IFERROR((SUMPRODUCT(($D$358:$D$381=AO$356)*($F$355:$AI$355="")*$F$358:$AI$381)+IF(AO$356="P6",SUMPRODUCT(($F$355:$AI$355="P6")*$F$358:$AI$381),0))/(SUMPRODUCT(($D$358:$D$381=AO$356)*($F$355:$AI$355=""))+IF(AO$356="P6",COUNTIF($F$355:$AI$355,"P6")*ROWS($D$358:$D$381),0)),"")</f>
        <v>1.0354722857142857</v>
      </c>
      <c r="AP361" s="5" t="str" cm="1">
        <f t="array" ref="AP361">IFERROR((SUMPRODUCT(($D$358:$D$381=AP$356)*($F$355:$AI$355="")*$F$358:$AI$381)+IF(AP$356="P6",SUMPRODUCT(($F$355:$AI$355="P6")*$F$358:$AI$381),0))/(SUMPRODUCT(($D$358:$D$381=AP$356)*($F$355:$AI$355=""))+IF(AP$356="P6",COUNTIF($F$355:$AI$355,"P6")*ROWS($D$358:$D$381),0)),"")</f>
        <v/>
      </c>
      <c r="AQ361" s="5" t="str" cm="1">
        <f t="array" ref="AQ361">IFERROR((SUMPRODUCT(($D$358:$D$381=AQ$356)*($F$355:$AI$355="")*$F$358:$AI$381)+IF(AQ$356="P6",SUMPRODUCT(($F$355:$AI$355="P6")*$F$358:$AI$381),0))/(SUMPRODUCT(($D$358:$D$381=AQ$356)*($F$355:$AI$355=""))+IF(AQ$356="P6",COUNTIF($F$355:$AI$355,"P6")*ROWS($D$358:$D$381),0)),"")</f>
        <v/>
      </c>
      <c r="AR361" s="6" cm="1">
        <f t="array" ref="AR361">IFERROR((SUMPRODUCT(($D$358:$D$381=AR$356)*($F$355:$AI$355="")*$F$358:$AI$381)+IF(AR$356="P6",SUMPRODUCT(($F$355:$AI$355="P6")*$F$358:$AI$381),0))/(SUMPRODUCT(($D$358:$D$381=AR$356)*($F$355:$AI$355=""))+IF(AR$356="P6",COUNTIF($F$355:$AI$355,"P6")*ROWS($D$358:$D$381),0)),"")</f>
        <v>1.046211625</v>
      </c>
    </row>
    <row r="362" spans="1:44" ht="14.25" customHeight="1" x14ac:dyDescent="0.35">
      <c r="A362" s="1" t="s">
        <v>7</v>
      </c>
      <c r="B362" s="1" t="s">
        <v>7</v>
      </c>
      <c r="C362" s="1" t="s">
        <v>15</v>
      </c>
      <c r="D362" s="1" t="s">
        <v>7</v>
      </c>
      <c r="E362" s="1" t="s">
        <v>12</v>
      </c>
      <c r="F362" s="1">
        <v>1.2155100000000001</v>
      </c>
      <c r="G362" s="1">
        <v>1.17302</v>
      </c>
      <c r="H362" s="1">
        <v>1.1615599999999999</v>
      </c>
      <c r="I362" s="1">
        <v>1.12514</v>
      </c>
      <c r="J362" s="1">
        <v>1.1147100000000001</v>
      </c>
      <c r="K362" s="1">
        <v>1.13056</v>
      </c>
      <c r="L362" s="1">
        <v>1.1227199999999999</v>
      </c>
      <c r="M362" s="1">
        <v>1.1450800000000001</v>
      </c>
      <c r="N362" s="1">
        <v>1.17302</v>
      </c>
      <c r="O362" s="1">
        <v>1.1615599999999999</v>
      </c>
      <c r="P362" s="1">
        <v>1.12514</v>
      </c>
      <c r="Q362" s="1">
        <v>1.1147100000000001</v>
      </c>
      <c r="R362" s="1">
        <v>1.13056</v>
      </c>
      <c r="S362" s="1">
        <v>1.1227199999999999</v>
      </c>
      <c r="T362" s="1">
        <v>1.1450800000000001</v>
      </c>
      <c r="U362" s="1">
        <v>1.17302</v>
      </c>
      <c r="V362" s="1">
        <v>1.1615599999999999</v>
      </c>
      <c r="W362" s="1">
        <v>1.12514</v>
      </c>
      <c r="X362" s="1">
        <v>1.1147100000000001</v>
      </c>
      <c r="Y362" s="1">
        <v>1.13056</v>
      </c>
      <c r="Z362" s="1">
        <v>1.1227199999999999</v>
      </c>
      <c r="AA362" s="1">
        <v>1.1450800000000001</v>
      </c>
      <c r="AB362" s="1">
        <v>1.17302</v>
      </c>
      <c r="AC362" s="1">
        <v>1.1615599999999999</v>
      </c>
      <c r="AD362" s="1">
        <v>1.12514</v>
      </c>
      <c r="AE362" s="1">
        <v>1.1147100000000001</v>
      </c>
      <c r="AF362" s="1">
        <v>1.13056</v>
      </c>
      <c r="AG362" s="1">
        <v>1.1227199999999999</v>
      </c>
      <c r="AH362" s="1">
        <v>1.1450800000000001</v>
      </c>
      <c r="AI362" s="1">
        <v>1.17302</v>
      </c>
      <c r="AL362" s="4" t="s">
        <v>29</v>
      </c>
      <c r="AM362" s="6" t="str" cm="1">
        <f t="array" ref="AM362">IFERROR((SUMPRODUCT(($D$358:$D$381=AM$356)*($F$355:$AI$355="")*$F$358:$AI$381)+IF(AM$356="P6",SUMPRODUCT(($F$355:$AI$355="P6")*$F$358:$AI$381),0))/(SUMPRODUCT(($D$358:$D$381=AM$356)*($F$355:$AI$355=""))+IF(AM$356="P6",COUNTIF($F$355:$AI$355,"P6")*ROWS($D$358:$D$381),0)),"")</f>
        <v/>
      </c>
      <c r="AN362" s="6" cm="1">
        <f t="array" ref="AN362">IFERROR((SUMPRODUCT(($D$358:$D$381=AN$356)*($F$355:$AI$355="")*$F$358:$AI$381)+IF(AN$356="P6",SUMPRODUCT(($F$355:$AI$355="P6")*$F$358:$AI$381),0))/(SUMPRODUCT(($D$358:$D$381=AN$356)*($F$355:$AI$355=""))+IF(AN$356="P6",COUNTIF($F$355:$AI$355,"P6")*ROWS($D$358:$D$381),0)),"")</f>
        <v>0.96277533333333387</v>
      </c>
      <c r="AO362" s="5" cm="1">
        <f t="array" ref="AO362">IFERROR((SUMPRODUCT(($D$358:$D$381=AO$356)*($F$355:$AI$355="")*$F$358:$AI$381)+IF(AO$356="P6",SUMPRODUCT(($F$355:$AI$355="P6")*$F$358:$AI$381),0))/(SUMPRODUCT(($D$358:$D$381=AO$356)*($F$355:$AI$355=""))+IF(AO$356="P6",COUNTIF($F$355:$AI$355,"P6")*ROWS($D$358:$D$381),0)),"")</f>
        <v>1.0354722857142857</v>
      </c>
      <c r="AP362" s="5" t="str" cm="1">
        <f t="array" ref="AP362">IFERROR((SUMPRODUCT(($D$358:$D$381=AP$356)*($F$355:$AI$355="")*$F$358:$AI$381)+IF(AP$356="P6",SUMPRODUCT(($F$355:$AI$355="P6")*$F$358:$AI$381),0))/(SUMPRODUCT(($D$358:$D$381=AP$356)*($F$355:$AI$355=""))+IF(AP$356="P6",COUNTIF($F$355:$AI$355,"P6")*ROWS($D$358:$D$381),0)),"")</f>
        <v/>
      </c>
      <c r="AQ362" s="5" t="str" cm="1">
        <f t="array" ref="AQ362">IFERROR((SUMPRODUCT(($D$358:$D$381=AQ$356)*($F$355:$AI$355="")*$F$358:$AI$381)+IF(AQ$356="P6",SUMPRODUCT(($F$355:$AI$355="P6")*$F$358:$AI$381),0))/(SUMPRODUCT(($D$358:$D$381=AQ$356)*($F$355:$AI$355=""))+IF(AQ$356="P6",COUNTIF($F$355:$AI$355,"P6")*ROWS($D$358:$D$381),0)),"")</f>
        <v/>
      </c>
      <c r="AR362" s="6" cm="1">
        <f t="array" ref="AR362">IFERROR((SUMPRODUCT(($D$358:$D$381=AR$356)*($F$355:$AI$355="")*$F$358:$AI$381)+IF(AR$356="P6",SUMPRODUCT(($F$355:$AI$355="P6")*$F$358:$AI$381),0))/(SUMPRODUCT(($D$358:$D$381=AR$356)*($F$355:$AI$355=""))+IF(AR$356="P6",COUNTIF($F$355:$AI$355,"P6")*ROWS($D$358:$D$381),0)),"")</f>
        <v>1.046211625</v>
      </c>
    </row>
    <row r="363" spans="1:44" ht="14.25" customHeight="1" x14ac:dyDescent="0.35">
      <c r="A363" s="1" t="s">
        <v>7</v>
      </c>
      <c r="B363" s="1" t="s">
        <v>7</v>
      </c>
      <c r="C363" s="1" t="s">
        <v>15</v>
      </c>
      <c r="D363" s="1" t="s">
        <v>7</v>
      </c>
      <c r="E363" s="1" t="s">
        <v>18</v>
      </c>
      <c r="F363" s="1">
        <v>1.19682</v>
      </c>
      <c r="G363" s="1">
        <v>1.15601</v>
      </c>
      <c r="H363" s="1">
        <v>1.1114299999999999</v>
      </c>
      <c r="I363" s="1">
        <v>1.0906800000000001</v>
      </c>
      <c r="J363" s="1">
        <v>1.0812600000000001</v>
      </c>
      <c r="K363" s="1">
        <v>1.1098699999999999</v>
      </c>
      <c r="L363" s="1">
        <v>1.0904199999999999</v>
      </c>
      <c r="M363" s="1">
        <v>1.1492199999999999</v>
      </c>
      <c r="N363" s="1">
        <v>1.15601</v>
      </c>
      <c r="O363" s="1">
        <v>1.1114299999999999</v>
      </c>
      <c r="P363" s="1">
        <v>1.0906800000000001</v>
      </c>
      <c r="Q363" s="1">
        <v>1.0812600000000001</v>
      </c>
      <c r="R363" s="1">
        <v>1.1098699999999999</v>
      </c>
      <c r="S363" s="1">
        <v>1.0904199999999999</v>
      </c>
      <c r="T363" s="1">
        <v>1.1492199999999999</v>
      </c>
      <c r="U363" s="1">
        <v>1.15601</v>
      </c>
      <c r="V363" s="1">
        <v>1.1114299999999999</v>
      </c>
      <c r="W363" s="1">
        <v>1.0906800000000001</v>
      </c>
      <c r="X363" s="1">
        <v>1.0812600000000001</v>
      </c>
      <c r="Y363" s="1">
        <v>1.1098699999999999</v>
      </c>
      <c r="Z363" s="1">
        <v>1.0904199999999999</v>
      </c>
      <c r="AA363" s="1">
        <v>1.1492199999999999</v>
      </c>
      <c r="AB363" s="1">
        <v>1.15601</v>
      </c>
      <c r="AC363" s="1">
        <v>1.1114299999999999</v>
      </c>
      <c r="AD363" s="1">
        <v>1.0906800000000001</v>
      </c>
      <c r="AE363" s="1">
        <v>1.0812600000000001</v>
      </c>
      <c r="AF363" s="1">
        <v>1.1098699999999999</v>
      </c>
      <c r="AG363" s="1">
        <v>1.0904199999999999</v>
      </c>
      <c r="AH363" s="1">
        <v>1.1492199999999999</v>
      </c>
      <c r="AI363" s="1">
        <v>1.15601</v>
      </c>
      <c r="AL363" s="10"/>
      <c r="AM363" s="10"/>
      <c r="AN363" s="10"/>
      <c r="AO363" s="10"/>
      <c r="AP363" s="10"/>
      <c r="AQ363" s="10"/>
      <c r="AR363" s="10"/>
    </row>
    <row r="364" spans="1:44" ht="14.25" customHeight="1" x14ac:dyDescent="0.35">
      <c r="A364" s="1" t="s">
        <v>7</v>
      </c>
      <c r="B364" s="1" t="s">
        <v>7</v>
      </c>
      <c r="C364" s="1" t="s">
        <v>15</v>
      </c>
      <c r="D364" s="1" t="s">
        <v>7</v>
      </c>
      <c r="E364" s="1" t="s">
        <v>20</v>
      </c>
      <c r="F364" s="1">
        <v>1.16594</v>
      </c>
      <c r="G364" s="1">
        <v>1.11358</v>
      </c>
      <c r="H364" s="1">
        <v>0.98985000000000001</v>
      </c>
      <c r="I364" s="1">
        <v>0.98784000000000005</v>
      </c>
      <c r="J364" s="1">
        <v>0.99678999999999995</v>
      </c>
      <c r="K364" s="1">
        <v>1.0020199999999999</v>
      </c>
      <c r="L364" s="1">
        <v>0.99938000000000005</v>
      </c>
      <c r="M364" s="1">
        <v>1.0894200000000001</v>
      </c>
      <c r="N364" s="1">
        <v>1.11358</v>
      </c>
      <c r="O364" s="1">
        <v>0.98985000000000001</v>
      </c>
      <c r="P364" s="1">
        <v>0.98784000000000005</v>
      </c>
      <c r="Q364" s="1">
        <v>0.99678999999999995</v>
      </c>
      <c r="R364" s="1">
        <v>1.0020199999999999</v>
      </c>
      <c r="S364" s="1">
        <v>0.99938000000000005</v>
      </c>
      <c r="T364" s="1">
        <v>1.0894200000000001</v>
      </c>
      <c r="U364" s="1">
        <v>1.11358</v>
      </c>
      <c r="V364" s="1">
        <v>0.98985000000000001</v>
      </c>
      <c r="W364" s="1">
        <v>0.98784000000000005</v>
      </c>
      <c r="X364" s="1">
        <v>0.99678999999999995</v>
      </c>
      <c r="Y364" s="1">
        <v>1.0020199999999999</v>
      </c>
      <c r="Z364" s="1">
        <v>0.99938000000000005</v>
      </c>
      <c r="AA364" s="1">
        <v>1.0894200000000001</v>
      </c>
      <c r="AB364" s="1">
        <v>1.11358</v>
      </c>
      <c r="AC364" s="1">
        <v>0.98985000000000001</v>
      </c>
      <c r="AD364" s="1">
        <v>0.98784000000000005</v>
      </c>
      <c r="AE364" s="1">
        <v>0.99678999999999995</v>
      </c>
      <c r="AF364" s="1">
        <v>1.0020199999999999</v>
      </c>
      <c r="AG364" s="1">
        <v>0.99938000000000005</v>
      </c>
      <c r="AH364" s="1">
        <v>1.0894200000000001</v>
      </c>
      <c r="AI364" s="1">
        <v>1.11358</v>
      </c>
      <c r="AL364" s="10"/>
      <c r="AM364" s="10"/>
      <c r="AN364" s="10"/>
      <c r="AO364" s="10"/>
      <c r="AP364" s="10"/>
      <c r="AQ364" s="10"/>
      <c r="AR364" s="10"/>
    </row>
    <row r="365" spans="1:44" ht="14.25" customHeight="1" x14ac:dyDescent="0.35">
      <c r="A365" s="1" t="s">
        <v>7</v>
      </c>
      <c r="B365" s="1" t="s">
        <v>7</v>
      </c>
      <c r="C365" s="1" t="s">
        <v>15</v>
      </c>
      <c r="D365" s="1" t="s">
        <v>7</v>
      </c>
      <c r="E365" s="1" t="s">
        <v>22</v>
      </c>
      <c r="F365" s="1">
        <v>1.1321000000000001</v>
      </c>
      <c r="G365" s="1">
        <v>1.0768200000000001</v>
      </c>
      <c r="H365" s="1">
        <v>0.89749000000000001</v>
      </c>
      <c r="I365" s="1">
        <v>0.90627000000000002</v>
      </c>
      <c r="J365" s="1">
        <v>0.92832000000000003</v>
      </c>
      <c r="K365" s="1">
        <v>0.92959000000000003</v>
      </c>
      <c r="L365" s="1">
        <v>0.92120000000000002</v>
      </c>
      <c r="M365" s="1">
        <v>1.0344599999999999</v>
      </c>
      <c r="N365" s="1">
        <v>1.0768200000000001</v>
      </c>
      <c r="O365" s="1">
        <v>0.89749000000000001</v>
      </c>
      <c r="P365" s="1">
        <v>0.90627000000000002</v>
      </c>
      <c r="Q365" s="1">
        <v>0.92832000000000003</v>
      </c>
      <c r="R365" s="1">
        <v>0.92959000000000003</v>
      </c>
      <c r="S365" s="1">
        <v>0.92120000000000002</v>
      </c>
      <c r="T365" s="1">
        <v>1.0344599999999999</v>
      </c>
      <c r="U365" s="1">
        <v>1.0768200000000001</v>
      </c>
      <c r="V365" s="1">
        <v>0.89749000000000001</v>
      </c>
      <c r="W365" s="1">
        <v>0.90627000000000002</v>
      </c>
      <c r="X365" s="1">
        <v>0.92832000000000003</v>
      </c>
      <c r="Y365" s="1">
        <v>0.92959000000000003</v>
      </c>
      <c r="Z365" s="1">
        <v>0.92120000000000002</v>
      </c>
      <c r="AA365" s="1">
        <v>1.0344599999999999</v>
      </c>
      <c r="AB365" s="1">
        <v>1.0768200000000001</v>
      </c>
      <c r="AC365" s="1">
        <v>0.89749000000000001</v>
      </c>
      <c r="AD365" s="1">
        <v>0.90627000000000002</v>
      </c>
      <c r="AE365" s="1">
        <v>0.92832000000000003</v>
      </c>
      <c r="AF365" s="1">
        <v>0.92959000000000003</v>
      </c>
      <c r="AG365" s="1">
        <v>0.92120000000000002</v>
      </c>
      <c r="AH365" s="1">
        <v>1.0344599999999999</v>
      </c>
      <c r="AI365" s="1">
        <v>1.0768200000000001</v>
      </c>
      <c r="AL365" s="14" t="s">
        <v>109</v>
      </c>
      <c r="AM365" s="14"/>
      <c r="AN365" s="14"/>
      <c r="AO365" s="14"/>
      <c r="AP365" s="14"/>
      <c r="AQ365" s="14"/>
      <c r="AR365" s="14"/>
    </row>
    <row r="366" spans="1:44" ht="14.25" customHeight="1" x14ac:dyDescent="0.35">
      <c r="A366" s="1" t="s">
        <v>15</v>
      </c>
      <c r="B366" s="1" t="s">
        <v>17</v>
      </c>
      <c r="C366" s="1" t="s">
        <v>14</v>
      </c>
      <c r="D366" s="1" t="s">
        <v>15</v>
      </c>
      <c r="E366" s="1" t="s">
        <v>24</v>
      </c>
      <c r="F366" s="1">
        <v>1.0414600000000001</v>
      </c>
      <c r="G366" s="1">
        <v>1.04528</v>
      </c>
      <c r="H366" s="1">
        <v>0.97243999999999997</v>
      </c>
      <c r="I366" s="1">
        <v>0.97297</v>
      </c>
      <c r="J366" s="1">
        <v>1.0143899999999999</v>
      </c>
      <c r="K366" s="1">
        <v>1.0137100000000001</v>
      </c>
      <c r="L366" s="1">
        <v>0.99946000000000002</v>
      </c>
      <c r="M366" s="1">
        <v>0.98404999999999998</v>
      </c>
      <c r="N366" s="1">
        <v>1.04528</v>
      </c>
      <c r="O366" s="1">
        <v>0.97243999999999997</v>
      </c>
      <c r="P366" s="1">
        <v>0.97297</v>
      </c>
      <c r="Q366" s="1">
        <v>1.0143899999999999</v>
      </c>
      <c r="R366" s="1">
        <v>1.0137100000000001</v>
      </c>
      <c r="S366" s="1">
        <v>0.99946000000000002</v>
      </c>
      <c r="T366" s="1">
        <v>0.98404999999999998</v>
      </c>
      <c r="U366" s="1">
        <v>1.04528</v>
      </c>
      <c r="V366" s="1">
        <v>0.97243999999999997</v>
      </c>
      <c r="W366" s="1">
        <v>0.97297</v>
      </c>
      <c r="X366" s="1">
        <v>1.0143899999999999</v>
      </c>
      <c r="Y366" s="1">
        <v>1.0137100000000001</v>
      </c>
      <c r="Z366" s="1">
        <v>0.99946000000000002</v>
      </c>
      <c r="AA366" s="1">
        <v>0.98404999999999998</v>
      </c>
      <c r="AB366" s="1">
        <v>1.04528</v>
      </c>
      <c r="AC366" s="1">
        <v>0.97243999999999997</v>
      </c>
      <c r="AD366" s="1">
        <v>0.97297</v>
      </c>
      <c r="AE366" s="1">
        <v>1.0143899999999999</v>
      </c>
      <c r="AF366" s="1">
        <v>1.0137100000000001</v>
      </c>
      <c r="AG366" s="1">
        <v>0.99946000000000002</v>
      </c>
      <c r="AH366" s="1">
        <v>0.98404999999999998</v>
      </c>
      <c r="AI366" s="1">
        <v>1.04528</v>
      </c>
      <c r="AL366" s="4"/>
      <c r="AM366" s="4" t="s">
        <v>13</v>
      </c>
      <c r="AN366" s="4" t="s">
        <v>14</v>
      </c>
      <c r="AO366" s="4" t="s">
        <v>15</v>
      </c>
      <c r="AP366" s="4" t="s">
        <v>16</v>
      </c>
      <c r="AQ366" s="4" t="s">
        <v>17</v>
      </c>
      <c r="AR366" s="4" t="s">
        <v>7</v>
      </c>
    </row>
    <row r="367" spans="1:44" ht="14.25" customHeight="1" x14ac:dyDescent="0.35">
      <c r="A367" s="1" t="s">
        <v>15</v>
      </c>
      <c r="B367" s="1" t="s">
        <v>17</v>
      </c>
      <c r="C367" s="1" t="s">
        <v>14</v>
      </c>
      <c r="D367" s="1" t="s">
        <v>14</v>
      </c>
      <c r="E367" s="1" t="s">
        <v>26</v>
      </c>
      <c r="F367" s="1">
        <v>0.91056000000000004</v>
      </c>
      <c r="G367" s="1">
        <v>0.99133000000000004</v>
      </c>
      <c r="H367" s="1">
        <v>0.90019000000000005</v>
      </c>
      <c r="I367" s="1">
        <v>0.87441999999999998</v>
      </c>
      <c r="J367" s="1">
        <v>0.93535000000000001</v>
      </c>
      <c r="K367" s="1">
        <v>0.94147999999999998</v>
      </c>
      <c r="L367" s="1">
        <v>0.91844000000000003</v>
      </c>
      <c r="M367" s="1">
        <v>0.90634999999999999</v>
      </c>
      <c r="N367" s="1">
        <v>0.99133000000000004</v>
      </c>
      <c r="O367" s="1">
        <v>0.90019000000000005</v>
      </c>
      <c r="P367" s="1">
        <v>0.87441999999999998</v>
      </c>
      <c r="Q367" s="1">
        <v>0.93535000000000001</v>
      </c>
      <c r="R367" s="1">
        <v>0.94147999999999998</v>
      </c>
      <c r="S367" s="1">
        <v>0.91844000000000003</v>
      </c>
      <c r="T367" s="1">
        <v>0.90634999999999999</v>
      </c>
      <c r="U367" s="1">
        <v>0.99133000000000004</v>
      </c>
      <c r="V367" s="1">
        <v>0.90019000000000005</v>
      </c>
      <c r="W367" s="1">
        <v>0.87441999999999998</v>
      </c>
      <c r="X367" s="1">
        <v>0.93535000000000001</v>
      </c>
      <c r="Y367" s="1">
        <v>0.94147999999999998</v>
      </c>
      <c r="Z367" s="1">
        <v>0.91844000000000003</v>
      </c>
      <c r="AA367" s="1">
        <v>0.90634999999999999</v>
      </c>
      <c r="AB367" s="1">
        <v>0.99133000000000004</v>
      </c>
      <c r="AC367" s="1">
        <v>0.90019000000000005</v>
      </c>
      <c r="AD367" s="1">
        <v>0.87441999999999998</v>
      </c>
      <c r="AE367" s="1">
        <v>0.93535000000000001</v>
      </c>
      <c r="AF367" s="1">
        <v>0.94147999999999998</v>
      </c>
      <c r="AG367" s="1">
        <v>0.91844000000000003</v>
      </c>
      <c r="AH367" s="1">
        <v>0.90634999999999999</v>
      </c>
      <c r="AI367" s="1">
        <v>0.99133000000000004</v>
      </c>
      <c r="AL367" s="4" t="s">
        <v>19</v>
      </c>
      <c r="AM367" s="6" cm="1">
        <f t="array" ref="AM367">IFERROR((SUMPRODUCT(($C$358:$C$381=AM$356)*($F$354:$AI$354="")*$F$358:$AI$381)+IF(AM$356="P3",SUMPRODUCT(($F$354:$AI$354="P3")*$F$358:$AI$381),0))/(SUMPRODUCT(($C$358:$C$381=AM$356)*($F$354:$AI$354=""))+IF(AM$356="P3",COUNTIF($F$354:$AI$354,"P3")*ROWS($C$358:$C$381),0)),"")</f>
        <v>0.96887525000000063</v>
      </c>
      <c r="AN367" s="6" cm="1">
        <f t="array" ref="AN367">IFERROR((SUMPRODUCT(($C$358:$C$381=AN$356)*($F$354:$AI$354="")*$F$358:$AI$381)+IF(AN$356="P3",SUMPRODUCT(($F$354:$AI$354="P3")*$F$358:$AI$381),0))/(SUMPRODUCT(($C$358:$C$381=AN$356)*($F$354:$AI$354=""))+IF(AN$356="P3",COUNTIF($F$354:$AI$354,"P3")*ROWS($C$358:$C$381),0)),"")</f>
        <v>1.0202852500000004</v>
      </c>
      <c r="AO367" s="6" cm="1">
        <f t="array" ref="AO367">IFERROR((SUMPRODUCT(($C$358:$C$381=AO$356)*($F$354:$AI$354="")*$F$358:$AI$381)+IF(AO$356="P3",SUMPRODUCT(($F$354:$AI$354="P3")*$F$358:$AI$381),0))/(SUMPRODUCT(($C$358:$C$381=AO$356)*($F$354:$AI$354=""))+IF(AO$356="P3",COUNTIF($F$354:$AI$354,"P3")*ROWS($C$358:$C$381),0)),"")</f>
        <v>1.046211625</v>
      </c>
      <c r="AP367" s="6" t="str" cm="1">
        <f t="array" ref="AP367">IFERROR((SUMPRODUCT(($C$358:$C$381=AP$356)*($F$354:$AI$354="")*$F$358:$AI$381)+IF(AP$356="P3",SUMPRODUCT(($F$354:$AI$354="P3")*$F$358:$AI$381),0))/(SUMPRODUCT(($C$358:$C$381=AP$356)*($F$354:$AI$354=""))+IF(AP$356="P3",COUNTIF($F$354:$AI$354,"P3")*ROWS($C$358:$C$381),0)),"")</f>
        <v/>
      </c>
      <c r="AQ367" s="6" t="str" cm="1">
        <f t="array" ref="AQ367">IFERROR((SUMPRODUCT(($C$358:$C$381=AQ$356)*($F$354:$AI$354="")*$F$358:$AI$381)+IF(AQ$356="P3",SUMPRODUCT(($F$354:$AI$354="P3")*$F$358:$AI$381),0))/(SUMPRODUCT(($C$358:$C$381=AQ$356)*($F$354:$AI$354=""))+IF(AQ$356="P3",COUNTIF($F$354:$AI$354,"P3")*ROWS($C$358:$C$381),0)),"")</f>
        <v/>
      </c>
      <c r="AR367" s="6" t="str" cm="1">
        <f t="array" ref="AR367">IFERROR((SUMPRODUCT(($C$358:$C$381=AR$356)*($F$354:$AI$354="")*$F$358:$AI$381)+IF(AR$356="P3",SUMPRODUCT(($F$354:$AI$354="P3")*$F$358:$AI$381),0))/(SUMPRODUCT(($C$358:$C$381=AR$356)*($F$354:$AI$354=""))+IF(AR$356="P3",COUNTIF($F$354:$AI$354,"P3")*ROWS($C$358:$C$381),0)),"")</f>
        <v/>
      </c>
    </row>
    <row r="368" spans="1:44" ht="14.25" customHeight="1" x14ac:dyDescent="0.35">
      <c r="A368" s="1" t="s">
        <v>14</v>
      </c>
      <c r="B368" s="1" t="s">
        <v>16</v>
      </c>
      <c r="C368" s="1" t="s">
        <v>13</v>
      </c>
      <c r="D368" s="1" t="s">
        <v>14</v>
      </c>
      <c r="E368" s="1" t="s">
        <v>28</v>
      </c>
      <c r="F368" s="1">
        <v>0.86319999999999997</v>
      </c>
      <c r="G368" s="1">
        <v>0.95628000000000002</v>
      </c>
      <c r="H368" s="1">
        <v>0.85436999999999996</v>
      </c>
      <c r="I368" s="1">
        <v>0.84419999999999995</v>
      </c>
      <c r="J368" s="1">
        <v>0.93037000000000003</v>
      </c>
      <c r="K368" s="1">
        <v>0.92186000000000001</v>
      </c>
      <c r="L368" s="1">
        <v>0.88119000000000003</v>
      </c>
      <c r="M368" s="1">
        <v>0.86743999999999999</v>
      </c>
      <c r="N368" s="1">
        <v>0.95628000000000002</v>
      </c>
      <c r="O368" s="1">
        <v>0.85436999999999996</v>
      </c>
      <c r="P368" s="1">
        <v>0.84419999999999995</v>
      </c>
      <c r="Q368" s="1">
        <v>0.93037000000000003</v>
      </c>
      <c r="R368" s="1">
        <v>0.92186000000000001</v>
      </c>
      <c r="S368" s="1">
        <v>0.88119000000000003</v>
      </c>
      <c r="T368" s="1">
        <v>0.86743999999999999</v>
      </c>
      <c r="U368" s="1">
        <v>0.95628000000000002</v>
      </c>
      <c r="V368" s="1">
        <v>0.85436999999999996</v>
      </c>
      <c r="W368" s="1">
        <v>0.84419999999999995</v>
      </c>
      <c r="X368" s="1">
        <v>0.93037000000000003</v>
      </c>
      <c r="Y368" s="1">
        <v>0.92186000000000001</v>
      </c>
      <c r="Z368" s="1">
        <v>0.88119000000000003</v>
      </c>
      <c r="AA368" s="1">
        <v>0.86743999999999999</v>
      </c>
      <c r="AB368" s="1">
        <v>0.95628000000000002</v>
      </c>
      <c r="AC368" s="1">
        <v>0.85436999999999996</v>
      </c>
      <c r="AD368" s="1">
        <v>0.84419999999999995</v>
      </c>
      <c r="AE368" s="1">
        <v>0.93037000000000003</v>
      </c>
      <c r="AF368" s="1">
        <v>0.92186000000000001</v>
      </c>
      <c r="AG368" s="1">
        <v>0.88119000000000003</v>
      </c>
      <c r="AH368" s="1">
        <v>0.86743999999999999</v>
      </c>
      <c r="AI368" s="1">
        <v>0.95628000000000002</v>
      </c>
      <c r="AL368" s="4" t="s">
        <v>21</v>
      </c>
      <c r="AM368" s="6" t="str" cm="1">
        <f t="array" ref="AM368">IFERROR((SUMPRODUCT(($A$358:$A$381=AM$356)*($F$355:$AI$355="")*$F$358:$AI$381)+IF(AM$356="P6",SUMPRODUCT(($F$355:$AI$355="P6")*$F$358:$AI$381),0))/(SUMPRODUCT(($A$358:$A$381=AM$356)*($F$355:$AI$355=""))+IF(AM$356="P6",COUNTIF($F$355:$AI$355,"P6")*ROWS($A$358:$A$381),0)),"")</f>
        <v/>
      </c>
      <c r="AN368" s="6" cm="1">
        <f t="array" ref="AN368">IFERROR((SUMPRODUCT(($A$358:$A$381=AN$356)*($F$355:$AI$355="")*$F$358:$AI$381)+IF(AN$356="P6",SUMPRODUCT(($F$355:$AI$355="P6")*$F$358:$AI$381),0))/(SUMPRODUCT(($A$358:$A$381=AN$356)*($F$355:$AI$355=""))+IF(AN$356="P6",COUNTIF($F$355:$AI$355,"P6")*ROWS($A$358:$A$381),0)),"")</f>
        <v>0.96523044444444506</v>
      </c>
      <c r="AO368" s="6" cm="1">
        <f t="array" ref="AO368">IFERROR((SUMPRODUCT(($A$358:$A$381=AO$356)*($F$355:$AI$355="")*$F$358:$AI$381)+IF(AO$356="P6",SUMPRODUCT(($F$355:$AI$355="P6")*$F$358:$AI$381),0))/(SUMPRODUCT(($A$358:$A$381=AO$356)*($F$355:$AI$355=""))+IF(AO$356="P6",COUNTIF($F$355:$AI$355,"P6")*ROWS($A$358:$A$381),0)),"")</f>
        <v>1.0323157142857142</v>
      </c>
      <c r="AP368" s="6" t="str" cm="1">
        <f t="array" ref="AP368">IFERROR((SUMPRODUCT(($A$358:$A$381=AP$356)*($F$355:$AI$355="")*$F$358:$AI$381)+IF(AP$356="P6",SUMPRODUCT(($F$355:$AI$355="P6")*$F$358:$AI$381),0))/(SUMPRODUCT(($A$358:$A$381=AP$356)*($F$355:$AI$355=""))+IF(AP$356="P6",COUNTIF($F$355:$AI$355,"P6")*ROWS($A$358:$A$381),0)),"")</f>
        <v/>
      </c>
      <c r="AQ368" s="6" t="str" cm="1">
        <f t="array" ref="AQ368">IFERROR((SUMPRODUCT(($A$358:$A$381=AQ$356)*($F$355:$AI$355="")*$F$358:$AI$381)+IF(AQ$356="P6",SUMPRODUCT(($F$355:$AI$355="P6")*$F$358:$AI$381),0))/(SUMPRODUCT(($A$358:$A$381=AQ$356)*($F$355:$AI$355=""))+IF(AQ$356="P6",COUNTIF($F$355:$AI$355,"P6")*ROWS($A$358:$A$381),0)),"")</f>
        <v/>
      </c>
      <c r="AR368" s="6" cm="1">
        <f t="array" ref="AR368">IFERROR((SUMPRODUCT(($A$358:$A$381=AR$356)*($F$355:$AI$355="")*$F$358:$AI$381)+IF(AR$356="P6",SUMPRODUCT(($F$355:$AI$355="P6")*$F$358:$AI$381),0))/(SUMPRODUCT(($A$358:$A$381=AR$356)*($F$355:$AI$355=""))+IF(AR$356="P6",COUNTIF($F$355:$AI$355,"P6")*ROWS($A$358:$A$381),0)),"")</f>
        <v>1.046211625</v>
      </c>
    </row>
    <row r="369" spans="1:44" ht="14.25" customHeight="1" x14ac:dyDescent="0.35">
      <c r="A369" s="1" t="s">
        <v>14</v>
      </c>
      <c r="B369" s="1" t="s">
        <v>16</v>
      </c>
      <c r="C369" s="1" t="s">
        <v>13</v>
      </c>
      <c r="D369" s="1" t="s">
        <v>14</v>
      </c>
      <c r="E369" s="1" t="s">
        <v>30</v>
      </c>
      <c r="F369" s="1">
        <v>0.84950000000000003</v>
      </c>
      <c r="G369" s="1">
        <v>0.91483000000000003</v>
      </c>
      <c r="H369" s="1">
        <v>0.84408000000000005</v>
      </c>
      <c r="I369" s="1">
        <v>0.83147000000000004</v>
      </c>
      <c r="J369" s="1">
        <v>0.92601999999999995</v>
      </c>
      <c r="K369" s="1">
        <v>0.91329000000000005</v>
      </c>
      <c r="L369" s="1">
        <v>0.87822</v>
      </c>
      <c r="M369" s="1">
        <v>0.86809000000000003</v>
      </c>
      <c r="N369" s="1">
        <v>0.91483000000000003</v>
      </c>
      <c r="O369" s="1">
        <v>0.84408000000000005</v>
      </c>
      <c r="P369" s="1">
        <v>0.83147000000000004</v>
      </c>
      <c r="Q369" s="1">
        <v>0.92601999999999995</v>
      </c>
      <c r="R369" s="1">
        <v>0.91329000000000005</v>
      </c>
      <c r="S369" s="1">
        <v>0.87822</v>
      </c>
      <c r="T369" s="1">
        <v>0.86809000000000003</v>
      </c>
      <c r="U369" s="1">
        <v>0.91483000000000003</v>
      </c>
      <c r="V369" s="1">
        <v>0.84408000000000005</v>
      </c>
      <c r="W369" s="1">
        <v>0.83147000000000004</v>
      </c>
      <c r="X369" s="1">
        <v>0.92601999999999995</v>
      </c>
      <c r="Y369" s="1">
        <v>0.91329000000000005</v>
      </c>
      <c r="Z369" s="1">
        <v>0.87822</v>
      </c>
      <c r="AA369" s="1">
        <v>0.86809000000000003</v>
      </c>
      <c r="AB369" s="1">
        <v>0.91483000000000003</v>
      </c>
      <c r="AC369" s="1">
        <v>0.84408000000000005</v>
      </c>
      <c r="AD369" s="1">
        <v>0.83147000000000004</v>
      </c>
      <c r="AE369" s="1">
        <v>0.92601999999999995</v>
      </c>
      <c r="AF369" s="1">
        <v>0.91329000000000005</v>
      </c>
      <c r="AG369" s="1">
        <v>0.87822</v>
      </c>
      <c r="AH369" s="1">
        <v>0.86809000000000003</v>
      </c>
      <c r="AI369" s="1">
        <v>0.91483000000000003</v>
      </c>
      <c r="AL369" s="4" t="s">
        <v>23</v>
      </c>
      <c r="AM369" s="6" t="str" cm="1">
        <f t="array" ref="AM369">IFERROR((SUMPRODUCT(($A$358:$A$381=AM$356)*($F$355:$AI$355="")*$F$358:$AI$381)+IF(AM$356="P6",SUMPRODUCT(($F$355:$AI$355="P6")*$F$358:$AI$381),0))/(SUMPRODUCT(($A$358:$A$381=AM$356)*($F$355:$AI$355=""))+IF(AM$356="P6",COUNTIF($F$355:$AI$355,"P6")*ROWS($A$358:$A$381),0)),"")</f>
        <v/>
      </c>
      <c r="AN369" s="6" cm="1">
        <f t="array" ref="AN369">IFERROR((SUMPRODUCT(($A$358:$A$381=AN$356)*($F$355:$AI$355="")*$F$358:$AI$381)+IF(AN$356="P6",SUMPRODUCT(($F$355:$AI$355="P6")*$F$358:$AI$381),0))/(SUMPRODUCT(($A$358:$A$381=AN$356)*($F$355:$AI$355=""))+IF(AN$356="P6",COUNTIF($F$355:$AI$355,"P6")*ROWS($A$358:$A$381),0)),"")</f>
        <v>0.96523044444444506</v>
      </c>
      <c r="AO369" s="6" cm="1">
        <f t="array" ref="AO369">IFERROR((SUMPRODUCT(($A$358:$A$381=AO$356)*($F$355:$AI$355="")*$F$358:$AI$381)+IF(AO$356="P6",SUMPRODUCT(($F$355:$AI$355="P6")*$F$358:$AI$381),0))/(SUMPRODUCT(($A$358:$A$381=AO$356)*($F$355:$AI$355=""))+IF(AO$356="P6",COUNTIF($F$355:$AI$355,"P6")*ROWS($A$358:$A$381),0)),"")</f>
        <v>1.0323157142857142</v>
      </c>
      <c r="AP369" s="6" t="str" cm="1">
        <f t="array" ref="AP369">IFERROR((SUMPRODUCT(($A$358:$A$381=AP$356)*($F$355:$AI$355="")*$F$358:$AI$381)+IF(AP$356="P6",SUMPRODUCT(($F$355:$AI$355="P6")*$F$358:$AI$381),0))/(SUMPRODUCT(($A$358:$A$381=AP$356)*($F$355:$AI$355=""))+IF(AP$356="P6",COUNTIF($F$355:$AI$355,"P6")*ROWS($A$358:$A$381),0)),"")</f>
        <v/>
      </c>
      <c r="AQ369" s="6" t="str" cm="1">
        <f t="array" ref="AQ369">IFERROR((SUMPRODUCT(($A$358:$A$381=AQ$356)*($F$355:$AI$355="")*$F$358:$AI$381)+IF(AQ$356="P6",SUMPRODUCT(($F$355:$AI$355="P6")*$F$358:$AI$381),0))/(SUMPRODUCT(($A$358:$A$381=AQ$356)*($F$355:$AI$355=""))+IF(AQ$356="P6",COUNTIF($F$355:$AI$355,"P6")*ROWS($A$358:$A$381),0)),"")</f>
        <v/>
      </c>
      <c r="AR369" s="6" cm="1">
        <f t="array" ref="AR369">IFERROR((SUMPRODUCT(($A$358:$A$381=AR$356)*($F$355:$AI$355="")*$F$358:$AI$381)+IF(AR$356="P6",SUMPRODUCT(($F$355:$AI$355="P6")*$F$358:$AI$381),0))/(SUMPRODUCT(($A$358:$A$381=AR$356)*($F$355:$AI$355=""))+IF(AR$356="P6",COUNTIF($F$355:$AI$355,"P6")*ROWS($A$358:$A$381),0)),"")</f>
        <v>1.046211625</v>
      </c>
    </row>
    <row r="370" spans="1:44" ht="14.25" customHeight="1" x14ac:dyDescent="0.35">
      <c r="A370" s="1" t="s">
        <v>14</v>
      </c>
      <c r="B370" s="1" t="s">
        <v>16</v>
      </c>
      <c r="C370" s="1" t="s">
        <v>13</v>
      </c>
      <c r="D370" s="1" t="s">
        <v>14</v>
      </c>
      <c r="E370" s="1" t="s">
        <v>31</v>
      </c>
      <c r="F370" s="1">
        <v>0.84735000000000005</v>
      </c>
      <c r="G370" s="1">
        <v>0.89895000000000003</v>
      </c>
      <c r="H370" s="1">
        <v>0.84406999999999999</v>
      </c>
      <c r="I370" s="1">
        <v>0.82767999999999997</v>
      </c>
      <c r="J370" s="1">
        <v>0.92935000000000001</v>
      </c>
      <c r="K370" s="1">
        <v>0.91496999999999995</v>
      </c>
      <c r="L370" s="1">
        <v>0.87475999999999998</v>
      </c>
      <c r="M370" s="1">
        <v>0.88871</v>
      </c>
      <c r="N370" s="1">
        <v>0.89895000000000003</v>
      </c>
      <c r="O370" s="1">
        <v>0.84406999999999999</v>
      </c>
      <c r="P370" s="1">
        <v>0.82767999999999997</v>
      </c>
      <c r="Q370" s="1">
        <v>0.92935000000000001</v>
      </c>
      <c r="R370" s="1">
        <v>0.91496999999999995</v>
      </c>
      <c r="S370" s="1">
        <v>0.87475999999999998</v>
      </c>
      <c r="T370" s="1">
        <v>0.88871</v>
      </c>
      <c r="U370" s="1">
        <v>0.89895000000000003</v>
      </c>
      <c r="V370" s="1">
        <v>0.84406999999999999</v>
      </c>
      <c r="W370" s="1">
        <v>0.82767999999999997</v>
      </c>
      <c r="X370" s="1">
        <v>0.92935000000000001</v>
      </c>
      <c r="Y370" s="1">
        <v>0.91496999999999995</v>
      </c>
      <c r="Z370" s="1">
        <v>0.87475999999999998</v>
      </c>
      <c r="AA370" s="1">
        <v>0.88871</v>
      </c>
      <c r="AB370" s="1">
        <v>0.89895000000000003</v>
      </c>
      <c r="AC370" s="1">
        <v>0.84406999999999999</v>
      </c>
      <c r="AD370" s="1">
        <v>0.82767999999999997</v>
      </c>
      <c r="AE370" s="1">
        <v>0.92935000000000001</v>
      </c>
      <c r="AF370" s="1">
        <v>0.91496999999999995</v>
      </c>
      <c r="AG370" s="1">
        <v>0.87475999999999998</v>
      </c>
      <c r="AH370" s="1">
        <v>0.88871</v>
      </c>
      <c r="AI370" s="1">
        <v>0.89895000000000003</v>
      </c>
      <c r="AL370" s="4" t="s">
        <v>25</v>
      </c>
      <c r="AM370" s="6" t="str" cm="1">
        <f t="array" ref="AM370">IFERROR((SUMPRODUCT(($A$358:$A$381=AM$356)*($F$355:$AI$355="")*$F$358:$AI$381)+IF(AM$356="P6",SUMPRODUCT(($F$355:$AI$355="P6")*$F$358:$AI$381),0))/(SUMPRODUCT(($A$358:$A$381=AM$356)*($F$355:$AI$355=""))+IF(AM$356="P6",COUNTIF($F$355:$AI$355,"P6")*ROWS($A$358:$A$381),0)),"")</f>
        <v/>
      </c>
      <c r="AN370" s="6" cm="1">
        <f t="array" ref="AN370">IFERROR((SUMPRODUCT(($A$358:$A$381=AN$356)*($F$355:$AI$355="")*$F$358:$AI$381)+IF(AN$356="P6",SUMPRODUCT(($F$355:$AI$355="P6")*$F$358:$AI$381),0))/(SUMPRODUCT(($A$358:$A$381=AN$356)*($F$355:$AI$355=""))+IF(AN$356="P6",COUNTIF($F$355:$AI$355,"P6")*ROWS($A$358:$A$381),0)),"")</f>
        <v>0.96523044444444506</v>
      </c>
      <c r="AO370" s="6" cm="1">
        <f t="array" ref="AO370">IFERROR((SUMPRODUCT(($A$358:$A$381=AO$356)*($F$355:$AI$355="")*$F$358:$AI$381)+IF(AO$356="P6",SUMPRODUCT(($F$355:$AI$355="P6")*$F$358:$AI$381),0))/(SUMPRODUCT(($A$358:$A$381=AO$356)*($F$355:$AI$355=""))+IF(AO$356="P6",COUNTIF($F$355:$AI$355,"P6")*ROWS($A$358:$A$381),0)),"")</f>
        <v>1.0323157142857142</v>
      </c>
      <c r="AP370" s="6" t="str" cm="1">
        <f t="array" ref="AP370">IFERROR((SUMPRODUCT(($A$358:$A$381=AP$356)*($F$355:$AI$355="")*$F$358:$AI$381)+IF(AP$356="P6",SUMPRODUCT(($F$355:$AI$355="P6")*$F$358:$AI$381),0))/(SUMPRODUCT(($A$358:$A$381=AP$356)*($F$355:$AI$355=""))+IF(AP$356="P6",COUNTIF($F$355:$AI$355,"P6")*ROWS($A$358:$A$381),0)),"")</f>
        <v/>
      </c>
      <c r="AQ370" s="6" t="str" cm="1">
        <f t="array" ref="AQ370">IFERROR((SUMPRODUCT(($A$358:$A$381=AQ$356)*($F$355:$AI$355="")*$F$358:$AI$381)+IF(AQ$356="P6",SUMPRODUCT(($F$355:$AI$355="P6")*$F$358:$AI$381),0))/(SUMPRODUCT(($A$358:$A$381=AQ$356)*($F$355:$AI$355=""))+IF(AQ$356="P6",COUNTIF($F$355:$AI$355,"P6")*ROWS($A$358:$A$381),0)),"")</f>
        <v/>
      </c>
      <c r="AR370" s="6" cm="1">
        <f t="array" ref="AR370">IFERROR((SUMPRODUCT(($A$358:$A$381=AR$356)*($F$355:$AI$355="")*$F$358:$AI$381)+IF(AR$356="P6",SUMPRODUCT(($F$355:$AI$355="P6")*$F$358:$AI$381),0))/(SUMPRODUCT(($A$358:$A$381=AR$356)*($F$355:$AI$355=""))+IF(AR$356="P6",COUNTIF($F$355:$AI$355,"P6")*ROWS($A$358:$A$381),0)),"")</f>
        <v>1.046211625</v>
      </c>
    </row>
    <row r="371" spans="1:44" ht="14.25" customHeight="1" x14ac:dyDescent="0.35">
      <c r="A371" s="1" t="s">
        <v>14</v>
      </c>
      <c r="B371" s="1" t="s">
        <v>16</v>
      </c>
      <c r="C371" s="1" t="s">
        <v>13</v>
      </c>
      <c r="D371" s="1" t="s">
        <v>14</v>
      </c>
      <c r="E371" s="1" t="s">
        <v>32</v>
      </c>
      <c r="F371" s="1">
        <v>0.85136999999999996</v>
      </c>
      <c r="G371" s="1">
        <v>0.89041999999999999</v>
      </c>
      <c r="H371" s="1">
        <v>0.85033999999999998</v>
      </c>
      <c r="I371" s="1">
        <v>0.84340999999999999</v>
      </c>
      <c r="J371" s="1">
        <v>0.93444000000000005</v>
      </c>
      <c r="K371" s="1">
        <v>0.92188000000000003</v>
      </c>
      <c r="L371" s="1">
        <v>0.89273999999999998</v>
      </c>
      <c r="M371" s="1">
        <v>0.89197000000000004</v>
      </c>
      <c r="N371" s="1">
        <v>0.89041999999999999</v>
      </c>
      <c r="O371" s="1">
        <v>0.85033999999999998</v>
      </c>
      <c r="P371" s="1">
        <v>0.84340999999999999</v>
      </c>
      <c r="Q371" s="1">
        <v>0.93444000000000005</v>
      </c>
      <c r="R371" s="1">
        <v>0.92188000000000003</v>
      </c>
      <c r="S371" s="1">
        <v>0.89273999999999998</v>
      </c>
      <c r="T371" s="1">
        <v>0.89197000000000004</v>
      </c>
      <c r="U371" s="1">
        <v>0.89041999999999999</v>
      </c>
      <c r="V371" s="1">
        <v>0.85033999999999998</v>
      </c>
      <c r="W371" s="1">
        <v>0.84340999999999999</v>
      </c>
      <c r="X371" s="1">
        <v>0.93444000000000005</v>
      </c>
      <c r="Y371" s="1">
        <v>0.92188000000000003</v>
      </c>
      <c r="Z371" s="1">
        <v>0.89273999999999998</v>
      </c>
      <c r="AA371" s="1">
        <v>0.89197000000000004</v>
      </c>
      <c r="AB371" s="1">
        <v>0.89041999999999999</v>
      </c>
      <c r="AC371" s="1">
        <v>0.85033999999999998</v>
      </c>
      <c r="AD371" s="1">
        <v>0.84340999999999999</v>
      </c>
      <c r="AE371" s="1">
        <v>0.93444000000000005</v>
      </c>
      <c r="AF371" s="1">
        <v>0.92188000000000003</v>
      </c>
      <c r="AG371" s="1">
        <v>0.89273999999999998</v>
      </c>
      <c r="AH371" s="1">
        <v>0.89197000000000004</v>
      </c>
      <c r="AI371" s="1">
        <v>0.89041999999999999</v>
      </c>
      <c r="AL371" s="4" t="s">
        <v>27</v>
      </c>
      <c r="AM371" s="6" t="str" cm="1">
        <f t="array" ref="AM371">IFERROR((SUMPRODUCT(($A$358:$A$381=AM$356)*($F$355:$AI$355="")*$F$358:$AI$381)+IF(AM$356="P6",SUMPRODUCT(($F$355:$AI$355="P6")*$F$358:$AI$381),0))/(SUMPRODUCT(($A$358:$A$381=AM$356)*($F$355:$AI$355=""))+IF(AM$356="P6",COUNTIF($F$355:$AI$355,"P6")*ROWS($A$358:$A$381),0)),"")</f>
        <v/>
      </c>
      <c r="AN371" s="6" cm="1">
        <f t="array" ref="AN371">IFERROR((SUMPRODUCT(($A$358:$A$381=AN$356)*($F$355:$AI$355="")*$F$358:$AI$381)+IF(AN$356="P6",SUMPRODUCT(($F$355:$AI$355="P6")*$F$358:$AI$381),0))/(SUMPRODUCT(($A$358:$A$381=AN$356)*($F$355:$AI$355=""))+IF(AN$356="P6",COUNTIF($F$355:$AI$355,"P6")*ROWS($A$358:$A$381),0)),"")</f>
        <v>0.96523044444444506</v>
      </c>
      <c r="AO371" s="6" cm="1">
        <f t="array" ref="AO371">IFERROR((SUMPRODUCT(($A$358:$A$381=AO$356)*($F$355:$AI$355="")*$F$358:$AI$381)+IF(AO$356="P6",SUMPRODUCT(($F$355:$AI$355="P6")*$F$358:$AI$381),0))/(SUMPRODUCT(($A$358:$A$381=AO$356)*($F$355:$AI$355=""))+IF(AO$356="P6",COUNTIF($F$355:$AI$355,"P6")*ROWS($A$358:$A$381),0)),"")</f>
        <v>1.0323157142857142</v>
      </c>
      <c r="AP371" s="6" t="str" cm="1">
        <f t="array" ref="AP371">IFERROR((SUMPRODUCT(($A$358:$A$381=AP$356)*($F$355:$AI$355="")*$F$358:$AI$381)+IF(AP$356="P6",SUMPRODUCT(($F$355:$AI$355="P6")*$F$358:$AI$381),0))/(SUMPRODUCT(($A$358:$A$381=AP$356)*($F$355:$AI$355=""))+IF(AP$356="P6",COUNTIF($F$355:$AI$355,"P6")*ROWS($A$358:$A$381),0)),"")</f>
        <v/>
      </c>
      <c r="AQ371" s="6" t="str" cm="1">
        <f t="array" ref="AQ371">IFERROR((SUMPRODUCT(($A$358:$A$381=AQ$356)*($F$355:$AI$355="")*$F$358:$AI$381)+IF(AQ$356="P6",SUMPRODUCT(($F$355:$AI$355="P6")*$F$358:$AI$381),0))/(SUMPRODUCT(($A$358:$A$381=AQ$356)*($F$355:$AI$355=""))+IF(AQ$356="P6",COUNTIF($F$355:$AI$355,"P6")*ROWS($A$358:$A$381),0)),"")</f>
        <v/>
      </c>
      <c r="AR371" s="6" cm="1">
        <f t="array" ref="AR371">IFERROR((SUMPRODUCT(($A$358:$A$381=AR$356)*($F$355:$AI$355="")*$F$358:$AI$381)+IF(AR$356="P6",SUMPRODUCT(($F$355:$AI$355="P6")*$F$358:$AI$381),0))/(SUMPRODUCT(($A$358:$A$381=AR$356)*($F$355:$AI$355=""))+IF(AR$356="P6",COUNTIF($F$355:$AI$355,"P6")*ROWS($A$358:$A$381),0)),"")</f>
        <v>1.046211625</v>
      </c>
    </row>
    <row r="372" spans="1:44" ht="14.25" customHeight="1" x14ac:dyDescent="0.35">
      <c r="A372" s="1" t="s">
        <v>14</v>
      </c>
      <c r="B372" s="1" t="s">
        <v>16</v>
      </c>
      <c r="C372" s="1" t="s">
        <v>14</v>
      </c>
      <c r="D372" s="1" t="s">
        <v>15</v>
      </c>
      <c r="E372" s="1" t="s">
        <v>33</v>
      </c>
      <c r="F372" s="1">
        <v>0.85409000000000002</v>
      </c>
      <c r="G372" s="1">
        <v>0.90388999999999997</v>
      </c>
      <c r="H372" s="1">
        <v>0.89114000000000004</v>
      </c>
      <c r="I372" s="1">
        <v>0.89878000000000002</v>
      </c>
      <c r="J372" s="1">
        <v>0.98563000000000001</v>
      </c>
      <c r="K372" s="1">
        <v>0.95921000000000001</v>
      </c>
      <c r="L372" s="1">
        <v>0.9456</v>
      </c>
      <c r="M372" s="1">
        <v>0.92261000000000004</v>
      </c>
      <c r="N372" s="1">
        <v>0.90388999999999997</v>
      </c>
      <c r="O372" s="1">
        <v>0.89114000000000004</v>
      </c>
      <c r="P372" s="1">
        <v>0.89878000000000002</v>
      </c>
      <c r="Q372" s="1">
        <v>0.98563000000000001</v>
      </c>
      <c r="R372" s="1">
        <v>0.95921000000000001</v>
      </c>
      <c r="S372" s="1">
        <v>0.9456</v>
      </c>
      <c r="T372" s="1">
        <v>0.92261000000000004</v>
      </c>
      <c r="U372" s="1">
        <v>0.90388999999999997</v>
      </c>
      <c r="V372" s="1">
        <v>0.89114000000000004</v>
      </c>
      <c r="W372" s="1">
        <v>0.89878000000000002</v>
      </c>
      <c r="X372" s="1">
        <v>0.98563000000000001</v>
      </c>
      <c r="Y372" s="1">
        <v>0.95921000000000001</v>
      </c>
      <c r="Z372" s="1">
        <v>0.9456</v>
      </c>
      <c r="AA372" s="1">
        <v>0.92261000000000004</v>
      </c>
      <c r="AB372" s="1">
        <v>0.90388999999999997</v>
      </c>
      <c r="AC372" s="1">
        <v>0.89114000000000004</v>
      </c>
      <c r="AD372" s="1">
        <v>0.89878000000000002</v>
      </c>
      <c r="AE372" s="1">
        <v>0.98563000000000001</v>
      </c>
      <c r="AF372" s="1">
        <v>0.95921000000000001</v>
      </c>
      <c r="AG372" s="1">
        <v>0.9456</v>
      </c>
      <c r="AH372" s="1">
        <v>0.92261000000000004</v>
      </c>
      <c r="AI372" s="1">
        <v>0.90388999999999997</v>
      </c>
      <c r="AL372" s="4" t="s">
        <v>29</v>
      </c>
      <c r="AM372" s="6" t="str" cm="1">
        <f t="array" ref="AM372">IFERROR((SUMPRODUCT(($A$358:$A$381=AM$356)*($F$355:$AI$355="")*$F$358:$AI$381)+IF(AM$356="P6",SUMPRODUCT(($F$355:$AI$355="P6")*$F$358:$AI$381),0))/(SUMPRODUCT(($A$358:$A$381=AM$356)*($F$355:$AI$355=""))+IF(AM$356="P6",COUNTIF($F$355:$AI$355,"P6")*ROWS($A$358:$A$381),0)),"")</f>
        <v/>
      </c>
      <c r="AN372" s="6" cm="1">
        <f t="array" ref="AN372">IFERROR((SUMPRODUCT(($A$358:$A$381=AN$356)*($F$355:$AI$355="")*$F$358:$AI$381)+IF(AN$356="P6",SUMPRODUCT(($F$355:$AI$355="P6")*$F$358:$AI$381),0))/(SUMPRODUCT(($A$358:$A$381=AN$356)*($F$355:$AI$355=""))+IF(AN$356="P6",COUNTIF($F$355:$AI$355,"P6")*ROWS($A$358:$A$381),0)),"")</f>
        <v>0.96523044444444506</v>
      </c>
      <c r="AO372" s="6" cm="1">
        <f t="array" ref="AO372">IFERROR((SUMPRODUCT(($A$358:$A$381=AO$356)*($F$355:$AI$355="")*$F$358:$AI$381)+IF(AO$356="P6",SUMPRODUCT(($F$355:$AI$355="P6")*$F$358:$AI$381),0))/(SUMPRODUCT(($A$358:$A$381=AO$356)*($F$355:$AI$355=""))+IF(AO$356="P6",COUNTIF($F$355:$AI$355,"P6")*ROWS($A$358:$A$381),0)),"")</f>
        <v>1.0323157142857142</v>
      </c>
      <c r="AP372" s="6" t="str" cm="1">
        <f t="array" ref="AP372">IFERROR((SUMPRODUCT(($A$358:$A$381=AP$356)*($F$355:$AI$355="")*$F$358:$AI$381)+IF(AP$356="P6",SUMPRODUCT(($F$355:$AI$355="P6")*$F$358:$AI$381),0))/(SUMPRODUCT(($A$358:$A$381=AP$356)*($F$355:$AI$355=""))+IF(AP$356="P6",COUNTIF($F$355:$AI$355,"P6")*ROWS($A$358:$A$381),0)),"")</f>
        <v/>
      </c>
      <c r="AQ372" s="6" t="str" cm="1">
        <f t="array" ref="AQ372">IFERROR((SUMPRODUCT(($A$358:$A$381=AQ$356)*($F$355:$AI$355="")*$F$358:$AI$381)+IF(AQ$356="P6",SUMPRODUCT(($F$355:$AI$355="P6")*$F$358:$AI$381),0))/(SUMPRODUCT(($A$358:$A$381=AQ$356)*($F$355:$AI$355=""))+IF(AQ$356="P6",COUNTIF($F$355:$AI$355,"P6")*ROWS($A$358:$A$381),0)),"")</f>
        <v/>
      </c>
      <c r="AR372" s="6" cm="1">
        <f t="array" ref="AR372">IFERROR((SUMPRODUCT(($A$358:$A$381=AR$356)*($F$355:$AI$355="")*$F$358:$AI$381)+IF(AR$356="P6",SUMPRODUCT(($F$355:$AI$355="P6")*$F$358:$AI$381),0))/(SUMPRODUCT(($A$358:$A$381=AR$356)*($F$355:$AI$355=""))+IF(AR$356="P6",COUNTIF($F$355:$AI$355,"P6")*ROWS($A$358:$A$381),0)),"")</f>
        <v>1.046211625</v>
      </c>
    </row>
    <row r="373" spans="1:44" ht="14.25" customHeight="1" x14ac:dyDescent="0.35">
      <c r="A373" s="1" t="s">
        <v>15</v>
      </c>
      <c r="B373" s="1" t="s">
        <v>17</v>
      </c>
      <c r="C373" s="1" t="s">
        <v>14</v>
      </c>
      <c r="D373" s="1" t="s">
        <v>15</v>
      </c>
      <c r="E373" s="1" t="s">
        <v>34</v>
      </c>
      <c r="F373" s="1">
        <v>0.91022999999999998</v>
      </c>
      <c r="G373" s="1">
        <v>0.95655999999999997</v>
      </c>
      <c r="H373" s="1">
        <v>0.93335000000000001</v>
      </c>
      <c r="I373" s="1">
        <v>0.93535000000000001</v>
      </c>
      <c r="J373" s="1">
        <v>1.0207999999999999</v>
      </c>
      <c r="K373" s="1">
        <v>0.99560999999999999</v>
      </c>
      <c r="L373" s="1">
        <v>0.97650000000000003</v>
      </c>
      <c r="M373" s="1">
        <v>0.96238000000000001</v>
      </c>
      <c r="N373" s="1">
        <v>0.95655999999999997</v>
      </c>
      <c r="O373" s="1">
        <v>0.93335000000000001</v>
      </c>
      <c r="P373" s="1">
        <v>0.93535000000000001</v>
      </c>
      <c r="Q373" s="1">
        <v>1.0207999999999999</v>
      </c>
      <c r="R373" s="1">
        <v>0.99560999999999999</v>
      </c>
      <c r="S373" s="1">
        <v>0.97650000000000003</v>
      </c>
      <c r="T373" s="1">
        <v>0.96238000000000001</v>
      </c>
      <c r="U373" s="1">
        <v>0.95655999999999997</v>
      </c>
      <c r="V373" s="1">
        <v>0.93335000000000001</v>
      </c>
      <c r="W373" s="1">
        <v>0.93535000000000001</v>
      </c>
      <c r="X373" s="1">
        <v>1.0207999999999999</v>
      </c>
      <c r="Y373" s="1">
        <v>0.99560999999999999</v>
      </c>
      <c r="Z373" s="1">
        <v>0.97650000000000003</v>
      </c>
      <c r="AA373" s="1">
        <v>0.96238000000000001</v>
      </c>
      <c r="AB373" s="1">
        <v>0.95655999999999997</v>
      </c>
      <c r="AC373" s="1">
        <v>0.93335000000000001</v>
      </c>
      <c r="AD373" s="1">
        <v>0.93535000000000001</v>
      </c>
      <c r="AE373" s="1">
        <v>1.0207999999999999</v>
      </c>
      <c r="AF373" s="1">
        <v>0.99560999999999999</v>
      </c>
      <c r="AG373" s="1">
        <v>0.97650000000000003</v>
      </c>
      <c r="AH373" s="1">
        <v>0.96238000000000001</v>
      </c>
      <c r="AI373" s="1">
        <v>0.95655999999999997</v>
      </c>
      <c r="AL373" s="10"/>
      <c r="AM373" s="10"/>
      <c r="AN373" s="10"/>
      <c r="AO373" s="10"/>
      <c r="AP373" s="10"/>
      <c r="AQ373" s="10"/>
      <c r="AR373" s="10"/>
    </row>
    <row r="374" spans="1:44" ht="14.25" customHeight="1" x14ac:dyDescent="0.35">
      <c r="A374" s="1" t="s">
        <v>15</v>
      </c>
      <c r="B374" s="1" t="s">
        <v>17</v>
      </c>
      <c r="C374" s="1" t="s">
        <v>14</v>
      </c>
      <c r="D374" s="1" t="s">
        <v>15</v>
      </c>
      <c r="E374" s="1" t="s">
        <v>35</v>
      </c>
      <c r="F374" s="1">
        <v>0.96201000000000003</v>
      </c>
      <c r="G374" s="1">
        <v>0.99534</v>
      </c>
      <c r="H374" s="1">
        <v>0.94162999999999997</v>
      </c>
      <c r="I374" s="1">
        <v>0.96540000000000004</v>
      </c>
      <c r="J374" s="1">
        <v>1.0109300000000001</v>
      </c>
      <c r="K374" s="1">
        <v>1.00814</v>
      </c>
      <c r="L374" s="1">
        <v>0.99736999999999998</v>
      </c>
      <c r="M374" s="1">
        <v>0.97197999999999996</v>
      </c>
      <c r="N374" s="1">
        <v>0.99534</v>
      </c>
      <c r="O374" s="1">
        <v>0.94162999999999997</v>
      </c>
      <c r="P374" s="1">
        <v>0.96540000000000004</v>
      </c>
      <c r="Q374" s="1">
        <v>1.0109300000000001</v>
      </c>
      <c r="R374" s="1">
        <v>1.00814</v>
      </c>
      <c r="S374" s="1">
        <v>0.99736999999999998</v>
      </c>
      <c r="T374" s="1">
        <v>0.97197999999999996</v>
      </c>
      <c r="U374" s="1">
        <v>0.99534</v>
      </c>
      <c r="V374" s="1">
        <v>0.94162999999999997</v>
      </c>
      <c r="W374" s="1">
        <v>0.96540000000000004</v>
      </c>
      <c r="X374" s="1">
        <v>1.0109300000000001</v>
      </c>
      <c r="Y374" s="1">
        <v>1.00814</v>
      </c>
      <c r="Z374" s="1">
        <v>0.99736999999999998</v>
      </c>
      <c r="AA374" s="1">
        <v>0.97197999999999996</v>
      </c>
      <c r="AB374" s="1">
        <v>0.99534</v>
      </c>
      <c r="AC374" s="1">
        <v>0.94162999999999997</v>
      </c>
      <c r="AD374" s="1">
        <v>0.96540000000000004</v>
      </c>
      <c r="AE374" s="1">
        <v>1.0109300000000001</v>
      </c>
      <c r="AF374" s="1">
        <v>1.00814</v>
      </c>
      <c r="AG374" s="1">
        <v>0.99736999999999998</v>
      </c>
      <c r="AH374" s="1">
        <v>0.97197999999999996</v>
      </c>
      <c r="AI374" s="1">
        <v>0.99534</v>
      </c>
      <c r="AL374" s="10"/>
      <c r="AM374" s="10"/>
      <c r="AN374" s="10"/>
      <c r="AO374" s="10"/>
      <c r="AP374" s="10"/>
      <c r="AQ374" s="10"/>
      <c r="AR374" s="10"/>
    </row>
    <row r="375" spans="1:44" ht="14.25" customHeight="1" x14ac:dyDescent="0.35">
      <c r="A375" s="1" t="s">
        <v>15</v>
      </c>
      <c r="B375" s="1" t="s">
        <v>17</v>
      </c>
      <c r="C375" s="1" t="s">
        <v>14</v>
      </c>
      <c r="D375" s="1" t="s">
        <v>15</v>
      </c>
      <c r="E375" s="1" t="s">
        <v>36</v>
      </c>
      <c r="F375" s="1">
        <v>1.0225599999999999</v>
      </c>
      <c r="G375" s="1">
        <v>1.022</v>
      </c>
      <c r="H375" s="1">
        <v>0.97884000000000004</v>
      </c>
      <c r="I375" s="1">
        <v>1.0105</v>
      </c>
      <c r="J375" s="1">
        <v>1.0293399999999999</v>
      </c>
      <c r="K375" s="1">
        <v>1.03931</v>
      </c>
      <c r="L375" s="1">
        <v>1.0195000000000001</v>
      </c>
      <c r="M375" s="1">
        <v>0.99033000000000004</v>
      </c>
      <c r="N375" s="1">
        <v>1.022</v>
      </c>
      <c r="O375" s="1">
        <v>0.97884000000000004</v>
      </c>
      <c r="P375" s="1">
        <v>1.0105</v>
      </c>
      <c r="Q375" s="1">
        <v>1.0293399999999999</v>
      </c>
      <c r="R375" s="1">
        <v>1.03931</v>
      </c>
      <c r="S375" s="1">
        <v>1.0195000000000001</v>
      </c>
      <c r="T375" s="1">
        <v>0.99033000000000004</v>
      </c>
      <c r="U375" s="1">
        <v>1.022</v>
      </c>
      <c r="V375" s="1">
        <v>0.97884000000000004</v>
      </c>
      <c r="W375" s="1">
        <v>1.0105</v>
      </c>
      <c r="X375" s="1">
        <v>1.0293399999999999</v>
      </c>
      <c r="Y375" s="1">
        <v>1.03931</v>
      </c>
      <c r="Z375" s="1">
        <v>1.0195000000000001</v>
      </c>
      <c r="AA375" s="1">
        <v>0.99033000000000004</v>
      </c>
      <c r="AB375" s="1">
        <v>1.022</v>
      </c>
      <c r="AC375" s="1">
        <v>0.97884000000000004</v>
      </c>
      <c r="AD375" s="1">
        <v>1.0105</v>
      </c>
      <c r="AE375" s="1">
        <v>1.0293399999999999</v>
      </c>
      <c r="AF375" s="1">
        <v>1.03931</v>
      </c>
      <c r="AG375" s="1">
        <v>1.0195000000000001</v>
      </c>
      <c r="AH375" s="1">
        <v>0.99033000000000004</v>
      </c>
      <c r="AI375" s="1">
        <v>1.022</v>
      </c>
      <c r="AL375" s="14" t="s">
        <v>110</v>
      </c>
      <c r="AM375" s="14"/>
      <c r="AN375" s="14"/>
      <c r="AO375" s="14"/>
      <c r="AP375" s="14"/>
      <c r="AQ375" s="14"/>
      <c r="AR375" s="14"/>
    </row>
    <row r="376" spans="1:44" ht="14.25" customHeight="1" x14ac:dyDescent="0.35">
      <c r="A376" s="1" t="s">
        <v>14</v>
      </c>
      <c r="B376" s="1" t="s">
        <v>16</v>
      </c>
      <c r="C376" s="1" t="s">
        <v>13</v>
      </c>
      <c r="D376" s="1" t="s">
        <v>14</v>
      </c>
      <c r="E376" s="1" t="s">
        <v>37</v>
      </c>
      <c r="F376" s="1">
        <v>1.0189600000000001</v>
      </c>
      <c r="G376" s="1">
        <v>1.0113799999999999</v>
      </c>
      <c r="H376" s="1">
        <v>0.98912999999999995</v>
      </c>
      <c r="I376" s="1">
        <v>1.01105</v>
      </c>
      <c r="J376" s="1">
        <v>1.02369</v>
      </c>
      <c r="K376" s="1">
        <v>1.0397099999999999</v>
      </c>
      <c r="L376" s="1">
        <v>1.01549</v>
      </c>
      <c r="M376" s="1">
        <v>1.0000500000000001</v>
      </c>
      <c r="N376" s="1">
        <v>1.0113799999999999</v>
      </c>
      <c r="O376" s="1">
        <v>0.98912999999999995</v>
      </c>
      <c r="P376" s="1">
        <v>1.01105</v>
      </c>
      <c r="Q376" s="1">
        <v>1.02369</v>
      </c>
      <c r="R376" s="1">
        <v>1.0397099999999999</v>
      </c>
      <c r="S376" s="1">
        <v>1.01549</v>
      </c>
      <c r="T376" s="1">
        <v>1.0000500000000001</v>
      </c>
      <c r="U376" s="1">
        <v>1.0113799999999999</v>
      </c>
      <c r="V376" s="1">
        <v>0.98912999999999995</v>
      </c>
      <c r="W376" s="1">
        <v>1.01105</v>
      </c>
      <c r="X376" s="1">
        <v>1.02369</v>
      </c>
      <c r="Y376" s="1">
        <v>1.0397099999999999</v>
      </c>
      <c r="Z376" s="1">
        <v>1.01549</v>
      </c>
      <c r="AA376" s="1">
        <v>1.0000500000000001</v>
      </c>
      <c r="AB376" s="1">
        <v>1.0113799999999999</v>
      </c>
      <c r="AC376" s="1">
        <v>0.98912999999999995</v>
      </c>
      <c r="AD376" s="1">
        <v>1.01105</v>
      </c>
      <c r="AE376" s="1">
        <v>1.02369</v>
      </c>
      <c r="AF376" s="1">
        <v>1.0397099999999999</v>
      </c>
      <c r="AG376" s="1">
        <v>1.01549</v>
      </c>
      <c r="AH376" s="1">
        <v>1.0000500000000001</v>
      </c>
      <c r="AI376" s="1">
        <v>1.0113799999999999</v>
      </c>
      <c r="AL376" s="4"/>
      <c r="AM376" s="4" t="s">
        <v>13</v>
      </c>
      <c r="AN376" s="4" t="s">
        <v>14</v>
      </c>
      <c r="AO376" s="4" t="s">
        <v>15</v>
      </c>
      <c r="AP376" s="4" t="s">
        <v>16</v>
      </c>
      <c r="AQ376" s="4" t="s">
        <v>17</v>
      </c>
      <c r="AR376" s="4" t="s">
        <v>7</v>
      </c>
    </row>
    <row r="377" spans="1:44" ht="14.25" customHeight="1" x14ac:dyDescent="0.35">
      <c r="A377" s="1" t="s">
        <v>14</v>
      </c>
      <c r="B377" s="1" t="s">
        <v>16</v>
      </c>
      <c r="C377" s="1" t="s">
        <v>13</v>
      </c>
      <c r="D377" s="1" t="s">
        <v>14</v>
      </c>
      <c r="E377" s="1" t="s">
        <v>38</v>
      </c>
      <c r="F377" s="1">
        <v>1.02579</v>
      </c>
      <c r="G377" s="1">
        <v>1.0445199999999999</v>
      </c>
      <c r="H377" s="1">
        <v>1.01698</v>
      </c>
      <c r="I377" s="1">
        <v>1.03729</v>
      </c>
      <c r="J377" s="1">
        <v>1.05149</v>
      </c>
      <c r="K377" s="1">
        <v>1.0659000000000001</v>
      </c>
      <c r="L377" s="1">
        <v>1.04379</v>
      </c>
      <c r="M377" s="1">
        <v>1.0184899999999999</v>
      </c>
      <c r="N377" s="1">
        <v>1.0445199999999999</v>
      </c>
      <c r="O377" s="1">
        <v>1.01698</v>
      </c>
      <c r="P377" s="1">
        <v>1.03729</v>
      </c>
      <c r="Q377" s="1">
        <v>1.05149</v>
      </c>
      <c r="R377" s="1">
        <v>1.0659000000000001</v>
      </c>
      <c r="S377" s="1">
        <v>1.04379</v>
      </c>
      <c r="T377" s="1">
        <v>1.0184899999999999</v>
      </c>
      <c r="U377" s="1">
        <v>1.0445199999999999</v>
      </c>
      <c r="V377" s="1">
        <v>1.01698</v>
      </c>
      <c r="W377" s="1">
        <v>1.03729</v>
      </c>
      <c r="X377" s="1">
        <v>1.05149</v>
      </c>
      <c r="Y377" s="1">
        <v>1.0659000000000001</v>
      </c>
      <c r="Z377" s="1">
        <v>1.04379</v>
      </c>
      <c r="AA377" s="1">
        <v>1.0184899999999999</v>
      </c>
      <c r="AB377" s="1">
        <v>1.0445199999999999</v>
      </c>
      <c r="AC377" s="1">
        <v>1.01698</v>
      </c>
      <c r="AD377" s="1">
        <v>1.03729</v>
      </c>
      <c r="AE377" s="1">
        <v>1.05149</v>
      </c>
      <c r="AF377" s="1">
        <v>1.0659000000000001</v>
      </c>
      <c r="AG377" s="1">
        <v>1.04379</v>
      </c>
      <c r="AH377" s="1">
        <v>1.0184899999999999</v>
      </c>
      <c r="AI377" s="1">
        <v>1.0445199999999999</v>
      </c>
      <c r="AL377" s="4" t="s">
        <v>19</v>
      </c>
      <c r="AM377" s="6" cm="1">
        <f t="array" ref="AM377">IFERROR((SUMPRODUCT(($C$358:$C$381=AM$356)*($F$354:$AI$354="")*$F$358:$AI$381)+IF(AM$356="P3",SUMPRODUCT(($F$354:$AI$354="P3")*$F$358:$AI$381),0))/(SUMPRODUCT(($C$358:$C$381=AM$356)*($F$354:$AI$354=""))+IF(AM$356="P3",COUNTIF($F$354:$AI$354,"P3")*ROWS($C$358:$C$381),0)),"")</f>
        <v>0.96887525000000063</v>
      </c>
      <c r="AN377" s="6" cm="1">
        <f t="array" ref="AN377">IFERROR((SUMPRODUCT(($C$358:$C$381=AN$356)*($F$354:$AI$354="")*$F$358:$AI$381)+IF(AN$356="P3",SUMPRODUCT(($F$354:$AI$354="P3")*$F$358:$AI$381),0))/(SUMPRODUCT(($C$358:$C$381=AN$356)*($F$354:$AI$354=""))+IF(AN$356="P3",COUNTIF($F$354:$AI$354,"P3")*ROWS($C$358:$C$381),0)),"")</f>
        <v>1.0202852500000004</v>
      </c>
      <c r="AO377" s="6" cm="1">
        <f t="array" ref="AO377">IFERROR((SUMPRODUCT(($C$358:$C$381=AO$356)*($F$354:$AI$354="")*$F$358:$AI$381)+IF(AO$356="P3",SUMPRODUCT(($F$354:$AI$354="P3")*$F$358:$AI$381),0))/(SUMPRODUCT(($C$358:$C$381=AO$356)*($F$354:$AI$354=""))+IF(AO$356="P3",COUNTIF($F$354:$AI$354,"P3")*ROWS($C$358:$C$381),0)),"")</f>
        <v>1.046211625</v>
      </c>
      <c r="AP377" s="6" t="str" cm="1">
        <f t="array" ref="AP377">IFERROR((SUMPRODUCT(($C$358:$C$381=AP$356)*($F$354:$AI$354="")*$F$358:$AI$381)+IF(AP$356="P3",SUMPRODUCT(($F$354:$AI$354="P3")*$F$358:$AI$381),0))/(SUMPRODUCT(($C$358:$C$381=AP$356)*($F$354:$AI$354=""))+IF(AP$356="P3",COUNTIF($F$354:$AI$354,"P3")*ROWS($C$358:$C$381),0)),"")</f>
        <v/>
      </c>
      <c r="AQ377" s="6" t="str" cm="1">
        <f t="array" ref="AQ377">IFERROR((SUMPRODUCT(($C$358:$C$381=AQ$356)*($F$354:$AI$354="")*$F$358:$AI$381)+IF(AQ$356="P3",SUMPRODUCT(($F$354:$AI$354="P3")*$F$358:$AI$381),0))/(SUMPRODUCT(($C$358:$C$381=AQ$356)*($F$354:$AI$354=""))+IF(AQ$356="P3",COUNTIF($F$354:$AI$354,"P3")*ROWS($C$358:$C$381),0)),"")</f>
        <v/>
      </c>
      <c r="AR377" s="6" t="str" cm="1">
        <f t="array" ref="AR377">IFERROR((SUMPRODUCT(($C$358:$C$381=AR$356)*($F$354:$AI$354="")*$F$358:$AI$381)+IF(AR$356="P3",SUMPRODUCT(($F$354:$AI$354="P3")*$F$358:$AI$381),0))/(SUMPRODUCT(($C$358:$C$381=AR$356)*($F$354:$AI$354=""))+IF(AR$356="P3",COUNTIF($F$354:$AI$354,"P3")*ROWS($C$358:$C$381),0)),"")</f>
        <v/>
      </c>
    </row>
    <row r="378" spans="1:44" ht="14.25" customHeight="1" x14ac:dyDescent="0.35">
      <c r="A378" s="1" t="s">
        <v>14</v>
      </c>
      <c r="B378" s="1" t="s">
        <v>16</v>
      </c>
      <c r="C378" s="1" t="s">
        <v>13</v>
      </c>
      <c r="D378" s="1" t="s">
        <v>14</v>
      </c>
      <c r="E378" s="1" t="s">
        <v>39</v>
      </c>
      <c r="F378" s="1">
        <v>1.03254</v>
      </c>
      <c r="G378" s="1">
        <v>1.0357000000000001</v>
      </c>
      <c r="H378" s="1">
        <v>1.0402499999999999</v>
      </c>
      <c r="I378" s="1">
        <v>1.0630200000000001</v>
      </c>
      <c r="J378" s="1">
        <v>1.06833</v>
      </c>
      <c r="K378" s="1">
        <v>1.0924</v>
      </c>
      <c r="L378" s="1">
        <v>1.0789200000000001</v>
      </c>
      <c r="M378" s="1">
        <v>1.0240800000000001</v>
      </c>
      <c r="N378" s="1">
        <v>1.0357000000000001</v>
      </c>
      <c r="O378" s="1">
        <v>1.0402499999999999</v>
      </c>
      <c r="P378" s="1">
        <v>1.0630200000000001</v>
      </c>
      <c r="Q378" s="1">
        <v>1.06833</v>
      </c>
      <c r="R378" s="1">
        <v>1.0924</v>
      </c>
      <c r="S378" s="1">
        <v>1.0789200000000001</v>
      </c>
      <c r="T378" s="1">
        <v>1.0240800000000001</v>
      </c>
      <c r="U378" s="1">
        <v>1.0357000000000001</v>
      </c>
      <c r="V378" s="1">
        <v>1.0402499999999999</v>
      </c>
      <c r="W378" s="1">
        <v>1.0630200000000001</v>
      </c>
      <c r="X378" s="1">
        <v>1.06833</v>
      </c>
      <c r="Y378" s="1">
        <v>1.0924</v>
      </c>
      <c r="Z378" s="1">
        <v>1.0789200000000001</v>
      </c>
      <c r="AA378" s="1">
        <v>1.0240800000000001</v>
      </c>
      <c r="AB378" s="1">
        <v>1.0357000000000001</v>
      </c>
      <c r="AC378" s="1">
        <v>1.0402499999999999</v>
      </c>
      <c r="AD378" s="1">
        <v>1.0630200000000001</v>
      </c>
      <c r="AE378" s="1">
        <v>1.06833</v>
      </c>
      <c r="AF378" s="1">
        <v>1.0924</v>
      </c>
      <c r="AG378" s="1">
        <v>1.0789200000000001</v>
      </c>
      <c r="AH378" s="1">
        <v>1.0240800000000001</v>
      </c>
      <c r="AI378" s="1">
        <v>1.0357000000000001</v>
      </c>
      <c r="AL378" s="4" t="s">
        <v>21</v>
      </c>
      <c r="AM378" s="6" t="str" cm="1">
        <f t="array" ref="AM378">IFERROR((SUMPRODUCT(($B$358:$B$381=AM$356)*($F$355:$AI$355="")*$F$358:$AI$381)+IF(AM$356="P6",SUMPRODUCT(($F$355:$AI$355="P6")*$F$358:$AI$381),0))/(SUMPRODUCT(($B$358:$B$381=AM$356)*($F$355:$AI$355=""))+IF(AM$356="P6",COUNTIF($F$355:$AI$355,"P6")*ROWS($B$358:$B$381),0)),"")</f>
        <v/>
      </c>
      <c r="AN378" s="6" t="str" cm="1">
        <f t="array" ref="AN378">IFERROR((SUMPRODUCT(($B$358:$B$381=AN$356)*($F$355:$AI$355="")*$F$358:$AI$381)+IF(AN$356="P6",SUMPRODUCT(($F$355:$AI$355="P6")*$F$358:$AI$381),0))/(SUMPRODUCT(($B$358:$B$381=AN$356)*($F$355:$AI$355=""))+IF(AN$356="P6",COUNTIF($F$355:$AI$355,"P6")*ROWS($B$358:$B$381),0)),"")</f>
        <v/>
      </c>
      <c r="AO378" s="6" t="str" cm="1">
        <f t="array" ref="AO378">IFERROR((SUMPRODUCT(($B$358:$B$381=AO$356)*($F$355:$AI$355="")*$F$358:$AI$381)+IF(AO$356="P6",SUMPRODUCT(($F$355:$AI$355="P6")*$F$358:$AI$381),0))/(SUMPRODUCT(($B$358:$B$381=AO$356)*($F$355:$AI$355=""))+IF(AO$356="P6",COUNTIF($F$355:$AI$355,"P6")*ROWS($B$358:$B$381),0)),"")</f>
        <v/>
      </c>
      <c r="AP378" s="6" cm="1">
        <f t="array" ref="AP378">IFERROR((SUMPRODUCT(($B$358:$B$381=AP$356)*($F$355:$AI$355="")*$F$358:$AI$381)+IF(AP$356="P6",SUMPRODUCT(($F$355:$AI$355="P6")*$F$358:$AI$381),0))/(SUMPRODUCT(($B$358:$B$381=AP$356)*($F$355:$AI$355=""))+IF(AP$356="P6",COUNTIF($F$355:$AI$355,"P6")*ROWS($B$358:$B$381),0)),"")</f>
        <v>0.96523044444444506</v>
      </c>
      <c r="AQ378" s="6" cm="1">
        <f t="array" ref="AQ378">IFERROR((SUMPRODUCT(($B$358:$B$381=AQ$356)*($F$355:$AI$355="")*$F$358:$AI$381)+IF(AQ$356="P6",SUMPRODUCT(($F$355:$AI$355="P6")*$F$358:$AI$381),0))/(SUMPRODUCT(($B$358:$B$381=AQ$356)*($F$355:$AI$355=""))+IF(AQ$356="P6",COUNTIF($F$355:$AI$355,"P6")*ROWS($B$358:$B$381),0)),"")</f>
        <v>1.0323157142857142</v>
      </c>
      <c r="AR378" s="6" cm="1">
        <f t="array" ref="AR378">IFERROR((SUMPRODUCT(($B$358:$B$381=AR$356)*($F$355:$AI$355="")*$F$358:$AI$381)+IF(AR$356="P6",SUMPRODUCT(($F$355:$AI$355="P6")*$F$358:$AI$381),0))/(SUMPRODUCT(($B$358:$B$381=AR$356)*($F$355:$AI$355=""))+IF(AR$356="P6",COUNTIF($F$355:$AI$355,"P6")*ROWS($B$358:$B$381),0)),"")</f>
        <v>1.046211625</v>
      </c>
    </row>
    <row r="379" spans="1:44" ht="14.25" customHeight="1" x14ac:dyDescent="0.35">
      <c r="A379" s="1" t="s">
        <v>14</v>
      </c>
      <c r="B379" s="1" t="s">
        <v>16</v>
      </c>
      <c r="C379" s="1" t="s">
        <v>13</v>
      </c>
      <c r="D379" s="1" t="s">
        <v>14</v>
      </c>
      <c r="E379" s="1" t="s">
        <v>40</v>
      </c>
      <c r="F379" s="1">
        <v>1.0365</v>
      </c>
      <c r="G379" s="1">
        <v>1.0266</v>
      </c>
      <c r="H379" s="1">
        <v>1.06246</v>
      </c>
      <c r="I379" s="1">
        <v>1.08484</v>
      </c>
      <c r="J379" s="1">
        <v>1.08674</v>
      </c>
      <c r="K379" s="1">
        <v>1.11294</v>
      </c>
      <c r="L379" s="1">
        <v>1.11188</v>
      </c>
      <c r="M379" s="1">
        <v>1.0359</v>
      </c>
      <c r="N379" s="1">
        <v>1.0266</v>
      </c>
      <c r="O379" s="1">
        <v>1.06246</v>
      </c>
      <c r="P379" s="1">
        <v>1.08484</v>
      </c>
      <c r="Q379" s="1">
        <v>1.08674</v>
      </c>
      <c r="R379" s="1">
        <v>1.11294</v>
      </c>
      <c r="S379" s="1">
        <v>1.11188</v>
      </c>
      <c r="T379" s="1">
        <v>1.0359</v>
      </c>
      <c r="U379" s="1">
        <v>1.0266</v>
      </c>
      <c r="V379" s="1">
        <v>1.06246</v>
      </c>
      <c r="W379" s="1">
        <v>1.08484</v>
      </c>
      <c r="X379" s="1">
        <v>1.08674</v>
      </c>
      <c r="Y379" s="1">
        <v>1.11294</v>
      </c>
      <c r="Z379" s="1">
        <v>1.11188</v>
      </c>
      <c r="AA379" s="1">
        <v>1.0359</v>
      </c>
      <c r="AB379" s="1">
        <v>1.0266</v>
      </c>
      <c r="AC379" s="1">
        <v>1.06246</v>
      </c>
      <c r="AD379" s="1">
        <v>1.08484</v>
      </c>
      <c r="AE379" s="1">
        <v>1.08674</v>
      </c>
      <c r="AF379" s="1">
        <v>1.11294</v>
      </c>
      <c r="AG379" s="1">
        <v>1.11188</v>
      </c>
      <c r="AH379" s="1">
        <v>1.0359</v>
      </c>
      <c r="AI379" s="1">
        <v>1.0266</v>
      </c>
      <c r="AL379" s="4" t="s">
        <v>23</v>
      </c>
      <c r="AM379" s="6" t="str" cm="1">
        <f t="array" ref="AM379">IFERROR((SUMPRODUCT(($B$358:$B$381=AM$356)*($F$355:$AI$355="")*$F$358:$AI$381)+IF(AM$356="P6",SUMPRODUCT(($F$355:$AI$355="P6")*$F$358:$AI$381),0))/(SUMPRODUCT(($B$358:$B$381=AM$356)*($F$355:$AI$355=""))+IF(AM$356="P6",COUNTIF($F$355:$AI$355,"P6")*ROWS($B$358:$B$381),0)),"")</f>
        <v/>
      </c>
      <c r="AN379" s="6" t="str" cm="1">
        <f t="array" ref="AN379">IFERROR((SUMPRODUCT(($B$358:$B$381=AN$356)*($F$355:$AI$355="")*$F$358:$AI$381)+IF(AN$356="P6",SUMPRODUCT(($F$355:$AI$355="P6")*$F$358:$AI$381),0))/(SUMPRODUCT(($B$358:$B$381=AN$356)*($F$355:$AI$355=""))+IF(AN$356="P6",COUNTIF($F$355:$AI$355,"P6")*ROWS($B$358:$B$381),0)),"")</f>
        <v/>
      </c>
      <c r="AO379" s="6" t="str" cm="1">
        <f t="array" ref="AO379">IFERROR((SUMPRODUCT(($B$358:$B$381=AO$356)*($F$355:$AI$355="")*$F$358:$AI$381)+IF(AO$356="P6",SUMPRODUCT(($F$355:$AI$355="P6")*$F$358:$AI$381),0))/(SUMPRODUCT(($B$358:$B$381=AO$356)*($F$355:$AI$355=""))+IF(AO$356="P6",COUNTIF($F$355:$AI$355,"P6")*ROWS($B$358:$B$381),0)),"")</f>
        <v/>
      </c>
      <c r="AP379" s="6" cm="1">
        <f t="array" ref="AP379">IFERROR((SUMPRODUCT(($B$358:$B$381=AP$356)*($F$355:$AI$355="")*$F$358:$AI$381)+IF(AP$356="P6",SUMPRODUCT(($F$355:$AI$355="P6")*$F$358:$AI$381),0))/(SUMPRODUCT(($B$358:$B$381=AP$356)*($F$355:$AI$355=""))+IF(AP$356="P6",COUNTIF($F$355:$AI$355,"P6")*ROWS($B$358:$B$381),0)),"")</f>
        <v>0.96523044444444506</v>
      </c>
      <c r="AQ379" s="6" cm="1">
        <f t="array" ref="AQ379">IFERROR((SUMPRODUCT(($B$358:$B$381=AQ$356)*($F$355:$AI$355="")*$F$358:$AI$381)+IF(AQ$356="P6",SUMPRODUCT(($F$355:$AI$355="P6")*$F$358:$AI$381),0))/(SUMPRODUCT(($B$358:$B$381=AQ$356)*($F$355:$AI$355=""))+IF(AQ$356="P6",COUNTIF($F$355:$AI$355,"P6")*ROWS($B$358:$B$381),0)),"")</f>
        <v>1.0323157142857142</v>
      </c>
      <c r="AR379" s="6" cm="1">
        <f t="array" ref="AR379">IFERROR((SUMPRODUCT(($B$358:$B$381=AR$356)*($F$355:$AI$355="")*$F$358:$AI$381)+IF(AR$356="P6",SUMPRODUCT(($F$355:$AI$355="P6")*$F$358:$AI$381),0))/(SUMPRODUCT(($B$358:$B$381=AR$356)*($F$355:$AI$355=""))+IF(AR$356="P6",COUNTIF($F$355:$AI$355,"P6")*ROWS($B$358:$B$381),0)),"")</f>
        <v>1.046211625</v>
      </c>
    </row>
    <row r="380" spans="1:44" ht="14.25" customHeight="1" x14ac:dyDescent="0.35">
      <c r="A380" s="1" t="s">
        <v>15</v>
      </c>
      <c r="B380" s="1" t="s">
        <v>17</v>
      </c>
      <c r="C380" s="1" t="s">
        <v>14</v>
      </c>
      <c r="D380" s="1" t="s">
        <v>15</v>
      </c>
      <c r="E380" s="1" t="s">
        <v>41</v>
      </c>
      <c r="F380" s="1">
        <v>1.0561199999999999</v>
      </c>
      <c r="G380" s="1">
        <v>1.05067</v>
      </c>
      <c r="H380" s="1">
        <v>1.1298600000000001</v>
      </c>
      <c r="I380" s="1">
        <v>1.1495500000000001</v>
      </c>
      <c r="J380" s="1">
        <v>1.14937</v>
      </c>
      <c r="K380" s="1">
        <v>1.1641600000000001</v>
      </c>
      <c r="L380" s="1">
        <v>1.17743</v>
      </c>
      <c r="M380" s="1">
        <v>1.0392999999999999</v>
      </c>
      <c r="N380" s="1">
        <v>1.05067</v>
      </c>
      <c r="O380" s="1">
        <v>1.1298600000000001</v>
      </c>
      <c r="P380" s="1">
        <v>1.1495500000000001</v>
      </c>
      <c r="Q380" s="1">
        <v>1.14937</v>
      </c>
      <c r="R380" s="1">
        <v>1.1641600000000001</v>
      </c>
      <c r="S380" s="1">
        <v>1.17743</v>
      </c>
      <c r="T380" s="1">
        <v>1.0392999999999999</v>
      </c>
      <c r="U380" s="1">
        <v>1.05067</v>
      </c>
      <c r="V380" s="1">
        <v>1.1298600000000001</v>
      </c>
      <c r="W380" s="1">
        <v>1.1495500000000001</v>
      </c>
      <c r="X380" s="1">
        <v>1.14937</v>
      </c>
      <c r="Y380" s="1">
        <v>1.1641600000000001</v>
      </c>
      <c r="Z380" s="1">
        <v>1.17743</v>
      </c>
      <c r="AA380" s="1">
        <v>1.0392999999999999</v>
      </c>
      <c r="AB380" s="1">
        <v>1.05067</v>
      </c>
      <c r="AC380" s="1">
        <v>1.1298600000000001</v>
      </c>
      <c r="AD380" s="1">
        <v>1.1495500000000001</v>
      </c>
      <c r="AE380" s="1">
        <v>1.14937</v>
      </c>
      <c r="AF380" s="1">
        <v>1.1641600000000001</v>
      </c>
      <c r="AG380" s="1">
        <v>1.17743</v>
      </c>
      <c r="AH380" s="1">
        <v>1.0392999999999999</v>
      </c>
      <c r="AI380" s="1">
        <v>1.05067</v>
      </c>
      <c r="AL380" s="4" t="s">
        <v>25</v>
      </c>
      <c r="AM380" s="6" t="str" cm="1">
        <f t="array" ref="AM380">IFERROR((SUMPRODUCT(($B$358:$B$381=AM$356)*($F$355:$AI$355="")*$F$358:$AI$381)+IF(AM$356="P6",SUMPRODUCT(($F$355:$AI$355="P6")*$F$358:$AI$381),0))/(SUMPRODUCT(($B$358:$B$381=AM$356)*($F$355:$AI$355=""))+IF(AM$356="P6",COUNTIF($F$355:$AI$355,"P6")*ROWS($B$358:$B$381),0)),"")</f>
        <v/>
      </c>
      <c r="AN380" s="6" t="str" cm="1">
        <f t="array" ref="AN380">IFERROR((SUMPRODUCT(($B$358:$B$381=AN$356)*($F$355:$AI$355="")*$F$358:$AI$381)+IF(AN$356="P6",SUMPRODUCT(($F$355:$AI$355="P6")*$F$358:$AI$381),0))/(SUMPRODUCT(($B$358:$B$381=AN$356)*($F$355:$AI$355=""))+IF(AN$356="P6",COUNTIF($F$355:$AI$355,"P6")*ROWS($B$358:$B$381),0)),"")</f>
        <v/>
      </c>
      <c r="AO380" s="6" t="str" cm="1">
        <f t="array" ref="AO380">IFERROR((SUMPRODUCT(($B$358:$B$381=AO$356)*($F$355:$AI$355="")*$F$358:$AI$381)+IF(AO$356="P6",SUMPRODUCT(($F$355:$AI$355="P6")*$F$358:$AI$381),0))/(SUMPRODUCT(($B$358:$B$381=AO$356)*($F$355:$AI$355=""))+IF(AO$356="P6",COUNTIF($F$355:$AI$355,"P6")*ROWS($B$358:$B$381),0)),"")</f>
        <v/>
      </c>
      <c r="AP380" s="6" cm="1">
        <f t="array" ref="AP380">IFERROR((SUMPRODUCT(($B$358:$B$381=AP$356)*($F$355:$AI$355="")*$F$358:$AI$381)+IF(AP$356="P6",SUMPRODUCT(($F$355:$AI$355="P6")*$F$358:$AI$381),0))/(SUMPRODUCT(($B$358:$B$381=AP$356)*($F$355:$AI$355=""))+IF(AP$356="P6",COUNTIF($F$355:$AI$355,"P6")*ROWS($B$358:$B$381),0)),"")</f>
        <v>0.96523044444444506</v>
      </c>
      <c r="AQ380" s="6" cm="1">
        <f t="array" ref="AQ380">IFERROR((SUMPRODUCT(($B$358:$B$381=AQ$356)*($F$355:$AI$355="")*$F$358:$AI$381)+IF(AQ$356="P6",SUMPRODUCT(($F$355:$AI$355="P6")*$F$358:$AI$381),0))/(SUMPRODUCT(($B$358:$B$381=AQ$356)*($F$355:$AI$355=""))+IF(AQ$356="P6",COUNTIF($F$355:$AI$355,"P6")*ROWS($B$358:$B$381),0)),"")</f>
        <v>1.0323157142857142</v>
      </c>
      <c r="AR380" s="6" cm="1">
        <f t="array" ref="AR380">IFERROR((SUMPRODUCT(($B$358:$B$381=AR$356)*($F$355:$AI$355="")*$F$358:$AI$381)+IF(AR$356="P6",SUMPRODUCT(($F$355:$AI$355="P6")*$F$358:$AI$381),0))/(SUMPRODUCT(($B$358:$B$381=AR$356)*($F$355:$AI$355=""))+IF(AR$356="P6",COUNTIF($F$355:$AI$355,"P6")*ROWS($B$358:$B$381),0)),"")</f>
        <v>1.046211625</v>
      </c>
    </row>
    <row r="381" spans="1:44" ht="14.25" customHeight="1" x14ac:dyDescent="0.35">
      <c r="A381" s="1" t="s">
        <v>15</v>
      </c>
      <c r="B381" s="1" t="s">
        <v>17</v>
      </c>
      <c r="C381" s="1" t="s">
        <v>14</v>
      </c>
      <c r="D381" s="1" t="s">
        <v>15</v>
      </c>
      <c r="E381" s="1" t="s">
        <v>42</v>
      </c>
      <c r="F381" s="1">
        <v>1.08809</v>
      </c>
      <c r="G381" s="1">
        <v>1.07792</v>
      </c>
      <c r="H381" s="1">
        <v>1.17069</v>
      </c>
      <c r="I381" s="1">
        <v>1.1906600000000001</v>
      </c>
      <c r="J381" s="1">
        <v>1.19767</v>
      </c>
      <c r="K381" s="1">
        <v>1.1930799999999999</v>
      </c>
      <c r="L381" s="1">
        <v>1.20316</v>
      </c>
      <c r="M381" s="1">
        <v>1.06128</v>
      </c>
      <c r="N381" s="1">
        <v>1.07792</v>
      </c>
      <c r="O381" s="1">
        <v>1.17069</v>
      </c>
      <c r="P381" s="1">
        <v>1.1906600000000001</v>
      </c>
      <c r="Q381" s="1">
        <v>1.19767</v>
      </c>
      <c r="R381" s="1">
        <v>1.1930799999999999</v>
      </c>
      <c r="S381" s="1">
        <v>1.20316</v>
      </c>
      <c r="T381" s="1">
        <v>1.06128</v>
      </c>
      <c r="U381" s="1">
        <v>1.07792</v>
      </c>
      <c r="V381" s="1">
        <v>1.17069</v>
      </c>
      <c r="W381" s="1">
        <v>1.1906600000000001</v>
      </c>
      <c r="X381" s="1">
        <v>1.19767</v>
      </c>
      <c r="Y381" s="1">
        <v>1.1930799999999999</v>
      </c>
      <c r="Z381" s="1">
        <v>1.20316</v>
      </c>
      <c r="AA381" s="1">
        <v>1.06128</v>
      </c>
      <c r="AB381" s="1">
        <v>1.07792</v>
      </c>
      <c r="AC381" s="1">
        <v>1.17069</v>
      </c>
      <c r="AD381" s="1">
        <v>1.1906600000000001</v>
      </c>
      <c r="AE381" s="1">
        <v>1.19767</v>
      </c>
      <c r="AF381" s="1">
        <v>1.1930799999999999</v>
      </c>
      <c r="AG381" s="1">
        <v>1.20316</v>
      </c>
      <c r="AH381" s="1">
        <v>1.06128</v>
      </c>
      <c r="AI381" s="1">
        <v>1.07792</v>
      </c>
      <c r="AL381" s="4" t="s">
        <v>27</v>
      </c>
      <c r="AM381" s="6" t="str" cm="1">
        <f t="array" ref="AM381">IFERROR((SUMPRODUCT(($B$358:$B$381=AM$356)*($F$355:$AI$355="")*$F$358:$AI$381)+IF(AM$356="P6",SUMPRODUCT(($F$355:$AI$355="P6")*$F$358:$AI$381),0))/(SUMPRODUCT(($B$358:$B$381=AM$356)*($F$355:$AI$355=""))+IF(AM$356="P6",COUNTIF($F$355:$AI$355,"P6")*ROWS($B$358:$B$381),0)),"")</f>
        <v/>
      </c>
      <c r="AN381" s="6" t="str" cm="1">
        <f t="array" ref="AN381">IFERROR((SUMPRODUCT(($B$358:$B$381=AN$356)*($F$355:$AI$355="")*$F$358:$AI$381)+IF(AN$356="P6",SUMPRODUCT(($F$355:$AI$355="P6")*$F$358:$AI$381),0))/(SUMPRODUCT(($B$358:$B$381=AN$356)*($F$355:$AI$355=""))+IF(AN$356="P6",COUNTIF($F$355:$AI$355,"P6")*ROWS($B$358:$B$381),0)),"")</f>
        <v/>
      </c>
      <c r="AO381" s="6" t="str" cm="1">
        <f t="array" ref="AO381">IFERROR((SUMPRODUCT(($B$358:$B$381=AO$356)*($F$355:$AI$355="")*$F$358:$AI$381)+IF(AO$356="P6",SUMPRODUCT(($F$355:$AI$355="P6")*$F$358:$AI$381),0))/(SUMPRODUCT(($B$358:$B$381=AO$356)*($F$355:$AI$355=""))+IF(AO$356="P6",COUNTIF($F$355:$AI$355,"P6")*ROWS($B$358:$B$381),0)),"")</f>
        <v/>
      </c>
      <c r="AP381" s="6" cm="1">
        <f t="array" ref="AP381">IFERROR((SUMPRODUCT(($B$358:$B$381=AP$356)*($F$355:$AI$355="")*$F$358:$AI$381)+IF(AP$356="P6",SUMPRODUCT(($F$355:$AI$355="P6")*$F$358:$AI$381),0))/(SUMPRODUCT(($B$358:$B$381=AP$356)*($F$355:$AI$355=""))+IF(AP$356="P6",COUNTIF($F$355:$AI$355,"P6")*ROWS($B$358:$B$381),0)),"")</f>
        <v>0.96523044444444506</v>
      </c>
      <c r="AQ381" s="6" cm="1">
        <f t="array" ref="AQ381">IFERROR((SUMPRODUCT(($B$358:$B$381=AQ$356)*($F$355:$AI$355="")*$F$358:$AI$381)+IF(AQ$356="P6",SUMPRODUCT(($F$355:$AI$355="P6")*$F$358:$AI$381),0))/(SUMPRODUCT(($B$358:$B$381=AQ$356)*($F$355:$AI$355=""))+IF(AQ$356="P6",COUNTIF($F$355:$AI$355,"P6")*ROWS($B$358:$B$381),0)),"")</f>
        <v>1.0323157142857142</v>
      </c>
      <c r="AR381" s="6" cm="1">
        <f t="array" ref="AR381">IFERROR((SUMPRODUCT(($B$358:$B$381=AR$356)*($F$355:$AI$355="")*$F$358:$AI$381)+IF(AR$356="P6",SUMPRODUCT(($F$355:$AI$355="P6")*$F$358:$AI$381),0))/(SUMPRODUCT(($B$358:$B$381=AR$356)*($F$355:$AI$355=""))+IF(AR$356="P6",COUNTIF($F$355:$AI$355,"P6")*ROWS($B$358:$B$381),0)),"")</f>
        <v>1.046211625</v>
      </c>
    </row>
    <row r="382" spans="1:44" ht="14.25" customHeight="1" x14ac:dyDescent="0.35">
      <c r="AL382" s="4" t="s">
        <v>29</v>
      </c>
      <c r="AM382" s="6" t="str" cm="1">
        <f t="array" ref="AM382">IFERROR((SUMPRODUCT(($B$358:$B$381=AM$356)*($F$355:$AI$355="")*$F$358:$AI$381)+IF(AM$356="P6",SUMPRODUCT(($F$355:$AI$355="P6")*$F$358:$AI$381),0))/(SUMPRODUCT(($B$358:$B$381=AM$356)*($F$355:$AI$355=""))+IF(AM$356="P6",COUNTIF($F$355:$AI$355,"P6")*ROWS($B$358:$B$381),0)),"")</f>
        <v/>
      </c>
      <c r="AN382" s="6" t="str" cm="1">
        <f t="array" ref="AN382">IFERROR((SUMPRODUCT(($B$358:$B$381=AN$356)*($F$355:$AI$355="")*$F$358:$AI$381)+IF(AN$356="P6",SUMPRODUCT(($F$355:$AI$355="P6")*$F$358:$AI$381),0))/(SUMPRODUCT(($B$358:$B$381=AN$356)*($F$355:$AI$355=""))+IF(AN$356="P6",COUNTIF($F$355:$AI$355,"P6")*ROWS($B$358:$B$381),0)),"")</f>
        <v/>
      </c>
      <c r="AO382" s="6" t="str" cm="1">
        <f t="array" ref="AO382">IFERROR((SUMPRODUCT(($B$358:$B$381=AO$356)*($F$355:$AI$355="")*$F$358:$AI$381)+IF(AO$356="P6",SUMPRODUCT(($F$355:$AI$355="P6")*$F$358:$AI$381),0))/(SUMPRODUCT(($B$358:$B$381=AO$356)*($F$355:$AI$355=""))+IF(AO$356="P6",COUNTIF($F$355:$AI$355,"P6")*ROWS($B$358:$B$381),0)),"")</f>
        <v/>
      </c>
      <c r="AP382" s="6" cm="1">
        <f t="array" ref="AP382">IFERROR((SUMPRODUCT(($B$358:$B$381=AP$356)*($F$355:$AI$355="")*$F$358:$AI$381)+IF(AP$356="P6",SUMPRODUCT(($F$355:$AI$355="P6")*$F$358:$AI$381),0))/(SUMPRODUCT(($B$358:$B$381=AP$356)*($F$355:$AI$355=""))+IF(AP$356="P6",COUNTIF($F$355:$AI$355,"P6")*ROWS($B$358:$B$381),0)),"")</f>
        <v>0.96523044444444506</v>
      </c>
      <c r="AQ382" s="6" cm="1">
        <f t="array" ref="AQ382">IFERROR((SUMPRODUCT(($B$358:$B$381=AQ$356)*($F$355:$AI$355="")*$F$358:$AI$381)+IF(AQ$356="P6",SUMPRODUCT(($F$355:$AI$355="P6")*$F$358:$AI$381),0))/(SUMPRODUCT(($B$358:$B$381=AQ$356)*($F$355:$AI$355=""))+IF(AQ$356="P6",COUNTIF($F$355:$AI$355,"P6")*ROWS($B$358:$B$381),0)),"")</f>
        <v>1.0323157142857142</v>
      </c>
      <c r="AR382" s="6" cm="1">
        <f t="array" ref="AR382">IFERROR((SUMPRODUCT(($B$358:$B$381=AR$356)*($F$355:$AI$355="")*$F$358:$AI$381)+IF(AR$356="P6",SUMPRODUCT(($F$355:$AI$355="P6")*$F$358:$AI$381),0))/(SUMPRODUCT(($B$358:$B$381=AR$356)*($F$355:$AI$355=""))+IF(AR$356="P6",COUNTIF($F$355:$AI$355,"P6")*ROWS($B$358:$B$381),0)),"")</f>
        <v>1.046211625</v>
      </c>
    </row>
    <row r="386" spans="1:44" ht="14.25" customHeight="1" x14ac:dyDescent="0.35">
      <c r="A386" s="15" t="s">
        <v>55</v>
      </c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</row>
    <row r="387" spans="1:44" ht="14.25" customHeight="1" x14ac:dyDescent="0.3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</row>
    <row r="388" spans="1:44" ht="14.25" customHeight="1" x14ac:dyDescent="0.35">
      <c r="AL388" s="10"/>
      <c r="AM388" s="10"/>
      <c r="AN388" s="10"/>
      <c r="AO388" s="10"/>
      <c r="AP388" s="10"/>
      <c r="AQ388" s="10"/>
      <c r="AR388" s="10"/>
    </row>
    <row r="389" spans="1:44" ht="14.25" customHeight="1" x14ac:dyDescent="0.35">
      <c r="F389" s="1" t="str">
        <f>IF(OR(F391="S",F391="D",F392=DATE(2025,12,8),F392=DATE(2025,12,25)),"P3","")</f>
        <v/>
      </c>
      <c r="G389" s="1" t="str">
        <f t="shared" ref="G389:AJ389" si="42">IF(OR(G391="S",G391="D",G392=DATE(2025,12,8),G392=DATE(2025,12,25)),"P3","")</f>
        <v/>
      </c>
      <c r="H389" s="1" t="str">
        <f t="shared" si="42"/>
        <v/>
      </c>
      <c r="I389" s="1" t="str">
        <f t="shared" si="42"/>
        <v/>
      </c>
      <c r="J389" s="1" t="str">
        <f t="shared" si="42"/>
        <v/>
      </c>
      <c r="K389" s="1" t="str">
        <f t="shared" si="42"/>
        <v>P3</v>
      </c>
      <c r="L389" s="1" t="str">
        <f t="shared" si="42"/>
        <v>P3</v>
      </c>
      <c r="M389" s="1" t="str">
        <f t="shared" si="42"/>
        <v>P3</v>
      </c>
      <c r="N389" s="1" t="str">
        <f t="shared" si="42"/>
        <v/>
      </c>
      <c r="O389" s="1" t="str">
        <f t="shared" si="42"/>
        <v/>
      </c>
      <c r="P389" s="1" t="str">
        <f t="shared" si="42"/>
        <v/>
      </c>
      <c r="Q389" s="1" t="str">
        <f t="shared" si="42"/>
        <v/>
      </c>
      <c r="R389" s="1" t="str">
        <f t="shared" si="42"/>
        <v>P3</v>
      </c>
      <c r="S389" s="1" t="str">
        <f t="shared" si="42"/>
        <v>P3</v>
      </c>
      <c r="T389" s="1" t="str">
        <f t="shared" si="42"/>
        <v/>
      </c>
      <c r="U389" s="1" t="str">
        <f t="shared" si="42"/>
        <v/>
      </c>
      <c r="V389" s="1" t="str">
        <f t="shared" si="42"/>
        <v/>
      </c>
      <c r="W389" s="1" t="str">
        <f t="shared" si="42"/>
        <v/>
      </c>
      <c r="X389" s="1" t="str">
        <f t="shared" si="42"/>
        <v/>
      </c>
      <c r="Y389" s="1" t="str">
        <f t="shared" si="42"/>
        <v>P3</v>
      </c>
      <c r="Z389" s="1" t="str">
        <f t="shared" si="42"/>
        <v>P3</v>
      </c>
      <c r="AA389" s="1" t="str">
        <f t="shared" si="42"/>
        <v/>
      </c>
      <c r="AB389" s="1" t="str">
        <f t="shared" si="42"/>
        <v/>
      </c>
      <c r="AC389" s="1" t="str">
        <f t="shared" si="42"/>
        <v/>
      </c>
      <c r="AD389" s="1" t="str">
        <f t="shared" si="42"/>
        <v>P3</v>
      </c>
      <c r="AE389" s="1" t="str">
        <f t="shared" si="42"/>
        <v/>
      </c>
      <c r="AF389" s="1" t="str">
        <f t="shared" si="42"/>
        <v>P3</v>
      </c>
      <c r="AG389" s="1" t="str">
        <f t="shared" si="42"/>
        <v>P3</v>
      </c>
      <c r="AH389" s="1" t="str">
        <f t="shared" si="42"/>
        <v/>
      </c>
      <c r="AI389" s="1" t="str">
        <f t="shared" si="42"/>
        <v/>
      </c>
      <c r="AJ389" s="1" t="str">
        <f t="shared" si="42"/>
        <v/>
      </c>
      <c r="AL389" s="10"/>
      <c r="AM389" s="10"/>
      <c r="AN389" s="10"/>
      <c r="AO389" s="10"/>
      <c r="AP389" s="10"/>
      <c r="AQ389" s="10"/>
      <c r="AR389" s="10"/>
    </row>
    <row r="390" spans="1:44" ht="14.25" customHeight="1" x14ac:dyDescent="0.35">
      <c r="F390" s="1" t="str">
        <f>IF(OR(F391="S",F391="D",F392=DATE(2025,12,8),F392=DATE(2025,12,25)),"P6","")</f>
        <v/>
      </c>
      <c r="G390" s="1" t="str">
        <f t="shared" ref="G390:AJ390" si="43">IF(OR(G391="S",G391="D",G392=DATE(2025,12,8),G392=DATE(2025,12,25)),"P6","")</f>
        <v/>
      </c>
      <c r="H390" s="1" t="str">
        <f t="shared" si="43"/>
        <v/>
      </c>
      <c r="I390" s="1" t="str">
        <f t="shared" si="43"/>
        <v/>
      </c>
      <c r="J390" s="1" t="str">
        <f t="shared" si="43"/>
        <v/>
      </c>
      <c r="K390" s="1" t="str">
        <f t="shared" si="43"/>
        <v>P6</v>
      </c>
      <c r="L390" s="1" t="str">
        <f t="shared" si="43"/>
        <v>P6</v>
      </c>
      <c r="M390" s="1" t="str">
        <f t="shared" si="43"/>
        <v>P6</v>
      </c>
      <c r="N390" s="1" t="str">
        <f t="shared" si="43"/>
        <v/>
      </c>
      <c r="O390" s="1" t="str">
        <f t="shared" si="43"/>
        <v/>
      </c>
      <c r="P390" s="1" t="str">
        <f t="shared" si="43"/>
        <v/>
      </c>
      <c r="Q390" s="1" t="str">
        <f t="shared" si="43"/>
        <v/>
      </c>
      <c r="R390" s="1" t="str">
        <f t="shared" si="43"/>
        <v>P6</v>
      </c>
      <c r="S390" s="1" t="str">
        <f t="shared" si="43"/>
        <v>P6</v>
      </c>
      <c r="T390" s="1" t="str">
        <f t="shared" si="43"/>
        <v/>
      </c>
      <c r="U390" s="1" t="str">
        <f t="shared" si="43"/>
        <v/>
      </c>
      <c r="V390" s="1" t="str">
        <f t="shared" si="43"/>
        <v/>
      </c>
      <c r="W390" s="1" t="str">
        <f t="shared" si="43"/>
        <v/>
      </c>
      <c r="X390" s="1" t="str">
        <f t="shared" si="43"/>
        <v/>
      </c>
      <c r="Y390" s="1" t="str">
        <f t="shared" si="43"/>
        <v>P6</v>
      </c>
      <c r="Z390" s="1" t="str">
        <f t="shared" si="43"/>
        <v>P6</v>
      </c>
      <c r="AA390" s="1" t="str">
        <f t="shared" si="43"/>
        <v/>
      </c>
      <c r="AB390" s="1" t="str">
        <f t="shared" si="43"/>
        <v/>
      </c>
      <c r="AC390" s="1" t="str">
        <f t="shared" si="43"/>
        <v/>
      </c>
      <c r="AD390" s="1" t="str">
        <f t="shared" si="43"/>
        <v>P6</v>
      </c>
      <c r="AE390" s="1" t="str">
        <f t="shared" si="43"/>
        <v/>
      </c>
      <c r="AF390" s="1" t="str">
        <f t="shared" si="43"/>
        <v>P6</v>
      </c>
      <c r="AG390" s="1" t="str">
        <f t="shared" si="43"/>
        <v>P6</v>
      </c>
      <c r="AH390" s="1" t="str">
        <f t="shared" si="43"/>
        <v/>
      </c>
      <c r="AI390" s="1" t="str">
        <f t="shared" si="43"/>
        <v/>
      </c>
      <c r="AJ390" s="1" t="str">
        <f t="shared" si="43"/>
        <v/>
      </c>
      <c r="AL390" s="14" t="s">
        <v>111</v>
      </c>
      <c r="AM390" s="14"/>
      <c r="AN390" s="14"/>
      <c r="AO390" s="14"/>
      <c r="AP390" s="14"/>
      <c r="AQ390" s="14"/>
      <c r="AR390" s="14"/>
    </row>
    <row r="391" spans="1:44" ht="14.25" customHeight="1" x14ac:dyDescent="0.35">
      <c r="F391" s="1" t="str">
        <f>CHOOSE(WEEKDAY(F392,2),"L","M","X","J","V","S","D")</f>
        <v>L</v>
      </c>
      <c r="G391" s="1" t="str">
        <f t="shared" ref="G391:AJ391" si="44">CHOOSE(WEEKDAY(G392,2),"L","M","X","J","V","S","D")</f>
        <v>M</v>
      </c>
      <c r="H391" s="1" t="str">
        <f t="shared" si="44"/>
        <v>X</v>
      </c>
      <c r="I391" s="1" t="str">
        <f t="shared" si="44"/>
        <v>J</v>
      </c>
      <c r="J391" s="1" t="str">
        <f t="shared" si="44"/>
        <v>V</v>
      </c>
      <c r="K391" s="1" t="str">
        <f t="shared" si="44"/>
        <v>S</v>
      </c>
      <c r="L391" s="1" t="str">
        <f t="shared" si="44"/>
        <v>D</v>
      </c>
      <c r="M391" s="1" t="str">
        <f t="shared" si="44"/>
        <v>L</v>
      </c>
      <c r="N391" s="1" t="str">
        <f t="shared" si="44"/>
        <v>M</v>
      </c>
      <c r="O391" s="1" t="str">
        <f t="shared" si="44"/>
        <v>X</v>
      </c>
      <c r="P391" s="1" t="str">
        <f t="shared" si="44"/>
        <v>J</v>
      </c>
      <c r="Q391" s="1" t="str">
        <f t="shared" si="44"/>
        <v>V</v>
      </c>
      <c r="R391" s="1" t="str">
        <f t="shared" si="44"/>
        <v>S</v>
      </c>
      <c r="S391" s="1" t="str">
        <f t="shared" si="44"/>
        <v>D</v>
      </c>
      <c r="T391" s="1" t="str">
        <f t="shared" si="44"/>
        <v>L</v>
      </c>
      <c r="U391" s="1" t="str">
        <f t="shared" si="44"/>
        <v>M</v>
      </c>
      <c r="V391" s="1" t="str">
        <f t="shared" si="44"/>
        <v>X</v>
      </c>
      <c r="W391" s="1" t="str">
        <f t="shared" si="44"/>
        <v>J</v>
      </c>
      <c r="X391" s="1" t="str">
        <f t="shared" si="44"/>
        <v>V</v>
      </c>
      <c r="Y391" s="1" t="str">
        <f t="shared" si="44"/>
        <v>S</v>
      </c>
      <c r="Z391" s="1" t="str">
        <f t="shared" si="44"/>
        <v>D</v>
      </c>
      <c r="AA391" s="1" t="str">
        <f t="shared" si="44"/>
        <v>L</v>
      </c>
      <c r="AB391" s="1" t="str">
        <f t="shared" si="44"/>
        <v>M</v>
      </c>
      <c r="AC391" s="1" t="str">
        <f t="shared" si="44"/>
        <v>X</v>
      </c>
      <c r="AD391" s="1" t="str">
        <f t="shared" si="44"/>
        <v>J</v>
      </c>
      <c r="AE391" s="1" t="str">
        <f t="shared" si="44"/>
        <v>V</v>
      </c>
      <c r="AF391" s="1" t="str">
        <f t="shared" si="44"/>
        <v>S</v>
      </c>
      <c r="AG391" s="1" t="str">
        <f t="shared" si="44"/>
        <v>D</v>
      </c>
      <c r="AH391" s="1" t="str">
        <f t="shared" si="44"/>
        <v>L</v>
      </c>
      <c r="AI391" s="1" t="str">
        <f t="shared" si="44"/>
        <v>M</v>
      </c>
      <c r="AJ391" s="1" t="str">
        <f t="shared" si="44"/>
        <v>X</v>
      </c>
      <c r="AL391" s="4"/>
      <c r="AM391" s="4" t="s">
        <v>13</v>
      </c>
      <c r="AN391" s="4" t="s">
        <v>14</v>
      </c>
      <c r="AO391" s="4" t="s">
        <v>15</v>
      </c>
      <c r="AP391" s="4" t="s">
        <v>16</v>
      </c>
      <c r="AQ391" s="4" t="s">
        <v>17</v>
      </c>
      <c r="AR391" s="4" t="s">
        <v>7</v>
      </c>
    </row>
    <row r="392" spans="1:44" ht="14.25" customHeight="1" x14ac:dyDescent="0.35">
      <c r="A392" s="3" t="s">
        <v>76</v>
      </c>
      <c r="B392" s="3" t="s">
        <v>77</v>
      </c>
      <c r="C392" s="3" t="s">
        <v>75</v>
      </c>
      <c r="D392" s="3" t="s">
        <v>74</v>
      </c>
      <c r="F392" s="8">
        <v>45992</v>
      </c>
      <c r="G392" s="8">
        <v>45993</v>
      </c>
      <c r="H392" s="8">
        <v>45994</v>
      </c>
      <c r="I392" s="8">
        <v>45995</v>
      </c>
      <c r="J392" s="8">
        <v>45996</v>
      </c>
      <c r="K392" s="8">
        <v>45997</v>
      </c>
      <c r="L392" s="8">
        <v>45998</v>
      </c>
      <c r="M392" s="8">
        <v>45999</v>
      </c>
      <c r="N392" s="8">
        <v>46000</v>
      </c>
      <c r="O392" s="8">
        <v>46001</v>
      </c>
      <c r="P392" s="8">
        <v>46002</v>
      </c>
      <c r="Q392" s="8">
        <v>46003</v>
      </c>
      <c r="R392" s="8">
        <v>46004</v>
      </c>
      <c r="S392" s="8">
        <v>46005</v>
      </c>
      <c r="T392" s="8">
        <v>46006</v>
      </c>
      <c r="U392" s="8">
        <v>46007</v>
      </c>
      <c r="V392" s="8">
        <v>46008</v>
      </c>
      <c r="W392" s="8">
        <v>46009</v>
      </c>
      <c r="X392" s="8">
        <v>46010</v>
      </c>
      <c r="Y392" s="8">
        <v>46011</v>
      </c>
      <c r="Z392" s="8">
        <v>46012</v>
      </c>
      <c r="AA392" s="8">
        <v>46013</v>
      </c>
      <c r="AB392" s="8">
        <v>46014</v>
      </c>
      <c r="AC392" s="8">
        <v>46015</v>
      </c>
      <c r="AD392" s="8">
        <v>46016</v>
      </c>
      <c r="AE392" s="8">
        <v>46017</v>
      </c>
      <c r="AF392" s="8">
        <v>46018</v>
      </c>
      <c r="AG392" s="8">
        <v>46019</v>
      </c>
      <c r="AH392" s="8">
        <v>46020</v>
      </c>
      <c r="AI392" s="8">
        <v>46021</v>
      </c>
      <c r="AJ392" s="8">
        <v>46022</v>
      </c>
      <c r="AL392" s="4" t="s">
        <v>19</v>
      </c>
      <c r="AM392" s="6" cm="1">
        <f t="array" ref="AM392">IFERROR((SUMPRODUCT(($C$393:$C$416=AM$391)*($F$389:$AJ$389="")*$F$393:$AJ$416)+IF(AM$391="P3",SUMPRODUCT(($F$389:$AJ$389="P3")*$F$393:$AJ$416),0))/(SUMPRODUCT(($C$393:$C$416=AM$391)*($F$389:$AJ$389=""))+IF(AM$391="P3",COUNTIF($F$389:$AJ$389,"P3")*ROWS($C$393:$C$416),0)),"")</f>
        <v>1.0728502976190479</v>
      </c>
      <c r="AN392" s="6" cm="1">
        <f t="array" ref="AN392">IFERROR((SUMPRODUCT(($C$393:$C$416=AN$391)*($F$389:$AJ$389="")*$F$393:$AJ$416)+IF(AN$391="P3",SUMPRODUCT(($F$389:$AJ$389="P3")*$F$393:$AJ$416),0))/(SUMPRODUCT(($C$393:$C$416=AN$391)*($F$389:$AJ$389=""))+IF(AN$391="P3",COUNTIF($F$389:$AJ$389,"P3")*ROWS($C$393:$C$416),0)),"")</f>
        <v>1.1062406547619044</v>
      </c>
      <c r="AO392" s="6" cm="1">
        <f t="array" ref="AO392">IFERROR((SUMPRODUCT(($C$393:$C$416=AO$391)*($F$389:$AJ$389="")*$F$393:$AJ$416)+IF(AO$391="P3",SUMPRODUCT(($F$389:$AJ$389="P3")*$F$393:$AJ$416),0))/(SUMPRODUCT(($C$393:$C$416=AO$391)*($F$389:$AJ$389=""))+IF(AO$391="P3",COUNTIF($F$389:$AJ$389,"P3")*ROWS($C$393:$C$416),0)),"")</f>
        <v>1.1851686029411772</v>
      </c>
      <c r="AP392" s="6" t="str" cm="1">
        <f t="array" ref="AP392">IFERROR((SUMPRODUCT(($C$393:$C$416=AP$391)*($F$389:$AJ$389="")*$F$393:$AJ$416)+IF(AP$391="P3",SUMPRODUCT(($F$389:$AJ$389="P3")*$F$393:$AJ$416),0))/(SUMPRODUCT(($C$393:$C$416=AP$391)*($F$389:$AJ$389=""))+IF(AP$391="P3",COUNTIF($F$389:$AJ$389,"P3")*ROWS($C$393:$C$416),0)),"")</f>
        <v/>
      </c>
      <c r="AQ392" s="6" t="str" cm="1">
        <f t="array" ref="AQ392">IFERROR((SUMPRODUCT(($C$393:$C$416=AQ$391)*($F$389:$AJ$389="")*$F$393:$AJ$416)+IF(AQ$391="P3",SUMPRODUCT(($F$389:$AJ$389="P3")*$F$393:$AJ$416),0))/(SUMPRODUCT(($C$393:$C$416=AQ$391)*($F$389:$AJ$389=""))+IF(AQ$391="P3",COUNTIF($F$389:$AJ$389,"P3")*ROWS($C$393:$C$416),0)),"")</f>
        <v/>
      </c>
      <c r="AR392" s="6" t="str" cm="1">
        <f t="array" ref="AR392">IFERROR((SUMPRODUCT(($C$393:$C$416=AR$391)*($F$389:$AJ$389="")*$F$393:$AJ$416)+IF(AR$391="P3",SUMPRODUCT(($F$389:$AJ$389="P3")*$F$393:$AJ$416),0))/(SUMPRODUCT(($C$393:$C$416=AR$391)*($F$389:$AJ$389=""))+IF(AR$391="P3",COUNTIF($F$389:$AJ$389,"P3")*ROWS($C$393:$C$416),0)),"")</f>
        <v/>
      </c>
    </row>
    <row r="393" spans="1:44" ht="14.25" customHeight="1" x14ac:dyDescent="0.35">
      <c r="A393" s="1" t="s">
        <v>7</v>
      </c>
      <c r="B393" s="1" t="s">
        <v>7</v>
      </c>
      <c r="C393" s="1" t="s">
        <v>15</v>
      </c>
      <c r="D393" s="1" t="s">
        <v>7</v>
      </c>
      <c r="E393" s="1" t="s">
        <v>8</v>
      </c>
      <c r="F393" s="1">
        <v>1.2345600000000001</v>
      </c>
      <c r="G393" s="1">
        <v>1.20394</v>
      </c>
      <c r="H393" s="1">
        <v>1.1164400000000001</v>
      </c>
      <c r="I393" s="1">
        <v>1.1860599999999999</v>
      </c>
      <c r="J393" s="1">
        <v>1.19296</v>
      </c>
      <c r="K393" s="1">
        <v>1.20591</v>
      </c>
      <c r="L393" s="1">
        <v>1.24892</v>
      </c>
      <c r="M393" s="1">
        <v>1.27359</v>
      </c>
      <c r="N393" s="1">
        <v>1.20394</v>
      </c>
      <c r="O393" s="1">
        <v>1.1164400000000001</v>
      </c>
      <c r="P393" s="1">
        <v>1.1860599999999999</v>
      </c>
      <c r="Q393" s="1">
        <v>1.19296</v>
      </c>
      <c r="R393" s="1">
        <v>1.1958200000000001</v>
      </c>
      <c r="S393" s="1">
        <v>1.24892</v>
      </c>
      <c r="T393" s="1">
        <v>1.2345600000000001</v>
      </c>
      <c r="U393" s="1">
        <v>1.20394</v>
      </c>
      <c r="V393" s="1">
        <v>1.1164400000000001</v>
      </c>
      <c r="W393" s="1">
        <v>1.1860599999999999</v>
      </c>
      <c r="X393" s="1">
        <v>1.19296</v>
      </c>
      <c r="Y393" s="1">
        <v>1.1958200000000001</v>
      </c>
      <c r="Z393" s="1">
        <v>1.24892</v>
      </c>
      <c r="AA393" s="1">
        <v>1.2345600000000001</v>
      </c>
      <c r="AB393" s="1">
        <v>1.20394</v>
      </c>
      <c r="AC393" s="1">
        <v>1.1164400000000001</v>
      </c>
      <c r="AD393" s="1">
        <v>1.3502099999999999</v>
      </c>
      <c r="AE393" s="1">
        <v>1.19296</v>
      </c>
      <c r="AF393" s="1">
        <v>1.1958200000000001</v>
      </c>
      <c r="AG393" s="1">
        <v>1.24892</v>
      </c>
      <c r="AH393" s="1">
        <v>1.2345600000000001</v>
      </c>
      <c r="AI393" s="1">
        <v>1.20394</v>
      </c>
      <c r="AJ393" s="1">
        <v>1.1164400000000001</v>
      </c>
      <c r="AL393" s="4" t="s">
        <v>21</v>
      </c>
      <c r="AM393" s="6" cm="1">
        <f t="array" ref="AM393">IFERROR((SUMPRODUCT(($D$393:$D$416=AM$391)*($F$390:$AJ$390="")*$F$393:$AJ$416)+IF(AM$391="P6",SUMPRODUCT(($F$390:$AJ$390="P6")*$F$393:$AJ$416),0))/(SUMPRODUCT(($D$393:$D$416=AM$391)*($F$390:$AJ$390=""))+IF(AM$391="P6",COUNTIF($F$390:$AJ$390,"P6")*ROWS($D$393:$D$416),0)),"")</f>
        <v>1.068048888888889</v>
      </c>
      <c r="AN393" s="6" cm="1">
        <f t="array" ref="AN393">IFERROR((SUMPRODUCT(($D$393:$D$416=AN$391)*($F$390:$AJ$390="")*$F$393:$AJ$416)+IF(AN$391="P6",SUMPRODUCT(($F$390:$AJ$390="P6")*$F$393:$AJ$416),0))/(SUMPRODUCT(($D$393:$D$416=AN$391)*($F$390:$AJ$390=""))+IF(AN$391="P6",COUNTIF($F$390:$AJ$390,"P6")*ROWS($D$393:$D$416),0)),"")</f>
        <v>1.1171839455782311</v>
      </c>
      <c r="AO393" s="6" t="str" cm="1">
        <f t="array" ref="AO393">IFERROR((SUMPRODUCT(($D$393:$D$416=AO$391)*($F$390:$AJ$390="")*$F$393:$AJ$416)+IF(AO$391="P6",SUMPRODUCT(($F$390:$AJ$390="P6")*$F$393:$AJ$416),0))/(SUMPRODUCT(($D$393:$D$416=AO$391)*($F$390:$AJ$390=""))+IF(AO$391="P6",COUNTIF($F$390:$AJ$390,"P6")*ROWS($D$393:$D$416),0)),"")</f>
        <v/>
      </c>
      <c r="AP393" s="6" t="str" cm="1">
        <f t="array" ref="AP393">IFERROR((SUMPRODUCT(($D$393:$D$416=AP$391)*($F$390:$AJ$390="")*$F$393:$AJ$416)+IF(AP$391="P6",SUMPRODUCT(($F$390:$AJ$390="P6")*$F$393:$AJ$416),0))/(SUMPRODUCT(($D$393:$D$416=AP$391)*($F$390:$AJ$390=""))+IF(AP$391="P6",COUNTIF($F$390:$AJ$390,"P6")*ROWS($D$393:$D$416),0)),"")</f>
        <v/>
      </c>
      <c r="AQ393" s="6" t="str" cm="1">
        <f t="array" ref="AQ393">IFERROR((SUMPRODUCT(($D$393:$D$416=AQ$391)*($F$390:$AJ$390="")*$F$393:$AJ$416)+IF(AQ$391="P6",SUMPRODUCT(($F$390:$AJ$390="P6")*$F$393:$AJ$416),0))/(SUMPRODUCT(($D$393:$D$416=AQ$391)*($F$390:$AJ$390=""))+IF(AQ$391="P6",COUNTIF($F$390:$AJ$390,"P6")*ROWS($D$393:$D$416),0)),"")</f>
        <v/>
      </c>
      <c r="AR393" s="6" cm="1">
        <f t="array" ref="AR393">IFERROR((SUMPRODUCT(($D$393:$D$416=AR$391)*($F$390:$AJ$390="")*$F$393:$AJ$416)+IF(AR$391="P6",SUMPRODUCT(($F$390:$AJ$390="P6")*$F$393:$AJ$416),0))/(SUMPRODUCT(($D$393:$D$416=AR$391)*($F$390:$AJ$390=""))+IF(AR$391="P6",COUNTIF($F$390:$AJ$390,"P6")*ROWS($D$393:$D$416),0)),"")</f>
        <v>1.1851686029411772</v>
      </c>
    </row>
    <row r="394" spans="1:44" ht="14.25" customHeight="1" x14ac:dyDescent="0.35">
      <c r="A394" s="1" t="s">
        <v>7</v>
      </c>
      <c r="B394" s="1" t="s">
        <v>7</v>
      </c>
      <c r="C394" s="1" t="s">
        <v>15</v>
      </c>
      <c r="D394" s="1" t="s">
        <v>7</v>
      </c>
      <c r="E394" s="1" t="s">
        <v>9</v>
      </c>
      <c r="F394" s="1">
        <v>1.2906500000000001</v>
      </c>
      <c r="G394" s="1">
        <v>1.25299</v>
      </c>
      <c r="H394" s="1">
        <v>1.1477299999999999</v>
      </c>
      <c r="I394" s="1">
        <v>1.2229300000000001</v>
      </c>
      <c r="J394" s="1">
        <v>1.2319599999999999</v>
      </c>
      <c r="K394" s="1">
        <v>1.25085</v>
      </c>
      <c r="L394" s="1">
        <v>1.2901499999999999</v>
      </c>
      <c r="M394" s="1">
        <v>1.3292600000000001</v>
      </c>
      <c r="N394" s="1">
        <v>1.25299</v>
      </c>
      <c r="O394" s="1">
        <v>1.1477299999999999</v>
      </c>
      <c r="P394" s="1">
        <v>1.2229300000000001</v>
      </c>
      <c r="Q394" s="1">
        <v>1.2319599999999999</v>
      </c>
      <c r="R394" s="1">
        <v>1.24251</v>
      </c>
      <c r="S394" s="1">
        <v>1.2901499999999999</v>
      </c>
      <c r="T394" s="1">
        <v>1.2906500000000001</v>
      </c>
      <c r="U394" s="1">
        <v>1.25299</v>
      </c>
      <c r="V394" s="1">
        <v>1.1477299999999999</v>
      </c>
      <c r="W394" s="1">
        <v>1.2229300000000001</v>
      </c>
      <c r="X394" s="1">
        <v>1.2319599999999999</v>
      </c>
      <c r="Y394" s="1">
        <v>1.24251</v>
      </c>
      <c r="Z394" s="1">
        <v>1.2901499999999999</v>
      </c>
      <c r="AA394" s="1">
        <v>1.2906500000000001</v>
      </c>
      <c r="AB394" s="1">
        <v>1.25299</v>
      </c>
      <c r="AC394" s="1">
        <v>1.1477299999999999</v>
      </c>
      <c r="AD394" s="1">
        <v>1.4013899999999999</v>
      </c>
      <c r="AE394" s="1">
        <v>1.2319599999999999</v>
      </c>
      <c r="AF394" s="1">
        <v>1.24251</v>
      </c>
      <c r="AG394" s="1">
        <v>1.2901499999999999</v>
      </c>
      <c r="AH394" s="1">
        <v>1.2906500000000001</v>
      </c>
      <c r="AI394" s="1">
        <v>1.25299</v>
      </c>
      <c r="AJ394" s="1">
        <v>1.1477299999999999</v>
      </c>
      <c r="AL394" s="4" t="s">
        <v>23</v>
      </c>
      <c r="AM394" s="6" cm="1">
        <f t="array" ref="AM394">IFERROR((SUMPRODUCT(($D$393:$D$416=AM$391)*($F$390:$AJ$390="")*$F$393:$AJ$416)+IF(AM$391="P6",SUMPRODUCT(($F$390:$AJ$390="P6")*$F$393:$AJ$416),0))/(SUMPRODUCT(($D$393:$D$416=AM$391)*($F$390:$AJ$390=""))+IF(AM$391="P6",COUNTIF($F$390:$AJ$390,"P6")*ROWS($D$393:$D$416),0)),"")</f>
        <v>1.068048888888889</v>
      </c>
      <c r="AN394" s="6" cm="1">
        <f t="array" ref="AN394">IFERROR((SUMPRODUCT(($D$393:$D$416=AN$391)*($F$390:$AJ$390="")*$F$393:$AJ$416)+IF(AN$391="P6",SUMPRODUCT(($F$390:$AJ$390="P6")*$F$393:$AJ$416),0))/(SUMPRODUCT(($D$393:$D$416=AN$391)*($F$390:$AJ$390=""))+IF(AN$391="P6",COUNTIF($F$390:$AJ$390,"P6")*ROWS($D$393:$D$416),0)),"")</f>
        <v>1.1171839455782311</v>
      </c>
      <c r="AO394" s="5" t="str" cm="1">
        <f t="array" ref="AO394">IFERROR((SUMPRODUCT(($D$393:$D$416=AO$391)*($F$390:$AJ$390="")*$F$393:$AJ$416)+IF(AO$391="P6",SUMPRODUCT(($F$390:$AJ$390="P6")*$F$393:$AJ$416),0))/(SUMPRODUCT(($D$393:$D$416=AO$391)*($F$390:$AJ$390=""))+IF(AO$391="P6",COUNTIF($F$390:$AJ$390,"P6")*ROWS($D$393:$D$416),0)),"")</f>
        <v/>
      </c>
      <c r="AP394" s="5" t="str" cm="1">
        <f t="array" ref="AP394">IFERROR((SUMPRODUCT(($D$393:$D$416=AP$391)*($F$390:$AJ$390="")*$F$393:$AJ$416)+IF(AP$391="P6",SUMPRODUCT(($F$390:$AJ$390="P6")*$F$393:$AJ$416),0))/(SUMPRODUCT(($D$393:$D$416=AP$391)*($F$390:$AJ$390=""))+IF(AP$391="P6",COUNTIF($F$390:$AJ$390,"P6")*ROWS($D$393:$D$416),0)),"")</f>
        <v/>
      </c>
      <c r="AQ394" s="5" t="str" cm="1">
        <f t="array" ref="AQ394">IFERROR((SUMPRODUCT(($D$393:$D$416=AQ$391)*($F$390:$AJ$390="")*$F$393:$AJ$416)+IF(AQ$391="P6",SUMPRODUCT(($F$390:$AJ$390="P6")*$F$393:$AJ$416),0))/(SUMPRODUCT(($D$393:$D$416=AQ$391)*($F$390:$AJ$390=""))+IF(AQ$391="P6",COUNTIF($F$390:$AJ$390,"P6")*ROWS($D$393:$D$416),0)),"")</f>
        <v/>
      </c>
      <c r="AR394" s="6" cm="1">
        <f t="array" ref="AR394">IFERROR((SUMPRODUCT(($D$393:$D$416=AR$391)*($F$390:$AJ$390="")*$F$393:$AJ$416)+IF(AR$391="P6",SUMPRODUCT(($F$390:$AJ$390="P6")*$F$393:$AJ$416),0))/(SUMPRODUCT(($D$393:$D$416=AR$391)*($F$390:$AJ$390=""))+IF(AR$391="P6",COUNTIF($F$390:$AJ$390,"P6")*ROWS($D$393:$D$416),0)),"")</f>
        <v>1.1851686029411772</v>
      </c>
    </row>
    <row r="395" spans="1:44" ht="14.25" customHeight="1" x14ac:dyDescent="0.35">
      <c r="A395" s="1" t="s">
        <v>7</v>
      </c>
      <c r="B395" s="1" t="s">
        <v>7</v>
      </c>
      <c r="C395" s="1" t="s">
        <v>15</v>
      </c>
      <c r="D395" s="1" t="s">
        <v>7</v>
      </c>
      <c r="E395" s="1" t="s">
        <v>10</v>
      </c>
      <c r="F395" s="1">
        <v>1.3046800000000001</v>
      </c>
      <c r="G395" s="1">
        <v>1.28746</v>
      </c>
      <c r="H395" s="1">
        <v>1.17937</v>
      </c>
      <c r="I395" s="1">
        <v>1.2582500000000001</v>
      </c>
      <c r="J395" s="1">
        <v>1.2790299999999999</v>
      </c>
      <c r="K395" s="1">
        <v>1.30053</v>
      </c>
      <c r="L395" s="1">
        <v>1.33954</v>
      </c>
      <c r="M395" s="1">
        <v>1.355</v>
      </c>
      <c r="N395" s="1">
        <v>1.28746</v>
      </c>
      <c r="O395" s="1">
        <v>1.17937</v>
      </c>
      <c r="P395" s="1">
        <v>1.2582500000000001</v>
      </c>
      <c r="Q395" s="1">
        <v>1.2790299999999999</v>
      </c>
      <c r="R395" s="1">
        <v>1.2816399999999999</v>
      </c>
      <c r="S395" s="1">
        <v>1.33954</v>
      </c>
      <c r="T395" s="1">
        <v>1.3046800000000001</v>
      </c>
      <c r="U395" s="1">
        <v>1.28746</v>
      </c>
      <c r="V395" s="1">
        <v>1.17937</v>
      </c>
      <c r="W395" s="1">
        <v>1.2582500000000001</v>
      </c>
      <c r="X395" s="1">
        <v>1.2790299999999999</v>
      </c>
      <c r="Y395" s="1">
        <v>1.2816399999999999</v>
      </c>
      <c r="Z395" s="1">
        <v>1.33954</v>
      </c>
      <c r="AA395" s="1">
        <v>1.3046800000000001</v>
      </c>
      <c r="AB395" s="1">
        <v>1.28746</v>
      </c>
      <c r="AC395" s="1">
        <v>1.17937</v>
      </c>
      <c r="AD395" s="1">
        <v>1.46702</v>
      </c>
      <c r="AE395" s="1">
        <v>1.2790299999999999</v>
      </c>
      <c r="AF395" s="1">
        <v>1.2816399999999999</v>
      </c>
      <c r="AG395" s="1">
        <v>1.33954</v>
      </c>
      <c r="AH395" s="1">
        <v>1.3046800000000001</v>
      </c>
      <c r="AI395" s="1">
        <v>1.28746</v>
      </c>
      <c r="AJ395" s="1">
        <v>1.17937</v>
      </c>
      <c r="AL395" s="4" t="s">
        <v>25</v>
      </c>
      <c r="AM395" s="6" cm="1">
        <f t="array" ref="AM395">IFERROR((SUMPRODUCT(($D$393:$D$416=AM$391)*($F$390:$AJ$390="")*$F$393:$AJ$416)+IF(AM$391="P6",SUMPRODUCT(($F$390:$AJ$390="P6")*$F$393:$AJ$416),0))/(SUMPRODUCT(($D$393:$D$416=AM$391)*($F$390:$AJ$390=""))+IF(AM$391="P6",COUNTIF($F$390:$AJ$390,"P6")*ROWS($D$393:$D$416),0)),"")</f>
        <v>1.068048888888889</v>
      </c>
      <c r="AN395" s="6" cm="1">
        <f t="array" ref="AN395">IFERROR((SUMPRODUCT(($D$393:$D$416=AN$391)*($F$390:$AJ$390="")*$F$393:$AJ$416)+IF(AN$391="P6",SUMPRODUCT(($F$390:$AJ$390="P6")*$F$393:$AJ$416),0))/(SUMPRODUCT(($D$393:$D$416=AN$391)*($F$390:$AJ$390=""))+IF(AN$391="P6",COUNTIF($F$390:$AJ$390,"P6")*ROWS($D$393:$D$416),0)),"")</f>
        <v>1.1171839455782311</v>
      </c>
      <c r="AO395" s="5" t="str" cm="1">
        <f t="array" ref="AO395">IFERROR((SUMPRODUCT(($D$393:$D$416=AO$391)*($F$390:$AJ$390="")*$F$393:$AJ$416)+IF(AO$391="P6",SUMPRODUCT(($F$390:$AJ$390="P6")*$F$393:$AJ$416),0))/(SUMPRODUCT(($D$393:$D$416=AO$391)*($F$390:$AJ$390=""))+IF(AO$391="P6",COUNTIF($F$390:$AJ$390,"P6")*ROWS($D$393:$D$416),0)),"")</f>
        <v/>
      </c>
      <c r="AP395" s="5" t="str" cm="1">
        <f t="array" ref="AP395">IFERROR((SUMPRODUCT(($D$393:$D$416=AP$391)*($F$390:$AJ$390="")*$F$393:$AJ$416)+IF(AP$391="P6",SUMPRODUCT(($F$390:$AJ$390="P6")*$F$393:$AJ$416),0))/(SUMPRODUCT(($D$393:$D$416=AP$391)*($F$390:$AJ$390=""))+IF(AP$391="P6",COUNTIF($F$390:$AJ$390,"P6")*ROWS($D$393:$D$416),0)),"")</f>
        <v/>
      </c>
      <c r="AQ395" s="5" t="str" cm="1">
        <f t="array" ref="AQ395">IFERROR((SUMPRODUCT(($D$393:$D$416=AQ$391)*($F$390:$AJ$390="")*$F$393:$AJ$416)+IF(AQ$391="P6",SUMPRODUCT(($F$390:$AJ$390="P6")*$F$393:$AJ$416),0))/(SUMPRODUCT(($D$393:$D$416=AQ$391)*($F$390:$AJ$390=""))+IF(AQ$391="P6",COUNTIF($F$390:$AJ$390,"P6")*ROWS($D$393:$D$416),0)),"")</f>
        <v/>
      </c>
      <c r="AR395" s="6" cm="1">
        <f t="array" ref="AR395">IFERROR((SUMPRODUCT(($D$393:$D$416=AR$391)*($F$390:$AJ$390="")*$F$393:$AJ$416)+IF(AR$391="P6",SUMPRODUCT(($F$390:$AJ$390="P6")*$F$393:$AJ$416),0))/(SUMPRODUCT(($D$393:$D$416=AR$391)*($F$390:$AJ$390=""))+IF(AR$391="P6",COUNTIF($F$390:$AJ$390,"P6")*ROWS($D$393:$D$416),0)),"")</f>
        <v>1.1851686029411772</v>
      </c>
    </row>
    <row r="396" spans="1:44" ht="14.25" customHeight="1" x14ac:dyDescent="0.35">
      <c r="A396" s="1" t="s">
        <v>7</v>
      </c>
      <c r="B396" s="1" t="s">
        <v>7</v>
      </c>
      <c r="C396" s="1" t="s">
        <v>15</v>
      </c>
      <c r="D396" s="1" t="s">
        <v>7</v>
      </c>
      <c r="E396" s="1" t="s">
        <v>11</v>
      </c>
      <c r="F396" s="1">
        <v>1.30796</v>
      </c>
      <c r="G396" s="1">
        <v>1.3047800000000001</v>
      </c>
      <c r="H396" s="1">
        <v>1.1951499999999999</v>
      </c>
      <c r="I396" s="1">
        <v>1.27556</v>
      </c>
      <c r="J396" s="1">
        <v>1.30521</v>
      </c>
      <c r="K396" s="1">
        <v>1.3147800000000001</v>
      </c>
      <c r="L396" s="1">
        <v>1.36375</v>
      </c>
      <c r="M396" s="1">
        <v>1.3825099999999999</v>
      </c>
      <c r="N396" s="1">
        <v>1.3047800000000001</v>
      </c>
      <c r="O396" s="1">
        <v>1.1951499999999999</v>
      </c>
      <c r="P396" s="1">
        <v>1.27556</v>
      </c>
      <c r="Q396" s="1">
        <v>1.30521</v>
      </c>
      <c r="R396" s="1">
        <v>1.31579</v>
      </c>
      <c r="S396" s="1">
        <v>1.36375</v>
      </c>
      <c r="T396" s="1">
        <v>1.30796</v>
      </c>
      <c r="U396" s="1">
        <v>1.3047800000000001</v>
      </c>
      <c r="V396" s="1">
        <v>1.1951499999999999</v>
      </c>
      <c r="W396" s="1">
        <v>1.27556</v>
      </c>
      <c r="X396" s="1">
        <v>1.30521</v>
      </c>
      <c r="Y396" s="1">
        <v>1.31579</v>
      </c>
      <c r="Z396" s="1">
        <v>1.36375</v>
      </c>
      <c r="AA396" s="1">
        <v>1.30796</v>
      </c>
      <c r="AB396" s="1">
        <v>1.3047800000000001</v>
      </c>
      <c r="AC396" s="1">
        <v>1.1951499999999999</v>
      </c>
      <c r="AD396" s="1">
        <v>1.5304599999999999</v>
      </c>
      <c r="AE396" s="1">
        <v>1.30521</v>
      </c>
      <c r="AF396" s="1">
        <v>1.31579</v>
      </c>
      <c r="AG396" s="1">
        <v>1.36375</v>
      </c>
      <c r="AH396" s="1">
        <v>1.30796</v>
      </c>
      <c r="AI396" s="1">
        <v>1.3047800000000001</v>
      </c>
      <c r="AJ396" s="1">
        <v>1.1951499999999999</v>
      </c>
      <c r="AL396" s="4" t="s">
        <v>27</v>
      </c>
      <c r="AM396" s="6" cm="1">
        <f t="array" ref="AM396">IFERROR((SUMPRODUCT(($D$393:$D$416=AM$391)*($F$390:$AJ$390="")*$F$393:$AJ$416)+IF(AM$391="P6",SUMPRODUCT(($F$390:$AJ$390="P6")*$F$393:$AJ$416),0))/(SUMPRODUCT(($D$393:$D$416=AM$391)*($F$390:$AJ$390=""))+IF(AM$391="P6",COUNTIF($F$390:$AJ$390,"P6")*ROWS($D$393:$D$416),0)),"")</f>
        <v>1.068048888888889</v>
      </c>
      <c r="AN396" s="6" cm="1">
        <f t="array" ref="AN396">IFERROR((SUMPRODUCT(($D$393:$D$416=AN$391)*($F$390:$AJ$390="")*$F$393:$AJ$416)+IF(AN$391="P6",SUMPRODUCT(($F$390:$AJ$390="P6")*$F$393:$AJ$416),0))/(SUMPRODUCT(($D$393:$D$416=AN$391)*($F$390:$AJ$390=""))+IF(AN$391="P6",COUNTIF($F$390:$AJ$390,"P6")*ROWS($D$393:$D$416),0)),"")</f>
        <v>1.1171839455782311</v>
      </c>
      <c r="AO396" s="5" t="str" cm="1">
        <f t="array" ref="AO396">IFERROR((SUMPRODUCT(($D$393:$D$416=AO$391)*($F$390:$AJ$390="")*$F$393:$AJ$416)+IF(AO$391="P6",SUMPRODUCT(($F$390:$AJ$390="P6")*$F$393:$AJ$416),0))/(SUMPRODUCT(($D$393:$D$416=AO$391)*($F$390:$AJ$390=""))+IF(AO$391="P6",COUNTIF($F$390:$AJ$390,"P6")*ROWS($D$393:$D$416),0)),"")</f>
        <v/>
      </c>
      <c r="AP396" s="5" t="str" cm="1">
        <f t="array" ref="AP396">IFERROR((SUMPRODUCT(($D$393:$D$416=AP$391)*($F$390:$AJ$390="")*$F$393:$AJ$416)+IF(AP$391="P6",SUMPRODUCT(($F$390:$AJ$390="P6")*$F$393:$AJ$416),0))/(SUMPRODUCT(($D$393:$D$416=AP$391)*($F$390:$AJ$390=""))+IF(AP$391="P6",COUNTIF($F$390:$AJ$390,"P6")*ROWS($D$393:$D$416),0)),"")</f>
        <v/>
      </c>
      <c r="AQ396" s="5" t="str" cm="1">
        <f t="array" ref="AQ396">IFERROR((SUMPRODUCT(($D$393:$D$416=AQ$391)*($F$390:$AJ$390="")*$F$393:$AJ$416)+IF(AQ$391="P6",SUMPRODUCT(($F$390:$AJ$390="P6")*$F$393:$AJ$416),0))/(SUMPRODUCT(($D$393:$D$416=AQ$391)*($F$390:$AJ$390=""))+IF(AQ$391="P6",COUNTIF($F$390:$AJ$390,"P6")*ROWS($D$393:$D$416),0)),"")</f>
        <v/>
      </c>
      <c r="AR396" s="6" cm="1">
        <f t="array" ref="AR396">IFERROR((SUMPRODUCT(($D$393:$D$416=AR$391)*($F$390:$AJ$390="")*$F$393:$AJ$416)+IF(AR$391="P6",SUMPRODUCT(($F$390:$AJ$390="P6")*$F$393:$AJ$416),0))/(SUMPRODUCT(($D$393:$D$416=AR$391)*($F$390:$AJ$390=""))+IF(AR$391="P6",COUNTIF($F$390:$AJ$390,"P6")*ROWS($D$393:$D$416),0)),"")</f>
        <v>1.1851686029411772</v>
      </c>
    </row>
    <row r="397" spans="1:44" ht="14.25" customHeight="1" x14ac:dyDescent="0.35">
      <c r="A397" s="1" t="s">
        <v>7</v>
      </c>
      <c r="B397" s="1" t="s">
        <v>7</v>
      </c>
      <c r="C397" s="1" t="s">
        <v>15</v>
      </c>
      <c r="D397" s="1" t="s">
        <v>7</v>
      </c>
      <c r="E397" s="1" t="s">
        <v>12</v>
      </c>
      <c r="F397" s="1">
        <v>1.3003499999999999</v>
      </c>
      <c r="G397" s="1">
        <v>1.29799</v>
      </c>
      <c r="H397" s="1">
        <v>1.20099</v>
      </c>
      <c r="I397" s="1">
        <v>1.26271</v>
      </c>
      <c r="J397" s="1">
        <v>1.30209</v>
      </c>
      <c r="K397" s="1">
        <v>1.33782</v>
      </c>
      <c r="L397" s="1">
        <v>1.3736999999999999</v>
      </c>
      <c r="M397" s="1">
        <v>1.38666</v>
      </c>
      <c r="N397" s="1">
        <v>1.29799</v>
      </c>
      <c r="O397" s="1">
        <v>1.20099</v>
      </c>
      <c r="P397" s="1">
        <v>1.26271</v>
      </c>
      <c r="Q397" s="1">
        <v>1.30209</v>
      </c>
      <c r="R397" s="1">
        <v>1.3292900000000001</v>
      </c>
      <c r="S397" s="1">
        <v>1.3736999999999999</v>
      </c>
      <c r="T397" s="1">
        <v>1.3003499999999999</v>
      </c>
      <c r="U397" s="1">
        <v>1.29799</v>
      </c>
      <c r="V397" s="1">
        <v>1.20099</v>
      </c>
      <c r="W397" s="1">
        <v>1.26271</v>
      </c>
      <c r="X397" s="1">
        <v>1.30209</v>
      </c>
      <c r="Y397" s="1">
        <v>1.3292900000000001</v>
      </c>
      <c r="Z397" s="1">
        <v>1.3736999999999999</v>
      </c>
      <c r="AA397" s="1">
        <v>1.3003499999999999</v>
      </c>
      <c r="AB397" s="1">
        <v>1.29799</v>
      </c>
      <c r="AC397" s="1">
        <v>1.20099</v>
      </c>
      <c r="AD397" s="1">
        <v>1.55155</v>
      </c>
      <c r="AE397" s="1">
        <v>1.30209</v>
      </c>
      <c r="AF397" s="1">
        <v>1.3292900000000001</v>
      </c>
      <c r="AG397" s="1">
        <v>1.3736999999999999</v>
      </c>
      <c r="AH397" s="1">
        <v>1.3003499999999999</v>
      </c>
      <c r="AI397" s="1">
        <v>1.29799</v>
      </c>
      <c r="AJ397" s="1">
        <v>1.20099</v>
      </c>
      <c r="AL397" s="4" t="s">
        <v>29</v>
      </c>
      <c r="AM397" s="6" cm="1">
        <f t="array" ref="AM397">IFERROR((SUMPRODUCT(($D$393:$D$416=AM$391)*($F$390:$AJ$390="")*$F$393:$AJ$416)+IF(AM$391="P6",SUMPRODUCT(($F$390:$AJ$390="P6")*$F$393:$AJ$416),0))/(SUMPRODUCT(($D$393:$D$416=AM$391)*($F$390:$AJ$390=""))+IF(AM$391="P6",COUNTIF($F$390:$AJ$390,"P6")*ROWS($D$393:$D$416),0)),"")</f>
        <v>1.068048888888889</v>
      </c>
      <c r="AN397" s="6" cm="1">
        <f t="array" ref="AN397">IFERROR((SUMPRODUCT(($D$393:$D$416=AN$391)*($F$390:$AJ$390="")*$F$393:$AJ$416)+IF(AN$391="P6",SUMPRODUCT(($F$390:$AJ$390="P6")*$F$393:$AJ$416),0))/(SUMPRODUCT(($D$393:$D$416=AN$391)*($F$390:$AJ$390=""))+IF(AN$391="P6",COUNTIF($F$390:$AJ$390,"P6")*ROWS($D$393:$D$416),0)),"")</f>
        <v>1.1171839455782311</v>
      </c>
      <c r="AO397" s="5" t="str" cm="1">
        <f t="array" ref="AO397">IFERROR((SUMPRODUCT(($D$393:$D$416=AO$391)*($F$390:$AJ$390="")*$F$393:$AJ$416)+IF(AO$391="P6",SUMPRODUCT(($F$390:$AJ$390="P6")*$F$393:$AJ$416),0))/(SUMPRODUCT(($D$393:$D$416=AO$391)*($F$390:$AJ$390=""))+IF(AO$391="P6",COUNTIF($F$390:$AJ$390,"P6")*ROWS($D$393:$D$416),0)),"")</f>
        <v/>
      </c>
      <c r="AP397" s="5" t="str" cm="1">
        <f t="array" ref="AP397">IFERROR((SUMPRODUCT(($D$393:$D$416=AP$391)*($F$390:$AJ$390="")*$F$393:$AJ$416)+IF(AP$391="P6",SUMPRODUCT(($F$390:$AJ$390="P6")*$F$393:$AJ$416),0))/(SUMPRODUCT(($D$393:$D$416=AP$391)*($F$390:$AJ$390=""))+IF(AP$391="P6",COUNTIF($F$390:$AJ$390,"P6")*ROWS($D$393:$D$416),0)),"")</f>
        <v/>
      </c>
      <c r="AQ397" s="5" t="str" cm="1">
        <f t="array" ref="AQ397">IFERROR((SUMPRODUCT(($D$393:$D$416=AQ$391)*($F$390:$AJ$390="")*$F$393:$AJ$416)+IF(AQ$391="P6",SUMPRODUCT(($F$390:$AJ$390="P6")*$F$393:$AJ$416),0))/(SUMPRODUCT(($D$393:$D$416=AQ$391)*($F$390:$AJ$390=""))+IF(AQ$391="P6",COUNTIF($F$390:$AJ$390,"P6")*ROWS($D$393:$D$416),0)),"")</f>
        <v/>
      </c>
      <c r="AR397" s="6" cm="1">
        <f t="array" ref="AR397">IFERROR((SUMPRODUCT(($D$393:$D$416=AR$391)*($F$390:$AJ$390="")*$F$393:$AJ$416)+IF(AR$391="P6",SUMPRODUCT(($F$390:$AJ$390="P6")*$F$393:$AJ$416),0))/(SUMPRODUCT(($D$393:$D$416=AR$391)*($F$390:$AJ$390=""))+IF(AR$391="P6",COUNTIF($F$390:$AJ$390,"P6")*ROWS($D$393:$D$416),0)),"")</f>
        <v>1.1851686029411772</v>
      </c>
    </row>
    <row r="398" spans="1:44" ht="14.25" customHeight="1" x14ac:dyDescent="0.35">
      <c r="A398" s="1" t="s">
        <v>7</v>
      </c>
      <c r="B398" s="1" t="s">
        <v>7</v>
      </c>
      <c r="C398" s="1" t="s">
        <v>15</v>
      </c>
      <c r="D398" s="1" t="s">
        <v>7</v>
      </c>
      <c r="E398" s="1" t="s">
        <v>18</v>
      </c>
      <c r="F398" s="1">
        <v>1.26573</v>
      </c>
      <c r="G398" s="1">
        <v>1.26576</v>
      </c>
      <c r="H398" s="1">
        <v>1.1758200000000001</v>
      </c>
      <c r="I398" s="1">
        <v>1.21879</v>
      </c>
      <c r="J398" s="1">
        <v>1.2519</v>
      </c>
      <c r="K398" s="1">
        <v>1.3428100000000001</v>
      </c>
      <c r="L398" s="1">
        <v>1.3661300000000001</v>
      </c>
      <c r="M398" s="1">
        <v>1.37548</v>
      </c>
      <c r="N398" s="1">
        <v>1.26576</v>
      </c>
      <c r="O398" s="1">
        <v>1.1758200000000001</v>
      </c>
      <c r="P398" s="1">
        <v>1.21879</v>
      </c>
      <c r="Q398" s="1">
        <v>1.2519</v>
      </c>
      <c r="R398" s="1">
        <v>1.3155699999999999</v>
      </c>
      <c r="S398" s="1">
        <v>1.3661300000000001</v>
      </c>
      <c r="T398" s="1">
        <v>1.26573</v>
      </c>
      <c r="U398" s="1">
        <v>1.26576</v>
      </c>
      <c r="V398" s="1">
        <v>1.1758200000000001</v>
      </c>
      <c r="W398" s="1">
        <v>1.21879</v>
      </c>
      <c r="X398" s="1">
        <v>1.2519</v>
      </c>
      <c r="Y398" s="1">
        <v>1.3155699999999999</v>
      </c>
      <c r="Z398" s="1">
        <v>1.3661300000000001</v>
      </c>
      <c r="AA398" s="1">
        <v>1.26573</v>
      </c>
      <c r="AB398" s="1">
        <v>1.26576</v>
      </c>
      <c r="AC398" s="1">
        <v>1.1758200000000001</v>
      </c>
      <c r="AD398" s="1">
        <v>1.55393</v>
      </c>
      <c r="AE398" s="1">
        <v>1.2519</v>
      </c>
      <c r="AF398" s="1">
        <v>1.3155699999999999</v>
      </c>
      <c r="AG398" s="1">
        <v>1.3661300000000001</v>
      </c>
      <c r="AH398" s="1">
        <v>1.26573</v>
      </c>
      <c r="AI398" s="1">
        <v>1.26576</v>
      </c>
      <c r="AJ398" s="1">
        <v>1.1758200000000001</v>
      </c>
      <c r="AL398" s="10"/>
      <c r="AM398" s="10"/>
      <c r="AN398" s="10"/>
      <c r="AO398" s="10"/>
      <c r="AP398" s="10"/>
      <c r="AQ398" s="10"/>
      <c r="AR398" s="10"/>
    </row>
    <row r="399" spans="1:44" ht="14.25" customHeight="1" x14ac:dyDescent="0.35">
      <c r="A399" s="1" t="s">
        <v>7</v>
      </c>
      <c r="B399" s="1" t="s">
        <v>7</v>
      </c>
      <c r="C399" s="1" t="s">
        <v>15</v>
      </c>
      <c r="D399" s="1" t="s">
        <v>7</v>
      </c>
      <c r="E399" s="1" t="s">
        <v>20</v>
      </c>
      <c r="F399" s="1">
        <v>1.1432899999999999</v>
      </c>
      <c r="G399" s="1">
        <v>1.15303</v>
      </c>
      <c r="H399" s="1">
        <v>1.0724199999999999</v>
      </c>
      <c r="I399" s="1">
        <v>1.1134599999999999</v>
      </c>
      <c r="J399" s="1">
        <v>1.12327</v>
      </c>
      <c r="K399" s="1">
        <v>1.3017799999999999</v>
      </c>
      <c r="L399" s="1">
        <v>1.31464</v>
      </c>
      <c r="M399" s="1">
        <v>1.3246100000000001</v>
      </c>
      <c r="N399" s="1">
        <v>1.15303</v>
      </c>
      <c r="O399" s="1">
        <v>1.0724199999999999</v>
      </c>
      <c r="P399" s="1">
        <v>1.1134599999999999</v>
      </c>
      <c r="Q399" s="1">
        <v>1.12327</v>
      </c>
      <c r="R399" s="1">
        <v>1.24536</v>
      </c>
      <c r="S399" s="1">
        <v>1.31464</v>
      </c>
      <c r="T399" s="1">
        <v>1.1432899999999999</v>
      </c>
      <c r="U399" s="1">
        <v>1.15303</v>
      </c>
      <c r="V399" s="1">
        <v>1.0724199999999999</v>
      </c>
      <c r="W399" s="1">
        <v>1.1134599999999999</v>
      </c>
      <c r="X399" s="1">
        <v>1.12327</v>
      </c>
      <c r="Y399" s="1">
        <v>1.24536</v>
      </c>
      <c r="Z399" s="1">
        <v>1.31464</v>
      </c>
      <c r="AA399" s="1">
        <v>1.1432899999999999</v>
      </c>
      <c r="AB399" s="1">
        <v>1.15303</v>
      </c>
      <c r="AC399" s="1">
        <v>1.0724199999999999</v>
      </c>
      <c r="AD399" s="1">
        <v>1.5317000000000001</v>
      </c>
      <c r="AE399" s="1">
        <v>1.12327</v>
      </c>
      <c r="AF399" s="1">
        <v>1.24536</v>
      </c>
      <c r="AG399" s="1">
        <v>1.31464</v>
      </c>
      <c r="AH399" s="1">
        <v>1.1432899999999999</v>
      </c>
      <c r="AI399" s="1">
        <v>1.15303</v>
      </c>
      <c r="AJ399" s="1">
        <v>1.0724199999999999</v>
      </c>
      <c r="AL399" s="10"/>
      <c r="AM399" s="10"/>
      <c r="AN399" s="10"/>
      <c r="AO399" s="10"/>
      <c r="AP399" s="10"/>
      <c r="AQ399" s="10"/>
      <c r="AR399" s="10"/>
    </row>
    <row r="400" spans="1:44" ht="14.25" customHeight="1" x14ac:dyDescent="0.35">
      <c r="A400" s="1" t="s">
        <v>7</v>
      </c>
      <c r="B400" s="1" t="s">
        <v>7</v>
      </c>
      <c r="C400" s="1" t="s">
        <v>15</v>
      </c>
      <c r="D400" s="1" t="s">
        <v>7</v>
      </c>
      <c r="E400" s="1" t="s">
        <v>22</v>
      </c>
      <c r="F400" s="1">
        <v>1.01081</v>
      </c>
      <c r="G400" s="1">
        <v>1.0395099999999999</v>
      </c>
      <c r="H400" s="1">
        <v>0.97062999999999999</v>
      </c>
      <c r="I400" s="1">
        <v>0.99502999999999997</v>
      </c>
      <c r="J400" s="1">
        <v>1.0088999999999999</v>
      </c>
      <c r="K400" s="1">
        <v>1.2468300000000001</v>
      </c>
      <c r="L400" s="1">
        <v>1.2428399999999999</v>
      </c>
      <c r="M400" s="1">
        <v>1.25824</v>
      </c>
      <c r="N400" s="1">
        <v>1.0395099999999999</v>
      </c>
      <c r="O400" s="1">
        <v>0.97062999999999999</v>
      </c>
      <c r="P400" s="1">
        <v>0.99502999999999997</v>
      </c>
      <c r="Q400" s="1">
        <v>1.0088999999999999</v>
      </c>
      <c r="R400" s="1">
        <v>1.17394</v>
      </c>
      <c r="S400" s="1">
        <v>1.2428399999999999</v>
      </c>
      <c r="T400" s="1">
        <v>1.01081</v>
      </c>
      <c r="U400" s="1">
        <v>1.0395099999999999</v>
      </c>
      <c r="V400" s="1">
        <v>0.97062999999999999</v>
      </c>
      <c r="W400" s="1">
        <v>0.99502999999999997</v>
      </c>
      <c r="X400" s="1">
        <v>1.0088999999999999</v>
      </c>
      <c r="Y400" s="1">
        <v>1.17394</v>
      </c>
      <c r="Z400" s="1">
        <v>1.2428399999999999</v>
      </c>
      <c r="AA400" s="1">
        <v>1.01081</v>
      </c>
      <c r="AB400" s="1">
        <v>1.0395099999999999</v>
      </c>
      <c r="AC400" s="1">
        <v>0.97062999999999999</v>
      </c>
      <c r="AD400" s="1">
        <v>1.4493199999999999</v>
      </c>
      <c r="AE400" s="1">
        <v>1.0088999999999999</v>
      </c>
      <c r="AF400" s="1">
        <v>1.17394</v>
      </c>
      <c r="AG400" s="1">
        <v>1.2428399999999999</v>
      </c>
      <c r="AH400" s="1">
        <v>1.01081</v>
      </c>
      <c r="AI400" s="1">
        <v>1.0395099999999999</v>
      </c>
      <c r="AJ400" s="1">
        <v>0.97062999999999999</v>
      </c>
      <c r="AL400" s="14" t="s">
        <v>112</v>
      </c>
      <c r="AM400" s="14"/>
      <c r="AN400" s="14"/>
      <c r="AO400" s="14"/>
      <c r="AP400" s="14"/>
      <c r="AQ400" s="14"/>
      <c r="AR400" s="14"/>
    </row>
    <row r="401" spans="1:44" ht="14.25" customHeight="1" x14ac:dyDescent="0.35">
      <c r="A401" s="1" t="s">
        <v>15</v>
      </c>
      <c r="B401" s="1" t="s">
        <v>16</v>
      </c>
      <c r="C401" s="1" t="s">
        <v>14</v>
      </c>
      <c r="D401" s="1" t="s">
        <v>14</v>
      </c>
      <c r="E401" s="1" t="s">
        <v>24</v>
      </c>
      <c r="F401" s="1">
        <v>1.0543499999999999</v>
      </c>
      <c r="G401" s="1">
        <v>1.1459999999999999</v>
      </c>
      <c r="H401" s="1">
        <v>1.05019</v>
      </c>
      <c r="I401" s="1">
        <v>1.0525</v>
      </c>
      <c r="J401" s="1">
        <v>1.05688</v>
      </c>
      <c r="K401" s="1">
        <v>1.21018</v>
      </c>
      <c r="L401" s="1">
        <v>1.2101999999999999</v>
      </c>
      <c r="M401" s="1">
        <v>1.2305600000000001</v>
      </c>
      <c r="N401" s="1">
        <v>1.1459999999999999</v>
      </c>
      <c r="O401" s="1">
        <v>1.05019</v>
      </c>
      <c r="P401" s="1">
        <v>1.0525</v>
      </c>
      <c r="Q401" s="1">
        <v>1.05688</v>
      </c>
      <c r="R401" s="1">
        <v>1.12416</v>
      </c>
      <c r="S401" s="1">
        <v>1.2101999999999999</v>
      </c>
      <c r="T401" s="1">
        <v>1.0543499999999999</v>
      </c>
      <c r="U401" s="1">
        <v>1.1459999999999999</v>
      </c>
      <c r="V401" s="1">
        <v>1.05019</v>
      </c>
      <c r="W401" s="1">
        <v>1.0525</v>
      </c>
      <c r="X401" s="1">
        <v>1.05688</v>
      </c>
      <c r="Y401" s="1">
        <v>1.12416</v>
      </c>
      <c r="Z401" s="1">
        <v>1.2101999999999999</v>
      </c>
      <c r="AA401" s="1">
        <v>1.0543499999999999</v>
      </c>
      <c r="AB401" s="1">
        <v>1.1459999999999999</v>
      </c>
      <c r="AC401" s="1">
        <v>1.05019</v>
      </c>
      <c r="AD401" s="1">
        <v>1.37965</v>
      </c>
      <c r="AE401" s="1">
        <v>1.05688</v>
      </c>
      <c r="AF401" s="1">
        <v>1.12416</v>
      </c>
      <c r="AG401" s="1">
        <v>1.2101999999999999</v>
      </c>
      <c r="AH401" s="1">
        <v>1.0543499999999999</v>
      </c>
      <c r="AI401" s="1">
        <v>1.1459999999999999</v>
      </c>
      <c r="AJ401" s="1">
        <v>1.05019</v>
      </c>
      <c r="AL401" s="4"/>
      <c r="AM401" s="4" t="s">
        <v>13</v>
      </c>
      <c r="AN401" s="4" t="s">
        <v>14</v>
      </c>
      <c r="AO401" s="4" t="s">
        <v>15</v>
      </c>
      <c r="AP401" s="4" t="s">
        <v>16</v>
      </c>
      <c r="AQ401" s="4" t="s">
        <v>17</v>
      </c>
      <c r="AR401" s="4" t="s">
        <v>7</v>
      </c>
    </row>
    <row r="402" spans="1:44" ht="14.25" customHeight="1" x14ac:dyDescent="0.35">
      <c r="A402" s="1" t="s">
        <v>15</v>
      </c>
      <c r="B402" s="1" t="s">
        <v>16</v>
      </c>
      <c r="C402" s="1" t="s">
        <v>14</v>
      </c>
      <c r="D402" s="1" t="s">
        <v>13</v>
      </c>
      <c r="E402" s="1" t="s">
        <v>26</v>
      </c>
      <c r="F402" s="1">
        <v>1.02511</v>
      </c>
      <c r="G402" s="1">
        <v>1.05037</v>
      </c>
      <c r="H402" s="1">
        <v>1.0248600000000001</v>
      </c>
      <c r="I402" s="1">
        <v>1.02092</v>
      </c>
      <c r="J402" s="1">
        <v>1.0207599999999999</v>
      </c>
      <c r="K402" s="1">
        <v>1.13202</v>
      </c>
      <c r="L402" s="1">
        <v>1.10423</v>
      </c>
      <c r="M402" s="1">
        <v>1.1536999999999999</v>
      </c>
      <c r="N402" s="1">
        <v>1.05037</v>
      </c>
      <c r="O402" s="1">
        <v>1.0248600000000001</v>
      </c>
      <c r="P402" s="1">
        <v>1.02092</v>
      </c>
      <c r="Q402" s="1">
        <v>1.0207599999999999</v>
      </c>
      <c r="R402" s="1">
        <v>1.02895</v>
      </c>
      <c r="S402" s="1">
        <v>1.10423</v>
      </c>
      <c r="T402" s="1">
        <v>1.02511</v>
      </c>
      <c r="U402" s="1">
        <v>1.05037</v>
      </c>
      <c r="V402" s="1">
        <v>1.0248600000000001</v>
      </c>
      <c r="W402" s="1">
        <v>1.02092</v>
      </c>
      <c r="X402" s="1">
        <v>1.0207599999999999</v>
      </c>
      <c r="Y402" s="1">
        <v>1.02895</v>
      </c>
      <c r="Z402" s="1">
        <v>1.10423</v>
      </c>
      <c r="AA402" s="1">
        <v>1.02511</v>
      </c>
      <c r="AB402" s="1">
        <v>1.05037</v>
      </c>
      <c r="AC402" s="1">
        <v>1.0248600000000001</v>
      </c>
      <c r="AD402" s="1">
        <v>1.2480899999999999</v>
      </c>
      <c r="AE402" s="1">
        <v>1.0207599999999999</v>
      </c>
      <c r="AF402" s="1">
        <v>1.02895</v>
      </c>
      <c r="AG402" s="1">
        <v>1.10423</v>
      </c>
      <c r="AH402" s="1">
        <v>1.02511</v>
      </c>
      <c r="AI402" s="1">
        <v>1.05037</v>
      </c>
      <c r="AJ402" s="1">
        <v>1.0248600000000001</v>
      </c>
      <c r="AL402" s="4" t="s">
        <v>19</v>
      </c>
      <c r="AM402" s="6" cm="1">
        <f t="array" ref="AM402">IFERROR((SUMPRODUCT(($C$393:$C$416=AM$391)*($F$389:$AJ$389="")*$F$393:$AJ$416)+IF(AM$391="P3",SUMPRODUCT(($F$389:$AJ$389="P3")*$F$393:$AJ$416),0))/(SUMPRODUCT(($C$393:$C$416=AM$391)*($F$389:$AJ$389=""))+IF(AM$391="P3",COUNTIF($F$389:$AJ$389,"P3")*ROWS($C$393:$C$416),0)),"")</f>
        <v>1.0728502976190479</v>
      </c>
      <c r="AN402" s="6" cm="1">
        <f t="array" ref="AN402">IFERROR((SUMPRODUCT(($C$393:$C$416=AN$391)*($F$389:$AJ$389="")*$F$393:$AJ$416)+IF(AN$391="P3",SUMPRODUCT(($F$389:$AJ$389="P3")*$F$393:$AJ$416),0))/(SUMPRODUCT(($C$393:$C$416=AN$391)*($F$389:$AJ$389=""))+IF(AN$391="P3",COUNTIF($F$389:$AJ$389,"P3")*ROWS($C$393:$C$416),0)),"")</f>
        <v>1.1062406547619044</v>
      </c>
      <c r="AO402" s="6" cm="1">
        <f t="array" ref="AO402">IFERROR((SUMPRODUCT(($C$393:$C$416=AO$391)*($F$389:$AJ$389="")*$F$393:$AJ$416)+IF(AO$391="P3",SUMPRODUCT(($F$389:$AJ$389="P3")*$F$393:$AJ$416),0))/(SUMPRODUCT(($C$393:$C$416=AO$391)*($F$389:$AJ$389=""))+IF(AO$391="P3",COUNTIF($F$389:$AJ$389,"P3")*ROWS($C$393:$C$416),0)),"")</f>
        <v>1.1851686029411772</v>
      </c>
      <c r="AP402" s="6" t="str" cm="1">
        <f t="array" ref="AP402">IFERROR((SUMPRODUCT(($C$393:$C$416=AP$391)*($F$389:$AJ$389="")*$F$393:$AJ$416)+IF(AP$391="P3",SUMPRODUCT(($F$389:$AJ$389="P3")*$F$393:$AJ$416),0))/(SUMPRODUCT(($C$393:$C$416=AP$391)*($F$389:$AJ$389=""))+IF(AP$391="P3",COUNTIF($F$389:$AJ$389,"P3")*ROWS($C$393:$C$416),0)),"")</f>
        <v/>
      </c>
      <c r="AQ402" s="6" t="str" cm="1">
        <f t="array" ref="AQ402">IFERROR((SUMPRODUCT(($C$393:$C$416=AQ$391)*($F$389:$AJ$389="")*$F$393:$AJ$416)+IF(AQ$391="P3",SUMPRODUCT(($F$389:$AJ$389="P3")*$F$393:$AJ$416),0))/(SUMPRODUCT(($C$393:$C$416=AQ$391)*($F$389:$AJ$389=""))+IF(AQ$391="P3",COUNTIF($F$389:$AJ$389,"P3")*ROWS($C$393:$C$416),0)),"")</f>
        <v/>
      </c>
      <c r="AR402" s="6" t="str" cm="1">
        <f t="array" ref="AR402">IFERROR((SUMPRODUCT(($C$393:$C$416=AR$391)*($F$389:$AJ$389="")*$F$393:$AJ$416)+IF(AR$391="P3",SUMPRODUCT(($F$389:$AJ$389="P3")*$F$393:$AJ$416),0))/(SUMPRODUCT(($C$393:$C$416=AR$391)*($F$389:$AJ$389=""))+IF(AR$391="P3",COUNTIF($F$389:$AJ$389,"P3")*ROWS($C$393:$C$416),0)),"")</f>
        <v/>
      </c>
    </row>
    <row r="403" spans="1:44" ht="14.25" customHeight="1" x14ac:dyDescent="0.35">
      <c r="A403" s="1" t="s">
        <v>14</v>
      </c>
      <c r="B403" s="1" t="s">
        <v>15</v>
      </c>
      <c r="C403" s="1" t="s">
        <v>13</v>
      </c>
      <c r="D403" s="1" t="s">
        <v>13</v>
      </c>
      <c r="E403" s="1" t="s">
        <v>28</v>
      </c>
      <c r="F403" s="1">
        <v>0.98392999999999997</v>
      </c>
      <c r="G403" s="1">
        <v>1.0032399999999999</v>
      </c>
      <c r="H403" s="1">
        <v>0.98719000000000001</v>
      </c>
      <c r="I403" s="1">
        <v>0.96465000000000001</v>
      </c>
      <c r="J403" s="1">
        <v>0.97723000000000004</v>
      </c>
      <c r="K403" s="1">
        <v>1.0738300000000001</v>
      </c>
      <c r="L403" s="1">
        <v>1.0105900000000001</v>
      </c>
      <c r="M403" s="1">
        <v>1.0915299999999999</v>
      </c>
      <c r="N403" s="1">
        <v>1.0032399999999999</v>
      </c>
      <c r="O403" s="1">
        <v>0.98719000000000001</v>
      </c>
      <c r="P403" s="1">
        <v>0.96465000000000001</v>
      </c>
      <c r="Q403" s="1">
        <v>0.97723000000000004</v>
      </c>
      <c r="R403" s="1">
        <v>0.97091000000000005</v>
      </c>
      <c r="S403" s="1">
        <v>1.0105900000000001</v>
      </c>
      <c r="T403" s="1">
        <v>0.98392999999999997</v>
      </c>
      <c r="U403" s="1">
        <v>1.0032399999999999</v>
      </c>
      <c r="V403" s="1">
        <v>0.98719000000000001</v>
      </c>
      <c r="W403" s="1">
        <v>0.96465000000000001</v>
      </c>
      <c r="X403" s="1">
        <v>0.97723000000000004</v>
      </c>
      <c r="Y403" s="1">
        <v>0.97091000000000005</v>
      </c>
      <c r="Z403" s="1">
        <v>1.0105900000000001</v>
      </c>
      <c r="AA403" s="1">
        <v>0.98392999999999997</v>
      </c>
      <c r="AB403" s="1">
        <v>1.0032399999999999</v>
      </c>
      <c r="AC403" s="1">
        <v>0.98719000000000001</v>
      </c>
      <c r="AD403" s="1">
        <v>1.1426000000000001</v>
      </c>
      <c r="AE403" s="1">
        <v>0.97723000000000004</v>
      </c>
      <c r="AF403" s="1">
        <v>0.97091000000000005</v>
      </c>
      <c r="AG403" s="1">
        <v>1.0105900000000001</v>
      </c>
      <c r="AH403" s="1">
        <v>0.98392999999999997</v>
      </c>
      <c r="AI403" s="1">
        <v>1.0032399999999999</v>
      </c>
      <c r="AJ403" s="1">
        <v>0.98719000000000001</v>
      </c>
      <c r="AL403" s="4" t="s">
        <v>21</v>
      </c>
      <c r="AM403" s="6" t="str" cm="1">
        <f t="array" ref="AM403">IFERROR((SUMPRODUCT(($A$393:$A$416=AM$391)*($F$390:$AJ$390="")*$F$393:$AJ$416)+IF(AM$391="P6",SUMPRODUCT(($F$390:$AJ$390="P6")*$F$393:$AJ$416),0))/(SUMPRODUCT(($A$393:$A$416=AM$391)*($F$390:$AJ$390=""))+IF(AM$391="P6",COUNTIF($F$390:$AJ$390,"P6")*ROWS($A$393:$A$416),0)),"")</f>
        <v/>
      </c>
      <c r="AN403" s="6" cm="1">
        <f t="array" ref="AN403">IFERROR((SUMPRODUCT(($A$393:$A$416=AN$391)*($F$390:$AJ$390="")*$F$393:$AJ$416)+IF(AN$391="P6",SUMPRODUCT(($F$390:$AJ$390="P6")*$F$393:$AJ$416),0))/(SUMPRODUCT(($A$393:$A$416=AN$391)*($F$390:$AJ$390=""))+IF(AN$391="P6",COUNTIF($F$390:$AJ$390,"P6")*ROWS($A$393:$A$416),0)),"")</f>
        <v>1.0675683597883598</v>
      </c>
      <c r="AO403" s="6" cm="1">
        <f t="array" ref="AO403">IFERROR((SUMPRODUCT(($A$393:$A$416=AO$391)*($F$390:$AJ$390="")*$F$393:$AJ$416)+IF(AO$391="P6",SUMPRODUCT(($F$390:$AJ$390="P6")*$F$393:$AJ$416),0))/(SUMPRODUCT(($A$393:$A$416=AO$391)*($F$390:$AJ$390=""))+IF(AO$391="P6",COUNTIF($F$390:$AJ$390,"P6")*ROWS($A$393:$A$416),0)),"")</f>
        <v>1.1178017687074828</v>
      </c>
      <c r="AP403" s="6" t="str" cm="1">
        <f t="array" ref="AP403">IFERROR((SUMPRODUCT(($A$393:$A$416=AP$391)*($F$390:$AJ$390="")*$F$393:$AJ$416)+IF(AP$391="P6",SUMPRODUCT(($F$390:$AJ$390="P6")*$F$393:$AJ$416),0))/(SUMPRODUCT(($A$393:$A$416=AP$391)*($F$390:$AJ$390=""))+IF(AP$391="P6",COUNTIF($F$390:$AJ$390,"P6")*ROWS($A$393:$A$416),0)),"")</f>
        <v/>
      </c>
      <c r="AQ403" s="6" t="str" cm="1">
        <f t="array" ref="AQ403">IFERROR((SUMPRODUCT(($A$393:$A$416=AQ$391)*($F$390:$AJ$390="")*$F$393:$AJ$416)+IF(AQ$391="P6",SUMPRODUCT(($F$390:$AJ$390="P6")*$F$393:$AJ$416),0))/(SUMPRODUCT(($A$393:$A$416=AQ$391)*($F$390:$AJ$390=""))+IF(AQ$391="P6",COUNTIF($F$390:$AJ$390,"P6")*ROWS($A$393:$A$416),0)),"")</f>
        <v/>
      </c>
      <c r="AR403" s="6" cm="1">
        <f t="array" ref="AR403">IFERROR((SUMPRODUCT(($A$393:$A$416=AR$391)*($F$390:$AJ$390="")*$F$393:$AJ$416)+IF(AR$391="P6",SUMPRODUCT(($F$390:$AJ$390="P6")*$F$393:$AJ$416),0))/(SUMPRODUCT(($A$393:$A$416=AR$391)*($F$390:$AJ$390=""))+IF(AR$391="P6",COUNTIF($F$390:$AJ$390,"P6")*ROWS($A$393:$A$416),0)),"")</f>
        <v>1.1851686029411772</v>
      </c>
    </row>
    <row r="404" spans="1:44" ht="14.25" customHeight="1" x14ac:dyDescent="0.35">
      <c r="A404" s="1" t="s">
        <v>14</v>
      </c>
      <c r="B404" s="1" t="s">
        <v>15</v>
      </c>
      <c r="C404" s="1" t="s">
        <v>13</v>
      </c>
      <c r="D404" s="1" t="s">
        <v>13</v>
      </c>
      <c r="E404" s="1" t="s">
        <v>30</v>
      </c>
      <c r="F404" s="1">
        <v>0.98848000000000003</v>
      </c>
      <c r="G404" s="1">
        <v>1.0057400000000001</v>
      </c>
      <c r="H404" s="1">
        <v>0.98373999999999995</v>
      </c>
      <c r="I404" s="1">
        <v>0.97448000000000001</v>
      </c>
      <c r="J404" s="1">
        <v>0.98460000000000003</v>
      </c>
      <c r="K404" s="1">
        <v>1.0552299999999999</v>
      </c>
      <c r="L404" s="1">
        <v>1.0022899999999999</v>
      </c>
      <c r="M404" s="1">
        <v>1.0633999999999999</v>
      </c>
      <c r="N404" s="1">
        <v>1.0057400000000001</v>
      </c>
      <c r="O404" s="1">
        <v>0.98373999999999995</v>
      </c>
      <c r="P404" s="1">
        <v>0.97448000000000001</v>
      </c>
      <c r="Q404" s="1">
        <v>0.98460000000000003</v>
      </c>
      <c r="R404" s="1">
        <v>0.96242000000000005</v>
      </c>
      <c r="S404" s="1">
        <v>1.0022899999999999</v>
      </c>
      <c r="T404" s="1">
        <v>0.98848000000000003</v>
      </c>
      <c r="U404" s="1">
        <v>1.0057400000000001</v>
      </c>
      <c r="V404" s="1">
        <v>0.98373999999999995</v>
      </c>
      <c r="W404" s="1">
        <v>0.97448000000000001</v>
      </c>
      <c r="X404" s="1">
        <v>0.98460000000000003</v>
      </c>
      <c r="Y404" s="1">
        <v>0.96242000000000005</v>
      </c>
      <c r="Z404" s="1">
        <v>1.0022899999999999</v>
      </c>
      <c r="AA404" s="1">
        <v>0.98848000000000003</v>
      </c>
      <c r="AB404" s="1">
        <v>1.0057400000000001</v>
      </c>
      <c r="AC404" s="1">
        <v>0.98373999999999995</v>
      </c>
      <c r="AD404" s="1">
        <v>1.07507</v>
      </c>
      <c r="AE404" s="1">
        <v>0.98460000000000003</v>
      </c>
      <c r="AF404" s="1">
        <v>0.96242000000000005</v>
      </c>
      <c r="AG404" s="1">
        <v>1.0022899999999999</v>
      </c>
      <c r="AH404" s="1">
        <v>0.98848000000000003</v>
      </c>
      <c r="AI404" s="1">
        <v>1.0057400000000001</v>
      </c>
      <c r="AJ404" s="1">
        <v>0.98373999999999995</v>
      </c>
      <c r="AL404" s="4" t="s">
        <v>23</v>
      </c>
      <c r="AM404" s="6" t="str" cm="1">
        <f t="array" ref="AM404">IFERROR((SUMPRODUCT(($A$393:$A$416=AM$391)*($F$390:$AJ$390="")*$F$393:$AJ$416)+IF(AM$391="P6",SUMPRODUCT(($F$390:$AJ$390="P6")*$F$393:$AJ$416),0))/(SUMPRODUCT(($A$393:$A$416=AM$391)*($F$390:$AJ$390=""))+IF(AM$391="P6",COUNTIF($F$390:$AJ$390,"P6")*ROWS($A$393:$A$416),0)),"")</f>
        <v/>
      </c>
      <c r="AN404" s="6" cm="1">
        <f t="array" ref="AN404">IFERROR((SUMPRODUCT(($A$393:$A$416=AN$391)*($F$390:$AJ$390="")*$F$393:$AJ$416)+IF(AN$391="P6",SUMPRODUCT(($F$390:$AJ$390="P6")*$F$393:$AJ$416),0))/(SUMPRODUCT(($A$393:$A$416=AN$391)*($F$390:$AJ$390=""))+IF(AN$391="P6",COUNTIF($F$390:$AJ$390,"P6")*ROWS($A$393:$A$416),0)),"")</f>
        <v>1.0675683597883598</v>
      </c>
      <c r="AO404" s="6" cm="1">
        <f t="array" ref="AO404">IFERROR((SUMPRODUCT(($A$393:$A$416=AO$391)*($F$390:$AJ$390="")*$F$393:$AJ$416)+IF(AO$391="P6",SUMPRODUCT(($F$390:$AJ$390="P6")*$F$393:$AJ$416),0))/(SUMPRODUCT(($A$393:$A$416=AO$391)*($F$390:$AJ$390=""))+IF(AO$391="P6",COUNTIF($F$390:$AJ$390,"P6")*ROWS($A$393:$A$416),0)),"")</f>
        <v>1.1178017687074828</v>
      </c>
      <c r="AP404" s="6" t="str" cm="1">
        <f t="array" ref="AP404">IFERROR((SUMPRODUCT(($A$393:$A$416=AP$391)*($F$390:$AJ$390="")*$F$393:$AJ$416)+IF(AP$391="P6",SUMPRODUCT(($F$390:$AJ$390="P6")*$F$393:$AJ$416),0))/(SUMPRODUCT(($A$393:$A$416=AP$391)*($F$390:$AJ$390=""))+IF(AP$391="P6",COUNTIF($F$390:$AJ$390,"P6")*ROWS($A$393:$A$416),0)),"")</f>
        <v/>
      </c>
      <c r="AQ404" s="6" t="str" cm="1">
        <f t="array" ref="AQ404">IFERROR((SUMPRODUCT(($A$393:$A$416=AQ$391)*($F$390:$AJ$390="")*$F$393:$AJ$416)+IF(AQ$391="P6",SUMPRODUCT(($F$390:$AJ$390="P6")*$F$393:$AJ$416),0))/(SUMPRODUCT(($A$393:$A$416=AQ$391)*($F$390:$AJ$390=""))+IF(AQ$391="P6",COUNTIF($F$390:$AJ$390,"P6")*ROWS($A$393:$A$416),0)),"")</f>
        <v/>
      </c>
      <c r="AR404" s="6" cm="1">
        <f t="array" ref="AR404">IFERROR((SUMPRODUCT(($A$393:$A$416=AR$391)*($F$390:$AJ$390="")*$F$393:$AJ$416)+IF(AR$391="P6",SUMPRODUCT(($F$390:$AJ$390="P6")*$F$393:$AJ$416),0))/(SUMPRODUCT(($A$393:$A$416=AR$391)*($F$390:$AJ$390=""))+IF(AR$391="P6",COUNTIF($F$390:$AJ$390,"P6")*ROWS($A$393:$A$416),0)),"")</f>
        <v>1.1851686029411772</v>
      </c>
    </row>
    <row r="405" spans="1:44" ht="14.25" customHeight="1" x14ac:dyDescent="0.35">
      <c r="A405" s="1" t="s">
        <v>14</v>
      </c>
      <c r="B405" s="1" t="s">
        <v>15</v>
      </c>
      <c r="C405" s="1" t="s">
        <v>13</v>
      </c>
      <c r="D405" s="1" t="s">
        <v>13</v>
      </c>
      <c r="E405" s="1" t="s">
        <v>31</v>
      </c>
      <c r="F405" s="1">
        <v>0.98792999999999997</v>
      </c>
      <c r="G405" s="1">
        <v>1.0103899999999999</v>
      </c>
      <c r="H405" s="1">
        <v>0.98382000000000003</v>
      </c>
      <c r="I405" s="1">
        <v>0.98443999999999998</v>
      </c>
      <c r="J405" s="1">
        <v>0.99224000000000001</v>
      </c>
      <c r="K405" s="1">
        <v>1.05298</v>
      </c>
      <c r="L405" s="1">
        <v>1.00526</v>
      </c>
      <c r="M405" s="1">
        <v>1.0652900000000001</v>
      </c>
      <c r="N405" s="1">
        <v>1.0103899999999999</v>
      </c>
      <c r="O405" s="1">
        <v>0.98382000000000003</v>
      </c>
      <c r="P405" s="1">
        <v>0.98443999999999998</v>
      </c>
      <c r="Q405" s="1">
        <v>0.99224000000000001</v>
      </c>
      <c r="R405" s="1">
        <v>0.96274999999999999</v>
      </c>
      <c r="S405" s="1">
        <v>1.00526</v>
      </c>
      <c r="T405" s="1">
        <v>0.98792999999999997</v>
      </c>
      <c r="U405" s="1">
        <v>1.0103899999999999</v>
      </c>
      <c r="V405" s="1">
        <v>0.98382000000000003</v>
      </c>
      <c r="W405" s="1">
        <v>0.98443999999999998</v>
      </c>
      <c r="X405" s="1">
        <v>0.99224000000000001</v>
      </c>
      <c r="Y405" s="1">
        <v>0.96274999999999999</v>
      </c>
      <c r="Z405" s="1">
        <v>1.00526</v>
      </c>
      <c r="AA405" s="1">
        <v>0.98792999999999997</v>
      </c>
      <c r="AB405" s="1">
        <v>1.0103899999999999</v>
      </c>
      <c r="AC405" s="1">
        <v>0.98382000000000003</v>
      </c>
      <c r="AD405" s="1">
        <v>1.0465199999999999</v>
      </c>
      <c r="AE405" s="1">
        <v>0.99224000000000001</v>
      </c>
      <c r="AF405" s="1">
        <v>0.96274999999999999</v>
      </c>
      <c r="AG405" s="1">
        <v>1.00526</v>
      </c>
      <c r="AH405" s="1">
        <v>0.98792999999999997</v>
      </c>
      <c r="AI405" s="1">
        <v>1.0103899999999999</v>
      </c>
      <c r="AJ405" s="1">
        <v>0.98382000000000003</v>
      </c>
      <c r="AL405" s="4" t="s">
        <v>25</v>
      </c>
      <c r="AM405" s="6" t="str" cm="1">
        <f t="array" ref="AM405">IFERROR((SUMPRODUCT(($A$393:$A$416=AM$391)*($F$390:$AJ$390="")*$F$393:$AJ$416)+IF(AM$391="P6",SUMPRODUCT(($F$390:$AJ$390="P6")*$F$393:$AJ$416),0))/(SUMPRODUCT(($A$393:$A$416=AM$391)*($F$390:$AJ$390=""))+IF(AM$391="P6",COUNTIF($F$390:$AJ$390,"P6")*ROWS($A$393:$A$416),0)),"")</f>
        <v/>
      </c>
      <c r="AN405" s="6" cm="1">
        <f t="array" ref="AN405">IFERROR((SUMPRODUCT(($A$393:$A$416=AN$391)*($F$390:$AJ$390="")*$F$393:$AJ$416)+IF(AN$391="P6",SUMPRODUCT(($F$390:$AJ$390="P6")*$F$393:$AJ$416),0))/(SUMPRODUCT(($A$393:$A$416=AN$391)*($F$390:$AJ$390=""))+IF(AN$391="P6",COUNTIF($F$390:$AJ$390,"P6")*ROWS($A$393:$A$416),0)),"")</f>
        <v>1.0675683597883598</v>
      </c>
      <c r="AO405" s="6" cm="1">
        <f t="array" ref="AO405">IFERROR((SUMPRODUCT(($A$393:$A$416=AO$391)*($F$390:$AJ$390="")*$F$393:$AJ$416)+IF(AO$391="P6",SUMPRODUCT(($F$390:$AJ$390="P6")*$F$393:$AJ$416),0))/(SUMPRODUCT(($A$393:$A$416=AO$391)*($F$390:$AJ$390=""))+IF(AO$391="P6",COUNTIF($F$390:$AJ$390,"P6")*ROWS($A$393:$A$416),0)),"")</f>
        <v>1.1178017687074828</v>
      </c>
      <c r="AP405" s="6" t="str" cm="1">
        <f t="array" ref="AP405">IFERROR((SUMPRODUCT(($A$393:$A$416=AP$391)*($F$390:$AJ$390="")*$F$393:$AJ$416)+IF(AP$391="P6",SUMPRODUCT(($F$390:$AJ$390="P6")*$F$393:$AJ$416),0))/(SUMPRODUCT(($A$393:$A$416=AP$391)*($F$390:$AJ$390=""))+IF(AP$391="P6",COUNTIF($F$390:$AJ$390,"P6")*ROWS($A$393:$A$416),0)),"")</f>
        <v/>
      </c>
      <c r="AQ405" s="6" t="str" cm="1">
        <f t="array" ref="AQ405">IFERROR((SUMPRODUCT(($A$393:$A$416=AQ$391)*($F$390:$AJ$390="")*$F$393:$AJ$416)+IF(AQ$391="P6",SUMPRODUCT(($F$390:$AJ$390="P6")*$F$393:$AJ$416),0))/(SUMPRODUCT(($A$393:$A$416=AQ$391)*($F$390:$AJ$390=""))+IF(AQ$391="P6",COUNTIF($F$390:$AJ$390,"P6")*ROWS($A$393:$A$416),0)),"")</f>
        <v/>
      </c>
      <c r="AR405" s="6" cm="1">
        <f t="array" ref="AR405">IFERROR((SUMPRODUCT(($A$393:$A$416=AR$391)*($F$390:$AJ$390="")*$F$393:$AJ$416)+IF(AR$391="P6",SUMPRODUCT(($F$390:$AJ$390="P6")*$F$393:$AJ$416),0))/(SUMPRODUCT(($A$393:$A$416=AR$391)*($F$390:$AJ$390=""))+IF(AR$391="P6",COUNTIF($F$390:$AJ$390,"P6")*ROWS($A$393:$A$416),0)),"")</f>
        <v>1.1851686029411772</v>
      </c>
    </row>
    <row r="406" spans="1:44" ht="14.25" customHeight="1" x14ac:dyDescent="0.35">
      <c r="A406" s="1" t="s">
        <v>14</v>
      </c>
      <c r="B406" s="1" t="s">
        <v>15</v>
      </c>
      <c r="C406" s="1" t="s">
        <v>13</v>
      </c>
      <c r="D406" s="1" t="s">
        <v>13</v>
      </c>
      <c r="E406" s="1" t="s">
        <v>32</v>
      </c>
      <c r="F406" s="1">
        <v>0.98968999999999996</v>
      </c>
      <c r="G406" s="1">
        <v>1.0180199999999999</v>
      </c>
      <c r="H406" s="1">
        <v>0.98801000000000005</v>
      </c>
      <c r="I406" s="1">
        <v>0.98695999999999995</v>
      </c>
      <c r="J406" s="1">
        <v>0.99651999999999996</v>
      </c>
      <c r="K406" s="1">
        <v>1.0521100000000001</v>
      </c>
      <c r="L406" s="1">
        <v>0.98643000000000003</v>
      </c>
      <c r="M406" s="1">
        <v>1.0599400000000001</v>
      </c>
      <c r="N406" s="1">
        <v>1.0180199999999999</v>
      </c>
      <c r="O406" s="1">
        <v>0.98801000000000005</v>
      </c>
      <c r="P406" s="1">
        <v>0.98695999999999995</v>
      </c>
      <c r="Q406" s="1">
        <v>0.99651999999999996</v>
      </c>
      <c r="R406" s="1">
        <v>0.95916999999999997</v>
      </c>
      <c r="S406" s="1">
        <v>0.98643000000000003</v>
      </c>
      <c r="T406" s="1">
        <v>0.98968999999999996</v>
      </c>
      <c r="U406" s="1">
        <v>1.0180199999999999</v>
      </c>
      <c r="V406" s="1">
        <v>0.98801000000000005</v>
      </c>
      <c r="W406" s="1">
        <v>0.98695999999999995</v>
      </c>
      <c r="X406" s="1">
        <v>0.99651999999999996</v>
      </c>
      <c r="Y406" s="1">
        <v>0.95916999999999997</v>
      </c>
      <c r="Z406" s="1">
        <v>0.98643000000000003</v>
      </c>
      <c r="AA406" s="1">
        <v>0.98968999999999996</v>
      </c>
      <c r="AB406" s="1">
        <v>1.0180199999999999</v>
      </c>
      <c r="AC406" s="1">
        <v>0.98801000000000005</v>
      </c>
      <c r="AD406" s="1">
        <v>1.02976</v>
      </c>
      <c r="AE406" s="1">
        <v>0.99651999999999996</v>
      </c>
      <c r="AF406" s="1">
        <v>0.95916999999999997</v>
      </c>
      <c r="AG406" s="1">
        <v>0.98643000000000003</v>
      </c>
      <c r="AH406" s="1">
        <v>0.98968999999999996</v>
      </c>
      <c r="AI406" s="1">
        <v>1.0180199999999999</v>
      </c>
      <c r="AJ406" s="1">
        <v>0.98801000000000005</v>
      </c>
      <c r="AL406" s="4" t="s">
        <v>27</v>
      </c>
      <c r="AM406" s="6" t="str" cm="1">
        <f t="array" ref="AM406">IFERROR((SUMPRODUCT(($A$393:$A$416=AM$391)*($F$390:$AJ$390="")*$F$393:$AJ$416)+IF(AM$391="P6",SUMPRODUCT(($F$390:$AJ$390="P6")*$F$393:$AJ$416),0))/(SUMPRODUCT(($A$393:$A$416=AM$391)*($F$390:$AJ$390=""))+IF(AM$391="P6",COUNTIF($F$390:$AJ$390,"P6")*ROWS($A$393:$A$416),0)),"")</f>
        <v/>
      </c>
      <c r="AN406" s="6" cm="1">
        <f t="array" ref="AN406">IFERROR((SUMPRODUCT(($A$393:$A$416=AN$391)*($F$390:$AJ$390="")*$F$393:$AJ$416)+IF(AN$391="P6",SUMPRODUCT(($F$390:$AJ$390="P6")*$F$393:$AJ$416),0))/(SUMPRODUCT(($A$393:$A$416=AN$391)*($F$390:$AJ$390=""))+IF(AN$391="P6",COUNTIF($F$390:$AJ$390,"P6")*ROWS($A$393:$A$416),0)),"")</f>
        <v>1.0675683597883598</v>
      </c>
      <c r="AO406" s="6" cm="1">
        <f t="array" ref="AO406">IFERROR((SUMPRODUCT(($A$393:$A$416=AO$391)*($F$390:$AJ$390="")*$F$393:$AJ$416)+IF(AO$391="P6",SUMPRODUCT(($F$390:$AJ$390="P6")*$F$393:$AJ$416),0))/(SUMPRODUCT(($A$393:$A$416=AO$391)*($F$390:$AJ$390=""))+IF(AO$391="P6",COUNTIF($F$390:$AJ$390,"P6")*ROWS($A$393:$A$416),0)),"")</f>
        <v>1.1178017687074828</v>
      </c>
      <c r="AP406" s="6" t="str" cm="1">
        <f t="array" ref="AP406">IFERROR((SUMPRODUCT(($A$393:$A$416=AP$391)*($F$390:$AJ$390="")*$F$393:$AJ$416)+IF(AP$391="P6",SUMPRODUCT(($F$390:$AJ$390="P6")*$F$393:$AJ$416),0))/(SUMPRODUCT(($A$393:$A$416=AP$391)*($F$390:$AJ$390=""))+IF(AP$391="P6",COUNTIF($F$390:$AJ$390,"P6")*ROWS($A$393:$A$416),0)),"")</f>
        <v/>
      </c>
      <c r="AQ406" s="6" t="str" cm="1">
        <f t="array" ref="AQ406">IFERROR((SUMPRODUCT(($A$393:$A$416=AQ$391)*($F$390:$AJ$390="")*$F$393:$AJ$416)+IF(AQ$391="P6",SUMPRODUCT(($F$390:$AJ$390="P6")*$F$393:$AJ$416),0))/(SUMPRODUCT(($A$393:$A$416=AQ$391)*($F$390:$AJ$390=""))+IF(AQ$391="P6",COUNTIF($F$390:$AJ$390,"P6")*ROWS($A$393:$A$416),0)),"")</f>
        <v/>
      </c>
      <c r="AR406" s="6" cm="1">
        <f t="array" ref="AR406">IFERROR((SUMPRODUCT(($A$393:$A$416=AR$391)*($F$390:$AJ$390="")*$F$393:$AJ$416)+IF(AR$391="P6",SUMPRODUCT(($F$390:$AJ$390="P6")*$F$393:$AJ$416),0))/(SUMPRODUCT(($A$393:$A$416=AR$391)*($F$390:$AJ$390=""))+IF(AR$391="P6",COUNTIF($F$390:$AJ$390,"P6")*ROWS($A$393:$A$416),0)),"")</f>
        <v>1.1851686029411772</v>
      </c>
    </row>
    <row r="407" spans="1:44" ht="14.25" customHeight="1" x14ac:dyDescent="0.35">
      <c r="A407" s="1" t="s">
        <v>14</v>
      </c>
      <c r="B407" s="1" t="s">
        <v>15</v>
      </c>
      <c r="C407" s="1" t="s">
        <v>14</v>
      </c>
      <c r="D407" s="1" t="s">
        <v>14</v>
      </c>
      <c r="E407" s="1" t="s">
        <v>33</v>
      </c>
      <c r="F407" s="1">
        <v>1.0247299999999999</v>
      </c>
      <c r="G407" s="1">
        <v>1.0484199999999999</v>
      </c>
      <c r="H407" s="1">
        <v>1.02138</v>
      </c>
      <c r="I407" s="1">
        <v>1.0128299999999999</v>
      </c>
      <c r="J407" s="1">
        <v>1.01129</v>
      </c>
      <c r="K407" s="1">
        <v>1.07525</v>
      </c>
      <c r="L407" s="1">
        <v>1.00671</v>
      </c>
      <c r="M407" s="1">
        <v>1.0903</v>
      </c>
      <c r="N407" s="1">
        <v>1.0484199999999999</v>
      </c>
      <c r="O407" s="1">
        <v>1.02138</v>
      </c>
      <c r="P407" s="1">
        <v>1.0128299999999999</v>
      </c>
      <c r="Q407" s="1">
        <v>1.01129</v>
      </c>
      <c r="R407" s="1">
        <v>0.98292999999999997</v>
      </c>
      <c r="S407" s="1">
        <v>1.00671</v>
      </c>
      <c r="T407" s="1">
        <v>1.0247299999999999</v>
      </c>
      <c r="U407" s="1">
        <v>1.0484199999999999</v>
      </c>
      <c r="V407" s="1">
        <v>1.02138</v>
      </c>
      <c r="W407" s="1">
        <v>1.0128299999999999</v>
      </c>
      <c r="X407" s="1">
        <v>1.01129</v>
      </c>
      <c r="Y407" s="1">
        <v>0.98292999999999997</v>
      </c>
      <c r="Z407" s="1">
        <v>1.00671</v>
      </c>
      <c r="AA407" s="1">
        <v>1.0247299999999999</v>
      </c>
      <c r="AB407" s="1">
        <v>1.0484199999999999</v>
      </c>
      <c r="AC407" s="1">
        <v>1.02138</v>
      </c>
      <c r="AD407" s="1">
        <v>1.0596699999999999</v>
      </c>
      <c r="AE407" s="1">
        <v>1.01129</v>
      </c>
      <c r="AF407" s="1">
        <v>0.98292999999999997</v>
      </c>
      <c r="AG407" s="1">
        <v>1.00671</v>
      </c>
      <c r="AH407" s="1">
        <v>1.0247299999999999</v>
      </c>
      <c r="AI407" s="1">
        <v>1.0484199999999999</v>
      </c>
      <c r="AJ407" s="1">
        <v>1.02138</v>
      </c>
      <c r="AL407" s="4" t="s">
        <v>29</v>
      </c>
      <c r="AM407" s="6" t="str" cm="1">
        <f t="array" ref="AM407">IFERROR((SUMPRODUCT(($A$393:$A$416=AM$391)*($F$390:$AJ$390="")*$F$393:$AJ$416)+IF(AM$391="P6",SUMPRODUCT(($F$390:$AJ$390="P6")*$F$393:$AJ$416),0))/(SUMPRODUCT(($A$393:$A$416=AM$391)*($F$390:$AJ$390=""))+IF(AM$391="P6",COUNTIF($F$390:$AJ$390,"P6")*ROWS($A$393:$A$416),0)),"")</f>
        <v/>
      </c>
      <c r="AN407" s="6" cm="1">
        <f t="array" ref="AN407">IFERROR((SUMPRODUCT(($A$393:$A$416=AN$391)*($F$390:$AJ$390="")*$F$393:$AJ$416)+IF(AN$391="P6",SUMPRODUCT(($F$390:$AJ$390="P6")*$F$393:$AJ$416),0))/(SUMPRODUCT(($A$393:$A$416=AN$391)*($F$390:$AJ$390=""))+IF(AN$391="P6",COUNTIF($F$390:$AJ$390,"P6")*ROWS($A$393:$A$416),0)),"")</f>
        <v>1.0675683597883598</v>
      </c>
      <c r="AO407" s="6" cm="1">
        <f t="array" ref="AO407">IFERROR((SUMPRODUCT(($A$393:$A$416=AO$391)*($F$390:$AJ$390="")*$F$393:$AJ$416)+IF(AO$391="P6",SUMPRODUCT(($F$390:$AJ$390="P6")*$F$393:$AJ$416),0))/(SUMPRODUCT(($A$393:$A$416=AO$391)*($F$390:$AJ$390=""))+IF(AO$391="P6",COUNTIF($F$390:$AJ$390,"P6")*ROWS($A$393:$A$416),0)),"")</f>
        <v>1.1178017687074828</v>
      </c>
      <c r="AP407" s="6" t="str" cm="1">
        <f t="array" ref="AP407">IFERROR((SUMPRODUCT(($A$393:$A$416=AP$391)*($F$390:$AJ$390="")*$F$393:$AJ$416)+IF(AP$391="P6",SUMPRODUCT(($F$390:$AJ$390="P6")*$F$393:$AJ$416),0))/(SUMPRODUCT(($A$393:$A$416=AP$391)*($F$390:$AJ$390=""))+IF(AP$391="P6",COUNTIF($F$390:$AJ$390,"P6")*ROWS($A$393:$A$416),0)),"")</f>
        <v/>
      </c>
      <c r="AQ407" s="6" t="str" cm="1">
        <f t="array" ref="AQ407">IFERROR((SUMPRODUCT(($A$393:$A$416=AQ$391)*($F$390:$AJ$390="")*$F$393:$AJ$416)+IF(AQ$391="P6",SUMPRODUCT(($F$390:$AJ$390="P6")*$F$393:$AJ$416),0))/(SUMPRODUCT(($A$393:$A$416=AQ$391)*($F$390:$AJ$390=""))+IF(AQ$391="P6",COUNTIF($F$390:$AJ$390,"P6")*ROWS($A$393:$A$416),0)),"")</f>
        <v/>
      </c>
      <c r="AR407" s="6" cm="1">
        <f t="array" ref="AR407">IFERROR((SUMPRODUCT(($A$393:$A$416=AR$391)*($F$390:$AJ$390="")*$F$393:$AJ$416)+IF(AR$391="P6",SUMPRODUCT(($F$390:$AJ$390="P6")*$F$393:$AJ$416),0))/(SUMPRODUCT(($A$393:$A$416=AR$391)*($F$390:$AJ$390=""))+IF(AR$391="P6",COUNTIF($F$390:$AJ$390,"P6")*ROWS($A$393:$A$416),0)),"")</f>
        <v>1.1851686029411772</v>
      </c>
    </row>
    <row r="408" spans="1:44" ht="14.25" customHeight="1" x14ac:dyDescent="0.35">
      <c r="A408" s="1" t="s">
        <v>15</v>
      </c>
      <c r="B408" s="1" t="s">
        <v>16</v>
      </c>
      <c r="C408" s="1" t="s">
        <v>14</v>
      </c>
      <c r="D408" s="1" t="s">
        <v>14</v>
      </c>
      <c r="E408" s="1" t="s">
        <v>34</v>
      </c>
      <c r="F408" s="1">
        <v>1.06464</v>
      </c>
      <c r="G408" s="1">
        <v>1.0863400000000001</v>
      </c>
      <c r="H408" s="1">
        <v>1.0431699999999999</v>
      </c>
      <c r="I408" s="1">
        <v>1.0477000000000001</v>
      </c>
      <c r="J408" s="1">
        <v>1.06419</v>
      </c>
      <c r="K408" s="1">
        <v>1.12832</v>
      </c>
      <c r="L408" s="1">
        <v>1.0575000000000001</v>
      </c>
      <c r="M408" s="1">
        <v>1.1476299999999999</v>
      </c>
      <c r="N408" s="1">
        <v>1.0863400000000001</v>
      </c>
      <c r="O408" s="1">
        <v>1.0431699999999999</v>
      </c>
      <c r="P408" s="1">
        <v>1.0477000000000001</v>
      </c>
      <c r="Q408" s="1">
        <v>1.06419</v>
      </c>
      <c r="R408" s="1">
        <v>1.0451600000000001</v>
      </c>
      <c r="S408" s="1">
        <v>1.0575000000000001</v>
      </c>
      <c r="T408" s="1">
        <v>1.06464</v>
      </c>
      <c r="U408" s="1">
        <v>1.0863400000000001</v>
      </c>
      <c r="V408" s="1">
        <v>1.0431699999999999</v>
      </c>
      <c r="W408" s="1">
        <v>1.0477000000000001</v>
      </c>
      <c r="X408" s="1">
        <v>1.06419</v>
      </c>
      <c r="Y408" s="1">
        <v>1.0451600000000001</v>
      </c>
      <c r="Z408" s="1">
        <v>1.0575000000000001</v>
      </c>
      <c r="AA408" s="1">
        <v>1.06464</v>
      </c>
      <c r="AB408" s="1">
        <v>1.0863400000000001</v>
      </c>
      <c r="AC408" s="1">
        <v>1.0431699999999999</v>
      </c>
      <c r="AD408" s="1">
        <v>1.1572100000000001</v>
      </c>
      <c r="AE408" s="1">
        <v>1.06419</v>
      </c>
      <c r="AF408" s="1">
        <v>1.0451600000000001</v>
      </c>
      <c r="AG408" s="1">
        <v>1.0575000000000001</v>
      </c>
      <c r="AH408" s="1">
        <v>1.06464</v>
      </c>
      <c r="AI408" s="1">
        <v>1.0863400000000001</v>
      </c>
      <c r="AJ408" s="1">
        <v>1.0431699999999999</v>
      </c>
      <c r="AL408" s="10"/>
      <c r="AM408" s="10"/>
      <c r="AN408" s="10"/>
      <c r="AO408" s="10"/>
      <c r="AP408" s="10"/>
      <c r="AQ408" s="10"/>
      <c r="AR408" s="10"/>
    </row>
    <row r="409" spans="1:44" ht="14.25" customHeight="1" x14ac:dyDescent="0.35">
      <c r="A409" s="1" t="s">
        <v>15</v>
      </c>
      <c r="B409" s="1" t="s">
        <v>16</v>
      </c>
      <c r="C409" s="1" t="s">
        <v>14</v>
      </c>
      <c r="D409" s="1" t="s">
        <v>14</v>
      </c>
      <c r="E409" s="1" t="s">
        <v>35</v>
      </c>
      <c r="F409" s="1">
        <v>1.05925</v>
      </c>
      <c r="G409" s="1">
        <v>1.09046</v>
      </c>
      <c r="H409" s="1">
        <v>1.0320199999999999</v>
      </c>
      <c r="I409" s="1">
        <v>1.0640499999999999</v>
      </c>
      <c r="J409" s="1">
        <v>1.07552</v>
      </c>
      <c r="K409" s="1">
        <v>1.1509</v>
      </c>
      <c r="L409" s="1">
        <v>1.0958600000000001</v>
      </c>
      <c r="M409" s="1">
        <v>1.1565300000000001</v>
      </c>
      <c r="N409" s="1">
        <v>1.09046</v>
      </c>
      <c r="O409" s="1">
        <v>1.0320199999999999</v>
      </c>
      <c r="P409" s="1">
        <v>1.0640499999999999</v>
      </c>
      <c r="Q409" s="1">
        <v>1.07552</v>
      </c>
      <c r="R409" s="1">
        <v>1.08413</v>
      </c>
      <c r="S409" s="1">
        <v>1.0958600000000001</v>
      </c>
      <c r="T409" s="1">
        <v>1.05925</v>
      </c>
      <c r="U409" s="1">
        <v>1.09046</v>
      </c>
      <c r="V409" s="1">
        <v>1.0320199999999999</v>
      </c>
      <c r="W409" s="1">
        <v>1.0640499999999999</v>
      </c>
      <c r="X409" s="1">
        <v>1.07552</v>
      </c>
      <c r="Y409" s="1">
        <v>1.08413</v>
      </c>
      <c r="Z409" s="1">
        <v>1.0958600000000001</v>
      </c>
      <c r="AA409" s="1">
        <v>1.05925</v>
      </c>
      <c r="AB409" s="1">
        <v>1.09046</v>
      </c>
      <c r="AC409" s="1">
        <v>1.0320199999999999</v>
      </c>
      <c r="AD409" s="1">
        <v>1.19815</v>
      </c>
      <c r="AE409" s="1">
        <v>1.07552</v>
      </c>
      <c r="AF409" s="1">
        <v>1.08413</v>
      </c>
      <c r="AG409" s="1">
        <v>1.0958600000000001</v>
      </c>
      <c r="AH409" s="1">
        <v>1.05925</v>
      </c>
      <c r="AI409" s="1">
        <v>1.09046</v>
      </c>
      <c r="AJ409" s="1">
        <v>1.0320199999999999</v>
      </c>
      <c r="AL409" s="10"/>
      <c r="AM409" s="10"/>
      <c r="AN409" s="10"/>
      <c r="AO409" s="10"/>
      <c r="AP409" s="10"/>
      <c r="AQ409" s="10"/>
      <c r="AR409" s="10"/>
    </row>
    <row r="410" spans="1:44" ht="14.25" customHeight="1" x14ac:dyDescent="0.35">
      <c r="A410" s="1" t="s">
        <v>15</v>
      </c>
      <c r="B410" s="1" t="s">
        <v>16</v>
      </c>
      <c r="C410" s="1" t="s">
        <v>14</v>
      </c>
      <c r="D410" s="1" t="s">
        <v>14</v>
      </c>
      <c r="E410" s="1" t="s">
        <v>36</v>
      </c>
      <c r="F410" s="1">
        <v>1.07247</v>
      </c>
      <c r="G410" s="1">
        <v>1.1064700000000001</v>
      </c>
      <c r="H410" s="1">
        <v>1.0381899999999999</v>
      </c>
      <c r="I410" s="1">
        <v>1.07386</v>
      </c>
      <c r="J410" s="1">
        <v>1.08125</v>
      </c>
      <c r="K410" s="1">
        <v>1.1834100000000001</v>
      </c>
      <c r="L410" s="1">
        <v>1.1308400000000001</v>
      </c>
      <c r="M410" s="1">
        <v>1.17997</v>
      </c>
      <c r="N410" s="1">
        <v>1.1064700000000001</v>
      </c>
      <c r="O410" s="1">
        <v>1.0381899999999999</v>
      </c>
      <c r="P410" s="1">
        <v>1.07386</v>
      </c>
      <c r="Q410" s="1">
        <v>1.08125</v>
      </c>
      <c r="R410" s="1">
        <v>1.1028800000000001</v>
      </c>
      <c r="S410" s="1">
        <v>1.1308400000000001</v>
      </c>
      <c r="T410" s="1">
        <v>1.07247</v>
      </c>
      <c r="U410" s="1">
        <v>1.1064700000000001</v>
      </c>
      <c r="V410" s="1">
        <v>1.0381899999999999</v>
      </c>
      <c r="W410" s="1">
        <v>1.07386</v>
      </c>
      <c r="X410" s="1">
        <v>1.08125</v>
      </c>
      <c r="Y410" s="1">
        <v>1.1028800000000001</v>
      </c>
      <c r="Z410" s="1">
        <v>1.1308400000000001</v>
      </c>
      <c r="AA410" s="1">
        <v>1.07247</v>
      </c>
      <c r="AB410" s="1">
        <v>1.1064700000000001</v>
      </c>
      <c r="AC410" s="1">
        <v>1.0381899999999999</v>
      </c>
      <c r="AD410" s="1">
        <v>1.2276899999999999</v>
      </c>
      <c r="AE410" s="1">
        <v>1.08125</v>
      </c>
      <c r="AF410" s="1">
        <v>1.1028800000000001</v>
      </c>
      <c r="AG410" s="1">
        <v>1.1308400000000001</v>
      </c>
      <c r="AH410" s="1">
        <v>1.07247</v>
      </c>
      <c r="AI410" s="1">
        <v>1.1064700000000001</v>
      </c>
      <c r="AJ410" s="1">
        <v>1.0381899999999999</v>
      </c>
      <c r="AL410" s="14" t="s">
        <v>113</v>
      </c>
      <c r="AM410" s="14"/>
      <c r="AN410" s="14"/>
      <c r="AO410" s="14"/>
      <c r="AP410" s="14"/>
      <c r="AQ410" s="14"/>
      <c r="AR410" s="14"/>
    </row>
    <row r="411" spans="1:44" ht="14.25" customHeight="1" x14ac:dyDescent="0.35">
      <c r="A411" s="1" t="s">
        <v>14</v>
      </c>
      <c r="B411" s="1" t="s">
        <v>15</v>
      </c>
      <c r="C411" s="1" t="s">
        <v>13</v>
      </c>
      <c r="D411" s="1" t="s">
        <v>13</v>
      </c>
      <c r="E411" s="1" t="s">
        <v>37</v>
      </c>
      <c r="F411" s="1">
        <v>1.1142799999999999</v>
      </c>
      <c r="G411" s="1">
        <v>1.1450499999999999</v>
      </c>
      <c r="H411" s="1">
        <v>1.0828599999999999</v>
      </c>
      <c r="I411" s="1">
        <v>1.1122300000000001</v>
      </c>
      <c r="J411" s="1">
        <v>1.11564</v>
      </c>
      <c r="K411" s="1">
        <v>1.1721699999999999</v>
      </c>
      <c r="L411" s="1">
        <v>1.12859</v>
      </c>
      <c r="M411" s="1">
        <v>1.1626399999999999</v>
      </c>
      <c r="N411" s="1">
        <v>1.1450499999999999</v>
      </c>
      <c r="O411" s="1">
        <v>1.0828599999999999</v>
      </c>
      <c r="P411" s="1">
        <v>1.1122300000000001</v>
      </c>
      <c r="Q411" s="1">
        <v>1.11564</v>
      </c>
      <c r="R411" s="1">
        <v>1.1125100000000001</v>
      </c>
      <c r="S411" s="1">
        <v>1.12859</v>
      </c>
      <c r="T411" s="1">
        <v>1.1142799999999999</v>
      </c>
      <c r="U411" s="1">
        <v>1.1450499999999999</v>
      </c>
      <c r="V411" s="1">
        <v>1.0828599999999999</v>
      </c>
      <c r="W411" s="1">
        <v>1.1122300000000001</v>
      </c>
      <c r="X411" s="1">
        <v>1.11564</v>
      </c>
      <c r="Y411" s="1">
        <v>1.1125100000000001</v>
      </c>
      <c r="Z411" s="1">
        <v>1.12859</v>
      </c>
      <c r="AA411" s="1">
        <v>1.1142799999999999</v>
      </c>
      <c r="AB411" s="1">
        <v>1.1450499999999999</v>
      </c>
      <c r="AC411" s="1">
        <v>1.0828599999999999</v>
      </c>
      <c r="AD411" s="1">
        <v>1.2420500000000001</v>
      </c>
      <c r="AE411" s="1">
        <v>1.11564</v>
      </c>
      <c r="AF411" s="1">
        <v>1.1125100000000001</v>
      </c>
      <c r="AG411" s="1">
        <v>1.12859</v>
      </c>
      <c r="AH411" s="1">
        <v>1.1142799999999999</v>
      </c>
      <c r="AI411" s="1">
        <v>1.1450499999999999</v>
      </c>
      <c r="AJ411" s="1">
        <v>1.0828599999999999</v>
      </c>
      <c r="AL411" s="4"/>
      <c r="AM411" s="4" t="s">
        <v>13</v>
      </c>
      <c r="AN411" s="4" t="s">
        <v>14</v>
      </c>
      <c r="AO411" s="4" t="s">
        <v>15</v>
      </c>
      <c r="AP411" s="4" t="s">
        <v>16</v>
      </c>
      <c r="AQ411" s="4" t="s">
        <v>17</v>
      </c>
      <c r="AR411" s="4" t="s">
        <v>7</v>
      </c>
    </row>
    <row r="412" spans="1:44" ht="14.25" customHeight="1" x14ac:dyDescent="0.35">
      <c r="A412" s="1" t="s">
        <v>14</v>
      </c>
      <c r="B412" s="1" t="s">
        <v>15</v>
      </c>
      <c r="C412" s="1" t="s">
        <v>13</v>
      </c>
      <c r="D412" s="1" t="s">
        <v>13</v>
      </c>
      <c r="E412" s="1" t="s">
        <v>38</v>
      </c>
      <c r="F412" s="1">
        <v>1.1492</v>
      </c>
      <c r="G412" s="1">
        <v>1.17564</v>
      </c>
      <c r="H412" s="1">
        <v>1.1077300000000001</v>
      </c>
      <c r="I412" s="1">
        <v>1.13693</v>
      </c>
      <c r="J412" s="1">
        <v>1.1475500000000001</v>
      </c>
      <c r="K412" s="1">
        <v>1.1926300000000001</v>
      </c>
      <c r="L412" s="1">
        <v>1.1403700000000001</v>
      </c>
      <c r="M412" s="1">
        <v>1.1814100000000001</v>
      </c>
      <c r="N412" s="1">
        <v>1.17564</v>
      </c>
      <c r="O412" s="1">
        <v>1.1077300000000001</v>
      </c>
      <c r="P412" s="1">
        <v>1.13693</v>
      </c>
      <c r="Q412" s="1">
        <v>1.1475500000000001</v>
      </c>
      <c r="R412" s="1">
        <v>1.1296900000000001</v>
      </c>
      <c r="S412" s="1">
        <v>1.1403700000000001</v>
      </c>
      <c r="T412" s="1">
        <v>1.1492</v>
      </c>
      <c r="U412" s="1">
        <v>1.17564</v>
      </c>
      <c r="V412" s="1">
        <v>1.1077300000000001</v>
      </c>
      <c r="W412" s="1">
        <v>1.13693</v>
      </c>
      <c r="X412" s="1">
        <v>1.1475500000000001</v>
      </c>
      <c r="Y412" s="1">
        <v>1.1296900000000001</v>
      </c>
      <c r="Z412" s="1">
        <v>1.1403700000000001</v>
      </c>
      <c r="AA412" s="1">
        <v>1.1492</v>
      </c>
      <c r="AB412" s="1">
        <v>1.17564</v>
      </c>
      <c r="AC412" s="1">
        <v>1.1077300000000001</v>
      </c>
      <c r="AD412" s="1">
        <v>1.2583200000000001</v>
      </c>
      <c r="AE412" s="1">
        <v>1.1475500000000001</v>
      </c>
      <c r="AF412" s="1">
        <v>1.1296900000000001</v>
      </c>
      <c r="AG412" s="1">
        <v>1.1403700000000001</v>
      </c>
      <c r="AH412" s="1">
        <v>1.1492</v>
      </c>
      <c r="AI412" s="1">
        <v>1.17564</v>
      </c>
      <c r="AJ412" s="1">
        <v>1.1077300000000001</v>
      </c>
      <c r="AL412" s="4" t="s">
        <v>19</v>
      </c>
      <c r="AM412" s="6" cm="1">
        <f t="array" ref="AM412">IFERROR((SUMPRODUCT(($C$393:$C$416=AM$391)*($F$389:$AJ$389="")*$F$393:$AJ$416)+IF(AM$391="P3",SUMPRODUCT(($F$389:$AJ$389="P3")*$F$393:$AJ$416),0))/(SUMPRODUCT(($C$393:$C$416=AM$391)*($F$389:$AJ$389=""))+IF(AM$391="P3",COUNTIF($F$389:$AJ$389,"P3")*ROWS($C$393:$C$416),0)),"")</f>
        <v>1.0728502976190479</v>
      </c>
      <c r="AN412" s="6" cm="1">
        <f t="array" ref="AN412">IFERROR((SUMPRODUCT(($C$393:$C$416=AN$391)*($F$389:$AJ$389="")*$F$393:$AJ$416)+IF(AN$391="P3",SUMPRODUCT(($F$389:$AJ$389="P3")*$F$393:$AJ$416),0))/(SUMPRODUCT(($C$393:$C$416=AN$391)*($F$389:$AJ$389=""))+IF(AN$391="P3",COUNTIF($F$389:$AJ$389,"P3")*ROWS($C$393:$C$416),0)),"")</f>
        <v>1.1062406547619044</v>
      </c>
      <c r="AO412" s="6" cm="1">
        <f t="array" ref="AO412">IFERROR((SUMPRODUCT(($C$393:$C$416=AO$391)*($F$389:$AJ$389="")*$F$393:$AJ$416)+IF(AO$391="P3",SUMPRODUCT(($F$389:$AJ$389="P3")*$F$393:$AJ$416),0))/(SUMPRODUCT(($C$393:$C$416=AO$391)*($F$389:$AJ$389=""))+IF(AO$391="P3",COUNTIF($F$389:$AJ$389,"P3")*ROWS($C$393:$C$416),0)),"")</f>
        <v>1.1851686029411772</v>
      </c>
      <c r="AP412" s="6" t="str" cm="1">
        <f t="array" ref="AP412">IFERROR((SUMPRODUCT(($C$393:$C$416=AP$391)*($F$389:$AJ$389="")*$F$393:$AJ$416)+IF(AP$391="P3",SUMPRODUCT(($F$389:$AJ$389="P3")*$F$393:$AJ$416),0))/(SUMPRODUCT(($C$393:$C$416=AP$391)*($F$389:$AJ$389=""))+IF(AP$391="P3",COUNTIF($F$389:$AJ$389,"P3")*ROWS($C$393:$C$416),0)),"")</f>
        <v/>
      </c>
      <c r="AQ412" s="6" t="str" cm="1">
        <f t="array" ref="AQ412">IFERROR((SUMPRODUCT(($C$393:$C$416=AQ$391)*($F$389:$AJ$389="")*$F$393:$AJ$416)+IF(AQ$391="P3",SUMPRODUCT(($F$389:$AJ$389="P3")*$F$393:$AJ$416),0))/(SUMPRODUCT(($C$393:$C$416=AQ$391)*($F$389:$AJ$389=""))+IF(AQ$391="P3",COUNTIF($F$389:$AJ$389,"P3")*ROWS($C$393:$C$416),0)),"")</f>
        <v/>
      </c>
      <c r="AR412" s="6" t="str" cm="1">
        <f t="array" ref="AR412">IFERROR((SUMPRODUCT(($C$393:$C$416=AR$391)*($F$389:$AJ$389="")*$F$393:$AJ$416)+IF(AR$391="P3",SUMPRODUCT(($F$389:$AJ$389="P3")*$F$393:$AJ$416),0))/(SUMPRODUCT(($C$393:$C$416=AR$391)*($F$389:$AJ$389=""))+IF(AR$391="P3",COUNTIF($F$389:$AJ$389,"P3")*ROWS($C$393:$C$416),0)),"")</f>
        <v/>
      </c>
    </row>
    <row r="413" spans="1:44" ht="14.25" customHeight="1" x14ac:dyDescent="0.35">
      <c r="A413" s="1" t="s">
        <v>14</v>
      </c>
      <c r="B413" s="1" t="s">
        <v>15</v>
      </c>
      <c r="C413" s="1" t="s">
        <v>13</v>
      </c>
      <c r="D413" s="1" t="s">
        <v>13</v>
      </c>
      <c r="E413" s="1" t="s">
        <v>39</v>
      </c>
      <c r="F413" s="1">
        <v>1.1775500000000001</v>
      </c>
      <c r="G413" s="1">
        <v>1.1927000000000001</v>
      </c>
      <c r="H413" s="1">
        <v>1.1416200000000001</v>
      </c>
      <c r="I413" s="1">
        <v>1.1583399999999999</v>
      </c>
      <c r="J413" s="1">
        <v>1.1712</v>
      </c>
      <c r="K413" s="1">
        <v>1.19333</v>
      </c>
      <c r="L413" s="1">
        <v>1.13104</v>
      </c>
      <c r="M413" s="1">
        <v>1.18184</v>
      </c>
      <c r="N413" s="1">
        <v>1.1927000000000001</v>
      </c>
      <c r="O413" s="1">
        <v>1.1416200000000001</v>
      </c>
      <c r="P413" s="1">
        <v>1.1583399999999999</v>
      </c>
      <c r="Q413" s="1">
        <v>1.1712</v>
      </c>
      <c r="R413" s="1">
        <v>1.1395999999999999</v>
      </c>
      <c r="S413" s="1">
        <v>1.13104</v>
      </c>
      <c r="T413" s="1">
        <v>1.1775500000000001</v>
      </c>
      <c r="U413" s="1">
        <v>1.1927000000000001</v>
      </c>
      <c r="V413" s="1">
        <v>1.1416200000000001</v>
      </c>
      <c r="W413" s="1">
        <v>1.1583399999999999</v>
      </c>
      <c r="X413" s="1">
        <v>1.1712</v>
      </c>
      <c r="Y413" s="1">
        <v>1.1395999999999999</v>
      </c>
      <c r="Z413" s="1">
        <v>1.13104</v>
      </c>
      <c r="AA413" s="1">
        <v>1.1775500000000001</v>
      </c>
      <c r="AB413" s="1">
        <v>1.1927000000000001</v>
      </c>
      <c r="AC413" s="1">
        <v>1.1416200000000001</v>
      </c>
      <c r="AD413" s="1">
        <v>1.2633399999999999</v>
      </c>
      <c r="AE413" s="1">
        <v>1.1712</v>
      </c>
      <c r="AF413" s="1">
        <v>1.1395999999999999</v>
      </c>
      <c r="AG413" s="1">
        <v>1.13104</v>
      </c>
      <c r="AH413" s="1">
        <v>1.1775500000000001</v>
      </c>
      <c r="AI413" s="1">
        <v>1.1927000000000001</v>
      </c>
      <c r="AJ413" s="1">
        <v>1.1416200000000001</v>
      </c>
      <c r="AL413" s="4" t="s">
        <v>21</v>
      </c>
      <c r="AM413" s="6" t="str" cm="1">
        <f t="array" ref="AM413">IFERROR((SUMPRODUCT(($B$393:$B$416=AM$391)*($F$390:$AJ$390="")*$F$393:$AJ$416)+IF(AM$391="P6",SUMPRODUCT(($F$390:$AJ$390="P6")*$F$393:$AJ$416),0))/(SUMPRODUCT(($B$393:$B$416=AM$391)*($F$390:$AJ$390=""))+IF(AM$391="P6",COUNTIF($F$390:$AJ$390,"P6")*ROWS($B$393:$B$416),0)),"")</f>
        <v/>
      </c>
      <c r="AN413" s="6" t="str" cm="1">
        <f t="array" ref="AN413">IFERROR((SUMPRODUCT(($B$393:$B$416=AN$391)*($F$390:$AJ$390="")*$F$393:$AJ$416)+IF(AN$391="P6",SUMPRODUCT(($F$390:$AJ$390="P6")*$F$393:$AJ$416),0))/(SUMPRODUCT(($B$393:$B$416=AN$391)*($F$390:$AJ$390=""))+IF(AN$391="P6",COUNTIF($F$390:$AJ$390,"P6")*ROWS($B$393:$B$416),0)),"")</f>
        <v/>
      </c>
      <c r="AO413" s="6" cm="1">
        <f t="array" ref="AO413">IFERROR((SUMPRODUCT(($B$393:$B$416=AO$391)*($F$390:$AJ$390="")*$F$393:$AJ$416)+IF(AO$391="P6",SUMPRODUCT(($F$390:$AJ$390="P6")*$F$393:$AJ$416),0))/(SUMPRODUCT(($B$393:$B$416=AO$391)*($F$390:$AJ$390=""))+IF(AO$391="P6",COUNTIF($F$390:$AJ$390,"P6")*ROWS($B$393:$B$416),0)),"")</f>
        <v>1.0675683597883598</v>
      </c>
      <c r="AP413" s="6" cm="1">
        <f t="array" ref="AP413">IFERROR((SUMPRODUCT(($B$393:$B$416=AP$391)*($F$390:$AJ$390="")*$F$393:$AJ$416)+IF(AP$391="P6",SUMPRODUCT(($F$390:$AJ$390="P6")*$F$393:$AJ$416),0))/(SUMPRODUCT(($B$393:$B$416=AP$391)*($F$390:$AJ$390=""))+IF(AP$391="P6",COUNTIF($F$390:$AJ$390,"P6")*ROWS($B$393:$B$416),0)),"")</f>
        <v>1.1178017687074828</v>
      </c>
      <c r="AQ413" s="6" t="str" cm="1">
        <f t="array" ref="AQ413">IFERROR((SUMPRODUCT(($B$393:$B$416=AQ$391)*($F$390:$AJ$390="")*$F$393:$AJ$416)+IF(AQ$391="P6",SUMPRODUCT(($F$390:$AJ$390="P6")*$F$393:$AJ$416),0))/(SUMPRODUCT(($B$393:$B$416=AQ$391)*($F$390:$AJ$390=""))+IF(AQ$391="P6",COUNTIF($F$390:$AJ$390,"P6")*ROWS($B$393:$B$416),0)),"")</f>
        <v/>
      </c>
      <c r="AR413" s="6" cm="1">
        <f t="array" ref="AR413">IFERROR((SUMPRODUCT(($B$393:$B$416=AR$391)*($F$390:$AJ$390="")*$F$393:$AJ$416)+IF(AR$391="P6",SUMPRODUCT(($F$390:$AJ$390="P6")*$F$393:$AJ$416),0))/(SUMPRODUCT(($B$393:$B$416=AR$391)*($F$390:$AJ$390=""))+IF(AR$391="P6",COUNTIF($F$390:$AJ$390,"P6")*ROWS($B$393:$B$416),0)),"")</f>
        <v>1.1851686029411772</v>
      </c>
    </row>
    <row r="414" spans="1:44" ht="14.25" customHeight="1" x14ac:dyDescent="0.35">
      <c r="A414" s="1" t="s">
        <v>14</v>
      </c>
      <c r="B414" s="1" t="s">
        <v>15</v>
      </c>
      <c r="C414" s="1" t="s">
        <v>13</v>
      </c>
      <c r="D414" s="1" t="s">
        <v>13</v>
      </c>
      <c r="E414" s="1" t="s">
        <v>40</v>
      </c>
      <c r="F414" s="1">
        <v>1.20302</v>
      </c>
      <c r="G414" s="1">
        <v>1.2020299999999999</v>
      </c>
      <c r="H414" s="1">
        <v>1.1740900000000001</v>
      </c>
      <c r="I414" s="1">
        <v>1.1804699999999999</v>
      </c>
      <c r="J414" s="1">
        <v>1.20444</v>
      </c>
      <c r="K414" s="1">
        <v>1.1854100000000001</v>
      </c>
      <c r="L414" s="1">
        <v>1.11338</v>
      </c>
      <c r="M414" s="1">
        <v>1.18255</v>
      </c>
      <c r="N414" s="1">
        <v>1.2020299999999999</v>
      </c>
      <c r="O414" s="1">
        <v>1.1740900000000001</v>
      </c>
      <c r="P414" s="1">
        <v>1.1804699999999999</v>
      </c>
      <c r="Q414" s="1">
        <v>1.20444</v>
      </c>
      <c r="R414" s="1">
        <v>1.1529799999999999</v>
      </c>
      <c r="S414" s="1">
        <v>1.11338</v>
      </c>
      <c r="T414" s="1">
        <v>1.20302</v>
      </c>
      <c r="U414" s="1">
        <v>1.2020299999999999</v>
      </c>
      <c r="V414" s="1">
        <v>1.1740900000000001</v>
      </c>
      <c r="W414" s="1">
        <v>1.1804699999999999</v>
      </c>
      <c r="X414" s="1">
        <v>1.20444</v>
      </c>
      <c r="Y414" s="1">
        <v>1.1529799999999999</v>
      </c>
      <c r="Z414" s="1">
        <v>1.11338</v>
      </c>
      <c r="AA414" s="1">
        <v>1.20302</v>
      </c>
      <c r="AB414" s="1">
        <v>1.2020299999999999</v>
      </c>
      <c r="AC414" s="1">
        <v>1.1740900000000001</v>
      </c>
      <c r="AD414" s="1">
        <v>1.26112</v>
      </c>
      <c r="AE414" s="1">
        <v>1.20444</v>
      </c>
      <c r="AF414" s="1">
        <v>1.1529799999999999</v>
      </c>
      <c r="AG414" s="1">
        <v>1.11338</v>
      </c>
      <c r="AH414" s="1">
        <v>1.20302</v>
      </c>
      <c r="AI414" s="1">
        <v>1.2020299999999999</v>
      </c>
      <c r="AJ414" s="1">
        <v>1.1740900000000001</v>
      </c>
      <c r="AL414" s="4" t="s">
        <v>23</v>
      </c>
      <c r="AM414" s="6" t="str" cm="1">
        <f t="array" ref="AM414">IFERROR((SUMPRODUCT(($B$393:$B$416=AM$391)*($F$390:$AJ$390="")*$F$393:$AJ$416)+IF(AM$391="P6",SUMPRODUCT(($F$390:$AJ$390="P6")*$F$393:$AJ$416),0))/(SUMPRODUCT(($B$393:$B$416=AM$391)*($F$390:$AJ$390=""))+IF(AM$391="P6",COUNTIF($F$390:$AJ$390,"P6")*ROWS($B$393:$B$416),0)),"")</f>
        <v/>
      </c>
      <c r="AN414" s="6" t="str" cm="1">
        <f t="array" ref="AN414">IFERROR((SUMPRODUCT(($B$393:$B$416=AN$391)*($F$390:$AJ$390="")*$F$393:$AJ$416)+IF(AN$391="P6",SUMPRODUCT(($F$390:$AJ$390="P6")*$F$393:$AJ$416),0))/(SUMPRODUCT(($B$393:$B$416=AN$391)*($F$390:$AJ$390=""))+IF(AN$391="P6",COUNTIF($F$390:$AJ$390,"P6")*ROWS($B$393:$B$416),0)),"")</f>
        <v/>
      </c>
      <c r="AO414" s="6" cm="1">
        <f t="array" ref="AO414">IFERROR((SUMPRODUCT(($B$393:$B$416=AO$391)*($F$390:$AJ$390="")*$F$393:$AJ$416)+IF(AO$391="P6",SUMPRODUCT(($F$390:$AJ$390="P6")*$F$393:$AJ$416),0))/(SUMPRODUCT(($B$393:$B$416=AO$391)*($F$390:$AJ$390=""))+IF(AO$391="P6",COUNTIF($F$390:$AJ$390,"P6")*ROWS($B$393:$B$416),0)),"")</f>
        <v>1.0675683597883598</v>
      </c>
      <c r="AP414" s="6" cm="1">
        <f t="array" ref="AP414">IFERROR((SUMPRODUCT(($B$393:$B$416=AP$391)*($F$390:$AJ$390="")*$F$393:$AJ$416)+IF(AP$391="P6",SUMPRODUCT(($F$390:$AJ$390="P6")*$F$393:$AJ$416),0))/(SUMPRODUCT(($B$393:$B$416=AP$391)*($F$390:$AJ$390=""))+IF(AP$391="P6",COUNTIF($F$390:$AJ$390,"P6")*ROWS($B$393:$B$416),0)),"")</f>
        <v>1.1178017687074828</v>
      </c>
      <c r="AQ414" s="6" t="str" cm="1">
        <f t="array" ref="AQ414">IFERROR((SUMPRODUCT(($B$393:$B$416=AQ$391)*($F$390:$AJ$390="")*$F$393:$AJ$416)+IF(AQ$391="P6",SUMPRODUCT(($F$390:$AJ$390="P6")*$F$393:$AJ$416),0))/(SUMPRODUCT(($B$393:$B$416=AQ$391)*($F$390:$AJ$390=""))+IF(AQ$391="P6",COUNTIF($F$390:$AJ$390,"P6")*ROWS($B$393:$B$416),0)),"")</f>
        <v/>
      </c>
      <c r="AR414" s="6" cm="1">
        <f t="array" ref="AR414">IFERROR((SUMPRODUCT(($B$393:$B$416=AR$391)*($F$390:$AJ$390="")*$F$393:$AJ$416)+IF(AR$391="P6",SUMPRODUCT(($F$390:$AJ$390="P6")*$F$393:$AJ$416),0))/(SUMPRODUCT(($B$393:$B$416=AR$391)*($F$390:$AJ$390=""))+IF(AR$391="P6",COUNTIF($F$390:$AJ$390,"P6")*ROWS($B$393:$B$416),0)),"")</f>
        <v>1.1851686029411772</v>
      </c>
    </row>
    <row r="415" spans="1:44" ht="14.25" customHeight="1" x14ac:dyDescent="0.35">
      <c r="A415" s="1" t="s">
        <v>15</v>
      </c>
      <c r="B415" s="1" t="s">
        <v>16</v>
      </c>
      <c r="C415" s="1" t="s">
        <v>14</v>
      </c>
      <c r="D415" s="1" t="s">
        <v>14</v>
      </c>
      <c r="E415" s="1" t="s">
        <v>41</v>
      </c>
      <c r="F415" s="1">
        <v>1.24702</v>
      </c>
      <c r="G415" s="1">
        <v>1.23475</v>
      </c>
      <c r="H415" s="1">
        <v>1.22986</v>
      </c>
      <c r="I415" s="1">
        <v>1.22464</v>
      </c>
      <c r="J415" s="1">
        <v>1.25329</v>
      </c>
      <c r="K415" s="1">
        <v>1.2096199999999999</v>
      </c>
      <c r="L415" s="1">
        <v>1.13544</v>
      </c>
      <c r="M415" s="1">
        <v>1.2101599999999999</v>
      </c>
      <c r="N415" s="1">
        <v>1.23475</v>
      </c>
      <c r="O415" s="1">
        <v>1.22986</v>
      </c>
      <c r="P415" s="1">
        <v>1.22464</v>
      </c>
      <c r="Q415" s="1">
        <v>1.25329</v>
      </c>
      <c r="R415" s="1">
        <v>1.18746</v>
      </c>
      <c r="S415" s="1">
        <v>1.13544</v>
      </c>
      <c r="T415" s="1">
        <v>1.24702</v>
      </c>
      <c r="U415" s="1">
        <v>1.23475</v>
      </c>
      <c r="V415" s="1">
        <v>1.22986</v>
      </c>
      <c r="W415" s="1">
        <v>1.22464</v>
      </c>
      <c r="X415" s="1">
        <v>1.25329</v>
      </c>
      <c r="Y415" s="1">
        <v>1.18746</v>
      </c>
      <c r="Z415" s="1">
        <v>1.13544</v>
      </c>
      <c r="AA415" s="1">
        <v>1.24702</v>
      </c>
      <c r="AB415" s="1">
        <v>1.23475</v>
      </c>
      <c r="AC415" s="1">
        <v>1.22986</v>
      </c>
      <c r="AD415" s="1">
        <v>1.27681</v>
      </c>
      <c r="AE415" s="1">
        <v>1.25329</v>
      </c>
      <c r="AF415" s="1">
        <v>1.18746</v>
      </c>
      <c r="AG415" s="1">
        <v>1.13544</v>
      </c>
      <c r="AH415" s="1">
        <v>1.24702</v>
      </c>
      <c r="AI415" s="1">
        <v>1.23475</v>
      </c>
      <c r="AJ415" s="1">
        <v>1.22986</v>
      </c>
      <c r="AL415" s="4" t="s">
        <v>25</v>
      </c>
      <c r="AM415" s="6" t="str" cm="1">
        <f t="array" ref="AM415">IFERROR((SUMPRODUCT(($B$393:$B$416=AM$391)*($F$390:$AJ$390="")*$F$393:$AJ$416)+IF(AM$391="P6",SUMPRODUCT(($F$390:$AJ$390="P6")*$F$393:$AJ$416),0))/(SUMPRODUCT(($B$393:$B$416=AM$391)*($F$390:$AJ$390=""))+IF(AM$391="P6",COUNTIF($F$390:$AJ$390,"P6")*ROWS($B$393:$B$416),0)),"")</f>
        <v/>
      </c>
      <c r="AN415" s="6" t="str" cm="1">
        <f t="array" ref="AN415">IFERROR((SUMPRODUCT(($B$393:$B$416=AN$391)*($F$390:$AJ$390="")*$F$393:$AJ$416)+IF(AN$391="P6",SUMPRODUCT(($F$390:$AJ$390="P6")*$F$393:$AJ$416),0))/(SUMPRODUCT(($B$393:$B$416=AN$391)*($F$390:$AJ$390=""))+IF(AN$391="P6",COUNTIF($F$390:$AJ$390,"P6")*ROWS($B$393:$B$416),0)),"")</f>
        <v/>
      </c>
      <c r="AO415" s="6" cm="1">
        <f t="array" ref="AO415">IFERROR((SUMPRODUCT(($B$393:$B$416=AO$391)*($F$390:$AJ$390="")*$F$393:$AJ$416)+IF(AO$391="P6",SUMPRODUCT(($F$390:$AJ$390="P6")*$F$393:$AJ$416),0))/(SUMPRODUCT(($B$393:$B$416=AO$391)*($F$390:$AJ$390=""))+IF(AO$391="P6",COUNTIF($F$390:$AJ$390,"P6")*ROWS($B$393:$B$416),0)),"")</f>
        <v>1.0675683597883598</v>
      </c>
      <c r="AP415" s="6" cm="1">
        <f t="array" ref="AP415">IFERROR((SUMPRODUCT(($B$393:$B$416=AP$391)*($F$390:$AJ$390="")*$F$393:$AJ$416)+IF(AP$391="P6",SUMPRODUCT(($F$390:$AJ$390="P6")*$F$393:$AJ$416),0))/(SUMPRODUCT(($B$393:$B$416=AP$391)*($F$390:$AJ$390=""))+IF(AP$391="P6",COUNTIF($F$390:$AJ$390,"P6")*ROWS($B$393:$B$416),0)),"")</f>
        <v>1.1178017687074828</v>
      </c>
      <c r="AQ415" s="6" t="str" cm="1">
        <f t="array" ref="AQ415">IFERROR((SUMPRODUCT(($B$393:$B$416=AQ$391)*($F$390:$AJ$390="")*$F$393:$AJ$416)+IF(AQ$391="P6",SUMPRODUCT(($F$390:$AJ$390="P6")*$F$393:$AJ$416),0))/(SUMPRODUCT(($B$393:$B$416=AQ$391)*($F$390:$AJ$390=""))+IF(AQ$391="P6",COUNTIF($F$390:$AJ$390,"P6")*ROWS($B$393:$B$416),0)),"")</f>
        <v/>
      </c>
      <c r="AR415" s="6" cm="1">
        <f t="array" ref="AR415">IFERROR((SUMPRODUCT(($B$393:$B$416=AR$391)*($F$390:$AJ$390="")*$F$393:$AJ$416)+IF(AR$391="P6",SUMPRODUCT(($F$390:$AJ$390="P6")*$F$393:$AJ$416),0))/(SUMPRODUCT(($B$393:$B$416=AR$391)*($F$390:$AJ$390=""))+IF(AR$391="P6",COUNTIF($F$390:$AJ$390,"P6")*ROWS($B$393:$B$416),0)),"")</f>
        <v>1.1851686029411772</v>
      </c>
    </row>
    <row r="416" spans="1:44" ht="14.25" customHeight="1" x14ac:dyDescent="0.35">
      <c r="A416" s="1" t="s">
        <v>15</v>
      </c>
      <c r="B416" s="1" t="s">
        <v>16</v>
      </c>
      <c r="C416" s="1" t="s">
        <v>14</v>
      </c>
      <c r="D416" s="1" t="s">
        <v>14</v>
      </c>
      <c r="E416" s="1" t="s">
        <v>42</v>
      </c>
      <c r="F416" s="1">
        <v>1.2901499999999999</v>
      </c>
      <c r="G416" s="1">
        <v>1.2802800000000001</v>
      </c>
      <c r="H416" s="1">
        <v>1.25868</v>
      </c>
      <c r="I416" s="1">
        <v>1.2806299999999999</v>
      </c>
      <c r="J416" s="1">
        <v>1.3015600000000001</v>
      </c>
      <c r="K416" s="1">
        <v>1.24142</v>
      </c>
      <c r="L416" s="1">
        <v>1.1695899999999999</v>
      </c>
      <c r="M416" s="1">
        <v>1.24898</v>
      </c>
      <c r="N416" s="1">
        <v>1.2802800000000001</v>
      </c>
      <c r="O416" s="1">
        <v>1.25868</v>
      </c>
      <c r="P416" s="1">
        <v>1.2806299999999999</v>
      </c>
      <c r="Q416" s="1">
        <v>1.3015600000000001</v>
      </c>
      <c r="R416" s="1">
        <v>1.22953</v>
      </c>
      <c r="S416" s="1">
        <v>1.1695899999999999</v>
      </c>
      <c r="T416" s="1">
        <v>1.2901499999999999</v>
      </c>
      <c r="U416" s="1">
        <v>1.2802800000000001</v>
      </c>
      <c r="V416" s="1">
        <v>1.25868</v>
      </c>
      <c r="W416" s="1">
        <v>1.2806299999999999</v>
      </c>
      <c r="X416" s="1">
        <v>1.3015600000000001</v>
      </c>
      <c r="Y416" s="1">
        <v>1.22953</v>
      </c>
      <c r="Z416" s="1">
        <v>1.1695899999999999</v>
      </c>
      <c r="AA416" s="1">
        <v>1.2901499999999999</v>
      </c>
      <c r="AB416" s="1">
        <v>1.2802800000000001</v>
      </c>
      <c r="AC416" s="1">
        <v>1.25868</v>
      </c>
      <c r="AD416" s="1">
        <v>1.31603</v>
      </c>
      <c r="AE416" s="1">
        <v>1.3015600000000001</v>
      </c>
      <c r="AF416" s="1">
        <v>1.22953</v>
      </c>
      <c r="AG416" s="1">
        <v>1.1695899999999999</v>
      </c>
      <c r="AH416" s="1">
        <v>1.2901499999999999</v>
      </c>
      <c r="AI416" s="1">
        <v>1.2802800000000001</v>
      </c>
      <c r="AJ416" s="1">
        <v>1.25868</v>
      </c>
      <c r="AL416" s="4" t="s">
        <v>27</v>
      </c>
      <c r="AM416" s="6" t="str" cm="1">
        <f t="array" ref="AM416">IFERROR((SUMPRODUCT(($B$393:$B$416=AM$391)*($F$390:$AJ$390="")*$F$393:$AJ$416)+IF(AM$391="P6",SUMPRODUCT(($F$390:$AJ$390="P6")*$F$393:$AJ$416),0))/(SUMPRODUCT(($B$393:$B$416=AM$391)*($F$390:$AJ$390=""))+IF(AM$391="P6",COUNTIF($F$390:$AJ$390,"P6")*ROWS($B$393:$B$416),0)),"")</f>
        <v/>
      </c>
      <c r="AN416" s="6" t="str" cm="1">
        <f t="array" ref="AN416">IFERROR((SUMPRODUCT(($B$393:$B$416=AN$391)*($F$390:$AJ$390="")*$F$393:$AJ$416)+IF(AN$391="P6",SUMPRODUCT(($F$390:$AJ$390="P6")*$F$393:$AJ$416),0))/(SUMPRODUCT(($B$393:$B$416=AN$391)*($F$390:$AJ$390=""))+IF(AN$391="P6",COUNTIF($F$390:$AJ$390,"P6")*ROWS($B$393:$B$416),0)),"")</f>
        <v/>
      </c>
      <c r="AO416" s="6" cm="1">
        <f t="array" ref="AO416">IFERROR((SUMPRODUCT(($B$393:$B$416=AO$391)*($F$390:$AJ$390="")*$F$393:$AJ$416)+IF(AO$391="P6",SUMPRODUCT(($F$390:$AJ$390="P6")*$F$393:$AJ$416),0))/(SUMPRODUCT(($B$393:$B$416=AO$391)*($F$390:$AJ$390=""))+IF(AO$391="P6",COUNTIF($F$390:$AJ$390,"P6")*ROWS($B$393:$B$416),0)),"")</f>
        <v>1.0675683597883598</v>
      </c>
      <c r="AP416" s="6" cm="1">
        <f t="array" ref="AP416">IFERROR((SUMPRODUCT(($B$393:$B$416=AP$391)*($F$390:$AJ$390="")*$F$393:$AJ$416)+IF(AP$391="P6",SUMPRODUCT(($F$390:$AJ$390="P6")*$F$393:$AJ$416),0))/(SUMPRODUCT(($B$393:$B$416=AP$391)*($F$390:$AJ$390=""))+IF(AP$391="P6",COUNTIF($F$390:$AJ$390,"P6")*ROWS($B$393:$B$416),0)),"")</f>
        <v>1.1178017687074828</v>
      </c>
      <c r="AQ416" s="6" t="str" cm="1">
        <f t="array" ref="AQ416">IFERROR((SUMPRODUCT(($B$393:$B$416=AQ$391)*($F$390:$AJ$390="")*$F$393:$AJ$416)+IF(AQ$391="P6",SUMPRODUCT(($F$390:$AJ$390="P6")*$F$393:$AJ$416),0))/(SUMPRODUCT(($B$393:$B$416=AQ$391)*($F$390:$AJ$390=""))+IF(AQ$391="P6",COUNTIF($F$390:$AJ$390,"P6")*ROWS($B$393:$B$416),0)),"")</f>
        <v/>
      </c>
      <c r="AR416" s="6" cm="1">
        <f t="array" ref="AR416">IFERROR((SUMPRODUCT(($B$393:$B$416=AR$391)*($F$390:$AJ$390="")*$F$393:$AJ$416)+IF(AR$391="P6",SUMPRODUCT(($F$390:$AJ$390="P6")*$F$393:$AJ$416),0))/(SUMPRODUCT(($B$393:$B$416=AR$391)*($F$390:$AJ$390=""))+IF(AR$391="P6",COUNTIF($F$390:$AJ$390,"P6")*ROWS($B$393:$B$416),0)),"")</f>
        <v>1.1851686029411772</v>
      </c>
    </row>
    <row r="417" spans="38:44" ht="14.25" customHeight="1" x14ac:dyDescent="0.35">
      <c r="AL417" s="4" t="s">
        <v>29</v>
      </c>
      <c r="AM417" s="6" t="str" cm="1">
        <f t="array" ref="AM417">IFERROR((SUMPRODUCT(($B$393:$B$416=AM$391)*($F$390:$AJ$390="")*$F$393:$AJ$416)+IF(AM$391="P6",SUMPRODUCT(($F$390:$AJ$390="P6")*$F$393:$AJ$416),0))/(SUMPRODUCT(($B$393:$B$416=AM$391)*($F$390:$AJ$390=""))+IF(AM$391="P6",COUNTIF($F$390:$AJ$390,"P6")*ROWS($B$393:$B$416),0)),"")</f>
        <v/>
      </c>
      <c r="AN417" s="6" t="str" cm="1">
        <f t="array" ref="AN417">IFERROR((SUMPRODUCT(($B$393:$B$416=AN$391)*($F$390:$AJ$390="")*$F$393:$AJ$416)+IF(AN$391="P6",SUMPRODUCT(($F$390:$AJ$390="P6")*$F$393:$AJ$416),0))/(SUMPRODUCT(($B$393:$B$416=AN$391)*($F$390:$AJ$390=""))+IF(AN$391="P6",COUNTIF($F$390:$AJ$390,"P6")*ROWS($B$393:$B$416),0)),"")</f>
        <v/>
      </c>
      <c r="AO417" s="6" cm="1">
        <f t="array" ref="AO417">IFERROR((SUMPRODUCT(($B$393:$B$416=AO$391)*($F$390:$AJ$390="")*$F$393:$AJ$416)+IF(AO$391="P6",SUMPRODUCT(($F$390:$AJ$390="P6")*$F$393:$AJ$416),0))/(SUMPRODUCT(($B$393:$B$416=AO$391)*($F$390:$AJ$390=""))+IF(AO$391="P6",COUNTIF($F$390:$AJ$390,"P6")*ROWS($B$393:$B$416),0)),"")</f>
        <v>1.0675683597883598</v>
      </c>
      <c r="AP417" s="6" cm="1">
        <f t="array" ref="AP417">IFERROR((SUMPRODUCT(($B$393:$B$416=AP$391)*($F$390:$AJ$390="")*$F$393:$AJ$416)+IF(AP$391="P6",SUMPRODUCT(($F$390:$AJ$390="P6")*$F$393:$AJ$416),0))/(SUMPRODUCT(($B$393:$B$416=AP$391)*($F$390:$AJ$390=""))+IF(AP$391="P6",COUNTIF($F$390:$AJ$390,"P6")*ROWS($B$393:$B$416),0)),"")</f>
        <v>1.1178017687074828</v>
      </c>
      <c r="AQ417" s="6" t="str" cm="1">
        <f t="array" ref="AQ417">IFERROR((SUMPRODUCT(($B$393:$B$416=AQ$391)*($F$390:$AJ$390="")*$F$393:$AJ$416)+IF(AQ$391="P6",SUMPRODUCT(($F$390:$AJ$390="P6")*$F$393:$AJ$416),0))/(SUMPRODUCT(($B$393:$B$416=AQ$391)*($F$390:$AJ$390=""))+IF(AQ$391="P6",COUNTIF($F$390:$AJ$390,"P6")*ROWS($B$393:$B$416),0)),"")</f>
        <v/>
      </c>
      <c r="AR417" s="6" cm="1">
        <f t="array" ref="AR417">IFERROR((SUMPRODUCT(($B$393:$B$416=AR$391)*($F$390:$AJ$390="")*$F$393:$AJ$416)+IF(AR$391="P6",SUMPRODUCT(($F$390:$AJ$390="P6")*$F$393:$AJ$416),0))/(SUMPRODUCT(($B$393:$B$416=AR$391)*($F$390:$AJ$390=""))+IF(AR$391="P6",COUNTIF($F$390:$AJ$390,"P6")*ROWS($B$393:$B$416),0)),"")</f>
        <v>1.1851686029411772</v>
      </c>
    </row>
  </sheetData>
  <mergeCells count="53">
    <mergeCell ref="A316:AR317"/>
    <mergeCell ref="A351:AR352"/>
    <mergeCell ref="A386:AR387"/>
    <mergeCell ref="AL410:AR410"/>
    <mergeCell ref="BC26:BI26"/>
    <mergeCell ref="BC42:BI42"/>
    <mergeCell ref="AL355:AR355"/>
    <mergeCell ref="AL365:AR365"/>
    <mergeCell ref="AL375:AR375"/>
    <mergeCell ref="AL390:AR390"/>
    <mergeCell ref="AL400:AR400"/>
    <mergeCell ref="AL295:AR295"/>
    <mergeCell ref="AL305:AR305"/>
    <mergeCell ref="AL320:AR320"/>
    <mergeCell ref="AL330:AR330"/>
    <mergeCell ref="AL340:AR340"/>
    <mergeCell ref="AL5:AR5"/>
    <mergeCell ref="AL15:AR15"/>
    <mergeCell ref="AL25:AR25"/>
    <mergeCell ref="AL40:AR40"/>
    <mergeCell ref="AL50:AR50"/>
    <mergeCell ref="AL120:AR120"/>
    <mergeCell ref="AL130:AR130"/>
    <mergeCell ref="AL145:AR145"/>
    <mergeCell ref="BC10:BI10"/>
    <mergeCell ref="AT1:AW1"/>
    <mergeCell ref="AX1:BB1"/>
    <mergeCell ref="A1:AR2"/>
    <mergeCell ref="A36:AR37"/>
    <mergeCell ref="A71:AR72"/>
    <mergeCell ref="A106:AR107"/>
    <mergeCell ref="A141:AR142"/>
    <mergeCell ref="AL60:AR60"/>
    <mergeCell ref="AL75:AR75"/>
    <mergeCell ref="AL85:AR85"/>
    <mergeCell ref="AL95:AR95"/>
    <mergeCell ref="AL110:AR110"/>
    <mergeCell ref="AL155:AR155"/>
    <mergeCell ref="AL165:AR165"/>
    <mergeCell ref="AL180:AR180"/>
    <mergeCell ref="AL190:AR190"/>
    <mergeCell ref="AL200:AR200"/>
    <mergeCell ref="A246:AR247"/>
    <mergeCell ref="A281:AR282"/>
    <mergeCell ref="AL270:AR270"/>
    <mergeCell ref="AL285:AR285"/>
    <mergeCell ref="A176:AR177"/>
    <mergeCell ref="A211:AR212"/>
    <mergeCell ref="AL250:AR250"/>
    <mergeCell ref="AL260:AR260"/>
    <mergeCell ref="AL215:AR215"/>
    <mergeCell ref="AL225:AR225"/>
    <mergeCell ref="AL235:AR235"/>
  </mergeCells>
  <conditionalFormatting sqref="A1 AS1:XFD10 AL3:AR4 A3:AK24 AL5:AL12 AS11:BC11 BJ11:XFD11 AS12:XFD22 AL15:AL22 BB23:BJ26 AS23:BA36 BK23:XFD36 A25:AL35 BB27:BC27 BJ27 BB28:BJ36 A36 AS37:XFD38 AL38:AR39 A38:AK67 BB39:BJ42 AS39:BA52 BK39:XFD52 AL40:AL47 BB43:BC43 BJ43 BB44:BJ52 AL50:AL57 AS53:XFD1048576 AL60:AL67 A68:AL70 A71 AL73:AR74 A73:AK102 AL75:AL82 AL85:AL92 AL95:AL102 A103:AL105 A106 AL108:AR109 A108:AK137 AL110:AL117 AL120:AL127 AL130:AL137 A138:AL140 A141 AL143:AR144 A143:AK172 AL145:AL152 AL155:AL162 AL165:AL172 A173:AL175 A176 AL178:AR179 A178:AK207 AL180:AL187 AL190:AL197 AL200:AL207 A208:AL210 A211 AL213:AR214 A213:AK242 AL215:AL222 AL225:AL232 AL235:AL242 A243:AL245 A246 AL248:AR249 A248:AK277 AL250:AL257 AL260:AL267 AL270:AL277 A278:AL280 A281 AL283:AR284 A283:AK312 AL285:AL292 AL295:AL302 AL305:AL312 A313:AL315 A316 AL318:AR319 A318:AK347 AL320:AL327 AL330:AL337 AL340:AL347 A348:AL350 A351 AL353:AR354 A353:AK382 AL355:AL362 AL365:AL372 AL375:AL382 A383:AL385 A386 AL388:AR389 A388:AK417 AL390:AL397 AL400:AL407 AL410:AL417 A418:AL1048576">
    <cfRule type="cellIs" dxfId="299" priority="149" operator="equal">
      <formula>"P5"</formula>
    </cfRule>
    <cfRule type="cellIs" dxfId="298" priority="148" operator="equal">
      <formula>"P4"</formula>
    </cfRule>
    <cfRule type="cellIs" dxfId="297" priority="147" operator="equal">
      <formula>"P3"</formula>
    </cfRule>
    <cfRule type="cellIs" dxfId="296" priority="146" operator="equal">
      <formula>"P2"</formula>
    </cfRule>
    <cfRule type="cellIs" dxfId="295" priority="145" operator="equal">
      <formula>"P1"</formula>
    </cfRule>
    <cfRule type="cellIs" dxfId="294" priority="150" operator="equal">
      <formula>"P6"</formula>
    </cfRule>
  </conditionalFormatting>
  <conditionalFormatting sqref="AL13:AR14">
    <cfRule type="cellIs" dxfId="293" priority="141" operator="equal">
      <formula>"P3"</formula>
    </cfRule>
    <cfRule type="cellIs" dxfId="292" priority="144" operator="equal">
      <formula>"P6"</formula>
    </cfRule>
    <cfRule type="cellIs" dxfId="291" priority="143" operator="equal">
      <formula>"P5"</formula>
    </cfRule>
    <cfRule type="cellIs" dxfId="290" priority="142" operator="equal">
      <formula>"P4"</formula>
    </cfRule>
    <cfRule type="cellIs" dxfId="289" priority="140" operator="equal">
      <formula>"P2"</formula>
    </cfRule>
    <cfRule type="cellIs" dxfId="288" priority="139" operator="equal">
      <formula>"P1"</formula>
    </cfRule>
  </conditionalFormatting>
  <conditionalFormatting sqref="AL23:AR24">
    <cfRule type="cellIs" dxfId="287" priority="138" operator="equal">
      <formula>"P6"</formula>
    </cfRule>
    <cfRule type="cellIs" dxfId="286" priority="137" operator="equal">
      <formula>"P5"</formula>
    </cfRule>
    <cfRule type="cellIs" dxfId="285" priority="136" operator="equal">
      <formula>"P4"</formula>
    </cfRule>
    <cfRule type="cellIs" dxfId="284" priority="135" operator="equal">
      <formula>"P3"</formula>
    </cfRule>
    <cfRule type="cellIs" dxfId="283" priority="134" operator="equal">
      <formula>"P2"</formula>
    </cfRule>
    <cfRule type="cellIs" dxfId="282" priority="133" operator="equal">
      <formula>"P1"</formula>
    </cfRule>
  </conditionalFormatting>
  <conditionalFormatting sqref="AL48:AR49">
    <cfRule type="cellIs" dxfId="281" priority="132" operator="equal">
      <formula>"P6"</formula>
    </cfRule>
    <cfRule type="cellIs" dxfId="280" priority="131" operator="equal">
      <formula>"P5"</formula>
    </cfRule>
    <cfRule type="cellIs" dxfId="279" priority="130" operator="equal">
      <formula>"P4"</formula>
    </cfRule>
    <cfRule type="cellIs" dxfId="278" priority="129" operator="equal">
      <formula>"P3"</formula>
    </cfRule>
    <cfRule type="cellIs" dxfId="277" priority="128" operator="equal">
      <formula>"P2"</formula>
    </cfRule>
    <cfRule type="cellIs" dxfId="276" priority="127" operator="equal">
      <formula>"P1"</formula>
    </cfRule>
  </conditionalFormatting>
  <conditionalFormatting sqref="AL58:AR59">
    <cfRule type="cellIs" dxfId="275" priority="123" operator="equal">
      <formula>"P3"</formula>
    </cfRule>
    <cfRule type="cellIs" dxfId="274" priority="126" operator="equal">
      <formula>"P6"</formula>
    </cfRule>
    <cfRule type="cellIs" dxfId="273" priority="125" operator="equal">
      <formula>"P5"</formula>
    </cfRule>
    <cfRule type="cellIs" dxfId="272" priority="124" operator="equal">
      <formula>"P4"</formula>
    </cfRule>
    <cfRule type="cellIs" dxfId="271" priority="122" operator="equal">
      <formula>"P2"</formula>
    </cfRule>
    <cfRule type="cellIs" dxfId="270" priority="121" operator="equal">
      <formula>"P1"</formula>
    </cfRule>
  </conditionalFormatting>
  <conditionalFormatting sqref="AL83:AR84">
    <cfRule type="cellIs" dxfId="269" priority="116" operator="equal">
      <formula>"P2"</formula>
    </cfRule>
    <cfRule type="cellIs" dxfId="268" priority="120" operator="equal">
      <formula>"P6"</formula>
    </cfRule>
    <cfRule type="cellIs" dxfId="267" priority="119" operator="equal">
      <formula>"P5"</formula>
    </cfRule>
    <cfRule type="cellIs" dxfId="266" priority="118" operator="equal">
      <formula>"P4"</formula>
    </cfRule>
    <cfRule type="cellIs" dxfId="265" priority="117" operator="equal">
      <formula>"P3"</formula>
    </cfRule>
    <cfRule type="cellIs" dxfId="264" priority="115" operator="equal">
      <formula>"P1"</formula>
    </cfRule>
  </conditionalFormatting>
  <conditionalFormatting sqref="AL93:AR94">
    <cfRule type="cellIs" dxfId="263" priority="114" operator="equal">
      <formula>"P6"</formula>
    </cfRule>
    <cfRule type="cellIs" dxfId="262" priority="113" operator="equal">
      <formula>"P5"</formula>
    </cfRule>
    <cfRule type="cellIs" dxfId="261" priority="112" operator="equal">
      <formula>"P4"</formula>
    </cfRule>
    <cfRule type="cellIs" dxfId="260" priority="111" operator="equal">
      <formula>"P3"</formula>
    </cfRule>
    <cfRule type="cellIs" dxfId="259" priority="110" operator="equal">
      <formula>"P2"</formula>
    </cfRule>
    <cfRule type="cellIs" dxfId="258" priority="109" operator="equal">
      <formula>"P1"</formula>
    </cfRule>
  </conditionalFormatting>
  <conditionalFormatting sqref="AL118:AR119">
    <cfRule type="cellIs" dxfId="257" priority="108" operator="equal">
      <formula>"P6"</formula>
    </cfRule>
    <cfRule type="cellIs" dxfId="256" priority="107" operator="equal">
      <formula>"P5"</formula>
    </cfRule>
    <cfRule type="cellIs" dxfId="255" priority="106" operator="equal">
      <formula>"P4"</formula>
    </cfRule>
    <cfRule type="cellIs" dxfId="254" priority="105" operator="equal">
      <formula>"P3"</formula>
    </cfRule>
    <cfRule type="cellIs" dxfId="253" priority="104" operator="equal">
      <formula>"P2"</formula>
    </cfRule>
    <cfRule type="cellIs" dxfId="252" priority="103" operator="equal">
      <formula>"P1"</formula>
    </cfRule>
  </conditionalFormatting>
  <conditionalFormatting sqref="AL128:AR129">
    <cfRule type="cellIs" dxfId="251" priority="102" operator="equal">
      <formula>"P6"</formula>
    </cfRule>
    <cfRule type="cellIs" dxfId="250" priority="101" operator="equal">
      <formula>"P5"</formula>
    </cfRule>
    <cfRule type="cellIs" dxfId="249" priority="100" operator="equal">
      <formula>"P4"</formula>
    </cfRule>
    <cfRule type="cellIs" dxfId="248" priority="99" operator="equal">
      <formula>"P3"</formula>
    </cfRule>
    <cfRule type="cellIs" dxfId="247" priority="98" operator="equal">
      <formula>"P2"</formula>
    </cfRule>
    <cfRule type="cellIs" dxfId="246" priority="97" operator="equal">
      <formula>"P1"</formula>
    </cfRule>
  </conditionalFormatting>
  <conditionalFormatting sqref="AL153:AR154">
    <cfRule type="cellIs" dxfId="245" priority="96" operator="equal">
      <formula>"P6"</formula>
    </cfRule>
    <cfRule type="cellIs" dxfId="244" priority="95" operator="equal">
      <formula>"P5"</formula>
    </cfRule>
    <cfRule type="cellIs" dxfId="243" priority="93" operator="equal">
      <formula>"P3"</formula>
    </cfRule>
    <cfRule type="cellIs" dxfId="242" priority="94" operator="equal">
      <formula>"P4"</formula>
    </cfRule>
    <cfRule type="cellIs" dxfId="241" priority="92" operator="equal">
      <formula>"P2"</formula>
    </cfRule>
    <cfRule type="cellIs" dxfId="240" priority="91" operator="equal">
      <formula>"P1"</formula>
    </cfRule>
  </conditionalFormatting>
  <conditionalFormatting sqref="AL163:AR164">
    <cfRule type="cellIs" dxfId="239" priority="90" operator="equal">
      <formula>"P6"</formula>
    </cfRule>
    <cfRule type="cellIs" dxfId="238" priority="89" operator="equal">
      <formula>"P5"</formula>
    </cfRule>
    <cfRule type="cellIs" dxfId="237" priority="88" operator="equal">
      <formula>"P4"</formula>
    </cfRule>
    <cfRule type="cellIs" dxfId="236" priority="87" operator="equal">
      <formula>"P3"</formula>
    </cfRule>
    <cfRule type="cellIs" dxfId="235" priority="86" operator="equal">
      <formula>"P2"</formula>
    </cfRule>
    <cfRule type="cellIs" dxfId="234" priority="85" operator="equal">
      <formula>"P1"</formula>
    </cfRule>
  </conditionalFormatting>
  <conditionalFormatting sqref="AL188:AR189">
    <cfRule type="cellIs" dxfId="233" priority="84" operator="equal">
      <formula>"P6"</formula>
    </cfRule>
    <cfRule type="cellIs" dxfId="232" priority="83" operator="equal">
      <formula>"P5"</formula>
    </cfRule>
    <cfRule type="cellIs" dxfId="231" priority="82" operator="equal">
      <formula>"P4"</formula>
    </cfRule>
    <cfRule type="cellIs" dxfId="230" priority="81" operator="equal">
      <formula>"P3"</formula>
    </cfRule>
    <cfRule type="cellIs" dxfId="229" priority="80" operator="equal">
      <formula>"P2"</formula>
    </cfRule>
    <cfRule type="cellIs" dxfId="228" priority="79" operator="equal">
      <formula>"P1"</formula>
    </cfRule>
  </conditionalFormatting>
  <conditionalFormatting sqref="AL198:AR199">
    <cfRule type="cellIs" dxfId="227" priority="73" operator="equal">
      <formula>"P1"</formula>
    </cfRule>
    <cfRule type="cellIs" dxfId="226" priority="74" operator="equal">
      <formula>"P2"</formula>
    </cfRule>
    <cfRule type="cellIs" dxfId="225" priority="75" operator="equal">
      <formula>"P3"</formula>
    </cfRule>
    <cfRule type="cellIs" dxfId="224" priority="76" operator="equal">
      <formula>"P4"</formula>
    </cfRule>
    <cfRule type="cellIs" dxfId="223" priority="77" operator="equal">
      <formula>"P5"</formula>
    </cfRule>
    <cfRule type="cellIs" dxfId="222" priority="78" operator="equal">
      <formula>"P6"</formula>
    </cfRule>
  </conditionalFormatting>
  <conditionalFormatting sqref="AL223:AR224">
    <cfRule type="cellIs" dxfId="221" priority="72" operator="equal">
      <formula>"P6"</formula>
    </cfRule>
    <cfRule type="cellIs" dxfId="220" priority="71" operator="equal">
      <formula>"P5"</formula>
    </cfRule>
    <cfRule type="cellIs" dxfId="219" priority="70" operator="equal">
      <formula>"P4"</formula>
    </cfRule>
    <cfRule type="cellIs" dxfId="218" priority="69" operator="equal">
      <formula>"P3"</formula>
    </cfRule>
    <cfRule type="cellIs" dxfId="217" priority="68" operator="equal">
      <formula>"P2"</formula>
    </cfRule>
    <cfRule type="cellIs" dxfId="216" priority="67" operator="equal">
      <formula>"P1"</formula>
    </cfRule>
  </conditionalFormatting>
  <conditionalFormatting sqref="AL233:AR234">
    <cfRule type="cellIs" dxfId="215" priority="66" operator="equal">
      <formula>"P6"</formula>
    </cfRule>
    <cfRule type="cellIs" dxfId="214" priority="65" operator="equal">
      <formula>"P5"</formula>
    </cfRule>
    <cfRule type="cellIs" dxfId="213" priority="64" operator="equal">
      <formula>"P4"</formula>
    </cfRule>
    <cfRule type="cellIs" dxfId="212" priority="63" operator="equal">
      <formula>"P3"</formula>
    </cfRule>
    <cfRule type="cellIs" dxfId="211" priority="62" operator="equal">
      <formula>"P2"</formula>
    </cfRule>
    <cfRule type="cellIs" dxfId="210" priority="61" operator="equal">
      <formula>"P1"</formula>
    </cfRule>
  </conditionalFormatting>
  <conditionalFormatting sqref="AL258:AR259">
    <cfRule type="cellIs" dxfId="209" priority="60" operator="equal">
      <formula>"P6"</formula>
    </cfRule>
    <cfRule type="cellIs" dxfId="208" priority="59" operator="equal">
      <formula>"P5"</formula>
    </cfRule>
    <cfRule type="cellIs" dxfId="207" priority="57" operator="equal">
      <formula>"P3"</formula>
    </cfRule>
    <cfRule type="cellIs" dxfId="206" priority="58" operator="equal">
      <formula>"P4"</formula>
    </cfRule>
    <cfRule type="cellIs" dxfId="205" priority="56" operator="equal">
      <formula>"P2"</formula>
    </cfRule>
    <cfRule type="cellIs" dxfId="204" priority="55" operator="equal">
      <formula>"P1"</formula>
    </cfRule>
  </conditionalFormatting>
  <conditionalFormatting sqref="AL268:AR269">
    <cfRule type="cellIs" dxfId="203" priority="54" operator="equal">
      <formula>"P6"</formula>
    </cfRule>
    <cfRule type="cellIs" dxfId="202" priority="53" operator="equal">
      <formula>"P5"</formula>
    </cfRule>
    <cfRule type="cellIs" dxfId="201" priority="52" operator="equal">
      <formula>"P4"</formula>
    </cfRule>
    <cfRule type="cellIs" dxfId="200" priority="51" operator="equal">
      <formula>"P3"</formula>
    </cfRule>
    <cfRule type="cellIs" dxfId="199" priority="50" operator="equal">
      <formula>"P2"</formula>
    </cfRule>
    <cfRule type="cellIs" dxfId="198" priority="49" operator="equal">
      <formula>"P1"</formula>
    </cfRule>
  </conditionalFormatting>
  <conditionalFormatting sqref="AL293:AR294">
    <cfRule type="cellIs" dxfId="197" priority="48" operator="equal">
      <formula>"P6"</formula>
    </cfRule>
    <cfRule type="cellIs" dxfId="196" priority="47" operator="equal">
      <formula>"P5"</formula>
    </cfRule>
    <cfRule type="cellIs" dxfId="195" priority="46" operator="equal">
      <formula>"P4"</formula>
    </cfRule>
    <cfRule type="cellIs" dxfId="194" priority="45" operator="equal">
      <formula>"P3"</formula>
    </cfRule>
    <cfRule type="cellIs" dxfId="193" priority="44" operator="equal">
      <formula>"P2"</formula>
    </cfRule>
    <cfRule type="cellIs" dxfId="192" priority="43" operator="equal">
      <formula>"P1"</formula>
    </cfRule>
  </conditionalFormatting>
  <conditionalFormatting sqref="AL303:AR304">
    <cfRule type="cellIs" dxfId="191" priority="42" operator="equal">
      <formula>"P6"</formula>
    </cfRule>
    <cfRule type="cellIs" dxfId="190" priority="41" operator="equal">
      <formula>"P5"</formula>
    </cfRule>
    <cfRule type="cellIs" dxfId="189" priority="40" operator="equal">
      <formula>"P4"</formula>
    </cfRule>
    <cfRule type="cellIs" dxfId="188" priority="39" operator="equal">
      <formula>"P3"</formula>
    </cfRule>
    <cfRule type="cellIs" dxfId="187" priority="38" operator="equal">
      <formula>"P2"</formula>
    </cfRule>
    <cfRule type="cellIs" dxfId="186" priority="37" operator="equal">
      <formula>"P1"</formula>
    </cfRule>
  </conditionalFormatting>
  <conditionalFormatting sqref="AL328:AR329">
    <cfRule type="cellIs" dxfId="185" priority="36" operator="equal">
      <formula>"P6"</formula>
    </cfRule>
    <cfRule type="cellIs" dxfId="184" priority="35" operator="equal">
      <formula>"P5"</formula>
    </cfRule>
    <cfRule type="cellIs" dxfId="183" priority="34" operator="equal">
      <formula>"P4"</formula>
    </cfRule>
    <cfRule type="cellIs" dxfId="182" priority="33" operator="equal">
      <formula>"P3"</formula>
    </cfRule>
    <cfRule type="cellIs" dxfId="181" priority="32" operator="equal">
      <formula>"P2"</formula>
    </cfRule>
    <cfRule type="cellIs" dxfId="180" priority="31" operator="equal">
      <formula>"P1"</formula>
    </cfRule>
  </conditionalFormatting>
  <conditionalFormatting sqref="AL338:AR339">
    <cfRule type="cellIs" dxfId="179" priority="30" operator="equal">
      <formula>"P6"</formula>
    </cfRule>
    <cfRule type="cellIs" dxfId="178" priority="29" operator="equal">
      <formula>"P5"</formula>
    </cfRule>
    <cfRule type="cellIs" dxfId="177" priority="28" operator="equal">
      <formula>"P4"</formula>
    </cfRule>
    <cfRule type="cellIs" dxfId="176" priority="27" operator="equal">
      <formula>"P3"</formula>
    </cfRule>
    <cfRule type="cellIs" dxfId="175" priority="26" operator="equal">
      <formula>"P2"</formula>
    </cfRule>
    <cfRule type="cellIs" dxfId="174" priority="25" operator="equal">
      <formula>"P1"</formula>
    </cfRule>
  </conditionalFormatting>
  <conditionalFormatting sqref="AL363:AR364">
    <cfRule type="cellIs" dxfId="173" priority="24" operator="equal">
      <formula>"P6"</formula>
    </cfRule>
    <cfRule type="cellIs" dxfId="172" priority="23" operator="equal">
      <formula>"P5"</formula>
    </cfRule>
    <cfRule type="cellIs" dxfId="171" priority="22" operator="equal">
      <formula>"P4"</formula>
    </cfRule>
    <cfRule type="cellIs" dxfId="170" priority="21" operator="equal">
      <formula>"P3"</formula>
    </cfRule>
    <cfRule type="cellIs" dxfId="169" priority="20" operator="equal">
      <formula>"P2"</formula>
    </cfRule>
    <cfRule type="cellIs" dxfId="168" priority="19" operator="equal">
      <formula>"P1"</formula>
    </cfRule>
  </conditionalFormatting>
  <conditionalFormatting sqref="AL373:AR374">
    <cfRule type="cellIs" dxfId="167" priority="18" operator="equal">
      <formula>"P6"</formula>
    </cfRule>
    <cfRule type="cellIs" dxfId="166" priority="17" operator="equal">
      <formula>"P5"</formula>
    </cfRule>
    <cfRule type="cellIs" dxfId="165" priority="16" operator="equal">
      <formula>"P4"</formula>
    </cfRule>
    <cfRule type="cellIs" dxfId="164" priority="15" operator="equal">
      <formula>"P3"</formula>
    </cfRule>
    <cfRule type="cellIs" dxfId="163" priority="14" operator="equal">
      <formula>"P2"</formula>
    </cfRule>
    <cfRule type="cellIs" dxfId="162" priority="13" operator="equal">
      <formula>"P1"</formula>
    </cfRule>
  </conditionalFormatting>
  <conditionalFormatting sqref="AL398:AR399">
    <cfRule type="cellIs" dxfId="161" priority="12" operator="equal">
      <formula>"P6"</formula>
    </cfRule>
    <cfRule type="cellIs" dxfId="160" priority="11" operator="equal">
      <formula>"P5"</formula>
    </cfRule>
    <cfRule type="cellIs" dxfId="159" priority="9" operator="equal">
      <formula>"P3"</formula>
    </cfRule>
    <cfRule type="cellIs" dxfId="158" priority="8" operator="equal">
      <formula>"P2"</formula>
    </cfRule>
    <cfRule type="cellIs" dxfId="157" priority="7" operator="equal">
      <formula>"P1"</formula>
    </cfRule>
    <cfRule type="cellIs" dxfId="156" priority="10" operator="equal">
      <formula>"P4"</formula>
    </cfRule>
  </conditionalFormatting>
  <conditionalFormatting sqref="AL408:AR409">
    <cfRule type="cellIs" dxfId="155" priority="1" operator="equal">
      <formula>"P1"</formula>
    </cfRule>
    <cfRule type="cellIs" dxfId="154" priority="6" operator="equal">
      <formula>"P6"</formula>
    </cfRule>
    <cfRule type="cellIs" dxfId="153" priority="5" operator="equal">
      <formula>"P5"</formula>
    </cfRule>
    <cfRule type="cellIs" dxfId="152" priority="4" operator="equal">
      <formula>"P4"</formula>
    </cfRule>
    <cfRule type="cellIs" dxfId="151" priority="3" operator="equal">
      <formula>"P3"</formula>
    </cfRule>
    <cfRule type="cellIs" dxfId="150" priority="2" operator="equal">
      <formula>"P2"</formula>
    </cfRule>
  </conditionalFormatting>
  <hyperlinks>
    <hyperlink ref="AX1" r:id="rId1" display="https://www.esios.ree.es/es/descargas?date_type=datos&amp;start_date=01-04-2026&amp;end_date=30-04-2026" xr:uid="{91F6910D-6A5B-41AC-B9A3-B4314F432197}"/>
  </hyperlinks>
  <pageMargins left="0.7" right="0.7" top="0.75" bottom="0.75" header="0.511811023622047" footer="0.511811023622047"/>
  <pageSetup paperSize="9" orientation="portrait" horizontalDpi="300" verticalDpi="30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575E5-689E-4807-A2F5-CEF46A4F8122}">
  <dimension ref="A1:BJ417"/>
  <sheetViews>
    <sheetView tabSelected="1" topLeftCell="T1" zoomScale="46" zoomScaleNormal="46" workbookViewId="0">
      <selection activeCell="AG15" sqref="AG15"/>
    </sheetView>
  </sheetViews>
  <sheetFormatPr baseColWidth="10" defaultColWidth="10.90625" defaultRowHeight="14.25" customHeight="1" x14ac:dyDescent="0.35"/>
  <cols>
    <col min="1" max="2" width="10.90625" style="1"/>
    <col min="3" max="3" width="3.36328125" style="1" bestFit="1" customWidth="1"/>
    <col min="4" max="4" width="10.26953125" style="1" bestFit="1" customWidth="1"/>
    <col min="5" max="5" width="12.26953125" style="1" bestFit="1" customWidth="1"/>
    <col min="6" max="6" width="11.36328125" style="1" bestFit="1" customWidth="1"/>
    <col min="7" max="7" width="11.36328125" style="1" customWidth="1"/>
    <col min="8" max="36" width="11.36328125" style="1" bestFit="1" customWidth="1"/>
    <col min="37" max="37" width="10.90625" style="1"/>
    <col min="38" max="38" width="6.08984375" style="1" bestFit="1" customWidth="1"/>
    <col min="39" max="44" width="9.36328125" style="1" bestFit="1" customWidth="1"/>
    <col min="45" max="46" width="10.90625" style="1"/>
    <col min="47" max="47" width="4.453125" style="1" bestFit="1" customWidth="1"/>
    <col min="48" max="48" width="11" style="1" bestFit="1" customWidth="1"/>
    <col min="49" max="49" width="11.54296875" style="1" bestFit="1" customWidth="1"/>
    <col min="50" max="16384" width="10.90625" style="1"/>
  </cols>
  <sheetData>
    <row r="1" spans="1:62" ht="14.25" customHeight="1" x14ac:dyDescent="0.35">
      <c r="A1" s="15" t="s">
        <v>59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T1" s="16" t="s">
        <v>57</v>
      </c>
      <c r="AU1" s="16"/>
      <c r="AV1" s="16"/>
      <c r="AW1" s="16"/>
      <c r="AX1" s="17" t="s">
        <v>58</v>
      </c>
      <c r="AY1" s="17"/>
      <c r="AZ1" s="17"/>
      <c r="BA1" s="17"/>
      <c r="BB1" s="17"/>
      <c r="BC1" s="12"/>
    </row>
    <row r="2" spans="1:62" ht="14.25" customHeight="1" x14ac:dyDescent="0.3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62" ht="14.25" customHeight="1" x14ac:dyDescent="0.35">
      <c r="AL3" s="10"/>
      <c r="AM3" s="10"/>
      <c r="AN3" s="10"/>
      <c r="AO3" s="10"/>
      <c r="AP3" s="10"/>
      <c r="AQ3" s="10"/>
      <c r="AR3" s="10"/>
    </row>
    <row r="4" spans="1:62" ht="14.25" customHeight="1" x14ac:dyDescent="0.35">
      <c r="F4" s="1" t="str">
        <f>IF(OR(F6="S",F6="D",F7=DATE(2026,1,1)),"P3","")</f>
        <v>P3</v>
      </c>
      <c r="G4" s="1" t="str">
        <f t="shared" ref="G4:AJ4" si="0">IF(OR(G6="S",G6="D",G7=DATE(2026,1,1)),"P3","")</f>
        <v/>
      </c>
      <c r="H4" s="1" t="str">
        <f t="shared" si="0"/>
        <v>P3</v>
      </c>
      <c r="I4" s="1" t="str">
        <f t="shared" si="0"/>
        <v>P3</v>
      </c>
      <c r="J4" s="1" t="str">
        <f t="shared" si="0"/>
        <v/>
      </c>
      <c r="K4" s="1" t="str">
        <f t="shared" si="0"/>
        <v/>
      </c>
      <c r="L4" s="1" t="str">
        <f t="shared" si="0"/>
        <v/>
      </c>
      <c r="M4" s="1" t="str">
        <f t="shared" si="0"/>
        <v/>
      </c>
      <c r="N4" s="1" t="str">
        <f t="shared" si="0"/>
        <v/>
      </c>
      <c r="O4" s="1" t="str">
        <f t="shared" si="0"/>
        <v>P3</v>
      </c>
      <c r="P4" s="1" t="str">
        <f t="shared" si="0"/>
        <v>P3</v>
      </c>
      <c r="Q4" s="1" t="str">
        <f t="shared" si="0"/>
        <v/>
      </c>
      <c r="R4" s="1" t="str">
        <f t="shared" si="0"/>
        <v/>
      </c>
      <c r="S4" s="1" t="str">
        <f t="shared" si="0"/>
        <v/>
      </c>
      <c r="T4" s="1" t="str">
        <f t="shared" si="0"/>
        <v/>
      </c>
      <c r="U4" s="1" t="str">
        <f t="shared" si="0"/>
        <v/>
      </c>
      <c r="V4" s="1" t="str">
        <f t="shared" si="0"/>
        <v>P3</v>
      </c>
      <c r="W4" s="1" t="str">
        <f t="shared" si="0"/>
        <v>P3</v>
      </c>
      <c r="X4" s="1" t="str">
        <f t="shared" si="0"/>
        <v/>
      </c>
      <c r="Y4" s="1" t="str">
        <f t="shared" si="0"/>
        <v/>
      </c>
      <c r="Z4" s="1" t="str">
        <f t="shared" si="0"/>
        <v/>
      </c>
      <c r="AA4" s="1" t="str">
        <f t="shared" si="0"/>
        <v/>
      </c>
      <c r="AB4" s="1" t="str">
        <f t="shared" si="0"/>
        <v/>
      </c>
      <c r="AC4" s="1" t="str">
        <f t="shared" si="0"/>
        <v>P3</v>
      </c>
      <c r="AD4" s="1" t="str">
        <f t="shared" si="0"/>
        <v>P3</v>
      </c>
      <c r="AE4" s="1" t="str">
        <f t="shared" si="0"/>
        <v/>
      </c>
      <c r="AF4" s="1" t="str">
        <f t="shared" si="0"/>
        <v/>
      </c>
      <c r="AG4" s="1" t="str">
        <f t="shared" si="0"/>
        <v/>
      </c>
      <c r="AH4" s="1" t="str">
        <f t="shared" si="0"/>
        <v/>
      </c>
      <c r="AI4" s="1" t="str">
        <f t="shared" si="0"/>
        <v/>
      </c>
      <c r="AJ4" s="1" t="str">
        <f t="shared" si="0"/>
        <v>P3</v>
      </c>
      <c r="AL4" s="10"/>
      <c r="AM4" s="10"/>
      <c r="AN4" s="10"/>
      <c r="AO4" s="10"/>
      <c r="AP4" s="10"/>
      <c r="AQ4" s="10"/>
      <c r="AR4" s="10"/>
    </row>
    <row r="5" spans="1:62" ht="14.5" x14ac:dyDescent="0.35">
      <c r="F5" s="1" t="str">
        <f>IF(OR(F6="S",F6="D",F7=DATE(2026,1,1)),"P6","")</f>
        <v>P6</v>
      </c>
      <c r="G5" s="1" t="str">
        <f t="shared" ref="G5:AJ5" si="1">IF(OR(G6="S",G6="D",G7=DATE(2026,1,1)),"P6","")</f>
        <v/>
      </c>
      <c r="H5" s="1" t="str">
        <f t="shared" si="1"/>
        <v>P6</v>
      </c>
      <c r="I5" s="1" t="str">
        <f t="shared" si="1"/>
        <v>P6</v>
      </c>
      <c r="J5" s="1" t="str">
        <f t="shared" si="1"/>
        <v/>
      </c>
      <c r="K5" s="1" t="str">
        <f t="shared" si="1"/>
        <v/>
      </c>
      <c r="L5" s="1" t="str">
        <f t="shared" si="1"/>
        <v/>
      </c>
      <c r="M5" s="1" t="str">
        <f t="shared" si="1"/>
        <v/>
      </c>
      <c r="N5" s="1" t="str">
        <f t="shared" si="1"/>
        <v/>
      </c>
      <c r="O5" s="1" t="str">
        <f t="shared" si="1"/>
        <v>P6</v>
      </c>
      <c r="P5" s="1" t="str">
        <f t="shared" si="1"/>
        <v>P6</v>
      </c>
      <c r="Q5" s="1" t="str">
        <f t="shared" si="1"/>
        <v/>
      </c>
      <c r="R5" s="1" t="str">
        <f t="shared" si="1"/>
        <v/>
      </c>
      <c r="S5" s="1" t="str">
        <f t="shared" si="1"/>
        <v/>
      </c>
      <c r="T5" s="1" t="str">
        <f t="shared" si="1"/>
        <v/>
      </c>
      <c r="U5" s="1" t="str">
        <f t="shared" si="1"/>
        <v/>
      </c>
      <c r="V5" s="1" t="str">
        <f t="shared" si="1"/>
        <v>P6</v>
      </c>
      <c r="W5" s="1" t="str">
        <f t="shared" si="1"/>
        <v>P6</v>
      </c>
      <c r="X5" s="1" t="str">
        <f t="shared" si="1"/>
        <v/>
      </c>
      <c r="Y5" s="1" t="str">
        <f t="shared" si="1"/>
        <v/>
      </c>
      <c r="Z5" s="1" t="str">
        <f t="shared" si="1"/>
        <v/>
      </c>
      <c r="AA5" s="1" t="str">
        <f t="shared" si="1"/>
        <v/>
      </c>
      <c r="AB5" s="1" t="str">
        <f t="shared" si="1"/>
        <v/>
      </c>
      <c r="AC5" s="1" t="str">
        <f t="shared" si="1"/>
        <v>P6</v>
      </c>
      <c r="AD5" s="1" t="str">
        <f t="shared" si="1"/>
        <v>P6</v>
      </c>
      <c r="AE5" s="1" t="str">
        <f t="shared" si="1"/>
        <v/>
      </c>
      <c r="AF5" s="1" t="str">
        <f t="shared" si="1"/>
        <v/>
      </c>
      <c r="AG5" s="1" t="str">
        <f t="shared" si="1"/>
        <v/>
      </c>
      <c r="AH5" s="1" t="str">
        <f t="shared" si="1"/>
        <v/>
      </c>
      <c r="AI5" s="1" t="str">
        <f t="shared" si="1"/>
        <v/>
      </c>
      <c r="AJ5" s="1" t="str">
        <f t="shared" si="1"/>
        <v>P6</v>
      </c>
      <c r="AL5" s="14" t="s">
        <v>116</v>
      </c>
      <c r="AM5" s="14"/>
      <c r="AN5" s="14"/>
      <c r="AO5" s="14"/>
      <c r="AP5" s="14"/>
      <c r="AQ5" s="14"/>
      <c r="AR5" s="14"/>
    </row>
    <row r="6" spans="1:62" ht="14.5" x14ac:dyDescent="0.35">
      <c r="F6" s="1" t="str">
        <f>CHOOSE(WEEKDAY(F7,2),"L","M","X","J","V","S","D")</f>
        <v>J</v>
      </c>
      <c r="G6" s="1" t="str">
        <f t="shared" ref="G6:AJ6" si="2">CHOOSE(WEEKDAY(G7,2),"L","M","X","J","V","S","D")</f>
        <v>V</v>
      </c>
      <c r="H6" s="1" t="str">
        <f t="shared" si="2"/>
        <v>S</v>
      </c>
      <c r="I6" s="1" t="str">
        <f t="shared" si="2"/>
        <v>D</v>
      </c>
      <c r="J6" s="1" t="str">
        <f t="shared" si="2"/>
        <v>L</v>
      </c>
      <c r="K6" s="1" t="str">
        <f t="shared" si="2"/>
        <v>M</v>
      </c>
      <c r="L6" s="1" t="str">
        <f t="shared" si="2"/>
        <v>X</v>
      </c>
      <c r="M6" s="1" t="str">
        <f t="shared" si="2"/>
        <v>J</v>
      </c>
      <c r="N6" s="1" t="str">
        <f t="shared" si="2"/>
        <v>V</v>
      </c>
      <c r="O6" s="1" t="str">
        <f t="shared" si="2"/>
        <v>S</v>
      </c>
      <c r="P6" s="1" t="str">
        <f t="shared" si="2"/>
        <v>D</v>
      </c>
      <c r="Q6" s="1" t="str">
        <f t="shared" si="2"/>
        <v>L</v>
      </c>
      <c r="R6" s="1" t="str">
        <f t="shared" si="2"/>
        <v>M</v>
      </c>
      <c r="S6" s="1" t="str">
        <f t="shared" si="2"/>
        <v>X</v>
      </c>
      <c r="T6" s="1" t="str">
        <f t="shared" si="2"/>
        <v>J</v>
      </c>
      <c r="U6" s="1" t="str">
        <f t="shared" si="2"/>
        <v>V</v>
      </c>
      <c r="V6" s="1" t="str">
        <f t="shared" si="2"/>
        <v>S</v>
      </c>
      <c r="W6" s="1" t="str">
        <f t="shared" si="2"/>
        <v>D</v>
      </c>
      <c r="X6" s="1" t="str">
        <f t="shared" si="2"/>
        <v>L</v>
      </c>
      <c r="Y6" s="1" t="str">
        <f t="shared" si="2"/>
        <v>M</v>
      </c>
      <c r="Z6" s="1" t="str">
        <f t="shared" si="2"/>
        <v>X</v>
      </c>
      <c r="AA6" s="1" t="str">
        <f t="shared" si="2"/>
        <v>J</v>
      </c>
      <c r="AB6" s="1" t="str">
        <f t="shared" si="2"/>
        <v>V</v>
      </c>
      <c r="AC6" s="1" t="str">
        <f t="shared" si="2"/>
        <v>S</v>
      </c>
      <c r="AD6" s="1" t="str">
        <f t="shared" si="2"/>
        <v>D</v>
      </c>
      <c r="AE6" s="1" t="str">
        <f t="shared" si="2"/>
        <v>L</v>
      </c>
      <c r="AF6" s="1" t="str">
        <f t="shared" si="2"/>
        <v>M</v>
      </c>
      <c r="AG6" s="1" t="str">
        <f t="shared" si="2"/>
        <v>X</v>
      </c>
      <c r="AH6" s="1" t="str">
        <f t="shared" si="2"/>
        <v>J</v>
      </c>
      <c r="AI6" s="1" t="str">
        <f t="shared" si="2"/>
        <v>V</v>
      </c>
      <c r="AJ6" s="1" t="str">
        <f t="shared" si="2"/>
        <v>S</v>
      </c>
      <c r="AL6" s="4"/>
      <c r="AM6" s="4" t="s">
        <v>13</v>
      </c>
      <c r="AN6" s="4" t="s">
        <v>14</v>
      </c>
      <c r="AO6" s="4" t="s">
        <v>15</v>
      </c>
      <c r="AP6" s="4" t="s">
        <v>16</v>
      </c>
      <c r="AQ6" s="4" t="s">
        <v>17</v>
      </c>
      <c r="AR6" s="4" t="s">
        <v>7</v>
      </c>
    </row>
    <row r="7" spans="1:62" s="3" customFormat="1" ht="14.5" x14ac:dyDescent="0.35">
      <c r="A7" s="3" t="s">
        <v>76</v>
      </c>
      <c r="B7" s="3" t="s">
        <v>77</v>
      </c>
      <c r="C7" s="3" t="s">
        <v>75</v>
      </c>
      <c r="D7" s="3" t="s">
        <v>74</v>
      </c>
      <c r="F7" s="3">
        <v>46023</v>
      </c>
      <c r="G7" s="3">
        <v>46024</v>
      </c>
      <c r="H7" s="3">
        <v>46025</v>
      </c>
      <c r="I7" s="3">
        <v>46026</v>
      </c>
      <c r="J7" s="3">
        <v>46027</v>
      </c>
      <c r="K7" s="3">
        <v>46028</v>
      </c>
      <c r="L7" s="3">
        <v>46029</v>
      </c>
      <c r="M7" s="3">
        <v>46030</v>
      </c>
      <c r="N7" s="3">
        <v>46031</v>
      </c>
      <c r="O7" s="3">
        <v>46032</v>
      </c>
      <c r="P7" s="3">
        <v>46033</v>
      </c>
      <c r="Q7" s="3">
        <v>46034</v>
      </c>
      <c r="R7" s="3">
        <v>46035</v>
      </c>
      <c r="S7" s="3">
        <v>46036</v>
      </c>
      <c r="T7" s="3">
        <v>46037</v>
      </c>
      <c r="U7" s="3">
        <v>46038</v>
      </c>
      <c r="V7" s="3">
        <v>46039</v>
      </c>
      <c r="W7" s="3">
        <v>46040</v>
      </c>
      <c r="X7" s="3">
        <v>46041</v>
      </c>
      <c r="Y7" s="3">
        <v>46042</v>
      </c>
      <c r="Z7" s="3">
        <v>46043</v>
      </c>
      <c r="AA7" s="3">
        <v>46044</v>
      </c>
      <c r="AB7" s="3">
        <v>46045</v>
      </c>
      <c r="AC7" s="3">
        <v>46046</v>
      </c>
      <c r="AD7" s="3">
        <v>46047</v>
      </c>
      <c r="AE7" s="3">
        <v>46048</v>
      </c>
      <c r="AF7" s="3">
        <v>46049</v>
      </c>
      <c r="AG7" s="3">
        <v>46050</v>
      </c>
      <c r="AH7" s="3">
        <v>46051</v>
      </c>
      <c r="AI7" s="3">
        <v>46052</v>
      </c>
      <c r="AJ7" s="3">
        <v>46053</v>
      </c>
      <c r="AL7" s="4" t="s">
        <v>19</v>
      </c>
      <c r="AM7" s="6" cm="1">
        <f t="array" ref="AM7">IFERROR((SUMPRODUCT(($C$8:$C$31=AM$6)*($F$4:$AJ$4="")*$F$8:$AJ$31)+IF(AM$6="P3",SUMPRODUCT(($F$4:$AJ$4="P3")*$F$8:$AJ$31),0))/(SUMPRODUCT(($C$8:$C$31=AM$6)*($F$4:$AJ$4=""))+IF(AM$6="P3",COUNTIF($F$4:$AJ$4,"P3")*ROWS($C$8:$C$31),0)),"")</f>
        <v>1.0982866666666664</v>
      </c>
      <c r="AN7" s="6" cm="1">
        <f t="array" ref="AN7">IFERROR((SUMPRODUCT(($C$8:$C$31=AN$6)*($F$4:$AJ$4="")*$F$8:$AJ$31)+IF(AN$6="P3",SUMPRODUCT(($F$4:$AJ$4="P3")*$F$8:$AJ$31),0))/(SUMPRODUCT(($C$8:$C$31=AN$6)*($F$4:$AJ$4=""))+IF(AN$6="P3",COUNTIF($F$4:$AJ$4,"P3")*ROWS($C$8:$C$31),0)),"")</f>
        <v>1.1284777380952369</v>
      </c>
      <c r="AO7" s="6" cm="1">
        <f t="array" ref="AO7">IFERROR((SUMPRODUCT(($C$8:$C$31=AO$6)*($F$4:$AJ$4="")*$F$8:$AJ$31)+IF(AO$6="P3",SUMPRODUCT(($F$4:$AJ$4="P3")*$F$8:$AJ$31),0))/(SUMPRODUCT(($C$8:$C$31=AO$6)*($F$4:$AJ$4=""))+IF(AO$6="P3",COUNTIF($F$4:$AJ$4,"P3")*ROWS($C$8:$C$31),0)),"")</f>
        <v>1.2151090686274506</v>
      </c>
      <c r="AP7" s="6" t="str" cm="1">
        <f t="array" ref="AP7">IFERROR((SUMPRODUCT(($C$8:$C$31=AP$6)*($F$4:$AJ$4="")*$F$8:$AJ$31)+IF(AP$6="P3",SUMPRODUCT(($F$4:$AJ$4="P3")*$F$8:$AJ$31),0))/(SUMPRODUCT(($C$8:$C$31=AP$6)*($F$4:$AJ$4=""))+IF(AP$6="P3",COUNTIF($F$4:$AJ$4,"P3")*ROWS($C$8:$C$31),0)),"")</f>
        <v/>
      </c>
      <c r="AQ7" s="6" t="str" cm="1">
        <f t="array" ref="AQ7">IFERROR((SUMPRODUCT(($C$8:$C$31=AQ$6)*($F$4:$AJ$4="")*$F$8:$AJ$31)+IF(AQ$6="P3",SUMPRODUCT(($F$4:$AJ$4="P3")*$F$8:$AJ$31),0))/(SUMPRODUCT(($C$8:$C$31=AQ$6)*($F$4:$AJ$4=""))+IF(AQ$6="P3",COUNTIF($F$4:$AJ$4,"P3")*ROWS($C$8:$C$31),0)),"")</f>
        <v/>
      </c>
      <c r="AR7" s="6" t="str" cm="1">
        <f t="array" ref="AR7">IFERROR((SUMPRODUCT(($C$8:$C$31=AR$6)*($F$4:$AJ$4="")*$F$8:$AJ$31)+IF(AR$6="P3",SUMPRODUCT(($F$4:$AJ$4="P3")*$F$8:$AJ$31),0))/(SUMPRODUCT(($C$8:$C$31=AR$6)*($F$4:$AJ$4=""))+IF(AR$6="P3",COUNTIF($F$4:$AJ$4,"P3")*ROWS($C$8:$C$31),0)),"")</f>
        <v/>
      </c>
      <c r="BB7" s="11"/>
      <c r="BC7" s="11"/>
      <c r="BD7" s="11"/>
      <c r="BE7" s="11"/>
      <c r="BF7" s="11"/>
      <c r="BG7" s="11"/>
      <c r="BH7" s="11"/>
      <c r="BI7" s="11"/>
      <c r="BJ7" s="11"/>
    </row>
    <row r="8" spans="1:62" ht="14.5" x14ac:dyDescent="0.35">
      <c r="A8" s="1" t="s">
        <v>7</v>
      </c>
      <c r="B8" s="1" t="s">
        <v>7</v>
      </c>
      <c r="C8" s="1" t="s">
        <v>15</v>
      </c>
      <c r="D8" s="1" t="s">
        <v>7</v>
      </c>
      <c r="E8" s="1" t="s">
        <v>8</v>
      </c>
      <c r="F8" s="1">
        <v>1.3069200000000001</v>
      </c>
      <c r="G8" s="1">
        <v>1.23464</v>
      </c>
      <c r="H8" s="1">
        <v>1.2243999999999999</v>
      </c>
      <c r="I8" s="1">
        <v>1.2538199999999999</v>
      </c>
      <c r="J8" s="1">
        <v>1.23143</v>
      </c>
      <c r="K8" s="1">
        <v>1.3240700000000001</v>
      </c>
      <c r="L8" s="1">
        <v>1.2148000000000001</v>
      </c>
      <c r="M8" s="1">
        <v>1.26773</v>
      </c>
      <c r="N8" s="1">
        <v>1.23464</v>
      </c>
      <c r="O8" s="1">
        <v>1.2243999999999999</v>
      </c>
      <c r="P8" s="1">
        <v>1.2538199999999999</v>
      </c>
      <c r="Q8" s="1">
        <v>1.23143</v>
      </c>
      <c r="R8" s="1">
        <v>1.21421</v>
      </c>
      <c r="S8" s="1">
        <v>1.2148000000000001</v>
      </c>
      <c r="T8" s="1">
        <v>1.26773</v>
      </c>
      <c r="U8" s="1">
        <v>1.23464</v>
      </c>
      <c r="V8" s="1">
        <v>1.2243999999999999</v>
      </c>
      <c r="W8" s="1">
        <v>1.2538199999999999</v>
      </c>
      <c r="X8" s="1">
        <v>1.23143</v>
      </c>
      <c r="Y8" s="1">
        <v>1.21421</v>
      </c>
      <c r="Z8" s="1">
        <v>1.2148000000000001</v>
      </c>
      <c r="AA8" s="1">
        <v>1.26773</v>
      </c>
      <c r="AB8" s="1">
        <v>1.23464</v>
      </c>
      <c r="AC8" s="1">
        <v>1.2243999999999999</v>
      </c>
      <c r="AD8" s="1">
        <v>1.2538199999999999</v>
      </c>
      <c r="AE8" s="1">
        <v>1.23143</v>
      </c>
      <c r="AF8" s="1">
        <v>1.21421</v>
      </c>
      <c r="AG8" s="1">
        <v>1.2148000000000001</v>
      </c>
      <c r="AH8" s="1">
        <v>1.26773</v>
      </c>
      <c r="AI8" s="1">
        <v>1.23464</v>
      </c>
      <c r="AJ8" s="1">
        <v>1.2243999999999999</v>
      </c>
      <c r="AL8" s="4" t="s">
        <v>21</v>
      </c>
      <c r="AM8" s="6" cm="1">
        <f t="array" ref="AM8">IFERROR((SUMPRODUCT(($D$8:$D$31=AM$6)*($F$5:$AJ$5="")*$F$8:$AJ$31)+IF(AM$6="P6",SUMPRODUCT(($F$5:$AJ$5="P6")*$F$8:$AJ$31),0))/(SUMPRODUCT(($D$8:$D$31=AM$6)*($F$5:$AJ$5=""))+IF(AM$6="P6",COUNTIF($F$5:$AJ$5,"P6")*ROWS($D$8:$D$31),0)),"")</f>
        <v>1.094848994708995</v>
      </c>
      <c r="AN8" s="6" cm="1">
        <f t="array" ref="AN8">IFERROR((SUMPRODUCT(($D$8:$D$31=AN$6)*($F$5:$AJ$5="")*$F$8:$AJ$31)+IF(AN$6="P6",SUMPRODUCT(($F$5:$AJ$5="P6")*$F$8:$AJ$31),0))/(SUMPRODUCT(($D$8:$D$31=AN$6)*($F$5:$AJ$5=""))+IF(AN$6="P6",COUNTIF($F$5:$AJ$5,"P6")*ROWS($D$8:$D$31),0)),"")</f>
        <v>1.1372106122448966</v>
      </c>
      <c r="AO8" s="6" t="str">
        <f>IFERROR((SUMPRODUCT(($D$8:$D$31=AO$6)*($F$5:$AJ$5="")*$F$8:$AJ$31)+IF(AO$6="P6",SUMPRODUCT(($F$5:$AJ$5="P6")*$F$8:$AJ$31),0))/(SUMPRODUCT(($D$8:$D$31=AO$6)*($F$5:$AJ$5=""))+IF(AO$6="P6",COUNTIF($F$5:$AJ$5,"P6")*ROWS($D$8:$D$31),0)),"")</f>
        <v/>
      </c>
      <c r="AP8" s="6" t="str">
        <f>IFERROR((SUMPRODUCT(($D$8:$D$31=AP$6)*($F$5:$AJ$5="")*$F$8:$AJ$31)+IF(AP$6="P6",SUMPRODUCT(($F$5:$AJ$5="P6")*$F$8:$AJ$31),0))/(SUMPRODUCT(($D$8:$D$31=AP$6)*($F$5:$AJ$5=""))+IF(AP$6="P6",COUNTIF($F$5:$AJ$5,"P6")*ROWS($D$8:$D$31),0)),"")</f>
        <v/>
      </c>
      <c r="AQ8" s="6" t="str">
        <f>IFERROR((SUMPRODUCT(($D$8:$D$31=AQ$6)*($F$5:$AJ$5="")*$F$8:$AJ$31)+IF(AQ$6="P6",SUMPRODUCT(($F$5:$AJ$5="P6")*$F$8:$AJ$31),0))/(SUMPRODUCT(($D$8:$D$31=AQ$6)*($F$5:$AJ$5=""))+IF(AQ$6="P6",COUNTIF($F$5:$AJ$5,"P6")*ROWS($D$8:$D$31),0)),"")</f>
        <v/>
      </c>
      <c r="AR8" s="6">
        <f>IFERROR((SUMPRODUCT(($D$8:$D$31=AR$6)*($F$5:$AJ$5="")*$F$8:$AJ$31)+IF(AR$6="P6",SUMPRODUCT(($F$5:$AJ$5="P6")*$F$8:$AJ$31),0))/(SUMPRODUCT(($D$8:$D$31=AR$6)*($F$5:$AJ$5=""))+IF(AR$6="P6",COUNTIF($F$5:$AJ$5,"P6")*ROWS($D$8:$D$31),0)),"")</f>
        <v>1.2151090686274506</v>
      </c>
      <c r="BB8" s="10"/>
      <c r="BC8" s="10"/>
      <c r="BD8" s="10"/>
      <c r="BE8" s="10"/>
      <c r="BF8" s="10"/>
      <c r="BG8" s="10"/>
      <c r="BH8" s="10"/>
      <c r="BI8" s="10"/>
      <c r="BJ8" s="10"/>
    </row>
    <row r="9" spans="1:62" ht="14.5" x14ac:dyDescent="0.35">
      <c r="A9" s="1" t="s">
        <v>7</v>
      </c>
      <c r="B9" s="1" t="s">
        <v>7</v>
      </c>
      <c r="C9" s="1" t="s">
        <v>15</v>
      </c>
      <c r="D9" s="1" t="s">
        <v>7</v>
      </c>
      <c r="E9" s="1" t="s">
        <v>9</v>
      </c>
      <c r="F9" s="1">
        <v>1.3319000000000001</v>
      </c>
      <c r="G9" s="1">
        <v>1.2943899999999999</v>
      </c>
      <c r="H9" s="1">
        <v>1.2637400000000001</v>
      </c>
      <c r="I9" s="1">
        <v>1.3001799999999999</v>
      </c>
      <c r="J9" s="1">
        <v>1.2848299999999999</v>
      </c>
      <c r="K9" s="1">
        <v>1.38036</v>
      </c>
      <c r="L9" s="1">
        <v>1.2522800000000001</v>
      </c>
      <c r="M9" s="1">
        <v>1.30491</v>
      </c>
      <c r="N9" s="1">
        <v>1.2943899999999999</v>
      </c>
      <c r="O9" s="1">
        <v>1.2637400000000001</v>
      </c>
      <c r="P9" s="1">
        <v>1.3001799999999999</v>
      </c>
      <c r="Q9" s="1">
        <v>1.2848299999999999</v>
      </c>
      <c r="R9" s="1">
        <v>1.24969</v>
      </c>
      <c r="S9" s="1">
        <v>1.2522800000000001</v>
      </c>
      <c r="T9" s="1">
        <v>1.30491</v>
      </c>
      <c r="U9" s="1">
        <v>1.2943899999999999</v>
      </c>
      <c r="V9" s="1">
        <v>1.2637400000000001</v>
      </c>
      <c r="W9" s="1">
        <v>1.3001799999999999</v>
      </c>
      <c r="X9" s="1">
        <v>1.2848299999999999</v>
      </c>
      <c r="Y9" s="1">
        <v>1.24969</v>
      </c>
      <c r="Z9" s="1">
        <v>1.2522800000000001</v>
      </c>
      <c r="AA9" s="1">
        <v>1.30491</v>
      </c>
      <c r="AB9" s="1">
        <v>1.2943899999999999</v>
      </c>
      <c r="AC9" s="1">
        <v>1.2637400000000001</v>
      </c>
      <c r="AD9" s="1">
        <v>1.3001799999999999</v>
      </c>
      <c r="AE9" s="1">
        <v>1.2848299999999999</v>
      </c>
      <c r="AF9" s="1">
        <v>1.24969</v>
      </c>
      <c r="AG9" s="1">
        <v>1.2522800000000001</v>
      </c>
      <c r="AH9" s="1">
        <v>1.30491</v>
      </c>
      <c r="AI9" s="1">
        <v>1.2943899999999999</v>
      </c>
      <c r="AJ9" s="1">
        <v>1.2637400000000001</v>
      </c>
      <c r="AL9" s="4" t="s">
        <v>23</v>
      </c>
      <c r="AM9" s="6" cm="1">
        <f t="array" ref="AM9">IFERROR((SUMPRODUCT(($D$8:$D$31=AM$6)*($F$5:$AJ$5="")*$F$8:$AJ$31)+IF(AM$6="P6",SUMPRODUCT(($F$5:$AJ$5="P6")*$F$8:$AJ$31),0))/(SUMPRODUCT(($D$8:$D$31=AM$6)*($F$5:$AJ$5=""))+IF(AM$6="P6",COUNTIF($F$5:$AJ$5,"P6")*ROWS($D$8:$D$31),0)),"")</f>
        <v>1.094848994708995</v>
      </c>
      <c r="AN9" s="6">
        <f>IFERROR((SUMPRODUCT(($D$8:$D$31=AN$6)*($F$5:$AJ$5="")*$F$8:$AJ$31)+IF(AN$6="P6",SUMPRODUCT(($F$5:$AJ$5="P6")*$F$8:$AJ$31),0))/(SUMPRODUCT(($D$8:$D$31=AN$6)*($F$5:$AJ$5=""))+IF(AN$6="P6",COUNTIF($F$5:$AJ$5,"P6")*ROWS($D$8:$D$31),0)),"")</f>
        <v>1.1372106122448966</v>
      </c>
      <c r="AO9" s="6" t="str">
        <f t="shared" ref="AO9:AO11" si="3">IFERROR((SUMPRODUCT(($D$8:$D$31=AO$6)*($F$5:$AJ$5="")*$F$8:$AJ$31)+IF(AO$6="P6",SUMPRODUCT(($F$5:$AJ$5="P6")*$F$8:$AJ$31),0))/(SUMPRODUCT(($D$8:$D$31=AO$6)*($F$5:$AJ$5=""))+IF(AO$6="P6",COUNTIF($F$5:$AJ$5,"P6")*ROWS($D$8:$D$31),0)),"")</f>
        <v/>
      </c>
      <c r="AP9" s="5"/>
      <c r="AQ9" s="5"/>
      <c r="AR9" s="6">
        <f>IFERROR((SUMPRODUCT(($D$8:$D$31=AR$6)*($F$5:$AJ$5="")*$F$8:$AJ$31)+IF(AR$6="P6",SUMPRODUCT(($F$5:$AJ$5="P6")*$F$8:$AJ$31),0))/(SUMPRODUCT(($D$8:$D$31=AR$6)*($F$5:$AJ$5=""))+IF(AR$6="P6",COUNTIF($F$5:$AJ$5,"P6")*ROWS($D$8:$D$31),0)),"")</f>
        <v>1.2151090686274506</v>
      </c>
      <c r="BB9" s="10"/>
      <c r="BC9" s="10"/>
      <c r="BD9" s="10"/>
      <c r="BE9" s="10"/>
      <c r="BF9" s="10"/>
      <c r="BG9" s="10"/>
      <c r="BH9" s="10"/>
      <c r="BI9" s="10"/>
      <c r="BJ9" s="10"/>
    </row>
    <row r="10" spans="1:62" ht="14.5" x14ac:dyDescent="0.35">
      <c r="A10" s="1" t="s">
        <v>7</v>
      </c>
      <c r="B10" s="1" t="s">
        <v>7</v>
      </c>
      <c r="C10" s="1" t="s">
        <v>15</v>
      </c>
      <c r="D10" s="1" t="s">
        <v>7</v>
      </c>
      <c r="E10" s="1" t="s">
        <v>10</v>
      </c>
      <c r="F10" s="1">
        <v>1.39767</v>
      </c>
      <c r="G10" s="1">
        <v>1.28851</v>
      </c>
      <c r="H10" s="1">
        <v>1.29227</v>
      </c>
      <c r="I10" s="1">
        <v>1.33429</v>
      </c>
      <c r="J10" s="1">
        <v>1.3134699999999999</v>
      </c>
      <c r="K10" s="1">
        <v>1.4348399999999999</v>
      </c>
      <c r="L10" s="1">
        <v>1.2688999999999999</v>
      </c>
      <c r="M10" s="1">
        <v>1.3395699999999999</v>
      </c>
      <c r="N10" s="1">
        <v>1.28851</v>
      </c>
      <c r="O10" s="1">
        <v>1.29227</v>
      </c>
      <c r="P10" s="1">
        <v>1.33429</v>
      </c>
      <c r="Q10" s="1">
        <v>1.3134699999999999</v>
      </c>
      <c r="R10" s="1">
        <v>1.2822</v>
      </c>
      <c r="S10" s="1">
        <v>1.2688999999999999</v>
      </c>
      <c r="T10" s="1">
        <v>1.3395699999999999</v>
      </c>
      <c r="U10" s="1">
        <v>1.28851</v>
      </c>
      <c r="V10" s="1">
        <v>1.29227</v>
      </c>
      <c r="W10" s="1">
        <v>1.33429</v>
      </c>
      <c r="X10" s="1">
        <v>1.3134699999999999</v>
      </c>
      <c r="Y10" s="1">
        <v>1.2822</v>
      </c>
      <c r="Z10" s="1">
        <v>1.2688999999999999</v>
      </c>
      <c r="AA10" s="1">
        <v>1.3395699999999999</v>
      </c>
      <c r="AB10" s="1">
        <v>1.28851</v>
      </c>
      <c r="AC10" s="1">
        <v>1.29227</v>
      </c>
      <c r="AD10" s="1">
        <v>1.33429</v>
      </c>
      <c r="AE10" s="1">
        <v>1.3134699999999999</v>
      </c>
      <c r="AF10" s="1">
        <v>1.2822</v>
      </c>
      <c r="AG10" s="1">
        <v>1.2688999999999999</v>
      </c>
      <c r="AH10" s="1">
        <v>1.3395699999999999</v>
      </c>
      <c r="AI10" s="1">
        <v>1.28851</v>
      </c>
      <c r="AJ10" s="1">
        <v>1.29227</v>
      </c>
      <c r="AL10" s="4" t="s">
        <v>25</v>
      </c>
      <c r="AM10" s="6" cm="1">
        <f t="array" ref="AM10">IFERROR((SUMPRODUCT(($D$8:$D$31=AM$6)*($F$5:$AJ$5="")*$F$8:$AJ$31)+IF(AM$6="P6",SUMPRODUCT(($F$5:$AJ$5="P6")*$F$8:$AJ$31),0))/(SUMPRODUCT(($D$8:$D$31=AM$6)*($F$5:$AJ$5=""))+IF(AM$6="P6",COUNTIF($F$5:$AJ$5,"P6")*ROWS($D$8:$D$31),0)),"")</f>
        <v>1.094848994708995</v>
      </c>
      <c r="AN10" s="6">
        <f>IFERROR((SUMPRODUCT(($D$8:$D$31=AN$6)*($F$5:$AJ$5="")*$F$8:$AJ$31)+IF(AN$6="P6",SUMPRODUCT(($F$5:$AJ$5="P6")*$F$8:$AJ$31),0))/(SUMPRODUCT(($D$8:$D$31=AN$6)*($F$5:$AJ$5=""))+IF(AN$6="P6",COUNTIF($F$5:$AJ$5,"P6")*ROWS($D$8:$D$31),0)),"")</f>
        <v>1.1372106122448966</v>
      </c>
      <c r="AO10" s="6" t="str">
        <f t="shared" si="3"/>
        <v/>
      </c>
      <c r="AP10" s="5"/>
      <c r="AQ10" s="5"/>
      <c r="AR10" s="6">
        <f>IFERROR((SUMPRODUCT(($D$8:$D$31=AR$6)*($F$5:$AJ$5="")*$F$8:$AJ$31)+IF(AR$6="P6",SUMPRODUCT(($F$5:$AJ$5="P6")*$F$8:$AJ$31),0))/(SUMPRODUCT(($D$8:$D$31=AR$6)*($F$5:$AJ$5=""))+IF(AR$6="P6",COUNTIF($F$5:$AJ$5,"P6")*ROWS($D$8:$D$31),0)),"")</f>
        <v>1.2151090686274506</v>
      </c>
      <c r="BB10" s="10"/>
      <c r="BC10" s="13" t="s">
        <v>72</v>
      </c>
      <c r="BD10" s="13"/>
      <c r="BE10" s="13"/>
      <c r="BF10" s="13"/>
      <c r="BG10" s="13"/>
      <c r="BH10" s="13"/>
      <c r="BI10" s="13"/>
      <c r="BJ10" s="10"/>
    </row>
    <row r="11" spans="1:62" ht="14.5" x14ac:dyDescent="0.35">
      <c r="A11" s="1" t="s">
        <v>7</v>
      </c>
      <c r="B11" s="1" t="s">
        <v>7</v>
      </c>
      <c r="C11" s="1" t="s">
        <v>15</v>
      </c>
      <c r="D11" s="1" t="s">
        <v>7</v>
      </c>
      <c r="E11" s="1" t="s">
        <v>11</v>
      </c>
      <c r="F11" s="1">
        <v>1.4618899999999999</v>
      </c>
      <c r="G11" s="1">
        <v>1.2966599999999999</v>
      </c>
      <c r="H11" s="1">
        <v>1.31697</v>
      </c>
      <c r="I11" s="1">
        <v>1.3560300000000001</v>
      </c>
      <c r="J11" s="1">
        <v>1.3092600000000001</v>
      </c>
      <c r="K11" s="1">
        <v>1.46421</v>
      </c>
      <c r="L11" s="1">
        <v>1.2731300000000001</v>
      </c>
      <c r="M11" s="1">
        <v>1.3488100000000001</v>
      </c>
      <c r="N11" s="1">
        <v>1.2966599999999999</v>
      </c>
      <c r="O11" s="1">
        <v>1.31697</v>
      </c>
      <c r="P11" s="1">
        <v>1.3560300000000001</v>
      </c>
      <c r="Q11" s="1">
        <v>1.3092600000000001</v>
      </c>
      <c r="R11" s="1">
        <v>1.2994399999999999</v>
      </c>
      <c r="S11" s="1">
        <v>1.2731300000000001</v>
      </c>
      <c r="T11" s="1">
        <v>1.3488100000000001</v>
      </c>
      <c r="U11" s="1">
        <v>1.2966599999999999</v>
      </c>
      <c r="V11" s="1">
        <v>1.31697</v>
      </c>
      <c r="W11" s="1">
        <v>1.3560300000000001</v>
      </c>
      <c r="X11" s="1">
        <v>1.3092600000000001</v>
      </c>
      <c r="Y11" s="1">
        <v>1.2994399999999999</v>
      </c>
      <c r="Z11" s="1">
        <v>1.2731300000000001</v>
      </c>
      <c r="AA11" s="1">
        <v>1.3488100000000001</v>
      </c>
      <c r="AB11" s="1">
        <v>1.2966599999999999</v>
      </c>
      <c r="AC11" s="1">
        <v>1.31697</v>
      </c>
      <c r="AD11" s="1">
        <v>1.3560300000000001</v>
      </c>
      <c r="AE11" s="1">
        <v>1.3092600000000001</v>
      </c>
      <c r="AF11" s="1">
        <v>1.2994399999999999</v>
      </c>
      <c r="AG11" s="1">
        <v>1.2731300000000001</v>
      </c>
      <c r="AH11" s="1">
        <v>1.3488100000000001</v>
      </c>
      <c r="AI11" s="1">
        <v>1.2966599999999999</v>
      </c>
      <c r="AJ11" s="1">
        <v>1.31697</v>
      </c>
      <c r="AL11" s="4" t="s">
        <v>27</v>
      </c>
      <c r="AM11" s="6" cm="1">
        <f t="array" ref="AM11">IFERROR((SUMPRODUCT(($D$8:$D$31=AM$6)*($F$5:$AJ$5="")*$F$8:$AJ$31)+IF(AM$6="P6",SUMPRODUCT(($F$5:$AJ$5="P6")*$F$8:$AJ$31),0))/(SUMPRODUCT(($D$8:$D$31=AM$6)*($F$5:$AJ$5=""))+IF(AM$6="P6",COUNTIF($F$5:$AJ$5,"P6")*ROWS($D$8:$D$31),0)),"")</f>
        <v>1.094848994708995</v>
      </c>
      <c r="AN11" s="6">
        <f>IFERROR((SUMPRODUCT(($D$8:$D$31=AN$6)*($F$5:$AJ$5="")*$F$8:$AJ$31)+IF(AN$6="P6",SUMPRODUCT(($F$5:$AJ$5="P6")*$F$8:$AJ$31),0))/(SUMPRODUCT(($D$8:$D$31=AN$6)*($F$5:$AJ$5=""))+IF(AN$6="P6",COUNTIF($F$5:$AJ$5,"P6")*ROWS($D$8:$D$31),0)),"")</f>
        <v>1.1372106122448966</v>
      </c>
      <c r="AO11" s="6" t="str">
        <f t="shared" si="3"/>
        <v/>
      </c>
      <c r="AP11" s="5"/>
      <c r="AQ11" s="5"/>
      <c r="AR11" s="6">
        <f>IFERROR((SUMPRODUCT(($D$8:$D$31=AR$6)*($F$5:$AJ$5="")*$F$8:$AJ$31)+IF(AR$6="P6",SUMPRODUCT(($F$5:$AJ$5="P6")*$F$8:$AJ$31),0))/(SUMPRODUCT(($D$8:$D$31=AR$6)*($F$5:$AJ$5=""))+IF(AR$6="P6",COUNTIF($F$5:$AJ$5,"P6")*ROWS($D$8:$D$31),0)),"")</f>
        <v>1.2151090686274506</v>
      </c>
      <c r="BB11" s="10"/>
      <c r="BC11" s="4"/>
      <c r="BD11" s="4" t="s">
        <v>13</v>
      </c>
      <c r="BE11" s="4" t="s">
        <v>14</v>
      </c>
      <c r="BF11" s="4" t="s">
        <v>15</v>
      </c>
      <c r="BG11" s="4" t="s">
        <v>16</v>
      </c>
      <c r="BH11" s="4" t="s">
        <v>17</v>
      </c>
      <c r="BI11" s="4" t="s">
        <v>7</v>
      </c>
      <c r="BJ11" s="10"/>
    </row>
    <row r="12" spans="1:62" ht="14.5" x14ac:dyDescent="0.35">
      <c r="A12" s="1" t="s">
        <v>7</v>
      </c>
      <c r="B12" s="1" t="s">
        <v>7</v>
      </c>
      <c r="C12" s="1" t="s">
        <v>15</v>
      </c>
      <c r="D12" s="1" t="s">
        <v>7</v>
      </c>
      <c r="E12" s="1" t="s">
        <v>12</v>
      </c>
      <c r="F12" s="1">
        <v>1.5105599999999999</v>
      </c>
      <c r="G12" s="1">
        <v>1.29864</v>
      </c>
      <c r="H12" s="1">
        <v>1.33056</v>
      </c>
      <c r="I12" s="1">
        <v>1.36877</v>
      </c>
      <c r="J12" s="1">
        <v>1.2878700000000001</v>
      </c>
      <c r="K12" s="1">
        <v>1.4832399999999999</v>
      </c>
      <c r="L12" s="1">
        <v>1.26224</v>
      </c>
      <c r="M12" s="1">
        <v>1.34815</v>
      </c>
      <c r="N12" s="1">
        <v>1.29864</v>
      </c>
      <c r="O12" s="1">
        <v>1.33056</v>
      </c>
      <c r="P12" s="1">
        <v>1.36877</v>
      </c>
      <c r="Q12" s="1">
        <v>1.2878700000000001</v>
      </c>
      <c r="R12" s="1">
        <v>1.28207</v>
      </c>
      <c r="S12" s="1">
        <v>1.26224</v>
      </c>
      <c r="T12" s="1">
        <v>1.34815</v>
      </c>
      <c r="U12" s="1">
        <v>1.29864</v>
      </c>
      <c r="V12" s="1">
        <v>1.33056</v>
      </c>
      <c r="W12" s="1">
        <v>1.36877</v>
      </c>
      <c r="X12" s="1">
        <v>1.2878700000000001</v>
      </c>
      <c r="Y12" s="1">
        <v>1.28207</v>
      </c>
      <c r="Z12" s="1">
        <v>1.26224</v>
      </c>
      <c r="AA12" s="1">
        <v>1.34815</v>
      </c>
      <c r="AB12" s="1">
        <v>1.29864</v>
      </c>
      <c r="AC12" s="1">
        <v>1.33056</v>
      </c>
      <c r="AD12" s="1">
        <v>1.36877</v>
      </c>
      <c r="AE12" s="1">
        <v>1.2878700000000001</v>
      </c>
      <c r="AF12" s="1">
        <v>1.28207</v>
      </c>
      <c r="AG12" s="1">
        <v>1.26224</v>
      </c>
      <c r="AH12" s="1">
        <v>1.34815</v>
      </c>
      <c r="AI12" s="1">
        <v>1.29864</v>
      </c>
      <c r="AJ12" s="1">
        <v>1.33056</v>
      </c>
      <c r="AL12" s="4" t="s">
        <v>29</v>
      </c>
      <c r="AM12" s="6" cm="1">
        <f t="array" ref="AM12">IFERROR((SUMPRODUCT(($D$8:$D$31=AM$6)*($F$5:$AJ$5="")*$F$8:$AJ$31)+IF(AM$6="P6",SUMPRODUCT(($F$5:$AJ$5="P6")*$F$8:$AJ$31),0))/(SUMPRODUCT(($D$8:$D$31=AM$6)*($F$5:$AJ$5=""))+IF(AM$6="P6",COUNTIF($F$5:$AJ$5,"P6")*ROWS($D$8:$D$31),0)),"")</f>
        <v>1.094848994708995</v>
      </c>
      <c r="AN12" s="6">
        <f>IFERROR((SUMPRODUCT(($D$8:$D$31=AN$6)*($F$5:$AJ$5="")*$F$8:$AJ$31)+IF(AN$6="P6",SUMPRODUCT(($F$5:$AJ$5="P6")*$F$8:$AJ$31),0))/(SUMPRODUCT(($D$8:$D$31=AN$6)*($F$5:$AJ$5=""))+IF(AN$6="P6",COUNTIF($F$5:$AJ$5,"P6")*ROWS($D$8:$D$31),0)),"")</f>
        <v>1.1372106122448966</v>
      </c>
      <c r="AO12" s="6" t="str">
        <f>IFERROR((SUMPRODUCT(($D$8:$D$31=AO$6)*($F$5:$AJ$5="")*$F$8:$AJ$31)+IF(AO$6="P6",SUMPRODUCT(($F$5:$AJ$5="P6")*$F$8:$AJ$31),0))/(SUMPRODUCT(($D$8:$D$31=AO$6)*($F$5:$AJ$5=""))+IF(AO$6="P6",COUNTIF($F$5:$AJ$5,"P6")*ROWS($D$8:$D$31),0)),"")</f>
        <v/>
      </c>
      <c r="AP12" s="5"/>
      <c r="AQ12" s="5"/>
      <c r="AR12" s="6" cm="1">
        <f t="array" ref="AR12">IFERROR((SUMPRODUCT(($D$8:$D$31=AR$6)*($F$5:$AJ$5="")*$F$8:$AJ$31)+IF(AR$6="P6",SUMPRODUCT(($F$5:$AJ$5="P6")*$F$8:$AJ$31),0))/(SUMPRODUCT(($D$8:$D$31=AR$6)*($F$5:$AJ$5=""))+IF(AR$6="P6",COUNTIF($F$5:$AJ$5,"P6")*ROWS($D$8:$D$31),0)),"")</f>
        <v>1.2151090686274506</v>
      </c>
      <c r="BB12" s="10"/>
      <c r="BC12" s="4" t="s">
        <v>19</v>
      </c>
      <c r="BD12" s="6">
        <f>AVERAGE(AM7,AM42,AM77,AM112,AM147,AM182,AM217,AM252,AM287,AM322,AM357,AM392)</f>
        <v>0.9694572173834618</v>
      </c>
      <c r="BE12" s="6">
        <f>AVERAGE(AN7,AN42,AN77,AN112,AN147,AN182,AN217,AN252,AN287,AN322,AN357,AN392)</f>
        <v>1.0261479948926375</v>
      </c>
      <c r="BF12" s="6">
        <f>AVERAGE(AO7,AO42,AO77,AO112,AO147,AO182,AO217,AO252,AO287,AO322,AO357,AO392)</f>
        <v>1.024348516691431</v>
      </c>
      <c r="BG12" s="18" t="s">
        <v>255</v>
      </c>
      <c r="BH12" s="18" t="s">
        <v>255</v>
      </c>
      <c r="BI12" s="18" t="s">
        <v>255</v>
      </c>
      <c r="BJ12" s="10"/>
    </row>
    <row r="13" spans="1:62" ht="14.5" x14ac:dyDescent="0.35">
      <c r="A13" s="1" t="s">
        <v>7</v>
      </c>
      <c r="B13" s="1" t="s">
        <v>7</v>
      </c>
      <c r="C13" s="1" t="s">
        <v>15</v>
      </c>
      <c r="D13" s="1" t="s">
        <v>7</v>
      </c>
      <c r="E13" s="1" t="s">
        <v>18</v>
      </c>
      <c r="F13" s="1">
        <v>1.4958</v>
      </c>
      <c r="G13" s="1">
        <v>1.2689299999999999</v>
      </c>
      <c r="H13" s="1">
        <v>1.3264100000000001</v>
      </c>
      <c r="I13" s="1">
        <v>1.37164</v>
      </c>
      <c r="J13" s="1">
        <v>1.25813</v>
      </c>
      <c r="K13" s="1">
        <v>1.4908399999999999</v>
      </c>
      <c r="L13" s="1">
        <v>1.2176</v>
      </c>
      <c r="M13" s="1">
        <v>1.3089299999999999</v>
      </c>
      <c r="N13" s="1">
        <v>1.2689299999999999</v>
      </c>
      <c r="O13" s="1">
        <v>1.3264100000000001</v>
      </c>
      <c r="P13" s="1">
        <v>1.37164</v>
      </c>
      <c r="Q13" s="1">
        <v>1.25813</v>
      </c>
      <c r="R13" s="1">
        <v>1.2579400000000001</v>
      </c>
      <c r="S13" s="1">
        <v>1.2176</v>
      </c>
      <c r="T13" s="1">
        <v>1.3089299999999999</v>
      </c>
      <c r="U13" s="1">
        <v>1.2689299999999999</v>
      </c>
      <c r="V13" s="1">
        <v>1.3264100000000001</v>
      </c>
      <c r="W13" s="1">
        <v>1.37164</v>
      </c>
      <c r="X13" s="1">
        <v>1.25813</v>
      </c>
      <c r="Y13" s="1">
        <v>1.2579400000000001</v>
      </c>
      <c r="Z13" s="1">
        <v>1.2176</v>
      </c>
      <c r="AA13" s="1">
        <v>1.3089299999999999</v>
      </c>
      <c r="AB13" s="1">
        <v>1.2689299999999999</v>
      </c>
      <c r="AC13" s="1">
        <v>1.3264100000000001</v>
      </c>
      <c r="AD13" s="1">
        <v>1.37164</v>
      </c>
      <c r="AE13" s="1">
        <v>1.25813</v>
      </c>
      <c r="AF13" s="1">
        <v>1.2579400000000001</v>
      </c>
      <c r="AG13" s="1">
        <v>1.2176</v>
      </c>
      <c r="AH13" s="1">
        <v>1.3089299999999999</v>
      </c>
      <c r="AI13" s="1">
        <v>1.2689299999999999</v>
      </c>
      <c r="AJ13" s="1">
        <v>1.3264100000000001</v>
      </c>
      <c r="AL13" s="10"/>
      <c r="AM13" s="10"/>
      <c r="AN13" s="10"/>
      <c r="AO13" s="10"/>
      <c r="AP13" s="10"/>
      <c r="AQ13" s="10"/>
      <c r="AR13" s="10"/>
      <c r="BB13" s="10"/>
      <c r="BC13" s="4" t="s">
        <v>21</v>
      </c>
      <c r="BD13" s="6">
        <f>AVERAGE(AM8,AM43,AM78,AM113,AM148,AM183,AM218,AM253,AM288,AM323,AM358,AM393)</f>
        <v>1.0201990426731076</v>
      </c>
      <c r="BE13" s="6">
        <f t="shared" ref="BE13:BI17" si="4">AVERAGE(AN8,AN43,AN113,AN148,AN183,AN218,AN253,AN288,AN323,AN358,AN393)</f>
        <v>1.0350129187945709</v>
      </c>
      <c r="BF13" s="6">
        <f t="shared" si="4"/>
        <v>0.91704847763347752</v>
      </c>
      <c r="BG13" s="6">
        <f t="shared" si="4"/>
        <v>0.92664200169495448</v>
      </c>
      <c r="BH13" s="6">
        <f t="shared" si="4"/>
        <v>1.1167264186765611</v>
      </c>
      <c r="BI13" s="6">
        <f t="shared" si="4"/>
        <v>1.0087613085613385</v>
      </c>
      <c r="BJ13" s="10"/>
    </row>
    <row r="14" spans="1:62" ht="14.5" x14ac:dyDescent="0.35">
      <c r="A14" s="1" t="s">
        <v>7</v>
      </c>
      <c r="B14" s="1" t="s">
        <v>7</v>
      </c>
      <c r="C14" s="1" t="s">
        <v>15</v>
      </c>
      <c r="D14" s="1" t="s">
        <v>7</v>
      </c>
      <c r="E14" s="1" t="s">
        <v>20</v>
      </c>
      <c r="F14" s="1">
        <v>1.4837400000000001</v>
      </c>
      <c r="G14" s="1">
        <v>1.16618</v>
      </c>
      <c r="H14" s="1">
        <v>1.2843100000000001</v>
      </c>
      <c r="I14" s="1">
        <v>1.34826</v>
      </c>
      <c r="J14" s="1">
        <v>1.14341</v>
      </c>
      <c r="K14" s="1">
        <v>1.45949</v>
      </c>
      <c r="L14" s="1">
        <v>1.1383099999999999</v>
      </c>
      <c r="M14" s="1">
        <v>1.18529</v>
      </c>
      <c r="N14" s="1">
        <v>1.16618</v>
      </c>
      <c r="O14" s="1">
        <v>1.2843100000000001</v>
      </c>
      <c r="P14" s="1">
        <v>1.34826</v>
      </c>
      <c r="Q14" s="1">
        <v>1.14341</v>
      </c>
      <c r="R14" s="1">
        <v>1.15476</v>
      </c>
      <c r="S14" s="1">
        <v>1.1383099999999999</v>
      </c>
      <c r="T14" s="1">
        <v>1.18529</v>
      </c>
      <c r="U14" s="1">
        <v>1.16618</v>
      </c>
      <c r="V14" s="1">
        <v>1.2843100000000001</v>
      </c>
      <c r="W14" s="1">
        <v>1.34826</v>
      </c>
      <c r="X14" s="1">
        <v>1.14341</v>
      </c>
      <c r="Y14" s="1">
        <v>1.15476</v>
      </c>
      <c r="Z14" s="1">
        <v>1.1383099999999999</v>
      </c>
      <c r="AA14" s="1">
        <v>1.18529</v>
      </c>
      <c r="AB14" s="1">
        <v>1.16618</v>
      </c>
      <c r="AC14" s="1">
        <v>1.2843100000000001</v>
      </c>
      <c r="AD14" s="1">
        <v>1.34826</v>
      </c>
      <c r="AE14" s="1">
        <v>1.14341</v>
      </c>
      <c r="AF14" s="1">
        <v>1.15476</v>
      </c>
      <c r="AG14" s="1">
        <v>1.1383099999999999</v>
      </c>
      <c r="AH14" s="1">
        <v>1.18529</v>
      </c>
      <c r="AI14" s="1">
        <v>1.16618</v>
      </c>
      <c r="AJ14" s="1">
        <v>1.2843100000000001</v>
      </c>
      <c r="AL14" s="10"/>
      <c r="AM14" s="10"/>
      <c r="AN14" s="10"/>
      <c r="AO14" s="10"/>
      <c r="AP14" s="10"/>
      <c r="AQ14" s="10"/>
      <c r="AR14" s="10"/>
      <c r="AU14" s="1" cm="1">
        <f t="array" ref="AU14">SUMPRODUCT(($D$8:$D$31=AM$6)*($F$5:$AJ$5=""))+IF(AM$6="P6",COUNTIF($F$5:$AJ$5,"P6")*ROWS($D$8:$D$31),0)</f>
        <v>189</v>
      </c>
      <c r="AV14" s="1" cm="1">
        <f t="array" ref="AV14">SUMPRODUCT(($D$8:$D$31=AM$6)*($F$5:$AJ$5="")*$F$8:$AJ$31)+IF(AM$6="P6",SUMPRODUCT(($F$5:$AJ$5="P6")*$F$8:$AJ$31))</f>
        <v>206.92646000000005</v>
      </c>
      <c r="AW14" s="7">
        <f>AV14/AU14</f>
        <v>1.094848994708995</v>
      </c>
      <c r="BB14" s="10"/>
      <c r="BC14" s="4" t="s">
        <v>23</v>
      </c>
      <c r="BD14" s="6">
        <f>AVERAGE(AM9,AM44,AM79,AM114,AM149,AM184,AM219,AM254,AM289,AM324,AM359,AM394)</f>
        <v>1.0201990426731076</v>
      </c>
      <c r="BE14" s="6">
        <f t="shared" si="4"/>
        <v>1.0350129187945709</v>
      </c>
      <c r="BF14" s="6">
        <f t="shared" si="4"/>
        <v>0.91704847763347752</v>
      </c>
      <c r="BG14" s="6">
        <f t="shared" si="4"/>
        <v>0.92664200169495448</v>
      </c>
      <c r="BH14" s="6">
        <f t="shared" si="4"/>
        <v>1.1167264186765611</v>
      </c>
      <c r="BI14" s="6">
        <f t="shared" si="4"/>
        <v>1.0087613085613385</v>
      </c>
      <c r="BJ14" s="10"/>
    </row>
    <row r="15" spans="1:62" ht="14.5" x14ac:dyDescent="0.35">
      <c r="A15" s="1" t="s">
        <v>7</v>
      </c>
      <c r="B15" s="1" t="s">
        <v>7</v>
      </c>
      <c r="C15" s="1" t="s">
        <v>15</v>
      </c>
      <c r="D15" s="1" t="s">
        <v>7</v>
      </c>
      <c r="E15" s="1" t="s">
        <v>22</v>
      </c>
      <c r="F15" s="1">
        <v>1.4278200000000001</v>
      </c>
      <c r="G15" s="1">
        <v>1.0630900000000001</v>
      </c>
      <c r="H15" s="1">
        <v>1.24396</v>
      </c>
      <c r="I15" s="1">
        <v>1.28382</v>
      </c>
      <c r="J15" s="1">
        <v>1.0450699999999999</v>
      </c>
      <c r="K15" s="1">
        <v>1.3885000000000001</v>
      </c>
      <c r="L15" s="1">
        <v>1.0502899999999999</v>
      </c>
      <c r="M15" s="1">
        <v>1.07239</v>
      </c>
      <c r="N15" s="1">
        <v>1.0630900000000001</v>
      </c>
      <c r="O15" s="1">
        <v>1.24396</v>
      </c>
      <c r="P15" s="1">
        <v>1.28382</v>
      </c>
      <c r="Q15" s="1">
        <v>1.0450699999999999</v>
      </c>
      <c r="R15" s="1">
        <v>1.0552999999999999</v>
      </c>
      <c r="S15" s="1">
        <v>1.0502899999999999</v>
      </c>
      <c r="T15" s="1">
        <v>1.07239</v>
      </c>
      <c r="U15" s="1">
        <v>1.0630900000000001</v>
      </c>
      <c r="V15" s="1">
        <v>1.24396</v>
      </c>
      <c r="W15" s="1">
        <v>1.28382</v>
      </c>
      <c r="X15" s="1">
        <v>1.0450699999999999</v>
      </c>
      <c r="Y15" s="1">
        <v>1.0552999999999999</v>
      </c>
      <c r="Z15" s="1">
        <v>1.0502899999999999</v>
      </c>
      <c r="AA15" s="1">
        <v>1.07239</v>
      </c>
      <c r="AB15" s="1">
        <v>1.0630900000000001</v>
      </c>
      <c r="AC15" s="1">
        <v>1.24396</v>
      </c>
      <c r="AD15" s="1">
        <v>1.28382</v>
      </c>
      <c r="AE15" s="1">
        <v>1.0450699999999999</v>
      </c>
      <c r="AF15" s="1">
        <v>1.0552999999999999</v>
      </c>
      <c r="AG15" s="1">
        <v>1.0502899999999999</v>
      </c>
      <c r="AH15" s="1">
        <v>1.07239</v>
      </c>
      <c r="AI15" s="1">
        <v>1.0630900000000001</v>
      </c>
      <c r="AJ15" s="1">
        <v>1.24396</v>
      </c>
      <c r="AL15" s="14" t="s">
        <v>117</v>
      </c>
      <c r="AM15" s="14"/>
      <c r="AN15" s="14"/>
      <c r="AO15" s="14"/>
      <c r="AP15" s="14"/>
      <c r="AQ15" s="14"/>
      <c r="AR15" s="14"/>
      <c r="AU15" s="1" cm="1">
        <f t="array" ref="AU15">SUMPRODUCT(($D$8:$D$31=AN$6)*($F$5:$AJ$5=""))+IF(AN$6="P6",COUNTIF($F$5:$AJ$5,"P6")*ROWS($D$8:$D$31),0)</f>
        <v>147</v>
      </c>
      <c r="BB15" s="10"/>
      <c r="BC15" s="4" t="s">
        <v>25</v>
      </c>
      <c r="BD15" s="6">
        <f>AVERAGE(AM10,AM45,AM80,AM115,AM150,AM185,AM220,AM255,AM290,AM325,AM360,AM395)</f>
        <v>1.0201990426731076</v>
      </c>
      <c r="BE15" s="6">
        <f t="shared" si="4"/>
        <v>1.0350129187945709</v>
      </c>
      <c r="BF15" s="6">
        <f t="shared" si="4"/>
        <v>0.91704847763347752</v>
      </c>
      <c r="BG15" s="6">
        <f t="shared" si="4"/>
        <v>0.92664200169495448</v>
      </c>
      <c r="BH15" s="6">
        <f t="shared" si="4"/>
        <v>1.1167264186765611</v>
      </c>
      <c r="BI15" s="6">
        <f t="shared" si="4"/>
        <v>1.0087613085613385</v>
      </c>
      <c r="BJ15" s="10"/>
    </row>
    <row r="16" spans="1:62" ht="14.5" x14ac:dyDescent="0.35">
      <c r="A16" s="1" t="s">
        <v>16</v>
      </c>
      <c r="B16" s="1" t="s">
        <v>16</v>
      </c>
      <c r="C16" s="1" t="s">
        <v>14</v>
      </c>
      <c r="D16" s="1" t="s">
        <v>14</v>
      </c>
      <c r="E16" s="1" t="s">
        <v>24</v>
      </c>
      <c r="F16" s="1">
        <v>1.40099</v>
      </c>
      <c r="G16" s="1">
        <v>1.1025199999999999</v>
      </c>
      <c r="H16" s="1">
        <v>1.2032400000000001</v>
      </c>
      <c r="I16" s="1">
        <v>1.2533799999999999</v>
      </c>
      <c r="J16" s="1">
        <v>1.09209</v>
      </c>
      <c r="K16" s="1">
        <v>1.3473299999999999</v>
      </c>
      <c r="L16" s="1">
        <v>1.11791</v>
      </c>
      <c r="M16" s="1">
        <v>1.10276</v>
      </c>
      <c r="N16" s="1">
        <v>1.1025199999999999</v>
      </c>
      <c r="O16" s="1">
        <v>1.2032400000000001</v>
      </c>
      <c r="P16" s="1">
        <v>1.2533799999999999</v>
      </c>
      <c r="Q16" s="1">
        <v>1.09209</v>
      </c>
      <c r="R16" s="1">
        <v>1.0975299999999999</v>
      </c>
      <c r="S16" s="1">
        <v>1.11791</v>
      </c>
      <c r="T16" s="1">
        <v>1.10276</v>
      </c>
      <c r="U16" s="1">
        <v>1.1025199999999999</v>
      </c>
      <c r="V16" s="1">
        <v>1.2032400000000001</v>
      </c>
      <c r="W16" s="1">
        <v>1.2533799999999999</v>
      </c>
      <c r="X16" s="1">
        <v>1.09209</v>
      </c>
      <c r="Y16" s="1">
        <v>1.0975299999999999</v>
      </c>
      <c r="Z16" s="1">
        <v>1.11791</v>
      </c>
      <c r="AA16" s="1">
        <v>1.10276</v>
      </c>
      <c r="AB16" s="1">
        <v>1.1025199999999999</v>
      </c>
      <c r="AC16" s="1">
        <v>1.2032400000000001</v>
      </c>
      <c r="AD16" s="1">
        <v>1.2533799999999999</v>
      </c>
      <c r="AE16" s="1">
        <v>1.09209</v>
      </c>
      <c r="AF16" s="1">
        <v>1.0975299999999999</v>
      </c>
      <c r="AG16" s="1">
        <v>1.11791</v>
      </c>
      <c r="AH16" s="1">
        <v>1.10276</v>
      </c>
      <c r="AI16" s="1">
        <v>1.1025199999999999</v>
      </c>
      <c r="AJ16" s="1">
        <v>1.2032400000000001</v>
      </c>
      <c r="AL16" s="4"/>
      <c r="AM16" s="4" t="s">
        <v>13</v>
      </c>
      <c r="AN16" s="4" t="s">
        <v>14</v>
      </c>
      <c r="AO16" s="4" t="s">
        <v>15</v>
      </c>
      <c r="AP16" s="4" t="s">
        <v>16</v>
      </c>
      <c r="AQ16" s="4" t="s">
        <v>17</v>
      </c>
      <c r="AR16" s="4" t="s">
        <v>7</v>
      </c>
      <c r="AU16" s="1" cm="1">
        <f t="array" ref="AU16">SUMPRODUCT(($D$8:$D$31=AR$6)*($F$5:$AJ$5=""))+IF(AR$6="P6",COUNTIF($F$5:$AJ$5,"P6")*ROWS($D$8:$D$31),0)</f>
        <v>408</v>
      </c>
      <c r="BB16" s="10"/>
      <c r="BC16" s="4" t="s">
        <v>27</v>
      </c>
      <c r="BD16" s="6">
        <f>AVERAGE(AM11,AM46,AM81,AM116,AM151,AM186,AM221,AM256,AM291,AM326,AM361,AM396)</f>
        <v>1.0201990426731076</v>
      </c>
      <c r="BE16" s="6">
        <f t="shared" si="4"/>
        <v>1.0350129187945709</v>
      </c>
      <c r="BF16" s="6">
        <f t="shared" si="4"/>
        <v>0.91704847763347752</v>
      </c>
      <c r="BG16" s="6">
        <f t="shared" si="4"/>
        <v>0.92664200169495448</v>
      </c>
      <c r="BH16" s="6">
        <f t="shared" si="4"/>
        <v>1.1167264186765611</v>
      </c>
      <c r="BI16" s="6">
        <f t="shared" si="4"/>
        <v>1.0087613085613385</v>
      </c>
      <c r="BJ16" s="10"/>
    </row>
    <row r="17" spans="1:62" ht="14.5" x14ac:dyDescent="0.35">
      <c r="A17" s="1" t="s">
        <v>16</v>
      </c>
      <c r="B17" s="1" t="s">
        <v>16</v>
      </c>
      <c r="C17" s="1" t="s">
        <v>14</v>
      </c>
      <c r="D17" s="1" t="s">
        <v>13</v>
      </c>
      <c r="E17" s="1" t="s">
        <v>26</v>
      </c>
      <c r="F17" s="1">
        <v>1.30111</v>
      </c>
      <c r="G17" s="1">
        <v>1.0505100000000001</v>
      </c>
      <c r="H17" s="1">
        <v>1.11608</v>
      </c>
      <c r="I17" s="1">
        <v>1.1573800000000001</v>
      </c>
      <c r="J17" s="1">
        <v>1.0677399999999999</v>
      </c>
      <c r="K17" s="1">
        <v>1.2524999999999999</v>
      </c>
      <c r="L17" s="1">
        <v>1.0823799999999999</v>
      </c>
      <c r="M17" s="1">
        <v>1.04078</v>
      </c>
      <c r="N17" s="1">
        <v>1.0505100000000001</v>
      </c>
      <c r="O17" s="1">
        <v>1.11608</v>
      </c>
      <c r="P17" s="1">
        <v>1.1573800000000001</v>
      </c>
      <c r="Q17" s="1">
        <v>1.0677399999999999</v>
      </c>
      <c r="R17" s="1">
        <v>1.0485500000000001</v>
      </c>
      <c r="S17" s="1">
        <v>1.0823799999999999</v>
      </c>
      <c r="T17" s="1">
        <v>1.04078</v>
      </c>
      <c r="U17" s="1">
        <v>1.0505100000000001</v>
      </c>
      <c r="V17" s="1">
        <v>1.11608</v>
      </c>
      <c r="W17" s="1">
        <v>1.1573800000000001</v>
      </c>
      <c r="X17" s="1">
        <v>1.0677399999999999</v>
      </c>
      <c r="Y17" s="1">
        <v>1.0485500000000001</v>
      </c>
      <c r="Z17" s="1">
        <v>1.0823799999999999</v>
      </c>
      <c r="AA17" s="1">
        <v>1.04078</v>
      </c>
      <c r="AB17" s="1">
        <v>1.0505100000000001</v>
      </c>
      <c r="AC17" s="1">
        <v>1.11608</v>
      </c>
      <c r="AD17" s="1">
        <v>1.1573800000000001</v>
      </c>
      <c r="AE17" s="1">
        <v>1.0677399999999999</v>
      </c>
      <c r="AF17" s="1">
        <v>1.0485500000000001</v>
      </c>
      <c r="AG17" s="1">
        <v>1.0823799999999999</v>
      </c>
      <c r="AH17" s="1">
        <v>1.04078</v>
      </c>
      <c r="AI17" s="1">
        <v>1.0505100000000001</v>
      </c>
      <c r="AJ17" s="1">
        <v>1.11608</v>
      </c>
      <c r="AL17" s="4" t="s">
        <v>19</v>
      </c>
      <c r="AM17" s="6" cm="1">
        <f t="array" ref="AM17">IFERROR((SUMPRODUCT(($C$8:$C$31=AM$6)*($F$4:$AJ$4="")*$F$8:$AJ$31)+IF(AM$6="P3",SUMPRODUCT(($F$4:$AJ$4="P3")*$F$8:$AJ$31),0))/(SUMPRODUCT(($C$8:$C$31=AM$6)*($F$4:$AJ$4=""))+IF(AM$6="P3",COUNTIF($F$4:$AJ$4,"P3")*ROWS($C$8:$C$31),0)),"")</f>
        <v>1.0982866666666664</v>
      </c>
      <c r="AN17" s="6" cm="1">
        <f t="array" ref="AN17">IFERROR((SUMPRODUCT(($C$8:$C$31=AN$6)*($F$4:$AJ$4="")*$F$8:$AJ$31)+IF(AN$6="P3",SUMPRODUCT(($F$4:$AJ$4="P3")*$F$8:$AJ$31),0))/(SUMPRODUCT(($C$8:$C$31=AN$6)*($F$4:$AJ$4=""))+IF(AN$6="P3",COUNTIF($F$4:$AJ$4,"P3")*ROWS($C$8:$C$31),0)),"")</f>
        <v>1.1284777380952369</v>
      </c>
      <c r="AO17" s="6" cm="1">
        <f t="array" ref="AO17">IFERROR((SUMPRODUCT(($C$8:$C$31=AO$6)*($F$4:$AJ$4="")*$F$8:$AJ$31)+IF(AO$6="P3",SUMPRODUCT(($F$4:$AJ$4="P3")*$F$8:$AJ$31),0))/(SUMPRODUCT(($C$8:$C$31=AO$6)*($F$4:$AJ$4=""))+IF(AO$6="P3",COUNTIF($F$4:$AJ$4,"P3")*ROWS($C$8:$C$31),0)),"")</f>
        <v>1.2151090686274506</v>
      </c>
      <c r="AP17" s="6" t="str" cm="1">
        <f t="array" ref="AP17">IFERROR((SUMPRODUCT(($C$8:$C$31=AP$6)*($F$4:$AJ$4="")*$F$8:$AJ$31)+IF(AP$6="P3",SUMPRODUCT(($F$4:$AJ$4="P3")*$F$8:$AJ$31),0))/(SUMPRODUCT(($C$8:$C$31=AP$6)*($F$4:$AJ$4=""))+IF(AP$6="P3",COUNTIF($F$4:$AJ$4,"P3")*ROWS($C$8:$C$31),0)),"")</f>
        <v/>
      </c>
      <c r="AQ17" s="6" t="str" cm="1">
        <f t="array" ref="AQ17">IFERROR((SUMPRODUCT(($C$8:$C$31=AQ$6)*($F$4:$AJ$4="")*$F$8:$AJ$31)+IF(AQ$6="P3",SUMPRODUCT(($F$4:$AJ$4="P3")*$F$8:$AJ$31),0))/(SUMPRODUCT(($C$8:$C$31=AQ$6)*($F$4:$AJ$4=""))+IF(AQ$6="P3",COUNTIF($F$4:$AJ$4,"P3")*ROWS($C$8:$C$31),0)),"")</f>
        <v/>
      </c>
      <c r="AR17" s="6" t="str" cm="1">
        <f t="array" ref="AR17">IFERROR((SUMPRODUCT(($C$8:$C$31=AR$6)*($F$4:$AJ$4="")*$F$8:$AJ$31)+IF(AR$6="P3",SUMPRODUCT(($F$4:$AJ$4="P3")*$F$8:$AJ$31),0))/(SUMPRODUCT(($C$8:$C$31=AR$6)*($F$4:$AJ$4=""))+IF(AR$6="P3",COUNTIF($F$4:$AJ$4,"P3")*ROWS($C$8:$C$31),0)),"")</f>
        <v/>
      </c>
      <c r="BB17" s="10"/>
      <c r="BC17" s="4" t="s">
        <v>29</v>
      </c>
      <c r="BD17" s="6">
        <f>AVERAGE(AM12,AM47,AM82,AM117,AM152,AM187,AM222,AM257,AM292,AM327,AM362,AM397)</f>
        <v>1.0201990426731076</v>
      </c>
      <c r="BE17" s="6">
        <f t="shared" si="4"/>
        <v>1.0350129187945709</v>
      </c>
      <c r="BF17" s="6">
        <f t="shared" si="4"/>
        <v>0.91704847763347752</v>
      </c>
      <c r="BG17" s="6">
        <f t="shared" si="4"/>
        <v>0.92664200169495448</v>
      </c>
      <c r="BH17" s="6">
        <f t="shared" si="4"/>
        <v>1.1167264186765611</v>
      </c>
      <c r="BI17" s="6">
        <f t="shared" si="4"/>
        <v>1.0087613085613385</v>
      </c>
      <c r="BJ17" s="10"/>
    </row>
    <row r="18" spans="1:62" ht="14.5" x14ac:dyDescent="0.35">
      <c r="A18" s="1" t="s">
        <v>14</v>
      </c>
      <c r="B18" s="1" t="s">
        <v>15</v>
      </c>
      <c r="C18" s="1" t="s">
        <v>13</v>
      </c>
      <c r="D18" s="1" t="s">
        <v>13</v>
      </c>
      <c r="E18" s="1" t="s">
        <v>28</v>
      </c>
      <c r="F18" s="1">
        <v>1.16526</v>
      </c>
      <c r="G18" s="1">
        <v>0.98345000000000005</v>
      </c>
      <c r="H18" s="1">
        <v>1.03589</v>
      </c>
      <c r="I18" s="1">
        <v>1.0727599999999999</v>
      </c>
      <c r="J18" s="1">
        <v>1.0204</v>
      </c>
      <c r="K18" s="1">
        <v>1.1591899999999999</v>
      </c>
      <c r="L18" s="1">
        <v>1.01633</v>
      </c>
      <c r="M18" s="1">
        <v>0.97424999999999995</v>
      </c>
      <c r="N18" s="1">
        <v>0.98345000000000005</v>
      </c>
      <c r="O18" s="1">
        <v>1.03589</v>
      </c>
      <c r="P18" s="1">
        <v>1.0727599999999999</v>
      </c>
      <c r="Q18" s="1">
        <v>1.0204</v>
      </c>
      <c r="R18" s="1">
        <v>0.98314999999999997</v>
      </c>
      <c r="S18" s="1">
        <v>1.01633</v>
      </c>
      <c r="T18" s="1">
        <v>0.97424999999999995</v>
      </c>
      <c r="U18" s="1">
        <v>0.98345000000000005</v>
      </c>
      <c r="V18" s="1">
        <v>1.03589</v>
      </c>
      <c r="W18" s="1">
        <v>1.0727599999999999</v>
      </c>
      <c r="X18" s="1">
        <v>1.0204</v>
      </c>
      <c r="Y18" s="1">
        <v>0.98314999999999997</v>
      </c>
      <c r="Z18" s="1">
        <v>1.01633</v>
      </c>
      <c r="AA18" s="1">
        <v>0.97424999999999995</v>
      </c>
      <c r="AB18" s="1">
        <v>0.98345000000000005</v>
      </c>
      <c r="AC18" s="1">
        <v>1.03589</v>
      </c>
      <c r="AD18" s="1">
        <v>1.0727599999999999</v>
      </c>
      <c r="AE18" s="1">
        <v>1.0204</v>
      </c>
      <c r="AF18" s="1">
        <v>0.98314999999999997</v>
      </c>
      <c r="AG18" s="1">
        <v>1.01633</v>
      </c>
      <c r="AH18" s="1">
        <v>0.97424999999999995</v>
      </c>
      <c r="AI18" s="1">
        <v>0.98345000000000005</v>
      </c>
      <c r="AJ18" s="1">
        <v>1.03589</v>
      </c>
      <c r="AL18" s="4" t="s">
        <v>21</v>
      </c>
      <c r="AM18" s="6" t="str" cm="1">
        <f t="array" ref="AM18">IFERROR((SUMPRODUCT(($A$8:$A$31=AM$16)*($F$5:$AJ$5="")*$F$8:$AJ$31)+IF(AM$16="P6",SUMPRODUCT(($F$5:$AJ$5="P6")*$F$8:$AJ$31),0))/(SUMPRODUCT(($A$8:$A$31=AM$16)*($F$5:$AJ$5=""))+IF(AM$16="P6",COUNTIF($F$5:$AJ$5,"P6")*ROWS($A$8:$A$31),0)),"")</f>
        <v/>
      </c>
      <c r="AN18" s="6" cm="1">
        <f t="array" ref="AN18">IFERROR((SUMPRODUCT(($A$8:$A$31=AN$16)*($F$5:$AJ$5="")*$F$8:$AJ$31)+IF(AN$16="P6",SUMPRODUCT(($F$5:$AJ$5="P6")*$F$8:$AJ$31),0))/(SUMPRODUCT(($A$8:$A$31=AN$16)*($F$5:$AJ$5=""))+IF(AN$16="P6",COUNTIF($F$5:$AJ$5,"P6")*ROWS($A$8:$A$31),0)),"")</f>
        <v>1.0887794708994714</v>
      </c>
      <c r="AO18" s="6" t="str" cm="1">
        <f t="array" ref="AO18">IFERROR((SUMPRODUCT(($A$8:$A$31=AO$16)*($F$5:$AJ$5="")*$F$8:$AJ$31)+IF(AO$16="P6",SUMPRODUCT(($F$5:$AJ$5="P6")*$F$8:$AJ$31),0))/(SUMPRODUCT(($A$8:$A$31=AO$16)*($F$5:$AJ$5=""))+IF(AO$16="P6",COUNTIF($F$5:$AJ$5,"P6")*ROWS($A$8:$A$31),0)),"")</f>
        <v/>
      </c>
      <c r="AP18" s="6" cm="1">
        <f t="array" ref="AP18">IFERROR((SUMPRODUCT(($A$8:$A$31=AP$16)*($F$5:$AJ$5="")*$F$8:$AJ$31)+IF(AP$16="P6",SUMPRODUCT(($F$5:$AJ$5="P6")*$F$8:$AJ$31),0))/(SUMPRODUCT(($A$8:$A$31=AP$16)*($F$5:$AJ$5=""))+IF(AP$16="P6",COUNTIF($F$5:$AJ$5,"P6")*ROWS($A$8:$A$31),0)),"")</f>
        <v>1.1450142857142844</v>
      </c>
      <c r="AQ18" s="6" t="str" cm="1">
        <f t="array" ref="AQ18">IFERROR((SUMPRODUCT(($A$8:$A$31=AQ$16)*($F$5:$AJ$5="")*$F$8:$AJ$31)+IF(AQ$16="P6",SUMPRODUCT(($F$5:$AJ$5="P6")*$F$8:$AJ$31),0))/(SUMPRODUCT(($A$8:$A$31=AQ$16)*($F$5:$AJ$5=""))+IF(AQ$16="P6",COUNTIF($F$5:$AJ$5,"P6")*ROWS($A$8:$A$31),0)),"")</f>
        <v/>
      </c>
      <c r="AR18" s="6" cm="1">
        <f t="array" ref="AR18">IFERROR((SUMPRODUCT(($A$8:$A$31=AR$16)*($F$5:$AJ$5="")*$F$8:$AJ$31)+IF(AR$16="P6",SUMPRODUCT(($F$5:$AJ$5="P6")*$F$8:$AJ$31),0))/(SUMPRODUCT(($A$8:$A$31=AR$16)*($F$5:$AJ$5=""))+IF(AR$16="P6",COUNTIF($F$5:$AJ$5,"P6")*ROWS($A$8:$A$31),0)),"")</f>
        <v>1.2151090686274506</v>
      </c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 ht="14.5" x14ac:dyDescent="0.35">
      <c r="A19" s="1" t="s">
        <v>14</v>
      </c>
      <c r="B19" s="1" t="s">
        <v>15</v>
      </c>
      <c r="C19" s="1" t="s">
        <v>13</v>
      </c>
      <c r="D19" s="1" t="s">
        <v>13</v>
      </c>
      <c r="E19" s="1" t="s">
        <v>30</v>
      </c>
      <c r="F19" s="1">
        <v>1.0899799999999999</v>
      </c>
      <c r="G19" s="1">
        <v>0.98334999999999995</v>
      </c>
      <c r="H19" s="1">
        <v>1.0059100000000001</v>
      </c>
      <c r="I19" s="1">
        <v>1.03694</v>
      </c>
      <c r="J19" s="1">
        <v>1.0083299999999999</v>
      </c>
      <c r="K19" s="1">
        <v>1.1230899999999999</v>
      </c>
      <c r="L19" s="1">
        <v>0.99039999999999995</v>
      </c>
      <c r="M19" s="1">
        <v>0.98011999999999999</v>
      </c>
      <c r="N19" s="1">
        <v>0.98334999999999995</v>
      </c>
      <c r="O19" s="1">
        <v>1.0059100000000001</v>
      </c>
      <c r="P19" s="1">
        <v>1.03694</v>
      </c>
      <c r="Q19" s="1">
        <v>1.0083299999999999</v>
      </c>
      <c r="R19" s="1">
        <v>0.98738000000000004</v>
      </c>
      <c r="S19" s="1">
        <v>0.99039999999999995</v>
      </c>
      <c r="T19" s="1">
        <v>0.98011999999999999</v>
      </c>
      <c r="U19" s="1">
        <v>0.98334999999999995</v>
      </c>
      <c r="V19" s="1">
        <v>1.0059100000000001</v>
      </c>
      <c r="W19" s="1">
        <v>1.03694</v>
      </c>
      <c r="X19" s="1">
        <v>1.0083299999999999</v>
      </c>
      <c r="Y19" s="1">
        <v>0.98738000000000004</v>
      </c>
      <c r="Z19" s="1">
        <v>0.99039999999999995</v>
      </c>
      <c r="AA19" s="1">
        <v>0.98011999999999999</v>
      </c>
      <c r="AB19" s="1">
        <v>0.98334999999999995</v>
      </c>
      <c r="AC19" s="1">
        <v>1.0059100000000001</v>
      </c>
      <c r="AD19" s="1">
        <v>1.03694</v>
      </c>
      <c r="AE19" s="1">
        <v>1.0083299999999999</v>
      </c>
      <c r="AF19" s="1">
        <v>0.98738000000000004</v>
      </c>
      <c r="AG19" s="1">
        <v>0.99039999999999995</v>
      </c>
      <c r="AH19" s="1">
        <v>0.98011999999999999</v>
      </c>
      <c r="AI19" s="1">
        <v>0.98334999999999995</v>
      </c>
      <c r="AJ19" s="1">
        <v>1.0059100000000001</v>
      </c>
      <c r="AL19" s="4" t="s">
        <v>23</v>
      </c>
      <c r="AM19" s="6" t="str" cm="1">
        <f t="array" ref="AM19">IFERROR((SUMPRODUCT(($A$8:$A$31=AM$16)*($F$5:$AJ$5="")*$F$8:$AJ$31)+IF(AM$16="P6",SUMPRODUCT(($F$5:$AJ$5="P6")*$F$8:$AJ$31),0))/(SUMPRODUCT(($A$8:$A$31=AM$16)*($F$5:$AJ$5=""))+IF(AM$16="P6",COUNTIF($F$5:$AJ$5,"P6")*ROWS($A$8:$A$31),0)),"")</f>
        <v/>
      </c>
      <c r="AN19" s="6" cm="1">
        <f t="array" ref="AN19">IFERROR((SUMPRODUCT(($A$8:$A$31=AN$16)*($F$5:$AJ$5="")*$F$8:$AJ$31)+IF(AN$16="P6",SUMPRODUCT(($F$5:$AJ$5="P6")*$F$8:$AJ$31),0))/(SUMPRODUCT(($A$8:$A$31=AN$16)*($F$5:$AJ$5=""))+IF(AN$16="P6",COUNTIF($F$5:$AJ$5,"P6")*ROWS($A$8:$A$31),0)),"")</f>
        <v>1.0887794708994714</v>
      </c>
      <c r="AO19" s="6" t="str" cm="1">
        <f t="array" ref="AO19">IFERROR((SUMPRODUCT(($A$8:$A$31=AO$16)*($F$5:$AJ$5="")*$F$8:$AJ$31)+IF(AO$16="P6",SUMPRODUCT(($F$5:$AJ$5="P6")*$F$8:$AJ$31),0))/(SUMPRODUCT(($A$8:$A$31=AO$16)*($F$5:$AJ$5=""))+IF(AO$16="P6",COUNTIF($F$5:$AJ$5,"P6")*ROWS($A$8:$A$31),0)),"")</f>
        <v/>
      </c>
      <c r="AP19" s="6" cm="1">
        <f t="array" ref="AP19">IFERROR((SUMPRODUCT(($A$8:$A$31=AP$16)*($F$5:$AJ$5="")*$F$8:$AJ$31)+IF(AP$16="P6",SUMPRODUCT(($F$5:$AJ$5="P6")*$F$8:$AJ$31),0))/(SUMPRODUCT(($A$8:$A$31=AP$16)*($F$5:$AJ$5=""))+IF(AP$16="P6",COUNTIF($F$5:$AJ$5,"P6")*ROWS($A$8:$A$31),0)),"")</f>
        <v>1.1450142857142844</v>
      </c>
      <c r="AQ19" s="6" t="str" cm="1">
        <f t="array" ref="AQ19">IFERROR((SUMPRODUCT(($A$8:$A$31=AQ$16)*($F$5:$AJ$5="")*$F$8:$AJ$31)+IF(AQ$16="P6",SUMPRODUCT(($F$5:$AJ$5="P6")*$F$8:$AJ$31),0))/(SUMPRODUCT(($A$8:$A$31=AQ$16)*($F$5:$AJ$5=""))+IF(AQ$16="P6",COUNTIF($F$5:$AJ$5,"P6")*ROWS($A$8:$A$31),0)),"")</f>
        <v/>
      </c>
      <c r="AR19" s="6" cm="1">
        <f t="array" ref="AR19">IFERROR((SUMPRODUCT(($A$8:$A$31=AR$16)*($F$5:$AJ$5="")*$F$8:$AJ$31)+IF(AR$16="P6",SUMPRODUCT(($F$5:$AJ$5="P6")*$F$8:$AJ$31),0))/(SUMPRODUCT(($A$8:$A$31=AR$16)*($F$5:$AJ$5=""))+IF(AR$16="P6",COUNTIF($F$5:$AJ$5,"P6")*ROWS($A$8:$A$31),0)),"")</f>
        <v>1.2151090686274506</v>
      </c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 ht="14.5" x14ac:dyDescent="0.35">
      <c r="A20" s="1" t="s">
        <v>14</v>
      </c>
      <c r="B20" s="1" t="s">
        <v>15</v>
      </c>
      <c r="C20" s="1" t="s">
        <v>13</v>
      </c>
      <c r="D20" s="1" t="s">
        <v>13</v>
      </c>
      <c r="E20" s="1" t="s">
        <v>31</v>
      </c>
      <c r="F20" s="1">
        <v>1.05664</v>
      </c>
      <c r="G20" s="1">
        <v>0.98109999999999997</v>
      </c>
      <c r="H20" s="1">
        <v>1.0000599999999999</v>
      </c>
      <c r="I20" s="1">
        <v>1.0259799999999999</v>
      </c>
      <c r="J20" s="1">
        <v>0.99712999999999996</v>
      </c>
      <c r="K20" s="1">
        <v>1.1103499999999999</v>
      </c>
      <c r="L20" s="1">
        <v>0.98582000000000003</v>
      </c>
      <c r="M20" s="1">
        <v>0.97484999999999999</v>
      </c>
      <c r="N20" s="1">
        <v>0.98109999999999997</v>
      </c>
      <c r="O20" s="1">
        <v>1.0000599999999999</v>
      </c>
      <c r="P20" s="1">
        <v>1.0259799999999999</v>
      </c>
      <c r="Q20" s="1">
        <v>0.99712999999999996</v>
      </c>
      <c r="R20" s="1">
        <v>0.99409000000000003</v>
      </c>
      <c r="S20" s="1">
        <v>0.98582000000000003</v>
      </c>
      <c r="T20" s="1">
        <v>0.97484999999999999</v>
      </c>
      <c r="U20" s="1">
        <v>0.98109999999999997</v>
      </c>
      <c r="V20" s="1">
        <v>1.0000599999999999</v>
      </c>
      <c r="W20" s="1">
        <v>1.0259799999999999</v>
      </c>
      <c r="X20" s="1">
        <v>0.99712999999999996</v>
      </c>
      <c r="Y20" s="1">
        <v>0.99409000000000003</v>
      </c>
      <c r="Z20" s="1">
        <v>0.98582000000000003</v>
      </c>
      <c r="AA20" s="1">
        <v>0.97484999999999999</v>
      </c>
      <c r="AB20" s="1">
        <v>0.98109999999999997</v>
      </c>
      <c r="AC20" s="1">
        <v>1.0000599999999999</v>
      </c>
      <c r="AD20" s="1">
        <v>1.0259799999999999</v>
      </c>
      <c r="AE20" s="1">
        <v>0.99712999999999996</v>
      </c>
      <c r="AF20" s="1">
        <v>0.99409000000000003</v>
      </c>
      <c r="AG20" s="1">
        <v>0.98582000000000003</v>
      </c>
      <c r="AH20" s="1">
        <v>0.97484999999999999</v>
      </c>
      <c r="AI20" s="1">
        <v>0.98109999999999997</v>
      </c>
      <c r="AJ20" s="1">
        <v>1.0000599999999999</v>
      </c>
      <c r="AL20" s="4" t="s">
        <v>25</v>
      </c>
      <c r="AM20" s="6" t="str" cm="1">
        <f t="array" ref="AM20">IFERROR((SUMPRODUCT(($A$8:$A$31=AM$16)*($F$5:$AJ$5="")*$F$8:$AJ$31)+IF(AM$16="P6",SUMPRODUCT(($F$5:$AJ$5="P6")*$F$8:$AJ$31),0))/(SUMPRODUCT(($A$8:$A$31=AM$16)*($F$5:$AJ$5=""))+IF(AM$16="P6",COUNTIF($F$5:$AJ$5,"P6")*ROWS($A$8:$A$31),0)),"")</f>
        <v/>
      </c>
      <c r="AN20" s="6" cm="1">
        <f t="array" ref="AN20">IFERROR((SUMPRODUCT(($A$8:$A$31=AN$16)*($F$5:$AJ$5="")*$F$8:$AJ$31)+IF(AN$16="P6",SUMPRODUCT(($F$5:$AJ$5="P6")*$F$8:$AJ$31),0))/(SUMPRODUCT(($A$8:$A$31=AN$16)*($F$5:$AJ$5=""))+IF(AN$16="P6",COUNTIF($F$5:$AJ$5,"P6")*ROWS($A$8:$A$31),0)),"")</f>
        <v>1.0887794708994714</v>
      </c>
      <c r="AO20" s="6" t="str" cm="1">
        <f t="array" ref="AO20">IFERROR((SUMPRODUCT(($A$8:$A$31=AO$16)*($F$5:$AJ$5="")*$F$8:$AJ$31)+IF(AO$16="P6",SUMPRODUCT(($F$5:$AJ$5="P6")*$F$8:$AJ$31),0))/(SUMPRODUCT(($A$8:$A$31=AO$16)*($F$5:$AJ$5=""))+IF(AO$16="P6",COUNTIF($F$5:$AJ$5,"P6")*ROWS($A$8:$A$31),0)),"")</f>
        <v/>
      </c>
      <c r="AP20" s="6" cm="1">
        <f t="array" ref="AP20">IFERROR((SUMPRODUCT(($A$8:$A$31=AP$16)*($F$5:$AJ$5="")*$F$8:$AJ$31)+IF(AP$16="P6",SUMPRODUCT(($F$5:$AJ$5="P6")*$F$8:$AJ$31),0))/(SUMPRODUCT(($A$8:$A$31=AP$16)*($F$5:$AJ$5=""))+IF(AP$16="P6",COUNTIF($F$5:$AJ$5,"P6")*ROWS($A$8:$A$31),0)),"")</f>
        <v>1.1450142857142844</v>
      </c>
      <c r="AQ20" s="6" t="str" cm="1">
        <f t="array" ref="AQ20">IFERROR((SUMPRODUCT(($A$8:$A$31=AQ$16)*($F$5:$AJ$5="")*$F$8:$AJ$31)+IF(AQ$16="P6",SUMPRODUCT(($F$5:$AJ$5="P6")*$F$8:$AJ$31),0))/(SUMPRODUCT(($A$8:$A$31=AQ$16)*($F$5:$AJ$5=""))+IF(AQ$16="P6",COUNTIF($F$5:$AJ$5,"P6")*ROWS($A$8:$A$31),0)),"")</f>
        <v/>
      </c>
      <c r="AR20" s="6" cm="1">
        <f t="array" ref="AR20">IFERROR((SUMPRODUCT(($A$8:$A$31=AR$16)*($F$5:$AJ$5="")*$F$8:$AJ$31)+IF(AR$16="P6",SUMPRODUCT(($F$5:$AJ$5="P6")*$F$8:$AJ$31),0))/(SUMPRODUCT(($A$8:$A$31=AR$16)*($F$5:$AJ$5=""))+IF(AR$16="P6",COUNTIF($F$5:$AJ$5,"P6")*ROWS($A$8:$A$31),0)),"")</f>
        <v>1.2151090686274506</v>
      </c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 ht="14.5" x14ac:dyDescent="0.35">
      <c r="A21" s="1" t="s">
        <v>14</v>
      </c>
      <c r="B21" s="1" t="s">
        <v>15</v>
      </c>
      <c r="C21" s="1" t="s">
        <v>13</v>
      </c>
      <c r="D21" s="1" t="s">
        <v>13</v>
      </c>
      <c r="E21" s="1" t="s">
        <v>32</v>
      </c>
      <c r="F21" s="1">
        <v>1.0330699999999999</v>
      </c>
      <c r="G21" s="1">
        <v>0.96858999999999995</v>
      </c>
      <c r="H21" s="1">
        <v>0.99878</v>
      </c>
      <c r="I21" s="1">
        <v>1.00813</v>
      </c>
      <c r="J21" s="1">
        <v>1.0091000000000001</v>
      </c>
      <c r="K21" s="1">
        <v>1.09971</v>
      </c>
      <c r="L21" s="1">
        <v>0.99707000000000001</v>
      </c>
      <c r="M21" s="1">
        <v>0.97140000000000004</v>
      </c>
      <c r="N21" s="1">
        <v>0.96858999999999995</v>
      </c>
      <c r="O21" s="1">
        <v>0.99878</v>
      </c>
      <c r="P21" s="1">
        <v>1.00813</v>
      </c>
      <c r="Q21" s="1">
        <v>1.0091000000000001</v>
      </c>
      <c r="R21" s="1">
        <v>0.99268999999999996</v>
      </c>
      <c r="S21" s="1">
        <v>0.99707000000000001</v>
      </c>
      <c r="T21" s="1">
        <v>0.97140000000000004</v>
      </c>
      <c r="U21" s="1">
        <v>0.96858999999999995</v>
      </c>
      <c r="V21" s="1">
        <v>0.99878</v>
      </c>
      <c r="W21" s="1">
        <v>1.00813</v>
      </c>
      <c r="X21" s="1">
        <v>1.0091000000000001</v>
      </c>
      <c r="Y21" s="1">
        <v>0.99268999999999996</v>
      </c>
      <c r="Z21" s="1">
        <v>0.99707000000000001</v>
      </c>
      <c r="AA21" s="1">
        <v>0.97140000000000004</v>
      </c>
      <c r="AB21" s="1">
        <v>0.96858999999999995</v>
      </c>
      <c r="AC21" s="1">
        <v>0.99878</v>
      </c>
      <c r="AD21" s="1">
        <v>1.00813</v>
      </c>
      <c r="AE21" s="1">
        <v>1.0091000000000001</v>
      </c>
      <c r="AF21" s="1">
        <v>0.99268999999999996</v>
      </c>
      <c r="AG21" s="1">
        <v>0.99707000000000001</v>
      </c>
      <c r="AH21" s="1">
        <v>0.97140000000000004</v>
      </c>
      <c r="AI21" s="1">
        <v>0.96858999999999995</v>
      </c>
      <c r="AJ21" s="1">
        <v>0.99878</v>
      </c>
      <c r="AL21" s="4" t="s">
        <v>27</v>
      </c>
      <c r="AM21" s="6" t="str" cm="1">
        <f t="array" ref="AM21">IFERROR((SUMPRODUCT(($A$8:$A$31=AM$16)*($F$5:$AJ$5="")*$F$8:$AJ$31)+IF(AM$16="P6",SUMPRODUCT(($F$5:$AJ$5="P6")*$F$8:$AJ$31),0))/(SUMPRODUCT(($A$8:$A$31=AM$16)*($F$5:$AJ$5=""))+IF(AM$16="P6",COUNTIF($F$5:$AJ$5,"P6")*ROWS($A$8:$A$31),0)),"")</f>
        <v/>
      </c>
      <c r="AN21" s="6" cm="1">
        <f t="array" ref="AN21">IFERROR((SUMPRODUCT(($A$8:$A$31=AN$16)*($F$5:$AJ$5="")*$F$8:$AJ$31)+IF(AN$16="P6",SUMPRODUCT(($F$5:$AJ$5="P6")*$F$8:$AJ$31),0))/(SUMPRODUCT(($A$8:$A$31=AN$16)*($F$5:$AJ$5=""))+IF(AN$16="P6",COUNTIF($F$5:$AJ$5,"P6")*ROWS($A$8:$A$31),0)),"")</f>
        <v>1.0887794708994714</v>
      </c>
      <c r="AO21" s="6" t="str" cm="1">
        <f t="array" ref="AO21">IFERROR((SUMPRODUCT(($A$8:$A$31=AO$16)*($F$5:$AJ$5="")*$F$8:$AJ$31)+IF(AO$16="P6",SUMPRODUCT(($F$5:$AJ$5="P6")*$F$8:$AJ$31),0))/(SUMPRODUCT(($A$8:$A$31=AO$16)*($F$5:$AJ$5=""))+IF(AO$16="P6",COUNTIF($F$5:$AJ$5,"P6")*ROWS($A$8:$A$31),0)),"")</f>
        <v/>
      </c>
      <c r="AP21" s="6" cm="1">
        <f t="array" ref="AP21">IFERROR((SUMPRODUCT(($A$8:$A$31=AP$16)*($F$5:$AJ$5="")*$F$8:$AJ$31)+IF(AP$16="P6",SUMPRODUCT(($F$5:$AJ$5="P6")*$F$8:$AJ$31),0))/(SUMPRODUCT(($A$8:$A$31=AP$16)*($F$5:$AJ$5=""))+IF(AP$16="P6",COUNTIF($F$5:$AJ$5,"P6")*ROWS($A$8:$A$31),0)),"")</f>
        <v>1.1450142857142844</v>
      </c>
      <c r="AQ21" s="6" t="str" cm="1">
        <f t="array" ref="AQ21">IFERROR((SUMPRODUCT(($A$8:$A$31=AQ$16)*($F$5:$AJ$5="")*$F$8:$AJ$31)+IF(AQ$16="P6",SUMPRODUCT(($F$5:$AJ$5="P6")*$F$8:$AJ$31),0))/(SUMPRODUCT(($A$8:$A$31=AQ$16)*($F$5:$AJ$5=""))+IF(AQ$16="P6",COUNTIF($F$5:$AJ$5,"P6")*ROWS($A$8:$A$31),0)),"")</f>
        <v/>
      </c>
      <c r="AR21" s="6" cm="1">
        <f t="array" ref="AR21">IFERROR((SUMPRODUCT(($A$8:$A$31=AR$16)*($F$5:$AJ$5="")*$F$8:$AJ$31)+IF(AR$16="P6",SUMPRODUCT(($F$5:$AJ$5="P6")*$F$8:$AJ$31),0))/(SUMPRODUCT(($A$8:$A$31=AR$16)*($F$5:$AJ$5=""))+IF(AR$16="P6",COUNTIF($F$5:$AJ$5,"P6")*ROWS($A$8:$A$31),0)),"")</f>
        <v>1.2151090686274506</v>
      </c>
    </row>
    <row r="22" spans="1:62" ht="14.5" x14ac:dyDescent="0.35">
      <c r="A22" s="1" t="s">
        <v>14</v>
      </c>
      <c r="B22" s="1" t="s">
        <v>15</v>
      </c>
      <c r="C22" s="1" t="s">
        <v>14</v>
      </c>
      <c r="D22" s="1" t="s">
        <v>14</v>
      </c>
      <c r="E22" s="1" t="s">
        <v>33</v>
      </c>
      <c r="F22" s="1">
        <v>1.05227</v>
      </c>
      <c r="G22" s="1">
        <v>0.98958000000000002</v>
      </c>
      <c r="H22" s="1">
        <v>1.0197700000000001</v>
      </c>
      <c r="I22" s="1">
        <v>1.0246500000000001</v>
      </c>
      <c r="J22" s="1">
        <v>1.0269200000000001</v>
      </c>
      <c r="K22" s="1">
        <v>1.1287799999999999</v>
      </c>
      <c r="L22" s="1">
        <v>1.0148600000000001</v>
      </c>
      <c r="M22" s="1">
        <v>1.0008600000000001</v>
      </c>
      <c r="N22" s="1">
        <v>0.98958000000000002</v>
      </c>
      <c r="O22" s="1">
        <v>1.0197700000000001</v>
      </c>
      <c r="P22" s="1">
        <v>1.0246500000000001</v>
      </c>
      <c r="Q22" s="1">
        <v>1.0269200000000001</v>
      </c>
      <c r="R22" s="1">
        <v>1.00664</v>
      </c>
      <c r="S22" s="1">
        <v>1.0148600000000001</v>
      </c>
      <c r="T22" s="1">
        <v>1.0008600000000001</v>
      </c>
      <c r="U22" s="1">
        <v>0.98958000000000002</v>
      </c>
      <c r="V22" s="1">
        <v>1.0197700000000001</v>
      </c>
      <c r="W22" s="1">
        <v>1.0246500000000001</v>
      </c>
      <c r="X22" s="1">
        <v>1.0269200000000001</v>
      </c>
      <c r="Y22" s="1">
        <v>1.00664</v>
      </c>
      <c r="Z22" s="1">
        <v>1.0148600000000001</v>
      </c>
      <c r="AA22" s="1">
        <v>1.0008600000000001</v>
      </c>
      <c r="AB22" s="1">
        <v>0.98958000000000002</v>
      </c>
      <c r="AC22" s="1">
        <v>1.0197700000000001</v>
      </c>
      <c r="AD22" s="1">
        <v>1.0246500000000001</v>
      </c>
      <c r="AE22" s="1">
        <v>1.0269200000000001</v>
      </c>
      <c r="AF22" s="1">
        <v>1.00664</v>
      </c>
      <c r="AG22" s="1">
        <v>1.0148600000000001</v>
      </c>
      <c r="AH22" s="1">
        <v>1.0008600000000001</v>
      </c>
      <c r="AI22" s="1">
        <v>0.98958000000000002</v>
      </c>
      <c r="AJ22" s="1">
        <v>1.0197700000000001</v>
      </c>
      <c r="AL22" s="4" t="s">
        <v>29</v>
      </c>
      <c r="AM22" s="6" t="str" cm="1">
        <f t="array" ref="AM22">IFERROR((SUMPRODUCT(($A$8:$A$31=AM$16)*($F$5:$AJ$5="")*$F$8:$AJ$31)+IF(AM$16="P6",SUMPRODUCT(($F$5:$AJ$5="P6")*$F$8:$AJ$31),0))/(SUMPRODUCT(($A$8:$A$31=AM$16)*($F$5:$AJ$5=""))+IF(AM$16="P6",COUNTIF($F$5:$AJ$5,"P6")*ROWS($A$8:$A$31),0)),"")</f>
        <v/>
      </c>
      <c r="AN22" s="6" cm="1">
        <f t="array" ref="AN22">IFERROR((SUMPRODUCT(($A$8:$A$31=AN$16)*($F$5:$AJ$5="")*$F$8:$AJ$31)+IF(AN$16="P6",SUMPRODUCT(($F$5:$AJ$5="P6")*$F$8:$AJ$31),0))/(SUMPRODUCT(($A$8:$A$31=AN$16)*($F$5:$AJ$5=""))+IF(AN$16="P6",COUNTIF($F$5:$AJ$5,"P6")*ROWS($A$8:$A$31),0)),"")</f>
        <v>1.0887794708994714</v>
      </c>
      <c r="AO22" s="6" t="str" cm="1">
        <f t="array" ref="AO22">IFERROR((SUMPRODUCT(($A$8:$A$31=AO$16)*($F$5:$AJ$5="")*$F$8:$AJ$31)+IF(AO$16="P6",SUMPRODUCT(($F$5:$AJ$5="P6")*$F$8:$AJ$31),0))/(SUMPRODUCT(($A$8:$A$31=AO$16)*($F$5:$AJ$5=""))+IF(AO$16="P6",COUNTIF($F$5:$AJ$5,"P6")*ROWS($A$8:$A$31),0)),"")</f>
        <v/>
      </c>
      <c r="AP22" s="6" cm="1">
        <f t="array" ref="AP22">IFERROR((SUMPRODUCT(($A$8:$A$31=AP$16)*($F$5:$AJ$5="")*$F$8:$AJ$31)+IF(AP$16="P6",SUMPRODUCT(($F$5:$AJ$5="P6")*$F$8:$AJ$31),0))/(SUMPRODUCT(($A$8:$A$31=AP$16)*($F$5:$AJ$5=""))+IF(AP$16="P6",COUNTIF($F$5:$AJ$5,"P6")*ROWS($A$8:$A$31),0)),"")</f>
        <v>1.1450142857142844</v>
      </c>
      <c r="AQ22" s="6" t="str" cm="1">
        <f t="array" ref="AQ22">IFERROR((SUMPRODUCT(($A$8:$A$31=AQ$16)*($F$5:$AJ$5="")*$F$8:$AJ$31)+IF(AQ$16="P6",SUMPRODUCT(($F$5:$AJ$5="P6")*$F$8:$AJ$31),0))/(SUMPRODUCT(($A$8:$A$31=AQ$16)*($F$5:$AJ$5=""))+IF(AQ$16="P6",COUNTIF($F$5:$AJ$5,"P6")*ROWS($A$8:$A$31),0)),"")</f>
        <v/>
      </c>
      <c r="AR22" s="6" cm="1">
        <f t="array" ref="AR22">IFERROR((SUMPRODUCT(($A$8:$A$31=AR$16)*($F$5:$AJ$5="")*$F$8:$AJ$31)+IF(AR$16="P6",SUMPRODUCT(($F$5:$AJ$5="P6")*$F$8:$AJ$31),0))/(SUMPRODUCT(($A$8:$A$31=AR$16)*($F$5:$AJ$5=""))+IF(AR$16="P6",COUNTIF($F$5:$AJ$5,"P6")*ROWS($A$8:$A$31),0)),"")</f>
        <v>1.2151090686274506</v>
      </c>
    </row>
    <row r="23" spans="1:62" ht="14.5" x14ac:dyDescent="0.35">
      <c r="A23" s="1" t="s">
        <v>16</v>
      </c>
      <c r="B23" s="1" t="s">
        <v>16</v>
      </c>
      <c r="C23" s="1" t="s">
        <v>14</v>
      </c>
      <c r="D23" s="1" t="s">
        <v>14</v>
      </c>
      <c r="E23" s="1" t="s">
        <v>34</v>
      </c>
      <c r="F23" s="1">
        <v>1.1451100000000001</v>
      </c>
      <c r="G23" s="1">
        <v>1.04416</v>
      </c>
      <c r="H23" s="1">
        <v>1.0653300000000001</v>
      </c>
      <c r="I23" s="1">
        <v>1.1060000000000001</v>
      </c>
      <c r="J23" s="1">
        <v>1.0762400000000001</v>
      </c>
      <c r="K23" s="1">
        <v>1.1936199999999999</v>
      </c>
      <c r="L23" s="1">
        <v>1.0631200000000001</v>
      </c>
      <c r="M23" s="1">
        <v>1.0446</v>
      </c>
      <c r="N23" s="1">
        <v>1.04416</v>
      </c>
      <c r="O23" s="1">
        <v>1.0653300000000001</v>
      </c>
      <c r="P23" s="1">
        <v>1.1060000000000001</v>
      </c>
      <c r="Q23" s="1">
        <v>1.0762400000000001</v>
      </c>
      <c r="R23" s="1">
        <v>1.04417</v>
      </c>
      <c r="S23" s="1">
        <v>1.0631200000000001</v>
      </c>
      <c r="T23" s="1">
        <v>1.0446</v>
      </c>
      <c r="U23" s="1">
        <v>1.04416</v>
      </c>
      <c r="V23" s="1">
        <v>1.0653300000000001</v>
      </c>
      <c r="W23" s="1">
        <v>1.1060000000000001</v>
      </c>
      <c r="X23" s="1">
        <v>1.0762400000000001</v>
      </c>
      <c r="Y23" s="1">
        <v>1.04417</v>
      </c>
      <c r="Z23" s="1">
        <v>1.0631200000000001</v>
      </c>
      <c r="AA23" s="1">
        <v>1.0446</v>
      </c>
      <c r="AB23" s="1">
        <v>1.04416</v>
      </c>
      <c r="AC23" s="1">
        <v>1.0653300000000001</v>
      </c>
      <c r="AD23" s="1">
        <v>1.1060000000000001</v>
      </c>
      <c r="AE23" s="1">
        <v>1.0762400000000001</v>
      </c>
      <c r="AF23" s="1">
        <v>1.04417</v>
      </c>
      <c r="AG23" s="1">
        <v>1.0631200000000001</v>
      </c>
      <c r="AH23" s="1">
        <v>1.0446</v>
      </c>
      <c r="AI23" s="1">
        <v>1.04416</v>
      </c>
      <c r="AJ23" s="1">
        <v>1.0653300000000001</v>
      </c>
      <c r="AL23" s="10"/>
      <c r="AM23" s="10"/>
      <c r="AN23" s="10"/>
      <c r="AO23" s="10"/>
      <c r="AP23" s="10"/>
      <c r="AQ23" s="10"/>
      <c r="AR23" s="10"/>
      <c r="BB23" s="11"/>
      <c r="BC23" s="11"/>
      <c r="BD23" s="11"/>
      <c r="BE23" s="11"/>
      <c r="BF23" s="11"/>
      <c r="BG23" s="11"/>
      <c r="BH23" s="11"/>
      <c r="BI23" s="11"/>
      <c r="BJ23" s="11"/>
    </row>
    <row r="24" spans="1:62" ht="14.5" x14ac:dyDescent="0.35">
      <c r="A24" s="1" t="s">
        <v>16</v>
      </c>
      <c r="B24" s="1" t="s">
        <v>16</v>
      </c>
      <c r="C24" s="1" t="s">
        <v>14</v>
      </c>
      <c r="D24" s="1" t="s">
        <v>14</v>
      </c>
      <c r="E24" s="1" t="s">
        <v>35</v>
      </c>
      <c r="F24" s="1">
        <v>1.19408</v>
      </c>
      <c r="G24" s="1">
        <v>1.0691900000000001</v>
      </c>
      <c r="H24" s="1">
        <v>1.1166100000000001</v>
      </c>
      <c r="I24" s="1">
        <v>1.18292</v>
      </c>
      <c r="J24" s="1">
        <v>1.1013200000000001</v>
      </c>
      <c r="K24" s="1">
        <v>1.2290399999999999</v>
      </c>
      <c r="L24" s="1">
        <v>1.10019</v>
      </c>
      <c r="M24" s="1">
        <v>1.0565100000000001</v>
      </c>
      <c r="N24" s="1">
        <v>1.0691900000000001</v>
      </c>
      <c r="O24" s="1">
        <v>1.1166100000000001</v>
      </c>
      <c r="P24" s="1">
        <v>1.18292</v>
      </c>
      <c r="Q24" s="1">
        <v>1.1013200000000001</v>
      </c>
      <c r="R24" s="1">
        <v>1.0624199999999999</v>
      </c>
      <c r="S24" s="1">
        <v>1.10019</v>
      </c>
      <c r="T24" s="1">
        <v>1.0565100000000001</v>
      </c>
      <c r="U24" s="1">
        <v>1.0691900000000001</v>
      </c>
      <c r="V24" s="1">
        <v>1.1166100000000001</v>
      </c>
      <c r="W24" s="1">
        <v>1.18292</v>
      </c>
      <c r="X24" s="1">
        <v>1.1013200000000001</v>
      </c>
      <c r="Y24" s="1">
        <v>1.0624199999999999</v>
      </c>
      <c r="Z24" s="1">
        <v>1.10019</v>
      </c>
      <c r="AA24" s="1">
        <v>1.0565100000000001</v>
      </c>
      <c r="AB24" s="1">
        <v>1.0691900000000001</v>
      </c>
      <c r="AC24" s="1">
        <v>1.1166100000000001</v>
      </c>
      <c r="AD24" s="1">
        <v>1.18292</v>
      </c>
      <c r="AE24" s="1">
        <v>1.1013200000000001</v>
      </c>
      <c r="AF24" s="1">
        <v>1.0624199999999999</v>
      </c>
      <c r="AG24" s="1">
        <v>1.10019</v>
      </c>
      <c r="AH24" s="1">
        <v>1.0565100000000001</v>
      </c>
      <c r="AI24" s="1">
        <v>1.0691900000000001</v>
      </c>
      <c r="AJ24" s="1">
        <v>1.1166100000000001</v>
      </c>
      <c r="AL24" s="10"/>
      <c r="AM24" s="10"/>
      <c r="AN24" s="10"/>
      <c r="AO24" s="10"/>
      <c r="AP24" s="10"/>
      <c r="AQ24" s="10"/>
      <c r="AR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14.5" x14ac:dyDescent="0.35">
      <c r="A25" s="1" t="s">
        <v>16</v>
      </c>
      <c r="B25" s="1" t="s">
        <v>16</v>
      </c>
      <c r="C25" s="1" t="s">
        <v>14</v>
      </c>
      <c r="D25" s="1" t="s">
        <v>14</v>
      </c>
      <c r="E25" s="1" t="s">
        <v>36</v>
      </c>
      <c r="F25" s="1">
        <v>1.23475</v>
      </c>
      <c r="G25" s="1">
        <v>1.1068499999999999</v>
      </c>
      <c r="H25" s="1">
        <v>1.1576500000000001</v>
      </c>
      <c r="I25" s="1">
        <v>1.22275</v>
      </c>
      <c r="J25" s="1">
        <v>1.11859</v>
      </c>
      <c r="K25" s="1">
        <v>1.2669999999999999</v>
      </c>
      <c r="L25" s="1">
        <v>1.1202300000000001</v>
      </c>
      <c r="M25" s="1">
        <v>1.0738399999999999</v>
      </c>
      <c r="N25" s="1">
        <v>1.1068499999999999</v>
      </c>
      <c r="O25" s="1">
        <v>1.1576500000000001</v>
      </c>
      <c r="P25" s="1">
        <v>1.22275</v>
      </c>
      <c r="Q25" s="1">
        <v>1.11859</v>
      </c>
      <c r="R25" s="1">
        <v>1.10219</v>
      </c>
      <c r="S25" s="1">
        <v>1.1202300000000001</v>
      </c>
      <c r="T25" s="1">
        <v>1.0738399999999999</v>
      </c>
      <c r="U25" s="1">
        <v>1.1068499999999999</v>
      </c>
      <c r="V25" s="1">
        <v>1.1576500000000001</v>
      </c>
      <c r="W25" s="1">
        <v>1.22275</v>
      </c>
      <c r="X25" s="1">
        <v>1.11859</v>
      </c>
      <c r="Y25" s="1">
        <v>1.10219</v>
      </c>
      <c r="Z25" s="1">
        <v>1.1202300000000001</v>
      </c>
      <c r="AA25" s="1">
        <v>1.0738399999999999</v>
      </c>
      <c r="AB25" s="1">
        <v>1.1068499999999999</v>
      </c>
      <c r="AC25" s="1">
        <v>1.1576500000000001</v>
      </c>
      <c r="AD25" s="1">
        <v>1.22275</v>
      </c>
      <c r="AE25" s="1">
        <v>1.11859</v>
      </c>
      <c r="AF25" s="1">
        <v>1.10219</v>
      </c>
      <c r="AG25" s="1">
        <v>1.1202300000000001</v>
      </c>
      <c r="AH25" s="1">
        <v>1.0738399999999999</v>
      </c>
      <c r="AI25" s="1">
        <v>1.1068499999999999</v>
      </c>
      <c r="AJ25" s="1">
        <v>1.1576500000000001</v>
      </c>
      <c r="AL25" s="14" t="s">
        <v>118</v>
      </c>
      <c r="AM25" s="14"/>
      <c r="AN25" s="14"/>
      <c r="AO25" s="14"/>
      <c r="AP25" s="14"/>
      <c r="AQ25" s="14"/>
      <c r="AR25" s="14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14.5" x14ac:dyDescent="0.35">
      <c r="A26" s="1" t="s">
        <v>14</v>
      </c>
      <c r="B26" s="1" t="s">
        <v>15</v>
      </c>
      <c r="C26" s="1" t="s">
        <v>13</v>
      </c>
      <c r="D26" s="1" t="s">
        <v>13</v>
      </c>
      <c r="E26" s="1" t="s">
        <v>37</v>
      </c>
      <c r="F26" s="1">
        <v>1.25457</v>
      </c>
      <c r="G26" s="1">
        <v>1.1593899999999999</v>
      </c>
      <c r="H26" s="1">
        <v>1.1552</v>
      </c>
      <c r="I26" s="1">
        <v>1.19417</v>
      </c>
      <c r="J26" s="1">
        <v>1.1704399999999999</v>
      </c>
      <c r="K26" s="1">
        <v>1.25831</v>
      </c>
      <c r="L26" s="1">
        <v>1.16387</v>
      </c>
      <c r="M26" s="1">
        <v>1.13775</v>
      </c>
      <c r="N26" s="1">
        <v>1.1593899999999999</v>
      </c>
      <c r="O26" s="1">
        <v>1.1552</v>
      </c>
      <c r="P26" s="1">
        <v>1.19417</v>
      </c>
      <c r="Q26" s="1">
        <v>1.1704399999999999</v>
      </c>
      <c r="R26" s="1">
        <v>1.1477599999999999</v>
      </c>
      <c r="S26" s="1">
        <v>1.16387</v>
      </c>
      <c r="T26" s="1">
        <v>1.13775</v>
      </c>
      <c r="U26" s="1">
        <v>1.1593899999999999</v>
      </c>
      <c r="V26" s="1">
        <v>1.1552</v>
      </c>
      <c r="W26" s="1">
        <v>1.19417</v>
      </c>
      <c r="X26" s="1">
        <v>1.1704399999999999</v>
      </c>
      <c r="Y26" s="1">
        <v>1.1477599999999999</v>
      </c>
      <c r="Z26" s="1">
        <v>1.16387</v>
      </c>
      <c r="AA26" s="1">
        <v>1.13775</v>
      </c>
      <c r="AB26" s="1">
        <v>1.1593899999999999</v>
      </c>
      <c r="AC26" s="1">
        <v>1.1552</v>
      </c>
      <c r="AD26" s="1">
        <v>1.19417</v>
      </c>
      <c r="AE26" s="1">
        <v>1.1704399999999999</v>
      </c>
      <c r="AF26" s="1">
        <v>1.1477599999999999</v>
      </c>
      <c r="AG26" s="1">
        <v>1.16387</v>
      </c>
      <c r="AH26" s="1">
        <v>1.13775</v>
      </c>
      <c r="AI26" s="1">
        <v>1.1593899999999999</v>
      </c>
      <c r="AJ26" s="1">
        <v>1.1552</v>
      </c>
      <c r="AL26" s="4"/>
      <c r="AM26" s="4" t="s">
        <v>13</v>
      </c>
      <c r="AN26" s="4" t="s">
        <v>14</v>
      </c>
      <c r="AO26" s="4" t="s">
        <v>15</v>
      </c>
      <c r="AP26" s="4" t="s">
        <v>16</v>
      </c>
      <c r="AQ26" s="4" t="s">
        <v>17</v>
      </c>
      <c r="AR26" s="4" t="s">
        <v>7</v>
      </c>
      <c r="BB26" s="10"/>
      <c r="BC26" s="13" t="s">
        <v>152</v>
      </c>
      <c r="BD26" s="13"/>
      <c r="BE26" s="13"/>
      <c r="BF26" s="13"/>
      <c r="BG26" s="13"/>
      <c r="BH26" s="13"/>
      <c r="BI26" s="13"/>
      <c r="BJ26" s="10"/>
    </row>
    <row r="27" spans="1:62" ht="14.5" x14ac:dyDescent="0.35">
      <c r="A27" s="1" t="s">
        <v>14</v>
      </c>
      <c r="B27" s="1" t="s">
        <v>15</v>
      </c>
      <c r="C27" s="1" t="s">
        <v>13</v>
      </c>
      <c r="D27" s="1" t="s">
        <v>13</v>
      </c>
      <c r="E27" s="1" t="s">
        <v>38</v>
      </c>
      <c r="F27" s="1">
        <v>1.28399</v>
      </c>
      <c r="G27" s="1">
        <v>1.2024999999999999</v>
      </c>
      <c r="H27" s="1">
        <v>1.1523000000000001</v>
      </c>
      <c r="I27" s="1">
        <v>1.1839200000000001</v>
      </c>
      <c r="J27" s="1">
        <v>1.1886699999999999</v>
      </c>
      <c r="K27" s="1">
        <v>1.25858</v>
      </c>
      <c r="L27" s="1">
        <v>1.17831</v>
      </c>
      <c r="M27" s="1">
        <v>1.1776599999999999</v>
      </c>
      <c r="N27" s="1">
        <v>1.2024999999999999</v>
      </c>
      <c r="O27" s="1">
        <v>1.1523000000000001</v>
      </c>
      <c r="P27" s="1">
        <v>1.1839200000000001</v>
      </c>
      <c r="Q27" s="1">
        <v>1.1886699999999999</v>
      </c>
      <c r="R27" s="1">
        <v>1.1693499999999999</v>
      </c>
      <c r="S27" s="1">
        <v>1.17831</v>
      </c>
      <c r="T27" s="1">
        <v>1.1776599999999999</v>
      </c>
      <c r="U27" s="1">
        <v>1.2024999999999999</v>
      </c>
      <c r="V27" s="1">
        <v>1.1523000000000001</v>
      </c>
      <c r="W27" s="1">
        <v>1.1839200000000001</v>
      </c>
      <c r="X27" s="1">
        <v>1.1886699999999999</v>
      </c>
      <c r="Y27" s="1">
        <v>1.1693499999999999</v>
      </c>
      <c r="Z27" s="1">
        <v>1.17831</v>
      </c>
      <c r="AA27" s="1">
        <v>1.1776599999999999</v>
      </c>
      <c r="AB27" s="1">
        <v>1.2024999999999999</v>
      </c>
      <c r="AC27" s="1">
        <v>1.1523000000000001</v>
      </c>
      <c r="AD27" s="1">
        <v>1.1839200000000001</v>
      </c>
      <c r="AE27" s="1">
        <v>1.1886699999999999</v>
      </c>
      <c r="AF27" s="1">
        <v>1.1693499999999999</v>
      </c>
      <c r="AG27" s="1">
        <v>1.17831</v>
      </c>
      <c r="AH27" s="1">
        <v>1.1776599999999999</v>
      </c>
      <c r="AI27" s="1">
        <v>1.2024999999999999</v>
      </c>
      <c r="AJ27" s="1">
        <v>1.1523000000000001</v>
      </c>
      <c r="AL27" s="4" t="s">
        <v>19</v>
      </c>
      <c r="AM27" s="6" cm="1">
        <f t="array" ref="AM27">IFERROR((SUMPRODUCT(($C$8:$C$31=AM$6)*($F$4:$AJ$4="")*$F$8:$AJ$31)+IF(AM$6="P3",SUMPRODUCT(($F$4:$AJ$4="P3")*$F$8:$AJ$31),0))/(SUMPRODUCT(($C$8:$C$31=AM$6)*($F$4:$AJ$4=""))+IF(AM$6="P3",COUNTIF($F$4:$AJ$4,"P3")*ROWS($C$8:$C$31),0)),"")</f>
        <v>1.0982866666666664</v>
      </c>
      <c r="AN27" s="6" cm="1">
        <f t="array" ref="AN27">IFERROR((SUMPRODUCT(($C$8:$C$31=AN$6)*($F$4:$AJ$4="")*$F$8:$AJ$31)+IF(AN$6="P3",SUMPRODUCT(($F$4:$AJ$4="P3")*$F$8:$AJ$31),0))/(SUMPRODUCT(($C$8:$C$31=AN$6)*($F$4:$AJ$4=""))+IF(AN$6="P3",COUNTIF($F$4:$AJ$4,"P3")*ROWS($C$8:$C$31),0)),"")</f>
        <v>1.1284777380952369</v>
      </c>
      <c r="AO27" s="6" cm="1">
        <f t="array" ref="AO27">IFERROR((SUMPRODUCT(($C$8:$C$31=AO$6)*($F$4:$AJ$4="")*$F$8:$AJ$31)+IF(AO$6="P3",SUMPRODUCT(($F$4:$AJ$4="P3")*$F$8:$AJ$31),0))/(SUMPRODUCT(($C$8:$C$31=AO$6)*($F$4:$AJ$4=""))+IF(AO$6="P3",COUNTIF($F$4:$AJ$4,"P3")*ROWS($C$8:$C$31),0)),"")</f>
        <v>1.2151090686274506</v>
      </c>
      <c r="AP27" s="6" t="str" cm="1">
        <f t="array" ref="AP27">IFERROR((SUMPRODUCT(($C$8:$C$31=AP$6)*($F$4:$AJ$4="")*$F$8:$AJ$31)+IF(AP$6="P3",SUMPRODUCT(($F$4:$AJ$4="P3")*$F$8:$AJ$31),0))/(SUMPRODUCT(($C$8:$C$31=AP$6)*($F$4:$AJ$4=""))+IF(AP$6="P3",COUNTIF($F$4:$AJ$4,"P3")*ROWS($C$8:$C$31),0)),"")</f>
        <v/>
      </c>
      <c r="AQ27" s="6" t="str" cm="1">
        <f t="array" ref="AQ27">IFERROR((SUMPRODUCT(($C$8:$C$31=AQ$6)*($F$4:$AJ$4="")*$F$8:$AJ$31)+IF(AQ$6="P3",SUMPRODUCT(($F$4:$AJ$4="P3")*$F$8:$AJ$31),0))/(SUMPRODUCT(($C$8:$C$31=AQ$6)*($F$4:$AJ$4=""))+IF(AQ$6="P3",COUNTIF($F$4:$AJ$4,"P3")*ROWS($C$8:$C$31),0)),"")</f>
        <v/>
      </c>
      <c r="AR27" s="6" t="str" cm="1">
        <f t="array" ref="AR27">IFERROR((SUMPRODUCT(($C$8:$C$31=AR$6)*($F$4:$AJ$4="")*$F$8:$AJ$31)+IF(AR$6="P3",SUMPRODUCT(($F$4:$AJ$4="P3")*$F$8:$AJ$31),0))/(SUMPRODUCT(($C$8:$C$31=AR$6)*($F$4:$AJ$4=""))+IF(AR$6="P3",COUNTIF($F$4:$AJ$4,"P3")*ROWS($C$8:$C$31),0)),"")</f>
        <v/>
      </c>
      <c r="BB27" s="10"/>
      <c r="BC27" s="4"/>
      <c r="BD27" s="4" t="s">
        <v>13</v>
      </c>
      <c r="BE27" s="4" t="s">
        <v>14</v>
      </c>
      <c r="BF27" s="4" t="s">
        <v>15</v>
      </c>
      <c r="BG27" s="4" t="s">
        <v>16</v>
      </c>
      <c r="BH27" s="4" t="s">
        <v>17</v>
      </c>
      <c r="BI27" s="4" t="s">
        <v>7</v>
      </c>
      <c r="BJ27" s="10"/>
    </row>
    <row r="28" spans="1:62" ht="14.5" x14ac:dyDescent="0.35">
      <c r="A28" s="1" t="s">
        <v>14</v>
      </c>
      <c r="B28" s="1" t="s">
        <v>15</v>
      </c>
      <c r="C28" s="1" t="s">
        <v>13</v>
      </c>
      <c r="D28" s="1" t="s">
        <v>13</v>
      </c>
      <c r="E28" s="1" t="s">
        <v>39</v>
      </c>
      <c r="F28" s="1">
        <v>1.2874699999999999</v>
      </c>
      <c r="G28" s="1">
        <v>1.2321299999999999</v>
      </c>
      <c r="H28" s="1">
        <v>1.15171</v>
      </c>
      <c r="I28" s="1">
        <v>1.17713</v>
      </c>
      <c r="J28" s="1">
        <v>1.19672</v>
      </c>
      <c r="K28" s="1">
        <v>1.2642800000000001</v>
      </c>
      <c r="L28" s="1">
        <v>1.1998500000000001</v>
      </c>
      <c r="M28" s="1">
        <v>1.2175499999999999</v>
      </c>
      <c r="N28" s="1">
        <v>1.2321299999999999</v>
      </c>
      <c r="O28" s="1">
        <v>1.15171</v>
      </c>
      <c r="P28" s="1">
        <v>1.17713</v>
      </c>
      <c r="Q28" s="1">
        <v>1.19672</v>
      </c>
      <c r="R28" s="1">
        <v>1.2047600000000001</v>
      </c>
      <c r="S28" s="1">
        <v>1.1998500000000001</v>
      </c>
      <c r="T28" s="1">
        <v>1.2175499999999999</v>
      </c>
      <c r="U28" s="1">
        <v>1.2321299999999999</v>
      </c>
      <c r="V28" s="1">
        <v>1.15171</v>
      </c>
      <c r="W28" s="1">
        <v>1.17713</v>
      </c>
      <c r="X28" s="1">
        <v>1.19672</v>
      </c>
      <c r="Y28" s="1">
        <v>1.2047600000000001</v>
      </c>
      <c r="Z28" s="1">
        <v>1.1998500000000001</v>
      </c>
      <c r="AA28" s="1">
        <v>1.2175499999999999</v>
      </c>
      <c r="AB28" s="1">
        <v>1.2321299999999999</v>
      </c>
      <c r="AC28" s="1">
        <v>1.15171</v>
      </c>
      <c r="AD28" s="1">
        <v>1.17713</v>
      </c>
      <c r="AE28" s="1">
        <v>1.19672</v>
      </c>
      <c r="AF28" s="1">
        <v>1.2047600000000001</v>
      </c>
      <c r="AG28" s="1">
        <v>1.1998500000000001</v>
      </c>
      <c r="AH28" s="1">
        <v>1.2175499999999999</v>
      </c>
      <c r="AI28" s="1">
        <v>1.2321299999999999</v>
      </c>
      <c r="AJ28" s="1">
        <v>1.15171</v>
      </c>
      <c r="AL28" s="4" t="s">
        <v>21</v>
      </c>
      <c r="AM28" s="6" t="str" cm="1">
        <f t="array" ref="AM28">IFERROR((SUMPRODUCT(($B$8:$B$31=AM$26)*($F$5:$AJ$5="")*$F$8:$AJ$31)+IF(AM$26="P6",SUMPRODUCT(($F$5:$AJ$5="P6")*$F$8:$AJ$31),0))/(SUMPRODUCT(($B$8:$B$31=AM$26)*($F$5:$AJ$5=""))+IF(AM$26="P6",COUNTIF($F$5:$AJ$5,"P6")*ROWS($B$8:$B$31),0)),"")</f>
        <v/>
      </c>
      <c r="AN28" s="6" t="str" cm="1">
        <f t="array" ref="AN28">IFERROR((SUMPRODUCT(($B$8:$B$31=AN$26)*($F$5:$AJ$5="")*$F$8:$AJ$31)+IF(AN$26="P6",SUMPRODUCT(($F$5:$AJ$5="P6")*$F$8:$AJ$31),0))/(SUMPRODUCT(($B$8:$B$31=AN$26)*($F$5:$AJ$5=""))+IF(AN$26="P6",COUNTIF($F$5:$AJ$5,"P6")*ROWS($B$8:$B$31),0)),"")</f>
        <v/>
      </c>
      <c r="AO28" s="6" cm="1">
        <f t="array" ref="AO28">IFERROR((SUMPRODUCT(($B$8:$B$31=AO$26)*($F$5:$AJ$5="")*$F$8:$AJ$31)+IF(AO$26="P6",SUMPRODUCT(($F$5:$AJ$5="P6")*$F$8:$AJ$31),0))/(SUMPRODUCT(($B$8:$B$31=AO$26)*($F$5:$AJ$5=""))+IF(AO$26="P6",COUNTIF($F$5:$AJ$5,"P6")*ROWS($B$8:$B$31),0)),"")</f>
        <v>1.0887794708994714</v>
      </c>
      <c r="AP28" s="6" cm="1">
        <f t="array" ref="AP28">IFERROR((SUMPRODUCT(($B$8:$B$31=AP$26)*($F$5:$AJ$5="")*$F$8:$AJ$31)+IF(AP$26="P6",SUMPRODUCT(($F$5:$AJ$5="P6")*$F$8:$AJ$31),0))/(SUMPRODUCT(($B$8:$B$31=AP$26)*($F$5:$AJ$5=""))+IF(AP$26="P6",COUNTIF($F$5:$AJ$5,"P6")*ROWS($B$8:$B$31),0)),"")</f>
        <v>1.1450142857142844</v>
      </c>
      <c r="AQ28" s="6" t="str" cm="1">
        <f t="array" ref="AQ28">IFERROR((SUMPRODUCT(($B$8:$B$31=AQ$26)*($F$5:$AJ$5="")*$F$8:$AJ$31)+IF(AQ$26="P6",SUMPRODUCT(($F$5:$AJ$5="P6")*$F$8:$AJ$31),0))/(SUMPRODUCT(($B$8:$B$31=AQ$26)*($F$5:$AJ$5=""))+IF(AQ$26="P6",COUNTIF($F$5:$AJ$5,"P6")*ROWS($B$8:$B$31),0)),"")</f>
        <v/>
      </c>
      <c r="AR28" s="6" cm="1">
        <f t="array" ref="AR28">IFERROR((SUMPRODUCT(($B$8:$B$31=AR$26)*($F$5:$AJ$5="")*$F$8:$AJ$31)+IF(AR$26="P6",SUMPRODUCT(($F$5:$AJ$5="P6")*$F$8:$AJ$31),0))/(SUMPRODUCT(($B$8:$B$31=AR$26)*($F$5:$AJ$5=""))+IF(AR$26="P6",COUNTIF($F$5:$AJ$5,"P6")*ROWS($B$8:$B$31),0)),"")</f>
        <v>1.2151090686274506</v>
      </c>
      <c r="BB28" s="10"/>
      <c r="BC28" s="4" t="s">
        <v>19</v>
      </c>
      <c r="BD28" s="6">
        <f>AVERAGE(AM17,AM52,AM87,AM122,AM157,AM192,AM227,AM262,AM297,AM332,AM367,AM402)</f>
        <v>0.9694572173834618</v>
      </c>
      <c r="BE28" s="6">
        <f t="shared" ref="BE28:BI33" si="5">AVERAGE(AN17,AN52,AN87,AN122,AN157,AN192,AN227,AN262,AN297,AN332,AN367,AN402)</f>
        <v>1.0261479948926375</v>
      </c>
      <c r="BF28" s="6">
        <f t="shared" si="5"/>
        <v>1.024348516691431</v>
      </c>
      <c r="BG28" s="6"/>
      <c r="BH28" s="6"/>
      <c r="BI28" s="6"/>
      <c r="BJ28" s="10"/>
    </row>
    <row r="29" spans="1:62" ht="14.5" x14ac:dyDescent="0.35">
      <c r="A29" s="1" t="s">
        <v>14</v>
      </c>
      <c r="B29" s="1" t="s">
        <v>15</v>
      </c>
      <c r="C29" s="1" t="s">
        <v>13</v>
      </c>
      <c r="D29" s="1" t="s">
        <v>13</v>
      </c>
      <c r="E29" s="1" t="s">
        <v>40</v>
      </c>
      <c r="F29" s="1">
        <v>1.28877</v>
      </c>
      <c r="G29" s="1">
        <v>1.25451</v>
      </c>
      <c r="H29" s="1">
        <v>1.1549</v>
      </c>
      <c r="I29" s="1">
        <v>1.18546</v>
      </c>
      <c r="J29" s="1">
        <v>1.2246600000000001</v>
      </c>
      <c r="K29" s="1">
        <v>1.2755799999999999</v>
      </c>
      <c r="L29" s="1">
        <v>1.2243200000000001</v>
      </c>
      <c r="M29" s="1">
        <v>1.2480800000000001</v>
      </c>
      <c r="N29" s="1">
        <v>1.25451</v>
      </c>
      <c r="O29" s="1">
        <v>1.1549</v>
      </c>
      <c r="P29" s="1">
        <v>1.18546</v>
      </c>
      <c r="Q29" s="1">
        <v>1.2246600000000001</v>
      </c>
      <c r="R29" s="1">
        <v>1.2293700000000001</v>
      </c>
      <c r="S29" s="1">
        <v>1.2243200000000001</v>
      </c>
      <c r="T29" s="1">
        <v>1.2480800000000001</v>
      </c>
      <c r="U29" s="1">
        <v>1.25451</v>
      </c>
      <c r="V29" s="1">
        <v>1.1549</v>
      </c>
      <c r="W29" s="1">
        <v>1.18546</v>
      </c>
      <c r="X29" s="1">
        <v>1.2246600000000001</v>
      </c>
      <c r="Y29" s="1">
        <v>1.2293700000000001</v>
      </c>
      <c r="Z29" s="1">
        <v>1.2243200000000001</v>
      </c>
      <c r="AA29" s="1">
        <v>1.2480800000000001</v>
      </c>
      <c r="AB29" s="1">
        <v>1.25451</v>
      </c>
      <c r="AC29" s="1">
        <v>1.1549</v>
      </c>
      <c r="AD29" s="1">
        <v>1.18546</v>
      </c>
      <c r="AE29" s="1">
        <v>1.2246600000000001</v>
      </c>
      <c r="AF29" s="1">
        <v>1.2293700000000001</v>
      </c>
      <c r="AG29" s="1">
        <v>1.2243200000000001</v>
      </c>
      <c r="AH29" s="1">
        <v>1.2480800000000001</v>
      </c>
      <c r="AI29" s="1">
        <v>1.25451</v>
      </c>
      <c r="AJ29" s="1">
        <v>1.1549</v>
      </c>
      <c r="AL29" s="4" t="s">
        <v>23</v>
      </c>
      <c r="AM29" s="6" t="str" cm="1">
        <f t="array" ref="AM29">IFERROR((SUMPRODUCT(($B$8:$B$31=AM$26)*($F$5:$AJ$5="")*$F$8:$AJ$31)+IF(AM$26="P6",SUMPRODUCT(($F$5:$AJ$5="P6")*$F$8:$AJ$31),0))/(SUMPRODUCT(($B$8:$B$31=AM$26)*($F$5:$AJ$5=""))+IF(AM$26="P6",COUNTIF($F$5:$AJ$5,"P6")*ROWS($B$8:$B$31),0)),"")</f>
        <v/>
      </c>
      <c r="AN29" s="6" t="str" cm="1">
        <f t="array" ref="AN29">IFERROR((SUMPRODUCT(($B$8:$B$31=AN$26)*($F$5:$AJ$5="")*$F$8:$AJ$31)+IF(AN$26="P6",SUMPRODUCT(($F$5:$AJ$5="P6")*$F$8:$AJ$31),0))/(SUMPRODUCT(($B$8:$B$31=AN$26)*($F$5:$AJ$5=""))+IF(AN$26="P6",COUNTIF($F$5:$AJ$5,"P6")*ROWS($B$8:$B$31),0)),"")</f>
        <v/>
      </c>
      <c r="AO29" s="6" cm="1">
        <f t="array" ref="AO29">IFERROR((SUMPRODUCT(($B$8:$B$31=AO$26)*($F$5:$AJ$5="")*$F$8:$AJ$31)+IF(AO$26="P6",SUMPRODUCT(($F$5:$AJ$5="P6")*$F$8:$AJ$31),0))/(SUMPRODUCT(($B$8:$B$31=AO$26)*($F$5:$AJ$5=""))+IF(AO$26="P6",COUNTIF($F$5:$AJ$5,"P6")*ROWS($B$8:$B$31),0)),"")</f>
        <v>1.0887794708994714</v>
      </c>
      <c r="AP29" s="6" cm="1">
        <f t="array" ref="AP29">IFERROR((SUMPRODUCT(($B$8:$B$31=AP$26)*($F$5:$AJ$5="")*$F$8:$AJ$31)+IF(AP$26="P6",SUMPRODUCT(($F$5:$AJ$5="P6")*$F$8:$AJ$31),0))/(SUMPRODUCT(($B$8:$B$31=AP$26)*($F$5:$AJ$5=""))+IF(AP$26="P6",COUNTIF($F$5:$AJ$5,"P6")*ROWS($B$8:$B$31),0)),"")</f>
        <v>1.1450142857142844</v>
      </c>
      <c r="AQ29" s="6" t="str" cm="1">
        <f t="array" ref="AQ29">IFERROR((SUMPRODUCT(($B$8:$B$31=AQ$26)*($F$5:$AJ$5="")*$F$8:$AJ$31)+IF(AQ$26="P6",SUMPRODUCT(($F$5:$AJ$5="P6")*$F$8:$AJ$31),0))/(SUMPRODUCT(($B$8:$B$31=AQ$26)*($F$5:$AJ$5=""))+IF(AQ$26="P6",COUNTIF($F$5:$AJ$5,"P6")*ROWS($B$8:$B$31),0)),"")</f>
        <v/>
      </c>
      <c r="AR29" s="6" cm="1">
        <f t="array" ref="AR29">IFERROR((SUMPRODUCT(($B$8:$B$31=AR$26)*($F$5:$AJ$5="")*$F$8:$AJ$31)+IF(AR$26="P6",SUMPRODUCT(($F$5:$AJ$5="P6")*$F$8:$AJ$31),0))/(SUMPRODUCT(($B$8:$B$31=AR$26)*($F$5:$AJ$5=""))+IF(AR$26="P6",COUNTIF($F$5:$AJ$5,"P6")*ROWS($B$8:$B$31),0)),"")</f>
        <v>1.2151090686274506</v>
      </c>
      <c r="BB29" s="10"/>
      <c r="BC29" s="4" t="s">
        <v>21</v>
      </c>
      <c r="BD29" s="6">
        <f t="shared" ref="BD29:BD33" si="6">AVERAGE(AM18,AM53,AM88,AM123,AM158,AM193,AM228,AM263,AM298,AM333,AM368,AM403)</f>
        <v>0.88630621267017995</v>
      </c>
      <c r="BE29" s="6">
        <f t="shared" si="5"/>
        <v>1.0500461772005771</v>
      </c>
      <c r="BF29" s="6">
        <f>AVERAGE(AO18,AO53,AO88,AO123,AO158,AO193,AO228,AO263,AO298,AO333,AO368,AO403)</f>
        <v>0.98732995937637236</v>
      </c>
      <c r="BG29" s="6">
        <f t="shared" si="5"/>
        <v>1.035266372053872</v>
      </c>
      <c r="BH29" s="6">
        <f t="shared" si="5"/>
        <v>1.0407464761904761</v>
      </c>
      <c r="BI29" s="6">
        <f t="shared" si="5"/>
        <v>1.024348516691431</v>
      </c>
      <c r="BJ29" s="10"/>
    </row>
    <row r="30" spans="1:62" ht="14.5" x14ac:dyDescent="0.35">
      <c r="A30" s="1" t="s">
        <v>16</v>
      </c>
      <c r="B30" s="1" t="s">
        <v>16</v>
      </c>
      <c r="C30" s="1" t="s">
        <v>14</v>
      </c>
      <c r="D30" s="1" t="s">
        <v>14</v>
      </c>
      <c r="E30" s="1" t="s">
        <v>41</v>
      </c>
      <c r="F30" s="1">
        <v>1.32443</v>
      </c>
      <c r="G30" s="1">
        <v>1.2694799999999999</v>
      </c>
      <c r="H30" s="1">
        <v>1.1814800000000001</v>
      </c>
      <c r="I30" s="1">
        <v>1.1922299999999999</v>
      </c>
      <c r="J30" s="1">
        <v>1.25637</v>
      </c>
      <c r="K30" s="1">
        <v>1.3135600000000001</v>
      </c>
      <c r="L30" s="1">
        <v>1.26346</v>
      </c>
      <c r="M30" s="1">
        <v>1.2784899999999999</v>
      </c>
      <c r="N30" s="1">
        <v>1.2694799999999999</v>
      </c>
      <c r="O30" s="1">
        <v>1.1814800000000001</v>
      </c>
      <c r="P30" s="1">
        <v>1.1922299999999999</v>
      </c>
      <c r="Q30" s="1">
        <v>1.25637</v>
      </c>
      <c r="R30" s="1">
        <v>1.25874</v>
      </c>
      <c r="S30" s="1">
        <v>1.26346</v>
      </c>
      <c r="T30" s="1">
        <v>1.2784899999999999</v>
      </c>
      <c r="U30" s="1">
        <v>1.2694799999999999</v>
      </c>
      <c r="V30" s="1">
        <v>1.1814800000000001</v>
      </c>
      <c r="W30" s="1">
        <v>1.1922299999999999</v>
      </c>
      <c r="X30" s="1">
        <v>1.25637</v>
      </c>
      <c r="Y30" s="1">
        <v>1.25874</v>
      </c>
      <c r="Z30" s="1">
        <v>1.26346</v>
      </c>
      <c r="AA30" s="1">
        <v>1.2784899999999999</v>
      </c>
      <c r="AB30" s="1">
        <v>1.2694799999999999</v>
      </c>
      <c r="AC30" s="1">
        <v>1.1814800000000001</v>
      </c>
      <c r="AD30" s="1">
        <v>1.1922299999999999</v>
      </c>
      <c r="AE30" s="1">
        <v>1.25637</v>
      </c>
      <c r="AF30" s="1">
        <v>1.25874</v>
      </c>
      <c r="AG30" s="1">
        <v>1.26346</v>
      </c>
      <c r="AH30" s="1">
        <v>1.2784899999999999</v>
      </c>
      <c r="AI30" s="1">
        <v>1.2694799999999999</v>
      </c>
      <c r="AJ30" s="1">
        <v>1.1814800000000001</v>
      </c>
      <c r="AL30" s="4" t="s">
        <v>25</v>
      </c>
      <c r="AM30" s="6" t="str" cm="1">
        <f t="array" ref="AM30">IFERROR((SUMPRODUCT(($B$8:$B$31=AM$26)*($F$5:$AJ$5="")*$F$8:$AJ$31)+IF(AM$26="P6",SUMPRODUCT(($F$5:$AJ$5="P6")*$F$8:$AJ$31),0))/(SUMPRODUCT(($B$8:$B$31=AM$26)*($F$5:$AJ$5=""))+IF(AM$26="P6",COUNTIF($F$5:$AJ$5,"P6")*ROWS($B$8:$B$31),0)),"")</f>
        <v/>
      </c>
      <c r="AN30" s="6" t="str" cm="1">
        <f t="array" ref="AN30">IFERROR((SUMPRODUCT(($B$8:$B$31=AN$26)*($F$5:$AJ$5="")*$F$8:$AJ$31)+IF(AN$26="P6",SUMPRODUCT(($F$5:$AJ$5="P6")*$F$8:$AJ$31),0))/(SUMPRODUCT(($B$8:$B$31=AN$26)*($F$5:$AJ$5=""))+IF(AN$26="P6",COUNTIF($F$5:$AJ$5,"P6")*ROWS($B$8:$B$31),0)),"")</f>
        <v/>
      </c>
      <c r="AO30" s="6" cm="1">
        <f t="array" ref="AO30">IFERROR((SUMPRODUCT(($B$8:$B$31=AO$26)*($F$5:$AJ$5="")*$F$8:$AJ$31)+IF(AO$26="P6",SUMPRODUCT(($F$5:$AJ$5="P6")*$F$8:$AJ$31),0))/(SUMPRODUCT(($B$8:$B$31=AO$26)*($F$5:$AJ$5=""))+IF(AO$26="P6",COUNTIF($F$5:$AJ$5,"P6")*ROWS($B$8:$B$31),0)),"")</f>
        <v>1.0887794708994714</v>
      </c>
      <c r="AP30" s="6" cm="1">
        <f t="array" ref="AP30">IFERROR((SUMPRODUCT(($B$8:$B$31=AP$26)*($F$5:$AJ$5="")*$F$8:$AJ$31)+IF(AP$26="P6",SUMPRODUCT(($F$5:$AJ$5="P6")*$F$8:$AJ$31),0))/(SUMPRODUCT(($B$8:$B$31=AP$26)*($F$5:$AJ$5=""))+IF(AP$26="P6",COUNTIF($F$5:$AJ$5,"P6")*ROWS($B$8:$B$31),0)),"")</f>
        <v>1.1450142857142844</v>
      </c>
      <c r="AQ30" s="6" t="str" cm="1">
        <f t="array" ref="AQ30">IFERROR((SUMPRODUCT(($B$8:$B$31=AQ$26)*($F$5:$AJ$5="")*$F$8:$AJ$31)+IF(AQ$26="P6",SUMPRODUCT(($F$5:$AJ$5="P6")*$F$8:$AJ$31),0))/(SUMPRODUCT(($B$8:$B$31=AQ$26)*($F$5:$AJ$5=""))+IF(AQ$26="P6",COUNTIF($F$5:$AJ$5,"P6")*ROWS($B$8:$B$31),0)),"")</f>
        <v/>
      </c>
      <c r="AR30" s="6" cm="1">
        <f t="array" ref="AR30">IFERROR((SUMPRODUCT(($B$8:$B$31=AR$26)*($F$5:$AJ$5="")*$F$8:$AJ$31)+IF(AR$26="P6",SUMPRODUCT(($F$5:$AJ$5="P6")*$F$8:$AJ$31),0))/(SUMPRODUCT(($B$8:$B$31=AR$26)*($F$5:$AJ$5=""))+IF(AR$26="P6",COUNTIF($F$5:$AJ$5,"P6")*ROWS($B$8:$B$31),0)),"")</f>
        <v>1.2151090686274506</v>
      </c>
      <c r="BB30" s="10"/>
      <c r="BC30" s="4" t="s">
        <v>23</v>
      </c>
      <c r="BD30" s="6">
        <f t="shared" si="6"/>
        <v>0.88630621267017995</v>
      </c>
      <c r="BE30" s="6">
        <f t="shared" si="5"/>
        <v>1.0500461772005771</v>
      </c>
      <c r="BF30" s="6">
        <f t="shared" si="5"/>
        <v>0.98732995937637236</v>
      </c>
      <c r="BG30" s="6">
        <f t="shared" si="5"/>
        <v>1.035266372053872</v>
      </c>
      <c r="BH30" s="6">
        <f t="shared" si="5"/>
        <v>1.0407464761904761</v>
      </c>
      <c r="BI30" s="6">
        <f t="shared" si="5"/>
        <v>1.024348516691431</v>
      </c>
      <c r="BJ30" s="10"/>
    </row>
    <row r="31" spans="1:62" ht="14.5" x14ac:dyDescent="0.35">
      <c r="A31" s="1" t="s">
        <v>16</v>
      </c>
      <c r="B31" s="1" t="s">
        <v>16</v>
      </c>
      <c r="C31" s="1" t="s">
        <v>14</v>
      </c>
      <c r="D31" s="1" t="s">
        <v>14</v>
      </c>
      <c r="E31" s="1" t="s">
        <v>42</v>
      </c>
      <c r="F31" s="1">
        <v>1.37704</v>
      </c>
      <c r="G31" s="1">
        <v>1.31273</v>
      </c>
      <c r="H31" s="1">
        <v>1.22224</v>
      </c>
      <c r="I31" s="1">
        <v>1.23065</v>
      </c>
      <c r="J31" s="1">
        <v>1.27881</v>
      </c>
      <c r="K31" s="1">
        <v>1.3567100000000001</v>
      </c>
      <c r="L31" s="1">
        <v>1.3101400000000001</v>
      </c>
      <c r="M31" s="1">
        <v>1.31362</v>
      </c>
      <c r="N31" s="1">
        <v>1.31273</v>
      </c>
      <c r="O31" s="1">
        <v>1.22224</v>
      </c>
      <c r="P31" s="1">
        <v>1.23065</v>
      </c>
      <c r="Q31" s="1">
        <v>1.27881</v>
      </c>
      <c r="R31" s="1">
        <v>1.3008599999999999</v>
      </c>
      <c r="S31" s="1">
        <v>1.3101400000000001</v>
      </c>
      <c r="T31" s="1">
        <v>1.31362</v>
      </c>
      <c r="U31" s="1">
        <v>1.31273</v>
      </c>
      <c r="V31" s="1">
        <v>1.22224</v>
      </c>
      <c r="W31" s="1">
        <v>1.23065</v>
      </c>
      <c r="X31" s="1">
        <v>1.27881</v>
      </c>
      <c r="Y31" s="1">
        <v>1.3008599999999999</v>
      </c>
      <c r="Z31" s="1">
        <v>1.3101400000000001</v>
      </c>
      <c r="AA31" s="1">
        <v>1.31362</v>
      </c>
      <c r="AB31" s="1">
        <v>1.31273</v>
      </c>
      <c r="AC31" s="1">
        <v>1.22224</v>
      </c>
      <c r="AD31" s="1">
        <v>1.23065</v>
      </c>
      <c r="AE31" s="1">
        <v>1.27881</v>
      </c>
      <c r="AF31" s="1">
        <v>1.3008599999999999</v>
      </c>
      <c r="AG31" s="1">
        <v>1.3101400000000001</v>
      </c>
      <c r="AH31" s="1">
        <v>1.31362</v>
      </c>
      <c r="AI31" s="1">
        <v>1.31273</v>
      </c>
      <c r="AJ31" s="1">
        <v>1.22224</v>
      </c>
      <c r="AL31" s="4" t="s">
        <v>27</v>
      </c>
      <c r="AM31" s="6" t="str" cm="1">
        <f t="array" ref="AM31">IFERROR((SUMPRODUCT(($B$8:$B$31=AM$26)*($F$5:$AJ$5="")*$F$8:$AJ$31)+IF(AM$26="P6",SUMPRODUCT(($F$5:$AJ$5="P6")*$F$8:$AJ$31),0))/(SUMPRODUCT(($B$8:$B$31=AM$26)*($F$5:$AJ$5=""))+IF(AM$26="P6",COUNTIF($F$5:$AJ$5,"P6")*ROWS($B$8:$B$31),0)),"")</f>
        <v/>
      </c>
      <c r="AN31" s="6" t="str" cm="1">
        <f t="array" ref="AN31">IFERROR((SUMPRODUCT(($B$8:$B$31=AN$26)*($F$5:$AJ$5="")*$F$8:$AJ$31)+IF(AN$26="P6",SUMPRODUCT(($F$5:$AJ$5="P6")*$F$8:$AJ$31),0))/(SUMPRODUCT(($B$8:$B$31=AN$26)*($F$5:$AJ$5=""))+IF(AN$26="P6",COUNTIF($F$5:$AJ$5,"P6")*ROWS($B$8:$B$31),0)),"")</f>
        <v/>
      </c>
      <c r="AO31" s="6" cm="1">
        <f t="array" ref="AO31">IFERROR((SUMPRODUCT(($B$8:$B$31=AO$26)*($F$5:$AJ$5="")*$F$8:$AJ$31)+IF(AO$26="P6",SUMPRODUCT(($F$5:$AJ$5="P6")*$F$8:$AJ$31),0))/(SUMPRODUCT(($B$8:$B$31=AO$26)*($F$5:$AJ$5=""))+IF(AO$26="P6",COUNTIF($F$5:$AJ$5,"P6")*ROWS($B$8:$B$31),0)),"")</f>
        <v>1.0887794708994714</v>
      </c>
      <c r="AP31" s="6" cm="1">
        <f t="array" ref="AP31">IFERROR((SUMPRODUCT(($B$8:$B$31=AP$26)*($F$5:$AJ$5="")*$F$8:$AJ$31)+IF(AP$26="P6",SUMPRODUCT(($F$5:$AJ$5="P6")*$F$8:$AJ$31),0))/(SUMPRODUCT(($B$8:$B$31=AP$26)*($F$5:$AJ$5=""))+IF(AP$26="P6",COUNTIF($F$5:$AJ$5,"P6")*ROWS($B$8:$B$31),0)),"")</f>
        <v>1.1450142857142844</v>
      </c>
      <c r="AQ31" s="6" t="str" cm="1">
        <f t="array" ref="AQ31">IFERROR((SUMPRODUCT(($B$8:$B$31=AQ$26)*($F$5:$AJ$5="")*$F$8:$AJ$31)+IF(AQ$26="P6",SUMPRODUCT(($F$5:$AJ$5="P6")*$F$8:$AJ$31),0))/(SUMPRODUCT(($B$8:$B$31=AQ$26)*($F$5:$AJ$5=""))+IF(AQ$26="P6",COUNTIF($F$5:$AJ$5,"P6")*ROWS($B$8:$B$31),0)),"")</f>
        <v/>
      </c>
      <c r="AR31" s="6" cm="1">
        <f t="array" ref="AR31">IFERROR((SUMPRODUCT(($B$8:$B$31=AR$26)*($F$5:$AJ$5="")*$F$8:$AJ$31)+IF(AR$26="P6",SUMPRODUCT(($F$5:$AJ$5="P6")*$F$8:$AJ$31),0))/(SUMPRODUCT(($B$8:$B$31=AR$26)*($F$5:$AJ$5=""))+IF(AR$26="P6",COUNTIF($F$5:$AJ$5,"P6")*ROWS($B$8:$B$31),0)),"")</f>
        <v>1.2151090686274506</v>
      </c>
      <c r="BB31" s="10"/>
      <c r="BC31" s="4" t="s">
        <v>25</v>
      </c>
      <c r="BD31" s="6">
        <f t="shared" si="6"/>
        <v>0.88630621267017995</v>
      </c>
      <c r="BE31" s="6">
        <f t="shared" si="5"/>
        <v>1.0500461772005771</v>
      </c>
      <c r="BF31" s="6">
        <f t="shared" si="5"/>
        <v>0.98732995937637236</v>
      </c>
      <c r="BG31" s="6">
        <f t="shared" si="5"/>
        <v>1.035266372053872</v>
      </c>
      <c r="BH31" s="6">
        <f t="shared" si="5"/>
        <v>1.0407464761904761</v>
      </c>
      <c r="BI31" s="6">
        <f t="shared" si="5"/>
        <v>1.024348516691431</v>
      </c>
      <c r="BJ31" s="10"/>
    </row>
    <row r="32" spans="1:62" ht="14.25" customHeight="1" x14ac:dyDescent="0.35">
      <c r="AL32" s="4" t="s">
        <v>29</v>
      </c>
      <c r="AM32" s="6" t="str" cm="1">
        <f t="array" ref="AM32">IFERROR((SUMPRODUCT(($B$8:$B$31=AM$26)*($F$5:$AJ$5="")*$F$8:$AJ$31)+IF(AM$26="P6",SUMPRODUCT(($F$5:$AJ$5="P6")*$F$8:$AJ$31),0))/(SUMPRODUCT(($B$8:$B$31=AM$26)*($F$5:$AJ$5=""))+IF(AM$26="P6",COUNTIF($F$5:$AJ$5,"P6")*ROWS($B$8:$B$31),0)),"")</f>
        <v/>
      </c>
      <c r="AN32" s="6" t="str" cm="1">
        <f t="array" ref="AN32">IFERROR((SUMPRODUCT(($B$8:$B$31=AN$26)*($F$5:$AJ$5="")*$F$8:$AJ$31)+IF(AN$26="P6",SUMPRODUCT(($F$5:$AJ$5="P6")*$F$8:$AJ$31),0))/(SUMPRODUCT(($B$8:$B$31=AN$26)*($F$5:$AJ$5=""))+IF(AN$26="P6",COUNTIF($F$5:$AJ$5,"P6")*ROWS($B$8:$B$31),0)),"")</f>
        <v/>
      </c>
      <c r="AO32" s="6" cm="1">
        <f t="array" ref="AO32">IFERROR((SUMPRODUCT(($B$8:$B$31=AO$26)*($F$5:$AJ$5="")*$F$8:$AJ$31)+IF(AO$26="P6",SUMPRODUCT(($F$5:$AJ$5="P6")*$F$8:$AJ$31),0))/(SUMPRODUCT(($B$8:$B$31=AO$26)*($F$5:$AJ$5=""))+IF(AO$26="P6",COUNTIF($F$5:$AJ$5,"P6")*ROWS($B$8:$B$31),0)),"")</f>
        <v>1.0887794708994714</v>
      </c>
      <c r="AP32" s="6" cm="1">
        <f t="array" ref="AP32">IFERROR((SUMPRODUCT(($B$8:$B$31=AP$26)*($F$5:$AJ$5="")*$F$8:$AJ$31)+IF(AP$26="P6",SUMPRODUCT(($F$5:$AJ$5="P6")*$F$8:$AJ$31),0))/(SUMPRODUCT(($B$8:$B$31=AP$26)*($F$5:$AJ$5=""))+IF(AP$26="P6",COUNTIF($F$5:$AJ$5,"P6")*ROWS($B$8:$B$31),0)),"")</f>
        <v>1.1450142857142844</v>
      </c>
      <c r="AQ32" s="6" t="str" cm="1">
        <f t="array" ref="AQ32">IFERROR((SUMPRODUCT(($B$8:$B$31=AQ$26)*($F$5:$AJ$5="")*$F$8:$AJ$31)+IF(AQ$26="P6",SUMPRODUCT(($F$5:$AJ$5="P6")*$F$8:$AJ$31),0))/(SUMPRODUCT(($B$8:$B$31=AQ$26)*($F$5:$AJ$5=""))+IF(AQ$26="P6",COUNTIF($F$5:$AJ$5,"P6")*ROWS($B$8:$B$31),0)),"")</f>
        <v/>
      </c>
      <c r="AR32" s="6" cm="1">
        <f t="array" ref="AR32">IFERROR((SUMPRODUCT(($B$8:$B$31=AR$26)*($F$5:$AJ$5="")*$F$8:$AJ$31)+IF(AR$26="P6",SUMPRODUCT(($F$5:$AJ$5="P6")*$F$8:$AJ$31),0))/(SUMPRODUCT(($B$8:$B$31=AR$26)*($F$5:$AJ$5=""))+IF(AR$26="P6",COUNTIF($F$5:$AJ$5,"P6")*ROWS($B$8:$B$31),0)),"")</f>
        <v>1.2151090686274506</v>
      </c>
      <c r="BB32" s="10"/>
      <c r="BC32" s="4" t="s">
        <v>27</v>
      </c>
      <c r="BD32" s="6">
        <f t="shared" si="6"/>
        <v>0.88630621267017995</v>
      </c>
      <c r="BE32" s="6">
        <f t="shared" si="5"/>
        <v>1.0500461772005771</v>
      </c>
      <c r="BF32" s="6">
        <f t="shared" si="5"/>
        <v>0.98732995937637236</v>
      </c>
      <c r="BG32" s="6">
        <f t="shared" si="5"/>
        <v>1.035266372053872</v>
      </c>
      <c r="BH32" s="6">
        <f t="shared" si="5"/>
        <v>1.0407464761904761</v>
      </c>
      <c r="BI32" s="6">
        <f t="shared" si="5"/>
        <v>1.024348516691431</v>
      </c>
      <c r="BJ32" s="10"/>
    </row>
    <row r="33" spans="1:62" ht="14.25" customHeight="1" x14ac:dyDescent="0.35">
      <c r="BB33" s="10"/>
      <c r="BC33" s="4" t="s">
        <v>29</v>
      </c>
      <c r="BD33" s="6">
        <f t="shared" si="6"/>
        <v>0.88630621267017995</v>
      </c>
      <c r="BE33" s="6">
        <f t="shared" si="5"/>
        <v>1.0500461772005771</v>
      </c>
      <c r="BF33" s="6">
        <f t="shared" si="5"/>
        <v>0.98732995937637236</v>
      </c>
      <c r="BG33" s="6">
        <f t="shared" si="5"/>
        <v>1.035266372053872</v>
      </c>
      <c r="BH33" s="6">
        <f t="shared" si="5"/>
        <v>1.0407464761904761</v>
      </c>
      <c r="BI33" s="6">
        <f t="shared" si="5"/>
        <v>1.024348516691431</v>
      </c>
      <c r="BJ33" s="10"/>
    </row>
    <row r="34" spans="1:62" ht="14.25" customHeight="1" x14ac:dyDescent="0.35"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ht="14.25" customHeight="1" x14ac:dyDescent="0.35"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 ht="14.25" customHeight="1" x14ac:dyDescent="0.35">
      <c r="A36" s="15" t="s">
        <v>61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 ht="14.25" customHeight="1" x14ac:dyDescent="0.3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</row>
    <row r="38" spans="1:62" ht="14.25" customHeight="1" x14ac:dyDescent="0.35">
      <c r="AL38" s="10"/>
      <c r="AM38" s="10"/>
      <c r="AN38" s="10"/>
      <c r="AO38" s="10"/>
      <c r="AP38" s="10"/>
      <c r="AQ38" s="10"/>
      <c r="AR38" s="10"/>
    </row>
    <row r="39" spans="1:62" ht="14.25" customHeight="1" x14ac:dyDescent="0.35">
      <c r="F39" s="1" t="str">
        <f>IF(OR(F41="S",F41="D"),"P3","")</f>
        <v>P3</v>
      </c>
      <c r="G39" s="1" t="str">
        <f t="shared" ref="G39:AG39" si="7">IF(OR(G41="S",G41="D"),"P3","")</f>
        <v/>
      </c>
      <c r="H39" s="1" t="str">
        <f t="shared" si="7"/>
        <v/>
      </c>
      <c r="I39" s="1" t="str">
        <f t="shared" si="7"/>
        <v/>
      </c>
      <c r="J39" s="1" t="str">
        <f t="shared" si="7"/>
        <v/>
      </c>
      <c r="K39" s="1" t="str">
        <f t="shared" si="7"/>
        <v/>
      </c>
      <c r="L39" s="1" t="str">
        <f t="shared" si="7"/>
        <v>P3</v>
      </c>
      <c r="M39" s="1" t="str">
        <f t="shared" si="7"/>
        <v>P3</v>
      </c>
      <c r="N39" s="1" t="str">
        <f t="shared" si="7"/>
        <v/>
      </c>
      <c r="O39" s="1" t="str">
        <f t="shared" si="7"/>
        <v/>
      </c>
      <c r="P39" s="1" t="str">
        <f t="shared" si="7"/>
        <v/>
      </c>
      <c r="Q39" s="1" t="str">
        <f t="shared" si="7"/>
        <v/>
      </c>
      <c r="R39" s="1" t="str">
        <f t="shared" si="7"/>
        <v/>
      </c>
      <c r="S39" s="1" t="str">
        <f t="shared" si="7"/>
        <v>P3</v>
      </c>
      <c r="T39" s="1" t="str">
        <f t="shared" si="7"/>
        <v>P3</v>
      </c>
      <c r="U39" s="1" t="str">
        <f t="shared" si="7"/>
        <v/>
      </c>
      <c r="V39" s="1" t="str">
        <f t="shared" si="7"/>
        <v/>
      </c>
      <c r="W39" s="1" t="str">
        <f t="shared" si="7"/>
        <v/>
      </c>
      <c r="X39" s="1" t="str">
        <f t="shared" si="7"/>
        <v/>
      </c>
      <c r="Y39" s="1" t="str">
        <f t="shared" si="7"/>
        <v/>
      </c>
      <c r="Z39" s="1" t="str">
        <f t="shared" si="7"/>
        <v>P3</v>
      </c>
      <c r="AA39" s="1" t="str">
        <f t="shared" si="7"/>
        <v>P3</v>
      </c>
      <c r="AB39" s="1" t="str">
        <f t="shared" si="7"/>
        <v/>
      </c>
      <c r="AC39" s="1" t="str">
        <f t="shared" si="7"/>
        <v/>
      </c>
      <c r="AD39" s="1" t="str">
        <f t="shared" si="7"/>
        <v/>
      </c>
      <c r="AE39" s="1" t="str">
        <f t="shared" si="7"/>
        <v/>
      </c>
      <c r="AF39" s="1" t="str">
        <f t="shared" si="7"/>
        <v/>
      </c>
      <c r="AG39" s="1" t="str">
        <f t="shared" si="7"/>
        <v>P3</v>
      </c>
      <c r="AL39" s="10"/>
      <c r="AM39" s="10"/>
      <c r="AN39" s="10"/>
      <c r="AO39" s="10"/>
      <c r="AP39" s="10"/>
      <c r="AQ39" s="10"/>
      <c r="AR39" s="10"/>
      <c r="BB39" s="11"/>
      <c r="BC39" s="11"/>
      <c r="BD39" s="11"/>
      <c r="BE39" s="11"/>
      <c r="BF39" s="11"/>
      <c r="BG39" s="11"/>
      <c r="BH39" s="11"/>
      <c r="BI39" s="11"/>
      <c r="BJ39" s="11"/>
    </row>
    <row r="40" spans="1:62" ht="14.25" customHeight="1" x14ac:dyDescent="0.35">
      <c r="F40" s="1" t="str">
        <f>IF(OR(F41="S",F41="D"),"P6","")</f>
        <v>P6</v>
      </c>
      <c r="G40" s="1" t="str">
        <f t="shared" ref="G40:AG40" si="8">IF(OR(G41="S",G41="D"),"P6","")</f>
        <v/>
      </c>
      <c r="H40" s="1" t="str">
        <f t="shared" si="8"/>
        <v/>
      </c>
      <c r="I40" s="1" t="str">
        <f t="shared" si="8"/>
        <v/>
      </c>
      <c r="J40" s="1" t="str">
        <f t="shared" si="8"/>
        <v/>
      </c>
      <c r="K40" s="1" t="str">
        <f t="shared" si="8"/>
        <v/>
      </c>
      <c r="L40" s="1" t="str">
        <f t="shared" si="8"/>
        <v>P6</v>
      </c>
      <c r="M40" s="1" t="str">
        <f t="shared" si="8"/>
        <v>P6</v>
      </c>
      <c r="N40" s="1" t="str">
        <f t="shared" si="8"/>
        <v/>
      </c>
      <c r="O40" s="1" t="str">
        <f t="shared" si="8"/>
        <v/>
      </c>
      <c r="P40" s="1" t="str">
        <f t="shared" si="8"/>
        <v/>
      </c>
      <c r="Q40" s="1" t="str">
        <f t="shared" si="8"/>
        <v/>
      </c>
      <c r="R40" s="1" t="str">
        <f t="shared" si="8"/>
        <v/>
      </c>
      <c r="S40" s="1" t="str">
        <f t="shared" si="8"/>
        <v>P6</v>
      </c>
      <c r="T40" s="1" t="str">
        <f t="shared" si="8"/>
        <v>P6</v>
      </c>
      <c r="U40" s="1" t="str">
        <f t="shared" si="8"/>
        <v/>
      </c>
      <c r="V40" s="1" t="str">
        <f t="shared" si="8"/>
        <v/>
      </c>
      <c r="W40" s="1" t="str">
        <f t="shared" si="8"/>
        <v/>
      </c>
      <c r="X40" s="1" t="str">
        <f t="shared" si="8"/>
        <v/>
      </c>
      <c r="Y40" s="1" t="str">
        <f t="shared" si="8"/>
        <v/>
      </c>
      <c r="Z40" s="1" t="str">
        <f t="shared" si="8"/>
        <v>P6</v>
      </c>
      <c r="AA40" s="1" t="str">
        <f t="shared" si="8"/>
        <v>P6</v>
      </c>
      <c r="AB40" s="1" t="str">
        <f t="shared" si="8"/>
        <v/>
      </c>
      <c r="AC40" s="1" t="str">
        <f t="shared" si="8"/>
        <v/>
      </c>
      <c r="AD40" s="1" t="str">
        <f t="shared" si="8"/>
        <v/>
      </c>
      <c r="AE40" s="1" t="str">
        <f t="shared" si="8"/>
        <v/>
      </c>
      <c r="AF40" s="1" t="str">
        <f t="shared" si="8"/>
        <v/>
      </c>
      <c r="AG40" s="1" t="str">
        <f t="shared" si="8"/>
        <v>P6</v>
      </c>
      <c r="AL40" s="14" t="s">
        <v>119</v>
      </c>
      <c r="AM40" s="14"/>
      <c r="AN40" s="14"/>
      <c r="AO40" s="14"/>
      <c r="AP40" s="14"/>
      <c r="AQ40" s="14"/>
      <c r="AR40" s="14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4.25" customHeight="1" x14ac:dyDescent="0.35">
      <c r="F41" s="1" t="str">
        <f>CHOOSE(WEEKDAY(F42,2),"L","M","X","J","V","S","D")</f>
        <v>D</v>
      </c>
      <c r="G41" s="1" t="str">
        <f t="shared" ref="G41:AG41" si="9">CHOOSE(WEEKDAY(G42,2),"L","M","X","J","V","S","D")</f>
        <v>L</v>
      </c>
      <c r="H41" s="1" t="str">
        <f t="shared" si="9"/>
        <v>M</v>
      </c>
      <c r="I41" s="1" t="str">
        <f t="shared" si="9"/>
        <v>X</v>
      </c>
      <c r="J41" s="1" t="str">
        <f t="shared" si="9"/>
        <v>J</v>
      </c>
      <c r="K41" s="1" t="str">
        <f t="shared" si="9"/>
        <v>V</v>
      </c>
      <c r="L41" s="1" t="str">
        <f t="shared" si="9"/>
        <v>S</v>
      </c>
      <c r="M41" s="1" t="str">
        <f t="shared" si="9"/>
        <v>D</v>
      </c>
      <c r="N41" s="1" t="str">
        <f t="shared" si="9"/>
        <v>L</v>
      </c>
      <c r="O41" s="1" t="str">
        <f t="shared" si="9"/>
        <v>M</v>
      </c>
      <c r="P41" s="1" t="str">
        <f t="shared" si="9"/>
        <v>X</v>
      </c>
      <c r="Q41" s="1" t="str">
        <f t="shared" si="9"/>
        <v>J</v>
      </c>
      <c r="R41" s="1" t="str">
        <f t="shared" si="9"/>
        <v>V</v>
      </c>
      <c r="S41" s="1" t="str">
        <f t="shared" si="9"/>
        <v>S</v>
      </c>
      <c r="T41" s="1" t="str">
        <f t="shared" si="9"/>
        <v>D</v>
      </c>
      <c r="U41" s="1" t="str">
        <f t="shared" si="9"/>
        <v>L</v>
      </c>
      <c r="V41" s="1" t="str">
        <f t="shared" si="9"/>
        <v>M</v>
      </c>
      <c r="W41" s="1" t="str">
        <f t="shared" si="9"/>
        <v>X</v>
      </c>
      <c r="X41" s="1" t="str">
        <f t="shared" si="9"/>
        <v>J</v>
      </c>
      <c r="Y41" s="1" t="str">
        <f t="shared" si="9"/>
        <v>V</v>
      </c>
      <c r="Z41" s="1" t="str">
        <f t="shared" si="9"/>
        <v>S</v>
      </c>
      <c r="AA41" s="1" t="str">
        <f t="shared" si="9"/>
        <v>D</v>
      </c>
      <c r="AB41" s="1" t="str">
        <f t="shared" si="9"/>
        <v>L</v>
      </c>
      <c r="AC41" s="1" t="str">
        <f t="shared" si="9"/>
        <v>M</v>
      </c>
      <c r="AD41" s="1" t="str">
        <f t="shared" si="9"/>
        <v>X</v>
      </c>
      <c r="AE41" s="1" t="str">
        <f t="shared" si="9"/>
        <v>J</v>
      </c>
      <c r="AF41" s="1" t="str">
        <f t="shared" si="9"/>
        <v>V</v>
      </c>
      <c r="AG41" s="1" t="str">
        <f t="shared" si="9"/>
        <v>S</v>
      </c>
      <c r="AL41" s="4"/>
      <c r="AM41" s="4" t="s">
        <v>13</v>
      </c>
      <c r="AN41" s="4" t="s">
        <v>14</v>
      </c>
      <c r="AO41" s="4" t="s">
        <v>15</v>
      </c>
      <c r="AP41" s="4" t="s">
        <v>16</v>
      </c>
      <c r="AQ41" s="4" t="s">
        <v>17</v>
      </c>
      <c r="AR41" s="4" t="s">
        <v>7</v>
      </c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 ht="14.25" customHeight="1" x14ac:dyDescent="0.35">
      <c r="A42" s="3" t="s">
        <v>76</v>
      </c>
      <c r="B42" s="3" t="s">
        <v>77</v>
      </c>
      <c r="C42" s="3" t="s">
        <v>75</v>
      </c>
      <c r="D42" s="3" t="s">
        <v>74</v>
      </c>
      <c r="F42" s="8">
        <v>46054</v>
      </c>
      <c r="G42" s="8">
        <v>46055</v>
      </c>
      <c r="H42" s="8">
        <v>46056</v>
      </c>
      <c r="I42" s="8">
        <v>46057</v>
      </c>
      <c r="J42" s="8">
        <v>46058</v>
      </c>
      <c r="K42" s="8">
        <v>46059</v>
      </c>
      <c r="L42" s="8">
        <v>46060</v>
      </c>
      <c r="M42" s="8">
        <v>46061</v>
      </c>
      <c r="N42" s="8">
        <v>46062</v>
      </c>
      <c r="O42" s="8">
        <v>46063</v>
      </c>
      <c r="P42" s="8">
        <v>46064</v>
      </c>
      <c r="Q42" s="8">
        <v>46065</v>
      </c>
      <c r="R42" s="8">
        <v>46066</v>
      </c>
      <c r="S42" s="8">
        <v>46067</v>
      </c>
      <c r="T42" s="8">
        <v>46068</v>
      </c>
      <c r="U42" s="8">
        <v>46069</v>
      </c>
      <c r="V42" s="8">
        <v>46070</v>
      </c>
      <c r="W42" s="8">
        <v>46071</v>
      </c>
      <c r="X42" s="8">
        <v>46072</v>
      </c>
      <c r="Y42" s="8">
        <v>46073</v>
      </c>
      <c r="Z42" s="8">
        <v>46074</v>
      </c>
      <c r="AA42" s="8">
        <v>46075</v>
      </c>
      <c r="AB42" s="8">
        <v>46076</v>
      </c>
      <c r="AC42" s="8">
        <v>46077</v>
      </c>
      <c r="AD42" s="8">
        <v>46078</v>
      </c>
      <c r="AE42" s="8">
        <v>46079</v>
      </c>
      <c r="AF42" s="8">
        <v>46080</v>
      </c>
      <c r="AG42" s="8">
        <v>46081</v>
      </c>
      <c r="AL42" s="4" t="s">
        <v>19</v>
      </c>
      <c r="AM42" s="6" cm="1">
        <f t="array" ref="AM42">IFERROR((SUMPRODUCT(($C$43:$C$66=AM$41)*($F$39:$AG$39="")*$F$43:$AG$66)+IF(AM$41="P3",SUMPRODUCT(($F$39:$AG$39="P3")*$F$43:$AG$66),0))/(SUMPRODUCT(($C$43:$C$66=AM$41)*($F$39:$AG$39=""))+IF(AM$41="P3",COUNTIF($F$39:$AG$39,"P3")*ROWS($C$43:$C$66),0)),"")</f>
        <v>1.0686592499999983</v>
      </c>
      <c r="AN42" s="6" cm="1">
        <f t="array" ref="AN42">IFERROR((SUMPRODUCT(($C$43:$C$66=AN$41)*($F$39:$AG$39="")*$F$43:$AG$66)+IF(AN$41="P3",SUMPRODUCT(($F$39:$AG$39="P3")*$F$43:$AG$66),0))/(SUMPRODUCT(($C$43:$C$66=AN$41)*($F$39:$AG$39=""))+IF(AN$41="P3",COUNTIF($F$39:$AG$39,"P3")*ROWS($C$43:$C$66),0)),"")</f>
        <v>1.0932554999999993</v>
      </c>
      <c r="AO42" s="6" cm="1">
        <f t="array" ref="AO42">IFERROR((SUMPRODUCT(($C$43:$C$66=AO$41)*($F$39:$AG$39="")*$F$43:$AG$66)+IF(AO$41="P3",SUMPRODUCT(($F$39:$AG$39="P3")*$F$43:$AG$66),0))/(SUMPRODUCT(($C$43:$C$66=AO$41)*($F$39:$AG$39=""))+IF(AO$41="P3",COUNTIF($F$39:$AG$39,"P3")*ROWS($C$43:$C$66),0)),"")</f>
        <v>1.2005248863636357</v>
      </c>
      <c r="AP42" s="6" t="str" cm="1">
        <f t="array" ref="AP42">IFERROR((SUMPRODUCT(($C$43:$C$66=AP$41)*($F$39:$AG$39="")*$F$43:$AG$66)+IF(AP$41="P3",SUMPRODUCT(($F$39:$AG$39="P3")*$F$43:$AG$66),0))/(SUMPRODUCT(($C$43:$C$66=AP$41)*($F$39:$AG$39=""))+IF(AP$41="P3",COUNTIF($F$39:$AG$39,"P3")*ROWS($C$43:$C$66),0)),"")</f>
        <v/>
      </c>
      <c r="AQ42" s="6" t="str" cm="1">
        <f t="array" ref="AQ42">IFERROR((SUMPRODUCT(($C$43:$C$66=AQ$41)*($F$39:$AG$39="")*$F$43:$AG$66)+IF(AQ$41="P3",SUMPRODUCT(($F$39:$AG$39="P3")*$F$43:$AG$66),0))/(SUMPRODUCT(($C$43:$C$66=AQ$41)*($F$39:$AG$39=""))+IF(AQ$41="P3",COUNTIF($F$39:$AG$39,"P3")*ROWS($C$43:$C$66),0)),"")</f>
        <v/>
      </c>
      <c r="AR42" s="6" t="str" cm="1">
        <f t="array" ref="AR42">IFERROR((SUMPRODUCT(($C$43:$C$66=AR$41)*($F$39:$AG$39="")*$F$43:$AG$66)+IF(AR$41="P3",SUMPRODUCT(($F$39:$AG$39="P3")*$F$43:$AG$66),0))/(SUMPRODUCT(($C$43:$C$66=AR$41)*($F$39:$AG$39=""))+IF(AR$41="P3",COUNTIF($F$39:$AG$39,"P3")*ROWS($C$43:$C$66),0)),"")</f>
        <v/>
      </c>
      <c r="BB42" s="10"/>
      <c r="BC42" s="13" t="s">
        <v>153</v>
      </c>
      <c r="BD42" s="13"/>
      <c r="BE42" s="13"/>
      <c r="BF42" s="13"/>
      <c r="BG42" s="13"/>
      <c r="BH42" s="13"/>
      <c r="BI42" s="13"/>
      <c r="BJ42" s="10"/>
    </row>
    <row r="43" spans="1:62" ht="14.25" customHeight="1" x14ac:dyDescent="0.35">
      <c r="A43" s="1" t="s">
        <v>7</v>
      </c>
      <c r="B43" s="1" t="s">
        <v>7</v>
      </c>
      <c r="C43" s="1" t="s">
        <v>15</v>
      </c>
      <c r="D43" s="1" t="s">
        <v>7</v>
      </c>
      <c r="E43" s="1" t="s">
        <v>8</v>
      </c>
      <c r="F43" s="1">
        <v>1.2546299999999999</v>
      </c>
      <c r="G43" s="1">
        <v>1.2486900000000001</v>
      </c>
      <c r="H43" s="1">
        <v>1.1891400000000001</v>
      </c>
      <c r="I43" s="1">
        <v>1.2011700000000001</v>
      </c>
      <c r="J43" s="1">
        <v>1.19916</v>
      </c>
      <c r="K43" s="1">
        <v>1.2</v>
      </c>
      <c r="L43" s="1">
        <v>1.2084299999999999</v>
      </c>
      <c r="M43" s="1">
        <v>1.2546299999999999</v>
      </c>
      <c r="N43" s="1">
        <v>1.2486900000000001</v>
      </c>
      <c r="O43" s="1">
        <v>1.1891400000000001</v>
      </c>
      <c r="P43" s="1">
        <v>1.2011700000000001</v>
      </c>
      <c r="Q43" s="1">
        <v>1.19916</v>
      </c>
      <c r="R43" s="1">
        <v>1.2</v>
      </c>
      <c r="S43" s="1">
        <v>1.2084299999999999</v>
      </c>
      <c r="T43" s="1">
        <v>1.2546299999999999</v>
      </c>
      <c r="U43" s="1">
        <v>1.2486900000000001</v>
      </c>
      <c r="V43" s="1">
        <v>1.1891400000000001</v>
      </c>
      <c r="W43" s="1">
        <v>1.2011700000000001</v>
      </c>
      <c r="X43" s="1">
        <v>1.19916</v>
      </c>
      <c r="Y43" s="1">
        <v>1.2</v>
      </c>
      <c r="Z43" s="1">
        <v>1.2084299999999999</v>
      </c>
      <c r="AA43" s="1">
        <v>1.2546299999999999</v>
      </c>
      <c r="AB43" s="1">
        <v>1.2486900000000001</v>
      </c>
      <c r="AC43" s="1">
        <v>1.1891400000000001</v>
      </c>
      <c r="AD43" s="1">
        <v>1.2011700000000001</v>
      </c>
      <c r="AE43" s="1">
        <v>1.19916</v>
      </c>
      <c r="AF43" s="1">
        <v>1.2</v>
      </c>
      <c r="AG43" s="1">
        <v>1.2084299999999999</v>
      </c>
      <c r="AL43" s="4" t="s">
        <v>21</v>
      </c>
      <c r="AM43" s="6" cm="1">
        <f t="array" ref="AM43">IFERROR((SUMPRODUCT(($D$43:$D$66=AM$41)*($F$40:$AG$40="")*$F$43:$AG$66)+IF(AM$41="P6",SUMPRODUCT(($F$40:$AG$40="P6")*$F$43:$AG$66),0))/(SUMPRODUCT(($D$43:$D$66=AM$41)*($F$40:$AG$40=""))+IF(AM$41="P6",COUNTIF($F$40:$AG$40,"P6")*ROWS($D$43:$D$66),0)),"")</f>
        <v>1.0617453333333311</v>
      </c>
      <c r="AN43" s="6" cm="1">
        <f t="array" ref="AN43">IFERROR((SUMPRODUCT(($D$43:$D$66=AN$41)*($F$40:$AG$40="")*$F$43:$AG$66)+IF(AN$41="P6",SUMPRODUCT(($F$40:$AG$40="P6")*$F$43:$AG$66),0))/(SUMPRODUCT(($D$43:$D$66=AN$41)*($F$40:$AG$40=""))+IF(AN$41="P6",COUNTIF($F$40:$AG$40,"P6")*ROWS($D$43:$D$66),0)),"")</f>
        <v>1.1056585714285714</v>
      </c>
      <c r="AO43" s="6" t="str" cm="1">
        <f t="array" ref="AO43">IFERROR((SUMPRODUCT(($D$43:$D$66=AO$41)*($F$40:$AG$40="")*$F$43:$AG$66)+IF(AO$41="P6",SUMPRODUCT(($F$40:$AG$40="P6")*$F$43:$AG$66),0))/(SUMPRODUCT(($D$43:$D$66=AO$41)*($F$40:$AG$40=""))+IF(AO$41="P6",COUNTIF($F$40:$AG$40,"P6")*ROWS($D$43:$D$66),0)),"")</f>
        <v/>
      </c>
      <c r="AP43" s="6" t="str" cm="1">
        <f t="array" ref="AP43">IFERROR((SUMPRODUCT(($D$43:$D$66=AP$41)*($F$40:$AG$40="")*$F$43:$AG$66)+IF(AP$41="P6",SUMPRODUCT(($F$40:$AG$40="P6")*$F$43:$AG$66),0))/(SUMPRODUCT(($D$43:$D$66=AP$41)*($F$40:$AG$40=""))+IF(AP$41="P6",COUNTIF($F$40:$AG$40,"P6")*ROWS($D$43:$D$66),0)),"")</f>
        <v/>
      </c>
      <c r="AQ43" s="6" t="str" cm="1">
        <f t="array" ref="AQ43">IFERROR((SUMPRODUCT(($D$43:$D$66=AQ$41)*($F$40:$AG$40="")*$F$43:$AG$66)+IF(AQ$41="P6",SUMPRODUCT(($F$40:$AG$40="P6")*$F$43:$AG$66),0))/(SUMPRODUCT(($D$43:$D$66=AQ$41)*($F$40:$AG$40=""))+IF(AQ$41="P6",COUNTIF($F$40:$AG$40,"P6")*ROWS($D$43:$D$66),0)),"")</f>
        <v/>
      </c>
      <c r="AR43" s="6" cm="1">
        <f t="array" ref="AR43">IFERROR((SUMPRODUCT(($D$43:$D$66=AR$41)*($F$40:$AG$40="")*$F$43:$AG$66)+IF(AR$41="P6",SUMPRODUCT(($F$40:$AG$40="P6")*$F$43:$AG$66),0))/(SUMPRODUCT(($D$43:$D$66=AR$41)*($F$40:$AG$40=""))+IF(AR$41="P6",COUNTIF($F$40:$AG$40,"P6")*ROWS($D$43:$D$66),0)),"")</f>
        <v>1.2005248863636357</v>
      </c>
      <c r="BB43" s="10"/>
      <c r="BC43" s="4"/>
      <c r="BD43" s="4" t="s">
        <v>13</v>
      </c>
      <c r="BE43" s="4" t="s">
        <v>14</v>
      </c>
      <c r="BF43" s="4" t="s">
        <v>15</v>
      </c>
      <c r="BG43" s="4" t="s">
        <v>16</v>
      </c>
      <c r="BH43" s="4" t="s">
        <v>17</v>
      </c>
      <c r="BI43" s="4" t="s">
        <v>7</v>
      </c>
      <c r="BJ43" s="10"/>
    </row>
    <row r="44" spans="1:62" ht="14.25" customHeight="1" x14ac:dyDescent="0.35">
      <c r="A44" s="1" t="s">
        <v>7</v>
      </c>
      <c r="B44" s="1" t="s">
        <v>7</v>
      </c>
      <c r="C44" s="1" t="s">
        <v>15</v>
      </c>
      <c r="D44" s="1" t="s">
        <v>7</v>
      </c>
      <c r="E44" s="1" t="s">
        <v>9</v>
      </c>
      <c r="F44" s="1">
        <v>1.31768</v>
      </c>
      <c r="G44" s="1">
        <v>1.3061499999999999</v>
      </c>
      <c r="H44" s="1">
        <v>1.2723599999999999</v>
      </c>
      <c r="I44" s="1">
        <v>1.23983</v>
      </c>
      <c r="J44" s="1">
        <v>1.2429600000000001</v>
      </c>
      <c r="K44" s="1">
        <v>1.24695</v>
      </c>
      <c r="L44" s="1">
        <v>1.27441</v>
      </c>
      <c r="M44" s="1">
        <v>1.31768</v>
      </c>
      <c r="N44" s="1">
        <v>1.3061499999999999</v>
      </c>
      <c r="O44" s="1">
        <v>1.2723599999999999</v>
      </c>
      <c r="P44" s="1">
        <v>1.23983</v>
      </c>
      <c r="Q44" s="1">
        <v>1.2429600000000001</v>
      </c>
      <c r="R44" s="1">
        <v>1.24695</v>
      </c>
      <c r="S44" s="1">
        <v>1.27441</v>
      </c>
      <c r="T44" s="1">
        <v>1.31768</v>
      </c>
      <c r="U44" s="1">
        <v>1.3061499999999999</v>
      </c>
      <c r="V44" s="1">
        <v>1.2723599999999999</v>
      </c>
      <c r="W44" s="1">
        <v>1.23983</v>
      </c>
      <c r="X44" s="1">
        <v>1.2429600000000001</v>
      </c>
      <c r="Y44" s="1">
        <v>1.24695</v>
      </c>
      <c r="Z44" s="1">
        <v>1.27441</v>
      </c>
      <c r="AA44" s="1">
        <v>1.31768</v>
      </c>
      <c r="AB44" s="1">
        <v>1.3061499999999999</v>
      </c>
      <c r="AC44" s="1">
        <v>1.2723599999999999</v>
      </c>
      <c r="AD44" s="1">
        <v>1.23983</v>
      </c>
      <c r="AE44" s="1">
        <v>1.2429600000000001</v>
      </c>
      <c r="AF44" s="1">
        <v>1.24695</v>
      </c>
      <c r="AG44" s="1">
        <v>1.27441</v>
      </c>
      <c r="AL44" s="4" t="s">
        <v>23</v>
      </c>
      <c r="AM44" s="6" cm="1">
        <f t="array" ref="AM44">IFERROR((SUMPRODUCT(($D$43:$D$66=AM$41)*($F$40:$AG$40="")*$F$43:$AG$66)+IF(AM$41="P6",SUMPRODUCT(($F$40:$AG$40="P6")*$F$43:$AG$66),0))/(SUMPRODUCT(($D$43:$D$66=AM$41)*($F$40:$AG$40=""))+IF(AM$41="P6",COUNTIF($F$40:$AG$40,"P6")*ROWS($D$43:$D$66),0)),"")</f>
        <v>1.0617453333333311</v>
      </c>
      <c r="AN44" s="6" cm="1">
        <f t="array" ref="AN44">IFERROR((SUMPRODUCT(($D$43:$D$66=AN$41)*($F$40:$AG$40="")*$F$43:$AG$66)+IF(AN$41="P6",SUMPRODUCT(($F$40:$AG$40="P6")*$F$43:$AG$66),0))/(SUMPRODUCT(($D$43:$D$66=AN$41)*($F$40:$AG$40=""))+IF(AN$41="P6",COUNTIF($F$40:$AG$40,"P6")*ROWS($D$43:$D$66),0)),"")</f>
        <v>1.1056585714285714</v>
      </c>
      <c r="AO44" s="5" t="str" cm="1">
        <f t="array" ref="AO44">IFERROR((SUMPRODUCT(($D$43:$D$66=AO$41)*($F$40:$AG$40="")*$F$43:$AG$66)+IF(AO$41="P6",SUMPRODUCT(($F$40:$AG$40="P6")*$F$43:$AG$66),0))/(SUMPRODUCT(($D$43:$D$66=AO$41)*($F$40:$AG$40=""))+IF(AO$41="P6",COUNTIF($F$40:$AG$40,"P6")*ROWS($D$43:$D$66),0)),"")</f>
        <v/>
      </c>
      <c r="AP44" s="5" t="str" cm="1">
        <f t="array" ref="AP44">IFERROR((SUMPRODUCT(($D$43:$D$66=AP$41)*($F$40:$AG$40="")*$F$43:$AG$66)+IF(AP$41="P6",SUMPRODUCT(($F$40:$AG$40="P6")*$F$43:$AG$66),0))/(SUMPRODUCT(($D$43:$D$66=AP$41)*($F$40:$AG$40=""))+IF(AP$41="P6",COUNTIF($F$40:$AG$40,"P6")*ROWS($D$43:$D$66),0)),"")</f>
        <v/>
      </c>
      <c r="AQ44" s="5" t="str" cm="1">
        <f t="array" ref="AQ44">IFERROR((SUMPRODUCT(($D$43:$D$66=AQ$41)*($F$40:$AG$40="")*$F$43:$AG$66)+IF(AQ$41="P6",SUMPRODUCT(($F$40:$AG$40="P6")*$F$43:$AG$66),0))/(SUMPRODUCT(($D$43:$D$66=AQ$41)*($F$40:$AG$40=""))+IF(AQ$41="P6",COUNTIF($F$40:$AG$40,"P6")*ROWS($D$43:$D$66),0)),"")</f>
        <v/>
      </c>
      <c r="AR44" s="6" cm="1">
        <f t="array" ref="AR44">IFERROR((SUMPRODUCT(($D$43:$D$66=AR$41)*($F$40:$AG$40="")*$F$43:$AG$66)+IF(AR$41="P6",SUMPRODUCT(($F$40:$AG$40="P6")*$F$43:$AG$66),0))/(SUMPRODUCT(($D$43:$D$66=AR$41)*($F$40:$AG$40=""))+IF(AR$41="P6",COUNTIF($F$40:$AG$40,"P6")*ROWS($D$43:$D$66),0)),"")</f>
        <v>1.2005248863636357</v>
      </c>
      <c r="BB44" s="10"/>
      <c r="BC44" s="4" t="s">
        <v>19</v>
      </c>
      <c r="BD44" s="6">
        <f>AVERAGE(AM27,AM62,AM97,AM132,AM167,AM202,AM237,AM272,AM307,AM342,AM377,AM412)</f>
        <v>0.9694572173834618</v>
      </c>
      <c r="BE44" s="6">
        <f t="shared" ref="BE44:BI49" si="10">AVERAGE(AN27,AN62,AN97,AN132,AN167,AN202,AN237,AN272,AN307,AN342,AN377,AN412)</f>
        <v>1.0261479948926375</v>
      </c>
      <c r="BF44" s="6">
        <f t="shared" si="10"/>
        <v>1.024348516691431</v>
      </c>
      <c r="BG44" s="6"/>
      <c r="BH44" s="6"/>
      <c r="BI44" s="6"/>
      <c r="BJ44" s="10"/>
    </row>
    <row r="45" spans="1:62" ht="14.25" customHeight="1" x14ac:dyDescent="0.35">
      <c r="A45" s="1" t="s">
        <v>7</v>
      </c>
      <c r="B45" s="1" t="s">
        <v>7</v>
      </c>
      <c r="C45" s="1" t="s">
        <v>15</v>
      </c>
      <c r="D45" s="1" t="s">
        <v>7</v>
      </c>
      <c r="E45" s="1" t="s">
        <v>10</v>
      </c>
      <c r="F45" s="1">
        <v>1.3697900000000001</v>
      </c>
      <c r="G45" s="1">
        <v>1.3320700000000001</v>
      </c>
      <c r="H45" s="1">
        <v>1.2716700000000001</v>
      </c>
      <c r="I45" s="1">
        <v>1.27732</v>
      </c>
      <c r="J45" s="1">
        <v>1.27939</v>
      </c>
      <c r="K45" s="1">
        <v>1.27291</v>
      </c>
      <c r="L45" s="1">
        <v>1.31226</v>
      </c>
      <c r="M45" s="1">
        <v>1.3697900000000001</v>
      </c>
      <c r="N45" s="1">
        <v>1.3320700000000001</v>
      </c>
      <c r="O45" s="1">
        <v>1.2716700000000001</v>
      </c>
      <c r="P45" s="1">
        <v>1.27732</v>
      </c>
      <c r="Q45" s="1">
        <v>1.27939</v>
      </c>
      <c r="R45" s="1">
        <v>1.27291</v>
      </c>
      <c r="S45" s="1">
        <v>1.31226</v>
      </c>
      <c r="T45" s="1">
        <v>1.3697900000000001</v>
      </c>
      <c r="U45" s="1">
        <v>1.3320700000000001</v>
      </c>
      <c r="V45" s="1">
        <v>1.2716700000000001</v>
      </c>
      <c r="W45" s="1">
        <v>1.27732</v>
      </c>
      <c r="X45" s="1">
        <v>1.27939</v>
      </c>
      <c r="Y45" s="1">
        <v>1.27291</v>
      </c>
      <c r="Z45" s="1">
        <v>1.31226</v>
      </c>
      <c r="AA45" s="1">
        <v>1.3697900000000001</v>
      </c>
      <c r="AB45" s="1">
        <v>1.3320700000000001</v>
      </c>
      <c r="AC45" s="1">
        <v>1.2716700000000001</v>
      </c>
      <c r="AD45" s="1">
        <v>1.27732</v>
      </c>
      <c r="AE45" s="1">
        <v>1.27939</v>
      </c>
      <c r="AF45" s="1">
        <v>1.27291</v>
      </c>
      <c r="AG45" s="1">
        <v>1.31226</v>
      </c>
      <c r="AL45" s="4" t="s">
        <v>25</v>
      </c>
      <c r="AM45" s="6" cm="1">
        <f t="array" ref="AM45">IFERROR((SUMPRODUCT(($D$43:$D$66=AM$41)*($F$40:$AG$40="")*$F$43:$AG$66)+IF(AM$41="P6",SUMPRODUCT(($F$40:$AG$40="P6")*$F$43:$AG$66),0))/(SUMPRODUCT(($D$43:$D$66=AM$41)*($F$40:$AG$40=""))+IF(AM$41="P6",COUNTIF($F$40:$AG$40,"P6")*ROWS($D$43:$D$66),0)),"")</f>
        <v>1.0617453333333311</v>
      </c>
      <c r="AN45" s="6" cm="1">
        <f t="array" ref="AN45">IFERROR((SUMPRODUCT(($D$43:$D$66=AN$41)*($F$40:$AG$40="")*$F$43:$AG$66)+IF(AN$41="P6",SUMPRODUCT(($F$40:$AG$40="P6")*$F$43:$AG$66),0))/(SUMPRODUCT(($D$43:$D$66=AN$41)*($F$40:$AG$40=""))+IF(AN$41="P6",COUNTIF($F$40:$AG$40,"P6")*ROWS($D$43:$D$66),0)),"")</f>
        <v>1.1056585714285714</v>
      </c>
      <c r="AO45" s="5" t="str" cm="1">
        <f t="array" ref="AO45">IFERROR((SUMPRODUCT(($D$43:$D$66=AO$41)*($F$40:$AG$40="")*$F$43:$AG$66)+IF(AO$41="P6",SUMPRODUCT(($F$40:$AG$40="P6")*$F$43:$AG$66),0))/(SUMPRODUCT(($D$43:$D$66=AO$41)*($F$40:$AG$40=""))+IF(AO$41="P6",COUNTIF($F$40:$AG$40,"P6")*ROWS($D$43:$D$66),0)),"")</f>
        <v/>
      </c>
      <c r="AP45" s="5" t="str" cm="1">
        <f t="array" ref="AP45">IFERROR((SUMPRODUCT(($D$43:$D$66=AP$41)*($F$40:$AG$40="")*$F$43:$AG$66)+IF(AP$41="P6",SUMPRODUCT(($F$40:$AG$40="P6")*$F$43:$AG$66),0))/(SUMPRODUCT(($D$43:$D$66=AP$41)*($F$40:$AG$40=""))+IF(AP$41="P6",COUNTIF($F$40:$AG$40,"P6")*ROWS($D$43:$D$66),0)),"")</f>
        <v/>
      </c>
      <c r="AQ45" s="5" t="str" cm="1">
        <f t="array" ref="AQ45">IFERROR((SUMPRODUCT(($D$43:$D$66=AQ$41)*($F$40:$AG$40="")*$F$43:$AG$66)+IF(AQ$41="P6",SUMPRODUCT(($F$40:$AG$40="P6")*$F$43:$AG$66),0))/(SUMPRODUCT(($D$43:$D$66=AQ$41)*($F$40:$AG$40=""))+IF(AQ$41="P6",COUNTIF($F$40:$AG$40,"P6")*ROWS($D$43:$D$66),0)),"")</f>
        <v/>
      </c>
      <c r="AR45" s="6" cm="1">
        <f t="array" ref="AR45">IFERROR((SUMPRODUCT(($D$43:$D$66=AR$41)*($F$40:$AG$40="")*$F$43:$AG$66)+IF(AR$41="P6",SUMPRODUCT(($F$40:$AG$40="P6")*$F$43:$AG$66),0))/(SUMPRODUCT(($D$43:$D$66=AR$41)*($F$40:$AG$40=""))+IF(AR$41="P6",COUNTIF($F$40:$AG$40,"P6")*ROWS($D$43:$D$66),0)),"")</f>
        <v>1.2005248863636357</v>
      </c>
      <c r="BB45" s="10"/>
      <c r="BC45" s="4" t="s">
        <v>21</v>
      </c>
      <c r="BD45" s="6">
        <f t="shared" ref="BD45:BD49" si="11">AVERAGE(AM28,AM63,AM98,AM133,AM168,AM203,AM238,AM273,AM308,AM343,AM378,AM413)</f>
        <v>0.87419756488278211</v>
      </c>
      <c r="BE45" s="6">
        <f t="shared" si="10"/>
        <v>0.90597872230039733</v>
      </c>
      <c r="BF45" s="6">
        <f t="shared" si="10"/>
        <v>1.0776399649281934</v>
      </c>
      <c r="BG45" s="6">
        <f t="shared" si="10"/>
        <v>1.0653894799926704</v>
      </c>
      <c r="BH45" s="6">
        <f t="shared" si="10"/>
        <v>1.1133579519686663</v>
      </c>
      <c r="BI45" s="6">
        <f t="shared" si="10"/>
        <v>1.024348516691431</v>
      </c>
      <c r="BJ45" s="10"/>
    </row>
    <row r="46" spans="1:62" ht="14.25" customHeight="1" x14ac:dyDescent="0.35">
      <c r="A46" s="1" t="s">
        <v>7</v>
      </c>
      <c r="B46" s="1" t="s">
        <v>7</v>
      </c>
      <c r="C46" s="1" t="s">
        <v>15</v>
      </c>
      <c r="D46" s="1" t="s">
        <v>7</v>
      </c>
      <c r="E46" s="1" t="s">
        <v>11</v>
      </c>
      <c r="F46" s="1">
        <v>1.3975200000000001</v>
      </c>
      <c r="G46" s="1">
        <v>1.33257</v>
      </c>
      <c r="H46" s="1">
        <v>1.2884500000000001</v>
      </c>
      <c r="I46" s="1">
        <v>1.2898799999999999</v>
      </c>
      <c r="J46" s="1">
        <v>1.28426</v>
      </c>
      <c r="K46" s="1">
        <v>1.2729200000000001</v>
      </c>
      <c r="L46" s="1">
        <v>1.31714</v>
      </c>
      <c r="M46" s="1">
        <v>1.3975200000000001</v>
      </c>
      <c r="N46" s="1">
        <v>1.33257</v>
      </c>
      <c r="O46" s="1">
        <v>1.2884500000000001</v>
      </c>
      <c r="P46" s="1">
        <v>1.2898799999999999</v>
      </c>
      <c r="Q46" s="1">
        <v>1.28426</v>
      </c>
      <c r="R46" s="1">
        <v>1.2729200000000001</v>
      </c>
      <c r="S46" s="1">
        <v>1.31714</v>
      </c>
      <c r="T46" s="1">
        <v>1.3975200000000001</v>
      </c>
      <c r="U46" s="1">
        <v>1.33257</v>
      </c>
      <c r="V46" s="1">
        <v>1.2884500000000001</v>
      </c>
      <c r="W46" s="1">
        <v>1.2898799999999999</v>
      </c>
      <c r="X46" s="1">
        <v>1.28426</v>
      </c>
      <c r="Y46" s="1">
        <v>1.2729200000000001</v>
      </c>
      <c r="Z46" s="1">
        <v>1.31714</v>
      </c>
      <c r="AA46" s="1">
        <v>1.3975200000000001</v>
      </c>
      <c r="AB46" s="1">
        <v>1.33257</v>
      </c>
      <c r="AC46" s="1">
        <v>1.2884500000000001</v>
      </c>
      <c r="AD46" s="1">
        <v>1.2898799999999999</v>
      </c>
      <c r="AE46" s="1">
        <v>1.28426</v>
      </c>
      <c r="AF46" s="1">
        <v>1.2729200000000001</v>
      </c>
      <c r="AG46" s="1">
        <v>1.31714</v>
      </c>
      <c r="AL46" s="4" t="s">
        <v>27</v>
      </c>
      <c r="AM46" s="6" cm="1">
        <f t="array" ref="AM46">IFERROR((SUMPRODUCT(($D$43:$D$66=AM$41)*($F$40:$AG$40="")*$F$43:$AG$66)+IF(AM$41="P6",SUMPRODUCT(($F$40:$AG$40="P6")*$F$43:$AG$66),0))/(SUMPRODUCT(($D$43:$D$66=AM$41)*($F$40:$AG$40=""))+IF(AM$41="P6",COUNTIF($F$40:$AG$40,"P6")*ROWS($D$43:$D$66),0)),"")</f>
        <v>1.0617453333333311</v>
      </c>
      <c r="AN46" s="6" cm="1">
        <f t="array" ref="AN46">IFERROR((SUMPRODUCT(($D$43:$D$66=AN$41)*($F$40:$AG$40="")*$F$43:$AG$66)+IF(AN$41="P6",SUMPRODUCT(($F$40:$AG$40="P6")*$F$43:$AG$66),0))/(SUMPRODUCT(($D$43:$D$66=AN$41)*($F$40:$AG$40=""))+IF(AN$41="P6",COUNTIF($F$40:$AG$40,"P6")*ROWS($D$43:$D$66),0)),"")</f>
        <v>1.1056585714285714</v>
      </c>
      <c r="AO46" s="5" t="str" cm="1">
        <f t="array" ref="AO46">IFERROR((SUMPRODUCT(($D$43:$D$66=AO$41)*($F$40:$AG$40="")*$F$43:$AG$66)+IF(AO$41="P6",SUMPRODUCT(($F$40:$AG$40="P6")*$F$43:$AG$66),0))/(SUMPRODUCT(($D$43:$D$66=AO$41)*($F$40:$AG$40=""))+IF(AO$41="P6",COUNTIF($F$40:$AG$40,"P6")*ROWS($D$43:$D$66),0)),"")</f>
        <v/>
      </c>
      <c r="AP46" s="5" t="str" cm="1">
        <f t="array" ref="AP46">IFERROR((SUMPRODUCT(($D$43:$D$66=AP$41)*($F$40:$AG$40="")*$F$43:$AG$66)+IF(AP$41="P6",SUMPRODUCT(($F$40:$AG$40="P6")*$F$43:$AG$66),0))/(SUMPRODUCT(($D$43:$D$66=AP$41)*($F$40:$AG$40=""))+IF(AP$41="P6",COUNTIF($F$40:$AG$40,"P6")*ROWS($D$43:$D$66),0)),"")</f>
        <v/>
      </c>
      <c r="AQ46" s="5" t="str" cm="1">
        <f t="array" ref="AQ46">IFERROR((SUMPRODUCT(($D$43:$D$66=AQ$41)*($F$40:$AG$40="")*$F$43:$AG$66)+IF(AQ$41="P6",SUMPRODUCT(($F$40:$AG$40="P6")*$F$43:$AG$66),0))/(SUMPRODUCT(($D$43:$D$66=AQ$41)*($F$40:$AG$40=""))+IF(AQ$41="P6",COUNTIF($F$40:$AG$40,"P6")*ROWS($D$43:$D$66),0)),"")</f>
        <v/>
      </c>
      <c r="AR46" s="6" cm="1">
        <f t="array" ref="AR46">IFERROR((SUMPRODUCT(($D$43:$D$66=AR$41)*($F$40:$AG$40="")*$F$43:$AG$66)+IF(AR$41="P6",SUMPRODUCT(($F$40:$AG$40="P6")*$F$43:$AG$66),0))/(SUMPRODUCT(($D$43:$D$66=AR$41)*($F$40:$AG$40=""))+IF(AR$41="P6",COUNTIF($F$40:$AG$40,"P6")*ROWS($D$43:$D$66),0)),"")</f>
        <v>1.2005248863636357</v>
      </c>
      <c r="BB46" s="10"/>
      <c r="BC46" s="4" t="s">
        <v>23</v>
      </c>
      <c r="BD46" s="6">
        <f t="shared" si="11"/>
        <v>0.87419756488278211</v>
      </c>
      <c r="BE46" s="6">
        <f t="shared" si="10"/>
        <v>0.90597872230039733</v>
      </c>
      <c r="BF46" s="6">
        <f t="shared" si="10"/>
        <v>1.0776399649281934</v>
      </c>
      <c r="BG46" s="6">
        <f t="shared" si="10"/>
        <v>1.0653894799926704</v>
      </c>
      <c r="BH46" s="6">
        <f t="shared" si="10"/>
        <v>1.1133579519686663</v>
      </c>
      <c r="BI46" s="6">
        <f t="shared" si="10"/>
        <v>1.024348516691431</v>
      </c>
      <c r="BJ46" s="10"/>
    </row>
    <row r="47" spans="1:62" ht="14.25" customHeight="1" x14ac:dyDescent="0.35">
      <c r="A47" s="1" t="s">
        <v>7</v>
      </c>
      <c r="B47" s="1" t="s">
        <v>7</v>
      </c>
      <c r="C47" s="1" t="s">
        <v>15</v>
      </c>
      <c r="D47" s="1" t="s">
        <v>7</v>
      </c>
      <c r="E47" s="1" t="s">
        <v>12</v>
      </c>
      <c r="F47" s="1">
        <v>1.40984</v>
      </c>
      <c r="G47" s="1">
        <v>1.33039</v>
      </c>
      <c r="H47" s="1">
        <v>1.2882</v>
      </c>
      <c r="I47" s="1">
        <v>1.2926899999999999</v>
      </c>
      <c r="J47" s="1">
        <v>1.27302</v>
      </c>
      <c r="K47" s="1">
        <v>1.2775000000000001</v>
      </c>
      <c r="L47" s="1">
        <v>1.3178300000000001</v>
      </c>
      <c r="M47" s="1">
        <v>1.40984</v>
      </c>
      <c r="N47" s="1">
        <v>1.33039</v>
      </c>
      <c r="O47" s="1">
        <v>1.2882</v>
      </c>
      <c r="P47" s="1">
        <v>1.2926899999999999</v>
      </c>
      <c r="Q47" s="1">
        <v>1.27302</v>
      </c>
      <c r="R47" s="1">
        <v>1.2775000000000001</v>
      </c>
      <c r="S47" s="1">
        <v>1.3178300000000001</v>
      </c>
      <c r="T47" s="1">
        <v>1.40984</v>
      </c>
      <c r="U47" s="1">
        <v>1.33039</v>
      </c>
      <c r="V47" s="1">
        <v>1.2882</v>
      </c>
      <c r="W47" s="1">
        <v>1.2926899999999999</v>
      </c>
      <c r="X47" s="1">
        <v>1.27302</v>
      </c>
      <c r="Y47" s="1">
        <v>1.2775000000000001</v>
      </c>
      <c r="Z47" s="1">
        <v>1.3178300000000001</v>
      </c>
      <c r="AA47" s="1">
        <v>1.40984</v>
      </c>
      <c r="AB47" s="1">
        <v>1.33039</v>
      </c>
      <c r="AC47" s="1">
        <v>1.2882</v>
      </c>
      <c r="AD47" s="1">
        <v>1.2926899999999999</v>
      </c>
      <c r="AE47" s="1">
        <v>1.27302</v>
      </c>
      <c r="AF47" s="1">
        <v>1.2775000000000001</v>
      </c>
      <c r="AG47" s="1">
        <v>1.3178300000000001</v>
      </c>
      <c r="AL47" s="4" t="s">
        <v>29</v>
      </c>
      <c r="AM47" s="6" cm="1">
        <f t="array" ref="AM47">IFERROR((SUMPRODUCT(($D$43:$D$66=AM$41)*($F$40:$AG$40="")*$F$43:$AG$66)+IF(AM$41="P6",SUMPRODUCT(($F$40:$AG$40="P6")*$F$43:$AG$66),0))/(SUMPRODUCT(($D$43:$D$66=AM$41)*($F$40:$AG$40=""))+IF(AM$41="P6",COUNTIF($F$40:$AG$40,"P6")*ROWS($D$43:$D$66),0)),"")</f>
        <v>1.0617453333333311</v>
      </c>
      <c r="AN47" s="6" cm="1">
        <f t="array" ref="AN47">IFERROR((SUMPRODUCT(($D$43:$D$66=AN$41)*($F$40:$AG$40="")*$F$43:$AG$66)+IF(AN$41="P6",SUMPRODUCT(($F$40:$AG$40="P6")*$F$43:$AG$66),0))/(SUMPRODUCT(($D$43:$D$66=AN$41)*($F$40:$AG$40=""))+IF(AN$41="P6",COUNTIF($F$40:$AG$40,"P6")*ROWS($D$43:$D$66),0)),"")</f>
        <v>1.1056585714285714</v>
      </c>
      <c r="AO47" s="5" t="str" cm="1">
        <f t="array" ref="AO47">IFERROR((SUMPRODUCT(($D$43:$D$66=AO$41)*($F$40:$AG$40="")*$F$43:$AG$66)+IF(AO$41="P6",SUMPRODUCT(($F$40:$AG$40="P6")*$F$43:$AG$66),0))/(SUMPRODUCT(($D$43:$D$66=AO$41)*($F$40:$AG$40=""))+IF(AO$41="P6",COUNTIF($F$40:$AG$40,"P6")*ROWS($D$43:$D$66),0)),"")</f>
        <v/>
      </c>
      <c r="AP47" s="5" t="str" cm="1">
        <f t="array" ref="AP47">IFERROR((SUMPRODUCT(($D$43:$D$66=AP$41)*($F$40:$AG$40="")*$F$43:$AG$66)+IF(AP$41="P6",SUMPRODUCT(($F$40:$AG$40="P6")*$F$43:$AG$66),0))/(SUMPRODUCT(($D$43:$D$66=AP$41)*($F$40:$AG$40=""))+IF(AP$41="P6",COUNTIF($F$40:$AG$40,"P6")*ROWS($D$43:$D$66),0)),"")</f>
        <v/>
      </c>
      <c r="AQ47" s="5" t="str" cm="1">
        <f t="array" ref="AQ47">IFERROR((SUMPRODUCT(($D$43:$D$66=AQ$41)*($F$40:$AG$40="")*$F$43:$AG$66)+IF(AQ$41="P6",SUMPRODUCT(($F$40:$AG$40="P6")*$F$43:$AG$66),0))/(SUMPRODUCT(($D$43:$D$66=AQ$41)*($F$40:$AG$40=""))+IF(AQ$41="P6",COUNTIF($F$40:$AG$40,"P6")*ROWS($D$43:$D$66),0)),"")</f>
        <v/>
      </c>
      <c r="AR47" s="6" cm="1">
        <f t="array" ref="AR47">IFERROR((SUMPRODUCT(($D$43:$D$66=AR$41)*($F$40:$AG$40="")*$F$43:$AG$66)+IF(AR$41="P6",SUMPRODUCT(($F$40:$AG$40="P6")*$F$43:$AG$66),0))/(SUMPRODUCT(($D$43:$D$66=AR$41)*($F$40:$AG$40=""))+IF(AR$41="P6",COUNTIF($F$40:$AG$40,"P6")*ROWS($D$43:$D$66),0)),"")</f>
        <v>1.2005248863636357</v>
      </c>
      <c r="BB47" s="10"/>
      <c r="BC47" s="4" t="s">
        <v>25</v>
      </c>
      <c r="BD47" s="6">
        <f t="shared" si="11"/>
        <v>0.87419756488278211</v>
      </c>
      <c r="BE47" s="6">
        <f t="shared" si="10"/>
        <v>0.90597872230039733</v>
      </c>
      <c r="BF47" s="6">
        <f t="shared" si="10"/>
        <v>1.0776399649281934</v>
      </c>
      <c r="BG47" s="6">
        <f t="shared" si="10"/>
        <v>1.0653894799926704</v>
      </c>
      <c r="BH47" s="6">
        <f t="shared" si="10"/>
        <v>1.1133579519686663</v>
      </c>
      <c r="BI47" s="6">
        <f t="shared" si="10"/>
        <v>1.024348516691431</v>
      </c>
      <c r="BJ47" s="10"/>
    </row>
    <row r="48" spans="1:62" ht="14.25" customHeight="1" x14ac:dyDescent="0.35">
      <c r="A48" s="1" t="s">
        <v>7</v>
      </c>
      <c r="B48" s="1" t="s">
        <v>7</v>
      </c>
      <c r="C48" s="1" t="s">
        <v>15</v>
      </c>
      <c r="D48" s="1" t="s">
        <v>7</v>
      </c>
      <c r="E48" s="1" t="s">
        <v>18</v>
      </c>
      <c r="F48" s="1">
        <v>1.4121699999999999</v>
      </c>
      <c r="G48" s="1">
        <v>1.29348</v>
      </c>
      <c r="H48" s="1">
        <v>1.2470399999999999</v>
      </c>
      <c r="I48" s="1">
        <v>1.24003</v>
      </c>
      <c r="J48" s="1">
        <v>1.23569</v>
      </c>
      <c r="K48" s="1">
        <v>1.25803</v>
      </c>
      <c r="L48" s="1">
        <v>1.31775</v>
      </c>
      <c r="M48" s="1">
        <v>1.4121699999999999</v>
      </c>
      <c r="N48" s="1">
        <v>1.29348</v>
      </c>
      <c r="O48" s="1">
        <v>1.2470399999999999</v>
      </c>
      <c r="P48" s="1">
        <v>1.24003</v>
      </c>
      <c r="Q48" s="1">
        <v>1.23569</v>
      </c>
      <c r="R48" s="1">
        <v>1.25803</v>
      </c>
      <c r="S48" s="1">
        <v>1.31775</v>
      </c>
      <c r="T48" s="1">
        <v>1.4121699999999999</v>
      </c>
      <c r="U48" s="1">
        <v>1.29348</v>
      </c>
      <c r="V48" s="1">
        <v>1.2470399999999999</v>
      </c>
      <c r="W48" s="1">
        <v>1.24003</v>
      </c>
      <c r="X48" s="1">
        <v>1.23569</v>
      </c>
      <c r="Y48" s="1">
        <v>1.25803</v>
      </c>
      <c r="Z48" s="1">
        <v>1.31775</v>
      </c>
      <c r="AA48" s="1">
        <v>1.4121699999999999</v>
      </c>
      <c r="AB48" s="1">
        <v>1.29348</v>
      </c>
      <c r="AC48" s="1">
        <v>1.2470399999999999</v>
      </c>
      <c r="AD48" s="1">
        <v>1.24003</v>
      </c>
      <c r="AE48" s="1">
        <v>1.23569</v>
      </c>
      <c r="AF48" s="1">
        <v>1.25803</v>
      </c>
      <c r="AG48" s="1">
        <v>1.31775</v>
      </c>
      <c r="AL48" s="10"/>
      <c r="AM48" s="10"/>
      <c r="AN48" s="10"/>
      <c r="AO48" s="10"/>
      <c r="AP48" s="10"/>
      <c r="AQ48" s="10"/>
      <c r="AR48" s="10"/>
      <c r="BB48" s="10"/>
      <c r="BC48" s="4" t="s">
        <v>27</v>
      </c>
      <c r="BD48" s="6">
        <f t="shared" si="11"/>
        <v>0.87419756488278211</v>
      </c>
      <c r="BE48" s="6">
        <f t="shared" si="10"/>
        <v>0.90597872230039733</v>
      </c>
      <c r="BF48" s="6">
        <f t="shared" si="10"/>
        <v>1.0776399649281934</v>
      </c>
      <c r="BG48" s="6">
        <f t="shared" si="10"/>
        <v>1.0653894799926704</v>
      </c>
      <c r="BH48" s="6">
        <f t="shared" si="10"/>
        <v>1.1133579519686663</v>
      </c>
      <c r="BI48" s="6">
        <f t="shared" si="10"/>
        <v>1.024348516691431</v>
      </c>
      <c r="BJ48" s="10"/>
    </row>
    <row r="49" spans="1:62" ht="14.25" customHeight="1" x14ac:dyDescent="0.35">
      <c r="A49" s="1" t="s">
        <v>7</v>
      </c>
      <c r="B49" s="1" t="s">
        <v>7</v>
      </c>
      <c r="C49" s="1" t="s">
        <v>15</v>
      </c>
      <c r="D49" s="1" t="s">
        <v>7</v>
      </c>
      <c r="E49" s="1" t="s">
        <v>20</v>
      </c>
      <c r="F49" s="1">
        <v>1.37897</v>
      </c>
      <c r="G49" s="1">
        <v>1.1593800000000001</v>
      </c>
      <c r="H49" s="1">
        <v>1.1468400000000001</v>
      </c>
      <c r="I49" s="1">
        <v>1.1170199999999999</v>
      </c>
      <c r="J49" s="1">
        <v>1.1308</v>
      </c>
      <c r="K49" s="1">
        <v>1.1602399999999999</v>
      </c>
      <c r="L49" s="1">
        <v>1.28295</v>
      </c>
      <c r="M49" s="1">
        <v>1.37897</v>
      </c>
      <c r="N49" s="1">
        <v>1.1593800000000001</v>
      </c>
      <c r="O49" s="1">
        <v>1.1468400000000001</v>
      </c>
      <c r="P49" s="1">
        <v>1.1170199999999999</v>
      </c>
      <c r="Q49" s="1">
        <v>1.1308</v>
      </c>
      <c r="R49" s="1">
        <v>1.1602399999999999</v>
      </c>
      <c r="S49" s="1">
        <v>1.28295</v>
      </c>
      <c r="T49" s="1">
        <v>1.37897</v>
      </c>
      <c r="U49" s="1">
        <v>1.1593800000000001</v>
      </c>
      <c r="V49" s="1">
        <v>1.1468400000000001</v>
      </c>
      <c r="W49" s="1">
        <v>1.1170199999999999</v>
      </c>
      <c r="X49" s="1">
        <v>1.1308</v>
      </c>
      <c r="Y49" s="1">
        <v>1.1602399999999999</v>
      </c>
      <c r="Z49" s="1">
        <v>1.28295</v>
      </c>
      <c r="AA49" s="1">
        <v>1.37897</v>
      </c>
      <c r="AB49" s="1">
        <v>1.1593800000000001</v>
      </c>
      <c r="AC49" s="1">
        <v>1.1468400000000001</v>
      </c>
      <c r="AD49" s="1">
        <v>1.1170199999999999</v>
      </c>
      <c r="AE49" s="1">
        <v>1.1308</v>
      </c>
      <c r="AF49" s="1">
        <v>1.1602399999999999</v>
      </c>
      <c r="AG49" s="1">
        <v>1.28295</v>
      </c>
      <c r="AL49" s="10"/>
      <c r="AM49" s="10"/>
      <c r="AN49" s="10"/>
      <c r="AO49" s="10"/>
      <c r="AP49" s="10"/>
      <c r="AQ49" s="10"/>
      <c r="AR49" s="10"/>
      <c r="BB49" s="10"/>
      <c r="BC49" s="4" t="s">
        <v>29</v>
      </c>
      <c r="BD49" s="6">
        <f t="shared" si="11"/>
        <v>0.87419756488278211</v>
      </c>
      <c r="BE49" s="6">
        <f t="shared" si="10"/>
        <v>0.90597872230039733</v>
      </c>
      <c r="BF49" s="6">
        <f t="shared" si="10"/>
        <v>1.0776399649281934</v>
      </c>
      <c r="BG49" s="6">
        <f t="shared" si="10"/>
        <v>1.0653894799926704</v>
      </c>
      <c r="BH49" s="6">
        <f t="shared" si="10"/>
        <v>1.1133579519686663</v>
      </c>
      <c r="BI49" s="6">
        <f t="shared" si="10"/>
        <v>1.024348516691431</v>
      </c>
      <c r="BJ49" s="10"/>
    </row>
    <row r="50" spans="1:62" ht="14.25" customHeight="1" x14ac:dyDescent="0.35">
      <c r="A50" s="1" t="s">
        <v>7</v>
      </c>
      <c r="B50" s="1" t="s">
        <v>7</v>
      </c>
      <c r="C50" s="1" t="s">
        <v>15</v>
      </c>
      <c r="D50" s="1" t="s">
        <v>7</v>
      </c>
      <c r="E50" s="1" t="s">
        <v>22</v>
      </c>
      <c r="F50" s="1">
        <v>1.3313200000000001</v>
      </c>
      <c r="G50" s="1">
        <v>1.0357000000000001</v>
      </c>
      <c r="H50" s="1">
        <v>1.03295</v>
      </c>
      <c r="I50" s="1">
        <v>0.98421000000000003</v>
      </c>
      <c r="J50" s="1">
        <v>1.0175799999999999</v>
      </c>
      <c r="K50" s="1">
        <v>1.0396399999999999</v>
      </c>
      <c r="L50" s="1">
        <v>1.2173499999999999</v>
      </c>
      <c r="M50" s="1">
        <v>1.3313200000000001</v>
      </c>
      <c r="N50" s="1">
        <v>1.0357000000000001</v>
      </c>
      <c r="O50" s="1">
        <v>1.03295</v>
      </c>
      <c r="P50" s="1">
        <v>0.98421000000000003</v>
      </c>
      <c r="Q50" s="1">
        <v>1.0175799999999999</v>
      </c>
      <c r="R50" s="1">
        <v>1.0396399999999999</v>
      </c>
      <c r="S50" s="1">
        <v>1.2173499999999999</v>
      </c>
      <c r="T50" s="1">
        <v>1.3313200000000001</v>
      </c>
      <c r="U50" s="1">
        <v>1.0357000000000001</v>
      </c>
      <c r="V50" s="1">
        <v>1.03295</v>
      </c>
      <c r="W50" s="1">
        <v>0.98421000000000003</v>
      </c>
      <c r="X50" s="1">
        <v>1.0175799999999999</v>
      </c>
      <c r="Y50" s="1">
        <v>1.0396399999999999</v>
      </c>
      <c r="Z50" s="1">
        <v>1.2173499999999999</v>
      </c>
      <c r="AA50" s="1">
        <v>1.3313200000000001</v>
      </c>
      <c r="AB50" s="1">
        <v>1.0357000000000001</v>
      </c>
      <c r="AC50" s="1">
        <v>1.03295</v>
      </c>
      <c r="AD50" s="1">
        <v>0.98421000000000003</v>
      </c>
      <c r="AE50" s="1">
        <v>1.0175799999999999</v>
      </c>
      <c r="AF50" s="1">
        <v>1.0396399999999999</v>
      </c>
      <c r="AG50" s="1">
        <v>1.2173499999999999</v>
      </c>
      <c r="AL50" s="14" t="s">
        <v>120</v>
      </c>
      <c r="AM50" s="14"/>
      <c r="AN50" s="14"/>
      <c r="AO50" s="14"/>
      <c r="AP50" s="14"/>
      <c r="AQ50" s="14"/>
      <c r="AR50" s="14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 ht="14.25" customHeight="1" x14ac:dyDescent="0.35">
      <c r="A51" s="1" t="s">
        <v>16</v>
      </c>
      <c r="B51" s="1" t="s">
        <v>16</v>
      </c>
      <c r="C51" s="1" t="s">
        <v>14</v>
      </c>
      <c r="D51" s="1" t="s">
        <v>14</v>
      </c>
      <c r="E51" s="1" t="s">
        <v>24</v>
      </c>
      <c r="F51" s="1">
        <v>1.2865899999999999</v>
      </c>
      <c r="G51" s="1">
        <v>1.0540099999999999</v>
      </c>
      <c r="H51" s="1">
        <v>1.07376</v>
      </c>
      <c r="I51" s="1">
        <v>1.06199</v>
      </c>
      <c r="J51" s="1">
        <v>1.0474399999999999</v>
      </c>
      <c r="K51" s="1">
        <v>1.06945</v>
      </c>
      <c r="L51" s="1">
        <v>1.1673199999999999</v>
      </c>
      <c r="M51" s="1">
        <v>1.2865899999999999</v>
      </c>
      <c r="N51" s="1">
        <v>1.0540099999999999</v>
      </c>
      <c r="O51" s="1">
        <v>1.07376</v>
      </c>
      <c r="P51" s="1">
        <v>1.06199</v>
      </c>
      <c r="Q51" s="1">
        <v>1.0474399999999999</v>
      </c>
      <c r="R51" s="1">
        <v>1.06945</v>
      </c>
      <c r="S51" s="1">
        <v>1.1673199999999999</v>
      </c>
      <c r="T51" s="1">
        <v>1.2865899999999999</v>
      </c>
      <c r="U51" s="1">
        <v>1.0540099999999999</v>
      </c>
      <c r="V51" s="1">
        <v>1.07376</v>
      </c>
      <c r="W51" s="1">
        <v>1.06199</v>
      </c>
      <c r="X51" s="1">
        <v>1.0474399999999999</v>
      </c>
      <c r="Y51" s="1">
        <v>1.06945</v>
      </c>
      <c r="Z51" s="1">
        <v>1.1673199999999999</v>
      </c>
      <c r="AA51" s="1">
        <v>1.2865899999999999</v>
      </c>
      <c r="AB51" s="1">
        <v>1.0540099999999999</v>
      </c>
      <c r="AC51" s="1">
        <v>1.07376</v>
      </c>
      <c r="AD51" s="1">
        <v>1.06199</v>
      </c>
      <c r="AE51" s="1">
        <v>1.0474399999999999</v>
      </c>
      <c r="AF51" s="1">
        <v>1.06945</v>
      </c>
      <c r="AG51" s="1">
        <v>1.1673199999999999</v>
      </c>
      <c r="AL51" s="4"/>
      <c r="AM51" s="4" t="s">
        <v>13</v>
      </c>
      <c r="AN51" s="4" t="s">
        <v>14</v>
      </c>
      <c r="AO51" s="4" t="s">
        <v>15</v>
      </c>
      <c r="AP51" s="4" t="s">
        <v>16</v>
      </c>
      <c r="AQ51" s="4" t="s">
        <v>17</v>
      </c>
      <c r="AR51" s="4" t="s">
        <v>7</v>
      </c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 ht="14.25" customHeight="1" x14ac:dyDescent="0.35">
      <c r="A52" s="1" t="s">
        <v>16</v>
      </c>
      <c r="B52" s="1" t="s">
        <v>16</v>
      </c>
      <c r="C52" s="1" t="s">
        <v>14</v>
      </c>
      <c r="D52" s="1" t="s">
        <v>13</v>
      </c>
      <c r="E52" s="1" t="s">
        <v>26</v>
      </c>
      <c r="F52" s="1">
        <v>1.16248</v>
      </c>
      <c r="G52" s="1">
        <v>0.99053999999999998</v>
      </c>
      <c r="H52" s="1">
        <v>1.0187299999999999</v>
      </c>
      <c r="I52" s="1">
        <v>1.0141199999999999</v>
      </c>
      <c r="J52" s="1">
        <v>0.98982999999999999</v>
      </c>
      <c r="K52" s="1">
        <v>1.01895</v>
      </c>
      <c r="L52" s="1">
        <v>1.0436700000000001</v>
      </c>
      <c r="M52" s="1">
        <v>1.16248</v>
      </c>
      <c r="N52" s="1">
        <v>0.99053999999999998</v>
      </c>
      <c r="O52" s="1">
        <v>1.0187299999999999</v>
      </c>
      <c r="P52" s="1">
        <v>1.0141199999999999</v>
      </c>
      <c r="Q52" s="1">
        <v>0.98982999999999999</v>
      </c>
      <c r="R52" s="1">
        <v>1.01895</v>
      </c>
      <c r="S52" s="1">
        <v>1.0436700000000001</v>
      </c>
      <c r="T52" s="1">
        <v>1.16248</v>
      </c>
      <c r="U52" s="1">
        <v>0.99053999999999998</v>
      </c>
      <c r="V52" s="1">
        <v>1.0187299999999999</v>
      </c>
      <c r="W52" s="1">
        <v>1.0141199999999999</v>
      </c>
      <c r="X52" s="1">
        <v>0.98982999999999999</v>
      </c>
      <c r="Y52" s="1">
        <v>1.01895</v>
      </c>
      <c r="Z52" s="1">
        <v>1.0436700000000001</v>
      </c>
      <c r="AA52" s="1">
        <v>1.16248</v>
      </c>
      <c r="AB52" s="1">
        <v>0.99053999999999998</v>
      </c>
      <c r="AC52" s="1">
        <v>1.0187299999999999</v>
      </c>
      <c r="AD52" s="1">
        <v>1.0141199999999999</v>
      </c>
      <c r="AE52" s="1">
        <v>0.98982999999999999</v>
      </c>
      <c r="AF52" s="1">
        <v>1.01895</v>
      </c>
      <c r="AG52" s="1">
        <v>1.0436700000000001</v>
      </c>
      <c r="AL52" s="4" t="s">
        <v>19</v>
      </c>
      <c r="AM52" s="6" cm="1">
        <f t="array" ref="AM52">IFERROR((SUMPRODUCT(($C$43:$C$66=AM$41)*($F$39:$AG$39="")*$F$43:$AG$66)+IF(AM$41="P3",SUMPRODUCT(($F$39:$AG$39="P3")*$F$43:$AG$66),0))/(SUMPRODUCT(($C$43:$C$66=AM$41)*($F$39:$AG$39=""))+IF(AM$41="P3",COUNTIF($F$39:$AG$39,"P3")*ROWS($C$43:$C$66),0)),"")</f>
        <v>1.0686592499999983</v>
      </c>
      <c r="AN52" s="6" cm="1">
        <f t="array" ref="AN52">IFERROR((SUMPRODUCT(($C$43:$C$66=AN$41)*($F$39:$AG$39="")*$F$43:$AG$66)+IF(AN$41="P3",SUMPRODUCT(($F$39:$AG$39="P3")*$F$43:$AG$66),0))/(SUMPRODUCT(($C$43:$C$66=AN$41)*($F$39:$AG$39=""))+IF(AN$41="P3",COUNTIF($F$39:$AG$39,"P3")*ROWS($C$43:$C$66),0)),"")</f>
        <v>1.0932554999999993</v>
      </c>
      <c r="AO52" s="6" cm="1">
        <f t="array" ref="AO52">IFERROR((SUMPRODUCT(($C$43:$C$66=AO$41)*($F$39:$AG$39="")*$F$43:$AG$66)+IF(AO$41="P3",SUMPRODUCT(($F$39:$AG$39="P3")*$F$43:$AG$66),0))/(SUMPRODUCT(($C$43:$C$66=AO$41)*($F$39:$AG$39=""))+IF(AO$41="P3",COUNTIF($F$39:$AG$39,"P3")*ROWS($C$43:$C$66),0)),"")</f>
        <v>1.2005248863636357</v>
      </c>
      <c r="AP52" s="6" t="str" cm="1">
        <f t="array" ref="AP52">IFERROR((SUMPRODUCT(($C$43:$C$66=AP$41)*($F$39:$AG$39="")*$F$43:$AG$66)+IF(AP$41="P3",SUMPRODUCT(($F$39:$AG$39="P3")*$F$43:$AG$66),0))/(SUMPRODUCT(($C$43:$C$66=AP$41)*($F$39:$AG$39=""))+IF(AP$41="P3",COUNTIF($F$39:$AG$39,"P3")*ROWS($C$43:$C$66),0)),"")</f>
        <v/>
      </c>
      <c r="AQ52" s="6" t="str" cm="1">
        <f t="array" ref="AQ52">IFERROR((SUMPRODUCT(($C$43:$C$66=AQ$41)*($F$39:$AG$39="")*$F$43:$AG$66)+IF(AQ$41="P3",SUMPRODUCT(($F$39:$AG$39="P3")*$F$43:$AG$66),0))/(SUMPRODUCT(($C$43:$C$66=AQ$41)*($F$39:$AG$39=""))+IF(AQ$41="P3",COUNTIF($F$39:$AG$39,"P3")*ROWS($C$43:$C$66),0)),"")</f>
        <v/>
      </c>
      <c r="AR52" s="6" t="str" cm="1">
        <f t="array" ref="AR52">IFERROR((SUMPRODUCT(($C$43:$C$66=AR$41)*($F$39:$AG$39="")*$F$43:$AG$66)+IF(AR$41="P3",SUMPRODUCT(($F$39:$AG$39="P3")*$F$43:$AG$66),0))/(SUMPRODUCT(($C$43:$C$66=AR$41)*($F$39:$AG$39=""))+IF(AR$41="P3",COUNTIF($F$39:$AG$39,"P3")*ROWS($C$43:$C$66),0)),"")</f>
        <v/>
      </c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 ht="14.25" customHeight="1" x14ac:dyDescent="0.35">
      <c r="A53" s="1" t="s">
        <v>14</v>
      </c>
      <c r="B53" s="1" t="s">
        <v>15</v>
      </c>
      <c r="C53" s="1" t="s">
        <v>13</v>
      </c>
      <c r="D53" s="1" t="s">
        <v>13</v>
      </c>
      <c r="E53" s="1" t="s">
        <v>28</v>
      </c>
      <c r="F53" s="1">
        <v>1.0965800000000001</v>
      </c>
      <c r="G53" s="1">
        <v>0.96726000000000001</v>
      </c>
      <c r="H53" s="1">
        <v>0.98141</v>
      </c>
      <c r="I53" s="1">
        <v>0.99104999999999999</v>
      </c>
      <c r="J53" s="1">
        <v>0.99597999999999998</v>
      </c>
      <c r="K53" s="1">
        <v>0.98841000000000001</v>
      </c>
      <c r="L53" s="1">
        <v>0.99631999999999998</v>
      </c>
      <c r="M53" s="1">
        <v>1.0965800000000001</v>
      </c>
      <c r="N53" s="1">
        <v>0.96726000000000001</v>
      </c>
      <c r="O53" s="1">
        <v>0.98141</v>
      </c>
      <c r="P53" s="1">
        <v>0.99104999999999999</v>
      </c>
      <c r="Q53" s="1">
        <v>0.99597999999999998</v>
      </c>
      <c r="R53" s="1">
        <v>0.98841000000000001</v>
      </c>
      <c r="S53" s="1">
        <v>0.99631999999999998</v>
      </c>
      <c r="T53" s="1">
        <v>1.0965800000000001</v>
      </c>
      <c r="U53" s="1">
        <v>0.96726000000000001</v>
      </c>
      <c r="V53" s="1">
        <v>0.98141</v>
      </c>
      <c r="W53" s="1">
        <v>0.99104999999999999</v>
      </c>
      <c r="X53" s="1">
        <v>0.99597999999999998</v>
      </c>
      <c r="Y53" s="1">
        <v>0.98841000000000001</v>
      </c>
      <c r="Z53" s="1">
        <v>0.99631999999999998</v>
      </c>
      <c r="AA53" s="1">
        <v>1.0965800000000001</v>
      </c>
      <c r="AB53" s="1">
        <v>0.96726000000000001</v>
      </c>
      <c r="AC53" s="1">
        <v>0.98141</v>
      </c>
      <c r="AD53" s="1">
        <v>0.99104999999999999</v>
      </c>
      <c r="AE53" s="1">
        <v>0.99597999999999998</v>
      </c>
      <c r="AF53" s="1">
        <v>0.98841000000000001</v>
      </c>
      <c r="AG53" s="1">
        <v>0.99631999999999998</v>
      </c>
      <c r="AL53" s="4" t="s">
        <v>21</v>
      </c>
      <c r="AM53" s="6" t="str" cm="1">
        <f t="array" ref="AM53">IFERROR((SUMPRODUCT(($A$43:$A$66=AM$41)*($F$40:$AG$40="")*$F$43:$AG$66)+IF(AM$41="P6",SUMPRODUCT(($F$40:$AG$40="P6")*$F$43:$AG$66),0))/(SUMPRODUCT(($A$43:$A$66=AM$41)*($F$40:$AG$40=""))+IF(AM$41="P6",COUNTIF($F$40:$AG$40,"P6")*ROWS($A$43:$A$66),0)),"")</f>
        <v/>
      </c>
      <c r="AN53" s="6" cm="1">
        <f t="array" ref="AN53">IFERROR((SUMPRODUCT(($A$43:$A$66=AN$41)*($F$40:$AG$40="")*$F$43:$AG$66)+IF(AN$41="P6",SUMPRODUCT(($F$40:$AG$40="P6")*$F$43:$AG$66),0))/(SUMPRODUCT(($A$43:$A$66=AN$41)*($F$40:$AG$40=""))+IF(AN$41="P6",COUNTIF($F$40:$AG$40,"P6")*ROWS($A$43:$A$66),0)),"")</f>
        <v>1.0617335555555536</v>
      </c>
      <c r="AO53" s="6" t="str" cm="1">
        <f t="array" ref="AO53">IFERROR((SUMPRODUCT(($A$43:$A$66=AO$41)*($F$40:$AG$40="")*$F$43:$AG$66)+IF(AO$41="P6",SUMPRODUCT(($F$40:$AG$40="P6")*$F$43:$AG$66),0))/(SUMPRODUCT(($A$43:$A$66=AO$41)*($F$40:$AG$40=""))+IF(AO$41="P6",COUNTIF($F$40:$AG$40,"P6")*ROWS($A$43:$A$66),0)),"")</f>
        <v/>
      </c>
      <c r="AP53" s="6" cm="1">
        <f t="array" ref="AP53">IFERROR((SUMPRODUCT(($A$43:$A$66=AP$41)*($F$40:$AG$40="")*$F$43:$AG$66)+IF(AP$41="P6",SUMPRODUCT(($F$40:$AG$40="P6")*$F$43:$AG$66),0))/(SUMPRODUCT(($A$43:$A$66=AP$41)*($F$40:$AG$40=""))+IF(AP$41="P6",COUNTIF($F$40:$AG$40,"P6")*ROWS($A$43:$A$66),0)),"")</f>
        <v>1.105673714285714</v>
      </c>
      <c r="AQ53" s="6" t="str" cm="1">
        <f t="array" ref="AQ53">IFERROR((SUMPRODUCT(($A$43:$A$66=AQ$41)*($F$40:$AG$40="")*$F$43:$AG$66)+IF(AQ$41="P6",SUMPRODUCT(($F$40:$AG$40="P6")*$F$43:$AG$66),0))/(SUMPRODUCT(($A$43:$A$66=AQ$41)*($F$40:$AG$40=""))+IF(AQ$41="P6",COUNTIF($F$40:$AG$40,"P6")*ROWS($A$43:$A$66),0)),"")</f>
        <v/>
      </c>
      <c r="AR53" s="6" cm="1">
        <f t="array" ref="AR53">IFERROR((SUMPRODUCT(($A$43:$A$66=AR$41)*($F$40:$AG$40="")*$F$43:$AG$66)+IF(AR$41="P6",SUMPRODUCT(($F$40:$AG$40="P6")*$F$43:$AG$66),0))/(SUMPRODUCT(($A$43:$A$66=AR$41)*($F$40:$AG$40=""))+IF(AR$41="P6",COUNTIF($F$40:$AG$40,"P6")*ROWS($A$43:$A$66),0)),"")</f>
        <v>1.2005248863636357</v>
      </c>
    </row>
    <row r="54" spans="1:62" ht="14.25" customHeight="1" x14ac:dyDescent="0.35">
      <c r="A54" s="1" t="s">
        <v>14</v>
      </c>
      <c r="B54" s="1" t="s">
        <v>15</v>
      </c>
      <c r="C54" s="1" t="s">
        <v>13</v>
      </c>
      <c r="D54" s="1" t="s">
        <v>13</v>
      </c>
      <c r="E54" s="1" t="s">
        <v>30</v>
      </c>
      <c r="F54" s="1">
        <v>1.0709200000000001</v>
      </c>
      <c r="G54" s="1">
        <v>0.97353000000000001</v>
      </c>
      <c r="H54" s="1">
        <v>0.98128000000000004</v>
      </c>
      <c r="I54" s="1">
        <v>1.00152</v>
      </c>
      <c r="J54" s="1">
        <v>1.0273000000000001</v>
      </c>
      <c r="K54" s="1">
        <v>0.99775000000000003</v>
      </c>
      <c r="L54" s="1">
        <v>1.00529</v>
      </c>
      <c r="M54" s="1">
        <v>1.0709200000000001</v>
      </c>
      <c r="N54" s="1">
        <v>0.97353000000000001</v>
      </c>
      <c r="O54" s="1">
        <v>0.98128000000000004</v>
      </c>
      <c r="P54" s="1">
        <v>1.00152</v>
      </c>
      <c r="Q54" s="1">
        <v>1.0273000000000001</v>
      </c>
      <c r="R54" s="1">
        <v>0.99775000000000003</v>
      </c>
      <c r="S54" s="1">
        <v>1.00529</v>
      </c>
      <c r="T54" s="1">
        <v>1.0709200000000001</v>
      </c>
      <c r="U54" s="1">
        <v>0.97353000000000001</v>
      </c>
      <c r="V54" s="1">
        <v>0.98128000000000004</v>
      </c>
      <c r="W54" s="1">
        <v>1.00152</v>
      </c>
      <c r="X54" s="1">
        <v>1.0273000000000001</v>
      </c>
      <c r="Y54" s="1">
        <v>0.99775000000000003</v>
      </c>
      <c r="Z54" s="1">
        <v>1.00529</v>
      </c>
      <c r="AA54" s="1">
        <v>1.0709200000000001</v>
      </c>
      <c r="AB54" s="1">
        <v>0.97353000000000001</v>
      </c>
      <c r="AC54" s="1">
        <v>0.98128000000000004</v>
      </c>
      <c r="AD54" s="1">
        <v>1.00152</v>
      </c>
      <c r="AE54" s="1">
        <v>1.0273000000000001</v>
      </c>
      <c r="AF54" s="1">
        <v>0.99775000000000003</v>
      </c>
      <c r="AG54" s="1">
        <v>1.00529</v>
      </c>
      <c r="AL54" s="4" t="s">
        <v>23</v>
      </c>
      <c r="AM54" s="6" t="str" cm="1">
        <f t="array" ref="AM54">IFERROR((SUMPRODUCT(($A$43:$A$66=AM$41)*($F$40:$AG$40="")*$F$43:$AG$66)+IF(AM$41="P6",SUMPRODUCT(($F$40:$AG$40="P6")*$F$43:$AG$66),0))/(SUMPRODUCT(($A$43:$A$66=AM$41)*($F$40:$AG$40=""))+IF(AM$41="P6",COUNTIF($F$40:$AG$40,"P6")*ROWS($A$43:$A$66),0)),"")</f>
        <v/>
      </c>
      <c r="AN54" s="6" cm="1">
        <f t="array" ref="AN54">IFERROR((SUMPRODUCT(($A$43:$A$66=AN$41)*($F$40:$AG$40="")*$F$43:$AG$66)+IF(AN$41="P6",SUMPRODUCT(($F$40:$AG$40="P6")*$F$43:$AG$66),0))/(SUMPRODUCT(($A$43:$A$66=AN$41)*($F$40:$AG$40=""))+IF(AN$41="P6",COUNTIF($F$40:$AG$40,"P6")*ROWS($A$43:$A$66),0)),"")</f>
        <v>1.0617335555555536</v>
      </c>
      <c r="AO54" s="6" t="str" cm="1">
        <f t="array" ref="AO54">IFERROR((SUMPRODUCT(($A$43:$A$66=AO$41)*($F$40:$AG$40="")*$F$43:$AG$66)+IF(AO$41="P6",SUMPRODUCT(($F$40:$AG$40="P6")*$F$43:$AG$66),0))/(SUMPRODUCT(($A$43:$A$66=AO$41)*($F$40:$AG$40=""))+IF(AO$41="P6",COUNTIF($F$40:$AG$40,"P6")*ROWS($A$43:$A$66),0)),"")</f>
        <v/>
      </c>
      <c r="AP54" s="6" cm="1">
        <f t="array" ref="AP54">IFERROR((SUMPRODUCT(($A$43:$A$66=AP$41)*($F$40:$AG$40="")*$F$43:$AG$66)+IF(AP$41="P6",SUMPRODUCT(($F$40:$AG$40="P6")*$F$43:$AG$66),0))/(SUMPRODUCT(($A$43:$A$66=AP$41)*($F$40:$AG$40=""))+IF(AP$41="P6",COUNTIF($F$40:$AG$40,"P6")*ROWS($A$43:$A$66),0)),"")</f>
        <v>1.105673714285714</v>
      </c>
      <c r="AQ54" s="6" t="str" cm="1">
        <f t="array" ref="AQ54">IFERROR((SUMPRODUCT(($A$43:$A$66=AQ$41)*($F$40:$AG$40="")*$F$43:$AG$66)+IF(AQ$41="P6",SUMPRODUCT(($F$40:$AG$40="P6")*$F$43:$AG$66),0))/(SUMPRODUCT(($A$43:$A$66=AQ$41)*($F$40:$AG$40=""))+IF(AQ$41="P6",COUNTIF($F$40:$AG$40,"P6")*ROWS($A$43:$A$66),0)),"")</f>
        <v/>
      </c>
      <c r="AR54" s="6" cm="1">
        <f t="array" ref="AR54">IFERROR((SUMPRODUCT(($A$43:$A$66=AR$41)*($F$40:$AG$40="")*$F$43:$AG$66)+IF(AR$41="P6",SUMPRODUCT(($F$40:$AG$40="P6")*$F$43:$AG$66),0))/(SUMPRODUCT(($A$43:$A$66=AR$41)*($F$40:$AG$40=""))+IF(AR$41="P6",COUNTIF($F$40:$AG$40,"P6")*ROWS($A$43:$A$66),0)),"")</f>
        <v>1.2005248863636357</v>
      </c>
    </row>
    <row r="55" spans="1:62" ht="14.25" customHeight="1" x14ac:dyDescent="0.35">
      <c r="A55" s="1" t="s">
        <v>14</v>
      </c>
      <c r="B55" s="1" t="s">
        <v>15</v>
      </c>
      <c r="C55" s="1" t="s">
        <v>13</v>
      </c>
      <c r="D55" s="1" t="s">
        <v>13</v>
      </c>
      <c r="E55" s="1" t="s">
        <v>31</v>
      </c>
      <c r="F55" s="1">
        <v>1.06179</v>
      </c>
      <c r="G55" s="1">
        <v>0.97209999999999996</v>
      </c>
      <c r="H55" s="1">
        <v>0.98692999999999997</v>
      </c>
      <c r="I55" s="1">
        <v>1.0018800000000001</v>
      </c>
      <c r="J55" s="1">
        <v>1.03667</v>
      </c>
      <c r="K55" s="1">
        <v>0.98541000000000001</v>
      </c>
      <c r="L55" s="1">
        <v>1.0175399999999999</v>
      </c>
      <c r="M55" s="1">
        <v>1.06179</v>
      </c>
      <c r="N55" s="1">
        <v>0.97209999999999996</v>
      </c>
      <c r="O55" s="1">
        <v>0.98692999999999997</v>
      </c>
      <c r="P55" s="1">
        <v>1.0018800000000001</v>
      </c>
      <c r="Q55" s="1">
        <v>1.03667</v>
      </c>
      <c r="R55" s="1">
        <v>0.98541000000000001</v>
      </c>
      <c r="S55" s="1">
        <v>1.0175399999999999</v>
      </c>
      <c r="T55" s="1">
        <v>1.06179</v>
      </c>
      <c r="U55" s="1">
        <v>0.97209999999999996</v>
      </c>
      <c r="V55" s="1">
        <v>0.98692999999999997</v>
      </c>
      <c r="W55" s="1">
        <v>1.0018800000000001</v>
      </c>
      <c r="X55" s="1">
        <v>1.03667</v>
      </c>
      <c r="Y55" s="1">
        <v>0.98541000000000001</v>
      </c>
      <c r="Z55" s="1">
        <v>1.0175399999999999</v>
      </c>
      <c r="AA55" s="1">
        <v>1.06179</v>
      </c>
      <c r="AB55" s="1">
        <v>0.97209999999999996</v>
      </c>
      <c r="AC55" s="1">
        <v>0.98692999999999997</v>
      </c>
      <c r="AD55" s="1">
        <v>1.0018800000000001</v>
      </c>
      <c r="AE55" s="1">
        <v>1.03667</v>
      </c>
      <c r="AF55" s="1">
        <v>0.98541000000000001</v>
      </c>
      <c r="AG55" s="1">
        <v>1.0175399999999999</v>
      </c>
      <c r="AL55" s="4" t="s">
        <v>25</v>
      </c>
      <c r="AM55" s="6" t="str" cm="1">
        <f t="array" ref="AM55">IFERROR((SUMPRODUCT(($A$43:$A$66=AM$41)*($F$40:$AG$40="")*$F$43:$AG$66)+IF(AM$41="P6",SUMPRODUCT(($F$40:$AG$40="P6")*$F$43:$AG$66),0))/(SUMPRODUCT(($A$43:$A$66=AM$41)*($F$40:$AG$40=""))+IF(AM$41="P6",COUNTIF($F$40:$AG$40,"P6")*ROWS($A$43:$A$66),0)),"")</f>
        <v/>
      </c>
      <c r="AN55" s="6" cm="1">
        <f t="array" ref="AN55">IFERROR((SUMPRODUCT(($A$43:$A$66=AN$41)*($F$40:$AG$40="")*$F$43:$AG$66)+IF(AN$41="P6",SUMPRODUCT(($F$40:$AG$40="P6")*$F$43:$AG$66),0))/(SUMPRODUCT(($A$43:$A$66=AN$41)*($F$40:$AG$40=""))+IF(AN$41="P6",COUNTIF($F$40:$AG$40,"P6")*ROWS($A$43:$A$66),0)),"")</f>
        <v>1.0617335555555536</v>
      </c>
      <c r="AO55" s="6" t="str" cm="1">
        <f t="array" ref="AO55">IFERROR((SUMPRODUCT(($A$43:$A$66=AO$41)*($F$40:$AG$40="")*$F$43:$AG$66)+IF(AO$41="P6",SUMPRODUCT(($F$40:$AG$40="P6")*$F$43:$AG$66),0))/(SUMPRODUCT(($A$43:$A$66=AO$41)*($F$40:$AG$40=""))+IF(AO$41="P6",COUNTIF($F$40:$AG$40,"P6")*ROWS($A$43:$A$66),0)),"")</f>
        <v/>
      </c>
      <c r="AP55" s="6" cm="1">
        <f t="array" ref="AP55">IFERROR((SUMPRODUCT(($A$43:$A$66=AP$41)*($F$40:$AG$40="")*$F$43:$AG$66)+IF(AP$41="P6",SUMPRODUCT(($F$40:$AG$40="P6")*$F$43:$AG$66),0))/(SUMPRODUCT(($A$43:$A$66=AP$41)*($F$40:$AG$40=""))+IF(AP$41="P6",COUNTIF($F$40:$AG$40,"P6")*ROWS($A$43:$A$66),0)),"")</f>
        <v>1.105673714285714</v>
      </c>
      <c r="AQ55" s="6" t="str" cm="1">
        <f t="array" ref="AQ55">IFERROR((SUMPRODUCT(($A$43:$A$66=AQ$41)*($F$40:$AG$40="")*$F$43:$AG$66)+IF(AQ$41="P6",SUMPRODUCT(($F$40:$AG$40="P6")*$F$43:$AG$66),0))/(SUMPRODUCT(($A$43:$A$66=AQ$41)*($F$40:$AG$40=""))+IF(AQ$41="P6",COUNTIF($F$40:$AG$40,"P6")*ROWS($A$43:$A$66),0)),"")</f>
        <v/>
      </c>
      <c r="AR55" s="6" cm="1">
        <f t="array" ref="AR55">IFERROR((SUMPRODUCT(($A$43:$A$66=AR$41)*($F$40:$AG$40="")*$F$43:$AG$66)+IF(AR$41="P6",SUMPRODUCT(($F$40:$AG$40="P6")*$F$43:$AG$66),0))/(SUMPRODUCT(($A$43:$A$66=AR$41)*($F$40:$AG$40=""))+IF(AR$41="P6",COUNTIF($F$40:$AG$40,"P6")*ROWS($A$43:$A$66),0)),"")</f>
        <v>1.2005248863636357</v>
      </c>
    </row>
    <row r="56" spans="1:62" ht="14.25" customHeight="1" x14ac:dyDescent="0.35">
      <c r="A56" s="1" t="s">
        <v>14</v>
      </c>
      <c r="B56" s="1" t="s">
        <v>15</v>
      </c>
      <c r="C56" s="1" t="s">
        <v>13</v>
      </c>
      <c r="D56" s="1" t="s">
        <v>13</v>
      </c>
      <c r="E56" s="1" t="s">
        <v>32</v>
      </c>
      <c r="F56" s="1">
        <v>1.0456099999999999</v>
      </c>
      <c r="G56" s="1">
        <v>0.97477000000000003</v>
      </c>
      <c r="H56" s="1">
        <v>0.99182999999999999</v>
      </c>
      <c r="I56" s="1">
        <v>0.99573</v>
      </c>
      <c r="J56" s="1">
        <v>1.0321899999999999</v>
      </c>
      <c r="K56" s="1">
        <v>0.98895</v>
      </c>
      <c r="L56" s="1">
        <v>1.00861</v>
      </c>
      <c r="M56" s="1">
        <v>1.0456099999999999</v>
      </c>
      <c r="N56" s="1">
        <v>0.97477000000000003</v>
      </c>
      <c r="O56" s="1">
        <v>0.99182999999999999</v>
      </c>
      <c r="P56" s="1">
        <v>0.99573</v>
      </c>
      <c r="Q56" s="1">
        <v>1.0321899999999999</v>
      </c>
      <c r="R56" s="1">
        <v>0.98895</v>
      </c>
      <c r="S56" s="1">
        <v>1.00861</v>
      </c>
      <c r="T56" s="1">
        <v>1.0456099999999999</v>
      </c>
      <c r="U56" s="1">
        <v>0.97477000000000003</v>
      </c>
      <c r="V56" s="1">
        <v>0.99182999999999999</v>
      </c>
      <c r="W56" s="1">
        <v>0.99573</v>
      </c>
      <c r="X56" s="1">
        <v>1.0321899999999999</v>
      </c>
      <c r="Y56" s="1">
        <v>0.98895</v>
      </c>
      <c r="Z56" s="1">
        <v>1.00861</v>
      </c>
      <c r="AA56" s="1">
        <v>1.0456099999999999</v>
      </c>
      <c r="AB56" s="1">
        <v>0.97477000000000003</v>
      </c>
      <c r="AC56" s="1">
        <v>0.99182999999999999</v>
      </c>
      <c r="AD56" s="1">
        <v>0.99573</v>
      </c>
      <c r="AE56" s="1">
        <v>1.0321899999999999</v>
      </c>
      <c r="AF56" s="1">
        <v>0.98895</v>
      </c>
      <c r="AG56" s="1">
        <v>1.00861</v>
      </c>
      <c r="AL56" s="4" t="s">
        <v>27</v>
      </c>
      <c r="AM56" s="6" t="str" cm="1">
        <f t="array" ref="AM56">IFERROR((SUMPRODUCT(($A$43:$A$66=AM$41)*($F$40:$AG$40="")*$F$43:$AG$66)+IF(AM$41="P6",SUMPRODUCT(($F$40:$AG$40="P6")*$F$43:$AG$66),0))/(SUMPRODUCT(($A$43:$A$66=AM$41)*($F$40:$AG$40=""))+IF(AM$41="P6",COUNTIF($F$40:$AG$40,"P6")*ROWS($A$43:$A$66),0)),"")</f>
        <v/>
      </c>
      <c r="AN56" s="6" cm="1">
        <f t="array" ref="AN56">IFERROR((SUMPRODUCT(($A$43:$A$66=AN$41)*($F$40:$AG$40="")*$F$43:$AG$66)+IF(AN$41="P6",SUMPRODUCT(($F$40:$AG$40="P6")*$F$43:$AG$66),0))/(SUMPRODUCT(($A$43:$A$66=AN$41)*($F$40:$AG$40=""))+IF(AN$41="P6",COUNTIF($F$40:$AG$40,"P6")*ROWS($A$43:$A$66),0)),"")</f>
        <v>1.0617335555555536</v>
      </c>
      <c r="AO56" s="6" t="str" cm="1">
        <f t="array" ref="AO56">IFERROR((SUMPRODUCT(($A$43:$A$66=AO$41)*($F$40:$AG$40="")*$F$43:$AG$66)+IF(AO$41="P6",SUMPRODUCT(($F$40:$AG$40="P6")*$F$43:$AG$66),0))/(SUMPRODUCT(($A$43:$A$66=AO$41)*($F$40:$AG$40=""))+IF(AO$41="P6",COUNTIF($F$40:$AG$40,"P6")*ROWS($A$43:$A$66),0)),"")</f>
        <v/>
      </c>
      <c r="AP56" s="6" cm="1">
        <f t="array" ref="AP56">IFERROR((SUMPRODUCT(($A$43:$A$66=AP$41)*($F$40:$AG$40="")*$F$43:$AG$66)+IF(AP$41="P6",SUMPRODUCT(($F$40:$AG$40="P6")*$F$43:$AG$66),0))/(SUMPRODUCT(($A$43:$A$66=AP$41)*($F$40:$AG$40=""))+IF(AP$41="P6",COUNTIF($F$40:$AG$40,"P6")*ROWS($A$43:$A$66),0)),"")</f>
        <v>1.105673714285714</v>
      </c>
      <c r="AQ56" s="6" t="str" cm="1">
        <f t="array" ref="AQ56">IFERROR((SUMPRODUCT(($A$43:$A$66=AQ$41)*($F$40:$AG$40="")*$F$43:$AG$66)+IF(AQ$41="P6",SUMPRODUCT(($F$40:$AG$40="P6")*$F$43:$AG$66),0))/(SUMPRODUCT(($A$43:$A$66=AQ$41)*($F$40:$AG$40=""))+IF(AQ$41="P6",COUNTIF($F$40:$AG$40,"P6")*ROWS($A$43:$A$66),0)),"")</f>
        <v/>
      </c>
      <c r="AR56" s="6" cm="1">
        <f t="array" ref="AR56">IFERROR((SUMPRODUCT(($A$43:$A$66=AR$41)*($F$40:$AG$40="")*$F$43:$AG$66)+IF(AR$41="P6",SUMPRODUCT(($F$40:$AG$40="P6")*$F$43:$AG$66),0))/(SUMPRODUCT(($A$43:$A$66=AR$41)*($F$40:$AG$40=""))+IF(AR$41="P6",COUNTIF($F$40:$AG$40,"P6")*ROWS($A$43:$A$66),0)),"")</f>
        <v>1.2005248863636357</v>
      </c>
    </row>
    <row r="57" spans="1:62" ht="14.25" customHeight="1" x14ac:dyDescent="0.35">
      <c r="A57" s="1" t="s">
        <v>14</v>
      </c>
      <c r="B57" s="1" t="s">
        <v>15</v>
      </c>
      <c r="C57" s="1" t="s">
        <v>14</v>
      </c>
      <c r="D57" s="1" t="s">
        <v>14</v>
      </c>
      <c r="E57" s="1" t="s">
        <v>33</v>
      </c>
      <c r="F57" s="1">
        <v>1.0547200000000001</v>
      </c>
      <c r="G57" s="1">
        <v>0.99604999999999999</v>
      </c>
      <c r="H57" s="1">
        <v>0.99461999999999995</v>
      </c>
      <c r="I57" s="1">
        <v>1.00817</v>
      </c>
      <c r="J57" s="1">
        <v>1.0375700000000001</v>
      </c>
      <c r="K57" s="1">
        <v>0.99522999999999995</v>
      </c>
      <c r="L57" s="1">
        <v>1.0305200000000001</v>
      </c>
      <c r="M57" s="1">
        <v>1.0547200000000001</v>
      </c>
      <c r="N57" s="1">
        <v>0.99604999999999999</v>
      </c>
      <c r="O57" s="1">
        <v>0.99461999999999995</v>
      </c>
      <c r="P57" s="1">
        <v>1.00817</v>
      </c>
      <c r="Q57" s="1">
        <v>1.0375700000000001</v>
      </c>
      <c r="R57" s="1">
        <v>0.99522999999999995</v>
      </c>
      <c r="S57" s="1">
        <v>1.0305200000000001</v>
      </c>
      <c r="T57" s="1">
        <v>1.0547200000000001</v>
      </c>
      <c r="U57" s="1">
        <v>0.99604999999999999</v>
      </c>
      <c r="V57" s="1">
        <v>0.99461999999999995</v>
      </c>
      <c r="W57" s="1">
        <v>1.00817</v>
      </c>
      <c r="X57" s="1">
        <v>1.0375700000000001</v>
      </c>
      <c r="Y57" s="1">
        <v>0.99522999999999995</v>
      </c>
      <c r="Z57" s="1">
        <v>1.0305200000000001</v>
      </c>
      <c r="AA57" s="1">
        <v>1.0547200000000001</v>
      </c>
      <c r="AB57" s="1">
        <v>0.99604999999999999</v>
      </c>
      <c r="AC57" s="1">
        <v>0.99461999999999995</v>
      </c>
      <c r="AD57" s="1">
        <v>1.00817</v>
      </c>
      <c r="AE57" s="1">
        <v>1.0375700000000001</v>
      </c>
      <c r="AF57" s="1">
        <v>0.99522999999999995</v>
      </c>
      <c r="AG57" s="1">
        <v>1.0305200000000001</v>
      </c>
      <c r="AL57" s="4" t="s">
        <v>29</v>
      </c>
      <c r="AM57" s="6" t="str" cm="1">
        <f t="array" ref="AM57">IFERROR((SUMPRODUCT(($A$43:$A$66=AM$41)*($F$40:$AG$40="")*$F$43:$AG$66)+IF(AM$41="P6",SUMPRODUCT(($F$40:$AG$40="P6")*$F$43:$AG$66),0))/(SUMPRODUCT(($A$43:$A$66=AM$41)*($F$40:$AG$40=""))+IF(AM$41="P6",COUNTIF($F$40:$AG$40,"P6")*ROWS($A$43:$A$66),0)),"")</f>
        <v/>
      </c>
      <c r="AN57" s="6" cm="1">
        <f t="array" ref="AN57">IFERROR((SUMPRODUCT(($A$43:$A$66=AN$41)*($F$40:$AG$40="")*$F$43:$AG$66)+IF(AN$41="P6",SUMPRODUCT(($F$40:$AG$40="P6")*$F$43:$AG$66),0))/(SUMPRODUCT(($A$43:$A$66=AN$41)*($F$40:$AG$40=""))+IF(AN$41="P6",COUNTIF($F$40:$AG$40,"P6")*ROWS($A$43:$A$66),0)),"")</f>
        <v>1.0617335555555536</v>
      </c>
      <c r="AO57" s="6" t="str" cm="1">
        <f t="array" ref="AO57">IFERROR((SUMPRODUCT(($A$43:$A$66=AO$41)*($F$40:$AG$40="")*$F$43:$AG$66)+IF(AO$41="P6",SUMPRODUCT(($F$40:$AG$40="P6")*$F$43:$AG$66),0))/(SUMPRODUCT(($A$43:$A$66=AO$41)*($F$40:$AG$40=""))+IF(AO$41="P6",COUNTIF($F$40:$AG$40,"P6")*ROWS($A$43:$A$66),0)),"")</f>
        <v/>
      </c>
      <c r="AP57" s="6" cm="1">
        <f t="array" ref="AP57">IFERROR((SUMPRODUCT(($A$43:$A$66=AP$41)*($F$40:$AG$40="")*$F$43:$AG$66)+IF(AP$41="P6",SUMPRODUCT(($F$40:$AG$40="P6")*$F$43:$AG$66),0))/(SUMPRODUCT(($A$43:$A$66=AP$41)*($F$40:$AG$40=""))+IF(AP$41="P6",COUNTIF($F$40:$AG$40,"P6")*ROWS($A$43:$A$66),0)),"")</f>
        <v>1.105673714285714</v>
      </c>
      <c r="AQ57" s="6" t="str" cm="1">
        <f t="array" ref="AQ57">IFERROR((SUMPRODUCT(($A$43:$A$66=AQ$41)*($F$40:$AG$40="")*$F$43:$AG$66)+IF(AQ$41="P6",SUMPRODUCT(($F$40:$AG$40="P6")*$F$43:$AG$66),0))/(SUMPRODUCT(($A$43:$A$66=AQ$41)*($F$40:$AG$40=""))+IF(AQ$41="P6",COUNTIF($F$40:$AG$40,"P6")*ROWS($A$43:$A$66),0)),"")</f>
        <v/>
      </c>
      <c r="AR57" s="6" cm="1">
        <f t="array" ref="AR57">IFERROR((SUMPRODUCT(($A$43:$A$66=AR$41)*($F$40:$AG$40="")*$F$43:$AG$66)+IF(AR$41="P6",SUMPRODUCT(($F$40:$AG$40="P6")*$F$43:$AG$66),0))/(SUMPRODUCT(($A$43:$A$66=AR$41)*($F$40:$AG$40=""))+IF(AR$41="P6",COUNTIF($F$40:$AG$40,"P6")*ROWS($A$43:$A$66),0)),"")</f>
        <v>1.2005248863636357</v>
      </c>
    </row>
    <row r="58" spans="1:62" ht="14.25" customHeight="1" x14ac:dyDescent="0.35">
      <c r="A58" s="1" t="s">
        <v>16</v>
      </c>
      <c r="B58" s="1" t="s">
        <v>16</v>
      </c>
      <c r="C58" s="1" t="s">
        <v>14</v>
      </c>
      <c r="D58" s="1" t="s">
        <v>14</v>
      </c>
      <c r="E58" s="1" t="s">
        <v>34</v>
      </c>
      <c r="F58" s="1">
        <v>1.10531</v>
      </c>
      <c r="G58" s="1">
        <v>1.05694</v>
      </c>
      <c r="H58" s="1">
        <v>1.03714</v>
      </c>
      <c r="I58" s="1">
        <v>1.0234399999999999</v>
      </c>
      <c r="J58" s="1">
        <v>1.0701000000000001</v>
      </c>
      <c r="K58" s="1">
        <v>1.0363800000000001</v>
      </c>
      <c r="L58" s="1">
        <v>1.0912999999999999</v>
      </c>
      <c r="M58" s="1">
        <v>1.10531</v>
      </c>
      <c r="N58" s="1">
        <v>1.05694</v>
      </c>
      <c r="O58" s="1">
        <v>1.03714</v>
      </c>
      <c r="P58" s="1">
        <v>1.0234399999999999</v>
      </c>
      <c r="Q58" s="1">
        <v>1.0701000000000001</v>
      </c>
      <c r="R58" s="1">
        <v>1.0363800000000001</v>
      </c>
      <c r="S58" s="1">
        <v>1.0912999999999999</v>
      </c>
      <c r="T58" s="1">
        <v>1.10531</v>
      </c>
      <c r="U58" s="1">
        <v>1.05694</v>
      </c>
      <c r="V58" s="1">
        <v>1.03714</v>
      </c>
      <c r="W58" s="1">
        <v>1.0234399999999999</v>
      </c>
      <c r="X58" s="1">
        <v>1.0701000000000001</v>
      </c>
      <c r="Y58" s="1">
        <v>1.0363800000000001</v>
      </c>
      <c r="Z58" s="1">
        <v>1.0912999999999999</v>
      </c>
      <c r="AA58" s="1">
        <v>1.10531</v>
      </c>
      <c r="AB58" s="1">
        <v>1.05694</v>
      </c>
      <c r="AC58" s="1">
        <v>1.03714</v>
      </c>
      <c r="AD58" s="1">
        <v>1.0234399999999999</v>
      </c>
      <c r="AE58" s="1">
        <v>1.0701000000000001</v>
      </c>
      <c r="AF58" s="1">
        <v>1.0363800000000001</v>
      </c>
      <c r="AG58" s="1">
        <v>1.0912999999999999</v>
      </c>
      <c r="AL58" s="10"/>
      <c r="AM58" s="10"/>
      <c r="AN58" s="10"/>
      <c r="AO58" s="10"/>
      <c r="AP58" s="10"/>
      <c r="AQ58" s="10"/>
      <c r="AR58" s="10"/>
    </row>
    <row r="59" spans="1:62" ht="14.25" customHeight="1" x14ac:dyDescent="0.35">
      <c r="A59" s="1" t="s">
        <v>16</v>
      </c>
      <c r="B59" s="1" t="s">
        <v>16</v>
      </c>
      <c r="C59" s="1" t="s">
        <v>14</v>
      </c>
      <c r="D59" s="1" t="s">
        <v>14</v>
      </c>
      <c r="E59" s="1" t="s">
        <v>35</v>
      </c>
      <c r="F59" s="1">
        <v>1.1598900000000001</v>
      </c>
      <c r="G59" s="1">
        <v>1.07297</v>
      </c>
      <c r="H59" s="1">
        <v>1.06718</v>
      </c>
      <c r="I59" s="1">
        <v>1.0328200000000001</v>
      </c>
      <c r="J59" s="1">
        <v>1.0705800000000001</v>
      </c>
      <c r="K59" s="1">
        <v>1.0644899999999999</v>
      </c>
      <c r="L59" s="1">
        <v>1.1286400000000001</v>
      </c>
      <c r="M59" s="1">
        <v>1.1598900000000001</v>
      </c>
      <c r="N59" s="1">
        <v>1.07297</v>
      </c>
      <c r="O59" s="1">
        <v>1.06718</v>
      </c>
      <c r="P59" s="1">
        <v>1.0328200000000001</v>
      </c>
      <c r="Q59" s="1">
        <v>1.0705800000000001</v>
      </c>
      <c r="R59" s="1">
        <v>1.0644899999999999</v>
      </c>
      <c r="S59" s="1">
        <v>1.1286400000000001</v>
      </c>
      <c r="T59" s="1">
        <v>1.1598900000000001</v>
      </c>
      <c r="U59" s="1">
        <v>1.07297</v>
      </c>
      <c r="V59" s="1">
        <v>1.06718</v>
      </c>
      <c r="W59" s="1">
        <v>1.0328200000000001</v>
      </c>
      <c r="X59" s="1">
        <v>1.0705800000000001</v>
      </c>
      <c r="Y59" s="1">
        <v>1.0644899999999999</v>
      </c>
      <c r="Z59" s="1">
        <v>1.1286400000000001</v>
      </c>
      <c r="AA59" s="1">
        <v>1.1598900000000001</v>
      </c>
      <c r="AB59" s="1">
        <v>1.07297</v>
      </c>
      <c r="AC59" s="1">
        <v>1.06718</v>
      </c>
      <c r="AD59" s="1">
        <v>1.0328200000000001</v>
      </c>
      <c r="AE59" s="1">
        <v>1.0705800000000001</v>
      </c>
      <c r="AF59" s="1">
        <v>1.0644899999999999</v>
      </c>
      <c r="AG59" s="1">
        <v>1.1286400000000001</v>
      </c>
      <c r="AL59" s="10"/>
      <c r="AM59" s="10"/>
      <c r="AN59" s="10"/>
      <c r="AO59" s="10"/>
      <c r="AP59" s="10"/>
      <c r="AQ59" s="10"/>
      <c r="AR59" s="10"/>
    </row>
    <row r="60" spans="1:62" ht="14.25" customHeight="1" x14ac:dyDescent="0.35">
      <c r="A60" s="1" t="s">
        <v>16</v>
      </c>
      <c r="B60" s="1" t="s">
        <v>16</v>
      </c>
      <c r="C60" s="1" t="s">
        <v>14</v>
      </c>
      <c r="D60" s="1" t="s">
        <v>14</v>
      </c>
      <c r="E60" s="1" t="s">
        <v>36</v>
      </c>
      <c r="F60" s="1">
        <v>1.1862900000000001</v>
      </c>
      <c r="G60" s="1">
        <v>1.06124</v>
      </c>
      <c r="H60" s="1">
        <v>1.0782799999999999</v>
      </c>
      <c r="I60" s="1">
        <v>1.0229999999999999</v>
      </c>
      <c r="J60" s="1">
        <v>1.0505500000000001</v>
      </c>
      <c r="K60" s="1">
        <v>1.10025</v>
      </c>
      <c r="L60" s="1">
        <v>1.1207499999999999</v>
      </c>
      <c r="M60" s="1">
        <v>1.1862900000000001</v>
      </c>
      <c r="N60" s="1">
        <v>1.06124</v>
      </c>
      <c r="O60" s="1">
        <v>1.0782799999999999</v>
      </c>
      <c r="P60" s="1">
        <v>1.0229999999999999</v>
      </c>
      <c r="Q60" s="1">
        <v>1.0505500000000001</v>
      </c>
      <c r="R60" s="1">
        <v>1.10025</v>
      </c>
      <c r="S60" s="1">
        <v>1.1207499999999999</v>
      </c>
      <c r="T60" s="1">
        <v>1.1862900000000001</v>
      </c>
      <c r="U60" s="1">
        <v>1.06124</v>
      </c>
      <c r="V60" s="1">
        <v>1.0782799999999999</v>
      </c>
      <c r="W60" s="1">
        <v>1.0229999999999999</v>
      </c>
      <c r="X60" s="1">
        <v>1.0505500000000001</v>
      </c>
      <c r="Y60" s="1">
        <v>1.10025</v>
      </c>
      <c r="Z60" s="1">
        <v>1.1207499999999999</v>
      </c>
      <c r="AA60" s="1">
        <v>1.1862900000000001</v>
      </c>
      <c r="AB60" s="1">
        <v>1.06124</v>
      </c>
      <c r="AC60" s="1">
        <v>1.0782799999999999</v>
      </c>
      <c r="AD60" s="1">
        <v>1.0229999999999999</v>
      </c>
      <c r="AE60" s="1">
        <v>1.0505500000000001</v>
      </c>
      <c r="AF60" s="1">
        <v>1.10025</v>
      </c>
      <c r="AG60" s="1">
        <v>1.1207499999999999</v>
      </c>
      <c r="AL60" s="14" t="s">
        <v>121</v>
      </c>
      <c r="AM60" s="14"/>
      <c r="AN60" s="14"/>
      <c r="AO60" s="14"/>
      <c r="AP60" s="14"/>
      <c r="AQ60" s="14"/>
      <c r="AR60" s="14"/>
    </row>
    <row r="61" spans="1:62" ht="14.25" customHeight="1" x14ac:dyDescent="0.35">
      <c r="A61" s="1" t="s">
        <v>14</v>
      </c>
      <c r="B61" s="1" t="s">
        <v>15</v>
      </c>
      <c r="C61" s="1" t="s">
        <v>13</v>
      </c>
      <c r="D61" s="1" t="s">
        <v>13</v>
      </c>
      <c r="E61" s="1" t="s">
        <v>37</v>
      </c>
      <c r="F61" s="1">
        <v>1.18211</v>
      </c>
      <c r="G61" s="1">
        <v>1.11087</v>
      </c>
      <c r="H61" s="1">
        <v>1.10398</v>
      </c>
      <c r="I61" s="1">
        <v>1.08039</v>
      </c>
      <c r="J61" s="1">
        <v>1.0923</v>
      </c>
      <c r="K61" s="1">
        <v>1.16635</v>
      </c>
      <c r="L61" s="1">
        <v>1.1310800000000001</v>
      </c>
      <c r="M61" s="1">
        <v>1.18211</v>
      </c>
      <c r="N61" s="1">
        <v>1.11087</v>
      </c>
      <c r="O61" s="1">
        <v>1.10398</v>
      </c>
      <c r="P61" s="1">
        <v>1.08039</v>
      </c>
      <c r="Q61" s="1">
        <v>1.0923</v>
      </c>
      <c r="R61" s="1">
        <v>1.16635</v>
      </c>
      <c r="S61" s="1">
        <v>1.1310800000000001</v>
      </c>
      <c r="T61" s="1">
        <v>1.18211</v>
      </c>
      <c r="U61" s="1">
        <v>1.11087</v>
      </c>
      <c r="V61" s="1">
        <v>1.10398</v>
      </c>
      <c r="W61" s="1">
        <v>1.08039</v>
      </c>
      <c r="X61" s="1">
        <v>1.0923</v>
      </c>
      <c r="Y61" s="1">
        <v>1.16635</v>
      </c>
      <c r="Z61" s="1">
        <v>1.1310800000000001</v>
      </c>
      <c r="AA61" s="1">
        <v>1.18211</v>
      </c>
      <c r="AB61" s="1">
        <v>1.11087</v>
      </c>
      <c r="AC61" s="1">
        <v>1.10398</v>
      </c>
      <c r="AD61" s="1">
        <v>1.08039</v>
      </c>
      <c r="AE61" s="1">
        <v>1.0923</v>
      </c>
      <c r="AF61" s="1">
        <v>1.16635</v>
      </c>
      <c r="AG61" s="1">
        <v>1.1310800000000001</v>
      </c>
      <c r="AL61" s="4"/>
      <c r="AM61" s="4" t="s">
        <v>13</v>
      </c>
      <c r="AN61" s="4" t="s">
        <v>14</v>
      </c>
      <c r="AO61" s="4" t="s">
        <v>15</v>
      </c>
      <c r="AP61" s="4" t="s">
        <v>16</v>
      </c>
      <c r="AQ61" s="4" t="s">
        <v>17</v>
      </c>
      <c r="AR61" s="4" t="s">
        <v>7</v>
      </c>
    </row>
    <row r="62" spans="1:62" ht="14.25" customHeight="1" x14ac:dyDescent="0.35">
      <c r="A62" s="1" t="s">
        <v>14</v>
      </c>
      <c r="B62" s="1" t="s">
        <v>15</v>
      </c>
      <c r="C62" s="1" t="s">
        <v>13</v>
      </c>
      <c r="D62" s="1" t="s">
        <v>13</v>
      </c>
      <c r="E62" s="1" t="s">
        <v>38</v>
      </c>
      <c r="F62" s="1">
        <v>1.1432899999999999</v>
      </c>
      <c r="G62" s="1">
        <v>1.11575</v>
      </c>
      <c r="H62" s="1">
        <v>1.1147499999999999</v>
      </c>
      <c r="I62" s="1">
        <v>1.0986499999999999</v>
      </c>
      <c r="J62" s="1">
        <v>1.10398</v>
      </c>
      <c r="K62" s="1">
        <v>1.16093</v>
      </c>
      <c r="L62" s="1">
        <v>1.1105</v>
      </c>
      <c r="M62" s="1">
        <v>1.1432899999999999</v>
      </c>
      <c r="N62" s="1">
        <v>1.11575</v>
      </c>
      <c r="O62" s="1">
        <v>1.1147499999999999</v>
      </c>
      <c r="P62" s="1">
        <v>1.0986499999999999</v>
      </c>
      <c r="Q62" s="1">
        <v>1.10398</v>
      </c>
      <c r="R62" s="1">
        <v>1.16093</v>
      </c>
      <c r="S62" s="1">
        <v>1.1105</v>
      </c>
      <c r="T62" s="1">
        <v>1.1432899999999999</v>
      </c>
      <c r="U62" s="1">
        <v>1.11575</v>
      </c>
      <c r="V62" s="1">
        <v>1.1147499999999999</v>
      </c>
      <c r="W62" s="1">
        <v>1.0986499999999999</v>
      </c>
      <c r="X62" s="1">
        <v>1.10398</v>
      </c>
      <c r="Y62" s="1">
        <v>1.16093</v>
      </c>
      <c r="Z62" s="1">
        <v>1.1105</v>
      </c>
      <c r="AA62" s="1">
        <v>1.1432899999999999</v>
      </c>
      <c r="AB62" s="1">
        <v>1.11575</v>
      </c>
      <c r="AC62" s="1">
        <v>1.1147499999999999</v>
      </c>
      <c r="AD62" s="1">
        <v>1.0986499999999999</v>
      </c>
      <c r="AE62" s="1">
        <v>1.10398</v>
      </c>
      <c r="AF62" s="1">
        <v>1.16093</v>
      </c>
      <c r="AG62" s="1">
        <v>1.1105</v>
      </c>
      <c r="AL62" s="4" t="s">
        <v>19</v>
      </c>
      <c r="AM62" s="6" cm="1">
        <f t="array" ref="AM62">IFERROR((SUMPRODUCT(($C$43:$C$66=AM$41)*($F$39:$AG$39="")*$F$43:$AG$66)+IF(AM$41="P3",SUMPRODUCT(($F$39:$AG$39="P3")*$F$43:$AG$66),0))/(SUMPRODUCT(($C$43:$C$66=AM$41)*($F$39:$AG$39=""))+IF(AM$41="P3",COUNTIF($F$39:$AG$39,"P3")*ROWS($C$43:$C$66),0)),"")</f>
        <v>1.0686592499999983</v>
      </c>
      <c r="AN62" s="6" cm="1">
        <f t="array" ref="AN62">IFERROR((SUMPRODUCT(($C$43:$C$66=AN$41)*($F$39:$AG$39="")*$F$43:$AG$66)+IF(AN$41="P3",SUMPRODUCT(($F$39:$AG$39="P3")*$F$43:$AG$66),0))/(SUMPRODUCT(($C$43:$C$66=AN$41)*($F$39:$AG$39=""))+IF(AN$41="P3",COUNTIF($F$39:$AG$39,"P3")*ROWS($C$43:$C$66),0)),"")</f>
        <v>1.0932554999999993</v>
      </c>
      <c r="AO62" s="6" cm="1">
        <f t="array" ref="AO62">IFERROR((SUMPRODUCT(($C$43:$C$66=AO$41)*($F$39:$AG$39="")*$F$43:$AG$66)+IF(AO$41="P3",SUMPRODUCT(($F$39:$AG$39="P3")*$F$43:$AG$66),0))/(SUMPRODUCT(($C$43:$C$66=AO$41)*($F$39:$AG$39=""))+IF(AO$41="P3",COUNTIF($F$39:$AG$39,"P3")*ROWS($C$43:$C$66),0)),"")</f>
        <v>1.2005248863636357</v>
      </c>
      <c r="AP62" s="6" t="str" cm="1">
        <f t="array" ref="AP62">IFERROR((SUMPRODUCT(($C$43:$C$66=AP$41)*($F$39:$AG$39="")*$F$43:$AG$66)+IF(AP$41="P3",SUMPRODUCT(($F$39:$AG$39="P3")*$F$43:$AG$66),0))/(SUMPRODUCT(($C$43:$C$66=AP$41)*($F$39:$AG$39=""))+IF(AP$41="P3",COUNTIF($F$39:$AG$39,"P3")*ROWS($C$43:$C$66),0)),"")</f>
        <v/>
      </c>
      <c r="AQ62" s="6" t="str" cm="1">
        <f t="array" ref="AQ62">IFERROR((SUMPRODUCT(($C$43:$C$66=AQ$41)*($F$39:$AG$39="")*$F$43:$AG$66)+IF(AQ$41="P3",SUMPRODUCT(($F$39:$AG$39="P3")*$F$43:$AG$66),0))/(SUMPRODUCT(($C$43:$C$66=AQ$41)*($F$39:$AG$39=""))+IF(AQ$41="P3",COUNTIF($F$39:$AG$39,"P3")*ROWS($C$43:$C$66),0)),"")</f>
        <v/>
      </c>
      <c r="AR62" s="6" t="str" cm="1">
        <f t="array" ref="AR62">IFERROR((SUMPRODUCT(($C$43:$C$66=AR$41)*($F$39:$AG$39="")*$F$43:$AG$66)+IF(AR$41="P3",SUMPRODUCT(($F$39:$AG$39="P3")*$F$43:$AG$66),0))/(SUMPRODUCT(($C$43:$C$66=AR$41)*($F$39:$AG$39=""))+IF(AR$41="P3",COUNTIF($F$39:$AG$39,"P3")*ROWS($C$43:$C$66),0)),"")</f>
        <v/>
      </c>
    </row>
    <row r="63" spans="1:62" ht="14.25" customHeight="1" x14ac:dyDescent="0.35">
      <c r="A63" s="1" t="s">
        <v>14</v>
      </c>
      <c r="B63" s="1" t="s">
        <v>15</v>
      </c>
      <c r="C63" s="1" t="s">
        <v>13</v>
      </c>
      <c r="D63" s="1" t="s">
        <v>13</v>
      </c>
      <c r="E63" s="1" t="s">
        <v>39</v>
      </c>
      <c r="F63" s="1">
        <v>1.14581</v>
      </c>
      <c r="G63" s="1">
        <v>1.1409899999999999</v>
      </c>
      <c r="H63" s="1">
        <v>1.16638</v>
      </c>
      <c r="I63" s="1">
        <v>1.1346499999999999</v>
      </c>
      <c r="J63" s="1">
        <v>1.14618</v>
      </c>
      <c r="K63" s="1">
        <v>1.17618</v>
      </c>
      <c r="L63" s="1">
        <v>1.1070899999999999</v>
      </c>
      <c r="M63" s="1">
        <v>1.14581</v>
      </c>
      <c r="N63" s="1">
        <v>1.1409899999999999</v>
      </c>
      <c r="O63" s="1">
        <v>1.16638</v>
      </c>
      <c r="P63" s="1">
        <v>1.1346499999999999</v>
      </c>
      <c r="Q63" s="1">
        <v>1.14618</v>
      </c>
      <c r="R63" s="1">
        <v>1.17618</v>
      </c>
      <c r="S63" s="1">
        <v>1.1070899999999999</v>
      </c>
      <c r="T63" s="1">
        <v>1.14581</v>
      </c>
      <c r="U63" s="1">
        <v>1.1409899999999999</v>
      </c>
      <c r="V63" s="1">
        <v>1.16638</v>
      </c>
      <c r="W63" s="1">
        <v>1.1346499999999999</v>
      </c>
      <c r="X63" s="1">
        <v>1.14618</v>
      </c>
      <c r="Y63" s="1">
        <v>1.17618</v>
      </c>
      <c r="Z63" s="1">
        <v>1.1070899999999999</v>
      </c>
      <c r="AA63" s="1">
        <v>1.14581</v>
      </c>
      <c r="AB63" s="1">
        <v>1.1409899999999999</v>
      </c>
      <c r="AC63" s="1">
        <v>1.16638</v>
      </c>
      <c r="AD63" s="1">
        <v>1.1346499999999999</v>
      </c>
      <c r="AE63" s="1">
        <v>1.14618</v>
      </c>
      <c r="AF63" s="1">
        <v>1.17618</v>
      </c>
      <c r="AG63" s="1">
        <v>1.1070899999999999</v>
      </c>
      <c r="AL63" s="4" t="s">
        <v>21</v>
      </c>
      <c r="AM63" s="6" t="str" cm="1">
        <f t="array" ref="AM63">IFERROR((SUMPRODUCT(($B$43:$B$66=AM$41)*($F$40:$AG$40="")*$F$43:$AG$66)+IF(AM$41="P6",SUMPRODUCT(($F$40:$AG$40="P6")*$F$43:$AG$66),0))/(SUMPRODUCT(($B$43:$B$66=AM$41)*($F$40:$AG$40=""))+IF(AM$41="P6",COUNTIF($F$40:$AG$40,"P6")*ROWS($B$43:$B$66),0)),"")</f>
        <v/>
      </c>
      <c r="AN63" s="6" t="str" cm="1">
        <f t="array" ref="AN63">IFERROR((SUMPRODUCT(($B$43:$B$66=AN$41)*($F$40:$AG$40="")*$F$43:$AG$66)+IF(AN$41="P6",SUMPRODUCT(($F$40:$AG$40="P6")*$F$43:$AG$66),0))/(SUMPRODUCT(($B$43:$B$66=AN$41)*($F$40:$AG$40=""))+IF(AN$41="P6",COUNTIF($F$40:$AG$40,"P6")*ROWS($B$43:$B$66),0)),"")</f>
        <v/>
      </c>
      <c r="AO63" s="6" cm="1">
        <f t="array" ref="AO63">IFERROR((SUMPRODUCT(($B$43:$B$66=AO$41)*($F$40:$AG$40="")*$F$43:$AG$66)+IF(AO$41="P6",SUMPRODUCT(($F$40:$AG$40="P6")*$F$43:$AG$66),0))/(SUMPRODUCT(($B$43:$B$66=AO$41)*($F$40:$AG$40=""))+IF(AO$41="P6",COUNTIF($F$40:$AG$40,"P6")*ROWS($B$43:$B$66),0)),"")</f>
        <v>1.0617335555555536</v>
      </c>
      <c r="AP63" s="6" cm="1">
        <f t="array" ref="AP63">IFERROR((SUMPRODUCT(($B$43:$B$66=AP$41)*($F$40:$AG$40="")*$F$43:$AG$66)+IF(AP$41="P6",SUMPRODUCT(($F$40:$AG$40="P6")*$F$43:$AG$66),0))/(SUMPRODUCT(($B$43:$B$66=AP$41)*($F$40:$AG$40=""))+IF(AP$41="P6",COUNTIF($F$40:$AG$40,"P6")*ROWS($B$43:$B$66),0)),"")</f>
        <v>1.105673714285714</v>
      </c>
      <c r="AQ63" s="6" t="str" cm="1">
        <f t="array" ref="AQ63">IFERROR((SUMPRODUCT(($B$43:$B$66=AQ$41)*($F$40:$AG$40="")*$F$43:$AG$66)+IF(AQ$41="P6",SUMPRODUCT(($F$40:$AG$40="P6")*$F$43:$AG$66),0))/(SUMPRODUCT(($B$43:$B$66=AQ$41)*($F$40:$AG$40=""))+IF(AQ$41="P6",COUNTIF($F$40:$AG$40,"P6")*ROWS($B$43:$B$66),0)),"")</f>
        <v/>
      </c>
      <c r="AR63" s="6" cm="1">
        <f t="array" ref="AR63">IFERROR((SUMPRODUCT(($B$43:$B$66=AR$41)*($F$40:$AG$40="")*$F$43:$AG$66)+IF(AR$41="P6",SUMPRODUCT(($F$40:$AG$40="P6")*$F$43:$AG$66),0))/(SUMPRODUCT(($B$43:$B$66=AR$41)*($F$40:$AG$40=""))+IF(AR$41="P6",COUNTIF($F$40:$AG$40,"P6")*ROWS($B$43:$B$66),0)),"")</f>
        <v>1.2005248863636357</v>
      </c>
    </row>
    <row r="64" spans="1:62" ht="14.25" customHeight="1" x14ac:dyDescent="0.35">
      <c r="A64" s="1" t="s">
        <v>14</v>
      </c>
      <c r="B64" s="1" t="s">
        <v>15</v>
      </c>
      <c r="C64" s="1" t="s">
        <v>13</v>
      </c>
      <c r="D64" s="1" t="s">
        <v>13</v>
      </c>
      <c r="E64" s="1" t="s">
        <v>40</v>
      </c>
      <c r="F64" s="1">
        <v>1.1587099999999999</v>
      </c>
      <c r="G64" s="1">
        <v>1.18014</v>
      </c>
      <c r="H64" s="1">
        <v>1.20143</v>
      </c>
      <c r="I64" s="1">
        <v>1.1772</v>
      </c>
      <c r="J64" s="1">
        <v>1.19258</v>
      </c>
      <c r="K64" s="1">
        <v>1.2107399999999999</v>
      </c>
      <c r="L64" s="1">
        <v>1.1211599999999999</v>
      </c>
      <c r="M64" s="1">
        <v>1.1587099999999999</v>
      </c>
      <c r="N64" s="1">
        <v>1.18014</v>
      </c>
      <c r="O64" s="1">
        <v>1.20143</v>
      </c>
      <c r="P64" s="1">
        <v>1.1772</v>
      </c>
      <c r="Q64" s="1">
        <v>1.19258</v>
      </c>
      <c r="R64" s="1">
        <v>1.2107399999999999</v>
      </c>
      <c r="S64" s="1">
        <v>1.1211599999999999</v>
      </c>
      <c r="T64" s="1">
        <v>1.1587099999999999</v>
      </c>
      <c r="U64" s="1">
        <v>1.18014</v>
      </c>
      <c r="V64" s="1">
        <v>1.20143</v>
      </c>
      <c r="W64" s="1">
        <v>1.1772</v>
      </c>
      <c r="X64" s="1">
        <v>1.19258</v>
      </c>
      <c r="Y64" s="1">
        <v>1.2107399999999999</v>
      </c>
      <c r="Z64" s="1">
        <v>1.1211599999999999</v>
      </c>
      <c r="AA64" s="1">
        <v>1.1587099999999999</v>
      </c>
      <c r="AB64" s="1">
        <v>1.18014</v>
      </c>
      <c r="AC64" s="1">
        <v>1.20143</v>
      </c>
      <c r="AD64" s="1">
        <v>1.1772</v>
      </c>
      <c r="AE64" s="1">
        <v>1.19258</v>
      </c>
      <c r="AF64" s="1">
        <v>1.2107399999999999</v>
      </c>
      <c r="AG64" s="1">
        <v>1.1211599999999999</v>
      </c>
      <c r="AL64" s="4" t="s">
        <v>23</v>
      </c>
      <c r="AM64" s="6" t="str" cm="1">
        <f t="array" ref="AM64">IFERROR((SUMPRODUCT(($B$43:$B$66=AM$41)*($F$40:$AG$40="")*$F$43:$AG$66)+IF(AM$41="P6",SUMPRODUCT(($F$40:$AG$40="P6")*$F$43:$AG$66),0))/(SUMPRODUCT(($B$43:$B$66=AM$41)*($F$40:$AG$40=""))+IF(AM$41="P6",COUNTIF($F$40:$AG$40,"P6")*ROWS($B$43:$B$66),0)),"")</f>
        <v/>
      </c>
      <c r="AN64" s="6" t="str" cm="1">
        <f t="array" ref="AN64">IFERROR((SUMPRODUCT(($B$43:$B$66=AN$41)*($F$40:$AG$40="")*$F$43:$AG$66)+IF(AN$41="P6",SUMPRODUCT(($F$40:$AG$40="P6")*$F$43:$AG$66),0))/(SUMPRODUCT(($B$43:$B$66=AN$41)*($F$40:$AG$40=""))+IF(AN$41="P6",COUNTIF($F$40:$AG$40,"P6")*ROWS($B$43:$B$66),0)),"")</f>
        <v/>
      </c>
      <c r="AO64" s="6" cm="1">
        <f t="array" ref="AO64">IFERROR((SUMPRODUCT(($B$43:$B$66=AO$41)*($F$40:$AG$40="")*$F$43:$AG$66)+IF(AO$41="P6",SUMPRODUCT(($F$40:$AG$40="P6")*$F$43:$AG$66),0))/(SUMPRODUCT(($B$43:$B$66=AO$41)*($F$40:$AG$40=""))+IF(AO$41="P6",COUNTIF($F$40:$AG$40,"P6")*ROWS($B$43:$B$66),0)),"")</f>
        <v>1.0617335555555536</v>
      </c>
      <c r="AP64" s="6" cm="1">
        <f t="array" ref="AP64">IFERROR((SUMPRODUCT(($B$43:$B$66=AP$41)*($F$40:$AG$40="")*$F$43:$AG$66)+IF(AP$41="P6",SUMPRODUCT(($F$40:$AG$40="P6")*$F$43:$AG$66),0))/(SUMPRODUCT(($B$43:$B$66=AP$41)*($F$40:$AG$40=""))+IF(AP$41="P6",COUNTIF($F$40:$AG$40,"P6")*ROWS($B$43:$B$66),0)),"")</f>
        <v>1.105673714285714</v>
      </c>
      <c r="AQ64" s="6" t="str" cm="1">
        <f t="array" ref="AQ64">IFERROR((SUMPRODUCT(($B$43:$B$66=AQ$41)*($F$40:$AG$40="")*$F$43:$AG$66)+IF(AQ$41="P6",SUMPRODUCT(($F$40:$AG$40="P6")*$F$43:$AG$66),0))/(SUMPRODUCT(($B$43:$B$66=AQ$41)*($F$40:$AG$40=""))+IF(AQ$41="P6",COUNTIF($F$40:$AG$40,"P6")*ROWS($B$43:$B$66),0)),"")</f>
        <v/>
      </c>
      <c r="AR64" s="6" cm="1">
        <f t="array" ref="AR64">IFERROR((SUMPRODUCT(($B$43:$B$66=AR$41)*($F$40:$AG$40="")*$F$43:$AG$66)+IF(AR$41="P6",SUMPRODUCT(($F$40:$AG$40="P6")*$F$43:$AG$66),0))/(SUMPRODUCT(($B$43:$B$66=AR$41)*($F$40:$AG$40=""))+IF(AR$41="P6",COUNTIF($F$40:$AG$40,"P6")*ROWS($B$43:$B$66),0)),"")</f>
        <v>1.2005248863636357</v>
      </c>
    </row>
    <row r="65" spans="1:44" ht="14.25" customHeight="1" x14ac:dyDescent="0.35">
      <c r="A65" s="1" t="s">
        <v>16</v>
      </c>
      <c r="B65" s="1" t="s">
        <v>16</v>
      </c>
      <c r="C65" s="1" t="s">
        <v>14</v>
      </c>
      <c r="D65" s="1" t="s">
        <v>14</v>
      </c>
      <c r="E65" s="1" t="s">
        <v>41</v>
      </c>
      <c r="F65" s="1">
        <v>1.1794199999999999</v>
      </c>
      <c r="G65" s="1">
        <v>1.2246600000000001</v>
      </c>
      <c r="H65" s="1">
        <v>1.22637</v>
      </c>
      <c r="I65" s="1">
        <v>1.2196400000000001</v>
      </c>
      <c r="J65" s="1">
        <v>1.22681</v>
      </c>
      <c r="K65" s="1">
        <v>1.2436700000000001</v>
      </c>
      <c r="L65" s="1">
        <v>1.16601</v>
      </c>
      <c r="M65" s="1">
        <v>1.1794199999999999</v>
      </c>
      <c r="N65" s="1">
        <v>1.2246600000000001</v>
      </c>
      <c r="O65" s="1">
        <v>1.22637</v>
      </c>
      <c r="P65" s="1">
        <v>1.2196400000000001</v>
      </c>
      <c r="Q65" s="1">
        <v>1.22681</v>
      </c>
      <c r="R65" s="1">
        <v>1.2436700000000001</v>
      </c>
      <c r="S65" s="1">
        <v>1.16601</v>
      </c>
      <c r="T65" s="1">
        <v>1.1794199999999999</v>
      </c>
      <c r="U65" s="1">
        <v>1.2246600000000001</v>
      </c>
      <c r="V65" s="1">
        <v>1.22637</v>
      </c>
      <c r="W65" s="1">
        <v>1.2196400000000001</v>
      </c>
      <c r="X65" s="1">
        <v>1.22681</v>
      </c>
      <c r="Y65" s="1">
        <v>1.2436700000000001</v>
      </c>
      <c r="Z65" s="1">
        <v>1.16601</v>
      </c>
      <c r="AA65" s="1">
        <v>1.1794199999999999</v>
      </c>
      <c r="AB65" s="1">
        <v>1.2246600000000001</v>
      </c>
      <c r="AC65" s="1">
        <v>1.22637</v>
      </c>
      <c r="AD65" s="1">
        <v>1.2196400000000001</v>
      </c>
      <c r="AE65" s="1">
        <v>1.22681</v>
      </c>
      <c r="AF65" s="1">
        <v>1.2436700000000001</v>
      </c>
      <c r="AG65" s="1">
        <v>1.16601</v>
      </c>
      <c r="AL65" s="4" t="s">
        <v>25</v>
      </c>
      <c r="AM65" s="6" t="str" cm="1">
        <f t="array" ref="AM65">IFERROR((SUMPRODUCT(($B$43:$B$66=AM$41)*($F$40:$AG$40="")*$F$43:$AG$66)+IF(AM$41="P6",SUMPRODUCT(($F$40:$AG$40="P6")*$F$43:$AG$66),0))/(SUMPRODUCT(($B$43:$B$66=AM$41)*($F$40:$AG$40=""))+IF(AM$41="P6",COUNTIF($F$40:$AG$40,"P6")*ROWS($B$43:$B$66),0)),"")</f>
        <v/>
      </c>
      <c r="AN65" s="6" t="str" cm="1">
        <f t="array" ref="AN65">IFERROR((SUMPRODUCT(($B$43:$B$66=AN$41)*($F$40:$AG$40="")*$F$43:$AG$66)+IF(AN$41="P6",SUMPRODUCT(($F$40:$AG$40="P6")*$F$43:$AG$66),0))/(SUMPRODUCT(($B$43:$B$66=AN$41)*($F$40:$AG$40=""))+IF(AN$41="P6",COUNTIF($F$40:$AG$40,"P6")*ROWS($B$43:$B$66),0)),"")</f>
        <v/>
      </c>
      <c r="AO65" s="6" cm="1">
        <f t="array" ref="AO65">IFERROR((SUMPRODUCT(($B$43:$B$66=AO$41)*($F$40:$AG$40="")*$F$43:$AG$66)+IF(AO$41="P6",SUMPRODUCT(($F$40:$AG$40="P6")*$F$43:$AG$66),0))/(SUMPRODUCT(($B$43:$B$66=AO$41)*($F$40:$AG$40=""))+IF(AO$41="P6",COUNTIF($F$40:$AG$40,"P6")*ROWS($B$43:$B$66),0)),"")</f>
        <v>1.0617335555555536</v>
      </c>
      <c r="AP65" s="6" cm="1">
        <f t="array" ref="AP65">IFERROR((SUMPRODUCT(($B$43:$B$66=AP$41)*($F$40:$AG$40="")*$F$43:$AG$66)+IF(AP$41="P6",SUMPRODUCT(($F$40:$AG$40="P6")*$F$43:$AG$66),0))/(SUMPRODUCT(($B$43:$B$66=AP$41)*($F$40:$AG$40=""))+IF(AP$41="P6",COUNTIF($F$40:$AG$40,"P6")*ROWS($B$43:$B$66),0)),"")</f>
        <v>1.105673714285714</v>
      </c>
      <c r="AQ65" s="6" t="str" cm="1">
        <f t="array" ref="AQ65">IFERROR((SUMPRODUCT(($B$43:$B$66=AQ$41)*($F$40:$AG$40="")*$F$43:$AG$66)+IF(AQ$41="P6",SUMPRODUCT(($F$40:$AG$40="P6")*$F$43:$AG$66),0))/(SUMPRODUCT(($B$43:$B$66=AQ$41)*($F$40:$AG$40=""))+IF(AQ$41="P6",COUNTIF($F$40:$AG$40,"P6")*ROWS($B$43:$B$66),0)),"")</f>
        <v/>
      </c>
      <c r="AR65" s="6" cm="1">
        <f t="array" ref="AR65">IFERROR((SUMPRODUCT(($B$43:$B$66=AR$41)*($F$40:$AG$40="")*$F$43:$AG$66)+IF(AR$41="P6",SUMPRODUCT(($F$40:$AG$40="P6")*$F$43:$AG$66),0))/(SUMPRODUCT(($B$43:$B$66=AR$41)*($F$40:$AG$40=""))+IF(AR$41="P6",COUNTIF($F$40:$AG$40,"P6")*ROWS($B$43:$B$66),0)),"")</f>
        <v>1.2005248863636357</v>
      </c>
    </row>
    <row r="66" spans="1:44" ht="14.25" customHeight="1" x14ac:dyDescent="0.35">
      <c r="A66" s="1" t="s">
        <v>16</v>
      </c>
      <c r="B66" s="1" t="s">
        <v>16</v>
      </c>
      <c r="C66" s="1" t="s">
        <v>14</v>
      </c>
      <c r="D66" s="1" t="s">
        <v>14</v>
      </c>
      <c r="E66" s="1" t="s">
        <v>42</v>
      </c>
      <c r="F66" s="1">
        <v>1.21509</v>
      </c>
      <c r="G66" s="1">
        <v>1.26247</v>
      </c>
      <c r="H66" s="1">
        <v>1.27163</v>
      </c>
      <c r="I66" s="1">
        <v>1.26712</v>
      </c>
      <c r="J66" s="1">
        <v>1.28356</v>
      </c>
      <c r="K66" s="1">
        <v>1.28847</v>
      </c>
      <c r="L66" s="1">
        <v>1.21746</v>
      </c>
      <c r="M66" s="1">
        <v>1.21509</v>
      </c>
      <c r="N66" s="1">
        <v>1.26247</v>
      </c>
      <c r="O66" s="1">
        <v>1.27163</v>
      </c>
      <c r="P66" s="1">
        <v>1.26712</v>
      </c>
      <c r="Q66" s="1">
        <v>1.28356</v>
      </c>
      <c r="R66" s="1">
        <v>1.28847</v>
      </c>
      <c r="S66" s="1">
        <v>1.21746</v>
      </c>
      <c r="T66" s="1">
        <v>1.21509</v>
      </c>
      <c r="U66" s="1">
        <v>1.26247</v>
      </c>
      <c r="V66" s="1">
        <v>1.27163</v>
      </c>
      <c r="W66" s="1">
        <v>1.26712</v>
      </c>
      <c r="X66" s="1">
        <v>1.28356</v>
      </c>
      <c r="Y66" s="1">
        <v>1.28847</v>
      </c>
      <c r="Z66" s="1">
        <v>1.21746</v>
      </c>
      <c r="AA66" s="1">
        <v>1.21509</v>
      </c>
      <c r="AB66" s="1">
        <v>1.26247</v>
      </c>
      <c r="AC66" s="1">
        <v>1.27163</v>
      </c>
      <c r="AD66" s="1">
        <v>1.26712</v>
      </c>
      <c r="AE66" s="1">
        <v>1.28356</v>
      </c>
      <c r="AF66" s="1">
        <v>1.28847</v>
      </c>
      <c r="AG66" s="1">
        <v>1.21746</v>
      </c>
      <c r="AL66" s="4" t="s">
        <v>27</v>
      </c>
      <c r="AM66" s="6" t="str" cm="1">
        <f t="array" ref="AM66">IFERROR((SUMPRODUCT(($B$43:$B$66=AM$41)*($F$40:$AG$40="")*$F$43:$AG$66)+IF(AM$41="P6",SUMPRODUCT(($F$40:$AG$40="P6")*$F$43:$AG$66),0))/(SUMPRODUCT(($B$43:$B$66=AM$41)*($F$40:$AG$40=""))+IF(AM$41="P6",COUNTIF($F$40:$AG$40,"P6")*ROWS($B$43:$B$66),0)),"")</f>
        <v/>
      </c>
      <c r="AN66" s="6" t="str" cm="1">
        <f t="array" ref="AN66">IFERROR((SUMPRODUCT(($B$43:$B$66=AN$41)*($F$40:$AG$40="")*$F$43:$AG$66)+IF(AN$41="P6",SUMPRODUCT(($F$40:$AG$40="P6")*$F$43:$AG$66),0))/(SUMPRODUCT(($B$43:$B$66=AN$41)*($F$40:$AG$40=""))+IF(AN$41="P6",COUNTIF($F$40:$AG$40,"P6")*ROWS($B$43:$B$66),0)),"")</f>
        <v/>
      </c>
      <c r="AO66" s="6" cm="1">
        <f t="array" ref="AO66">IFERROR((SUMPRODUCT(($B$43:$B$66=AO$41)*($F$40:$AG$40="")*$F$43:$AG$66)+IF(AO$41="P6",SUMPRODUCT(($F$40:$AG$40="P6")*$F$43:$AG$66),0))/(SUMPRODUCT(($B$43:$B$66=AO$41)*($F$40:$AG$40=""))+IF(AO$41="P6",COUNTIF($F$40:$AG$40,"P6")*ROWS($B$43:$B$66),0)),"")</f>
        <v>1.0617335555555536</v>
      </c>
      <c r="AP66" s="6" cm="1">
        <f t="array" ref="AP66">IFERROR((SUMPRODUCT(($B$43:$B$66=AP$41)*($F$40:$AG$40="")*$F$43:$AG$66)+IF(AP$41="P6",SUMPRODUCT(($F$40:$AG$40="P6")*$F$43:$AG$66),0))/(SUMPRODUCT(($B$43:$B$66=AP$41)*($F$40:$AG$40=""))+IF(AP$41="P6",COUNTIF($F$40:$AG$40,"P6")*ROWS($B$43:$B$66),0)),"")</f>
        <v>1.105673714285714</v>
      </c>
      <c r="AQ66" s="6" t="str" cm="1">
        <f t="array" ref="AQ66">IFERROR((SUMPRODUCT(($B$43:$B$66=AQ$41)*($F$40:$AG$40="")*$F$43:$AG$66)+IF(AQ$41="P6",SUMPRODUCT(($F$40:$AG$40="P6")*$F$43:$AG$66),0))/(SUMPRODUCT(($B$43:$B$66=AQ$41)*($F$40:$AG$40=""))+IF(AQ$41="P6",COUNTIF($F$40:$AG$40,"P6")*ROWS($B$43:$B$66),0)),"")</f>
        <v/>
      </c>
      <c r="AR66" s="6" cm="1">
        <f t="array" ref="AR66">IFERROR((SUMPRODUCT(($B$43:$B$66=AR$41)*($F$40:$AG$40="")*$F$43:$AG$66)+IF(AR$41="P6",SUMPRODUCT(($F$40:$AG$40="P6")*$F$43:$AG$66),0))/(SUMPRODUCT(($B$43:$B$66=AR$41)*($F$40:$AG$40=""))+IF(AR$41="P6",COUNTIF($F$40:$AG$40,"P6")*ROWS($B$43:$B$66),0)),"")</f>
        <v>1.2005248863636357</v>
      </c>
    </row>
    <row r="67" spans="1:44" ht="14.25" customHeight="1" x14ac:dyDescent="0.35">
      <c r="AL67" s="4" t="s">
        <v>29</v>
      </c>
      <c r="AM67" s="6" t="str" cm="1">
        <f t="array" ref="AM67">IFERROR((SUMPRODUCT(($B$43:$B$66=AM$41)*($F$40:$AG$40="")*$F$43:$AG$66)+IF(AM$41="P6",SUMPRODUCT(($F$40:$AG$40="P6")*$F$43:$AG$66),0))/(SUMPRODUCT(($B$43:$B$66=AM$41)*($F$40:$AG$40=""))+IF(AM$41="P6",COUNTIF($F$40:$AG$40,"P6")*ROWS($B$43:$B$66),0)),"")</f>
        <v/>
      </c>
      <c r="AN67" s="6" t="str" cm="1">
        <f t="array" ref="AN67">IFERROR((SUMPRODUCT(($B$43:$B$66=AN$41)*($F$40:$AG$40="")*$F$43:$AG$66)+IF(AN$41="P6",SUMPRODUCT(($F$40:$AG$40="P6")*$F$43:$AG$66),0))/(SUMPRODUCT(($B$43:$B$66=AN$41)*($F$40:$AG$40=""))+IF(AN$41="P6",COUNTIF($F$40:$AG$40,"P6")*ROWS($B$43:$B$66),0)),"")</f>
        <v/>
      </c>
      <c r="AO67" s="6" cm="1">
        <f t="array" ref="AO67">IFERROR((SUMPRODUCT(($B$43:$B$66=AO$41)*($F$40:$AG$40="")*$F$43:$AG$66)+IF(AO$41="P6",SUMPRODUCT(($F$40:$AG$40="P6")*$F$43:$AG$66),0))/(SUMPRODUCT(($B$43:$B$66=AO$41)*($F$40:$AG$40=""))+IF(AO$41="P6",COUNTIF($F$40:$AG$40,"P6")*ROWS($B$43:$B$66),0)),"")</f>
        <v>1.0617335555555536</v>
      </c>
      <c r="AP67" s="6" cm="1">
        <f t="array" ref="AP67">IFERROR((SUMPRODUCT(($B$43:$B$66=AP$41)*($F$40:$AG$40="")*$F$43:$AG$66)+IF(AP$41="P6",SUMPRODUCT(($F$40:$AG$40="P6")*$F$43:$AG$66),0))/(SUMPRODUCT(($B$43:$B$66=AP$41)*($F$40:$AG$40=""))+IF(AP$41="P6",COUNTIF($F$40:$AG$40,"P6")*ROWS($B$43:$B$66),0)),"")</f>
        <v>1.105673714285714</v>
      </c>
      <c r="AQ67" s="6" t="str" cm="1">
        <f t="array" ref="AQ67">IFERROR((SUMPRODUCT(($B$43:$B$66=AQ$41)*($F$40:$AG$40="")*$F$43:$AG$66)+IF(AQ$41="P6",SUMPRODUCT(($F$40:$AG$40="P6")*$F$43:$AG$66),0))/(SUMPRODUCT(($B$43:$B$66=AQ$41)*($F$40:$AG$40=""))+IF(AQ$41="P6",COUNTIF($F$40:$AG$40,"P6")*ROWS($B$43:$B$66),0)),"")</f>
        <v/>
      </c>
      <c r="AR67" s="6" cm="1">
        <f t="array" ref="AR67">IFERROR((SUMPRODUCT(($B$43:$B$66=AR$41)*($F$40:$AG$40="")*$F$43:$AG$66)+IF(AR$41="P6",SUMPRODUCT(($F$40:$AG$40="P6")*$F$43:$AG$66),0))/(SUMPRODUCT(($B$43:$B$66=AR$41)*($F$40:$AG$40=""))+IF(AR$41="P6",COUNTIF($F$40:$AG$40,"P6")*ROWS($B$43:$B$66),0)),"")</f>
        <v>1.2005248863636357</v>
      </c>
    </row>
    <row r="71" spans="1:44" ht="14.25" customHeight="1" x14ac:dyDescent="0.35">
      <c r="A71" s="15" t="s">
        <v>62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1:44" ht="14.25" customHeight="1" x14ac:dyDescent="0.3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1:44" ht="14.25" customHeight="1" x14ac:dyDescent="0.35">
      <c r="AL73" s="10"/>
      <c r="AM73" s="10"/>
      <c r="AN73" s="10"/>
      <c r="AO73" s="10"/>
      <c r="AP73" s="10"/>
      <c r="AQ73" s="10"/>
      <c r="AR73" s="10"/>
    </row>
    <row r="74" spans="1:44" ht="14.25" customHeight="1" x14ac:dyDescent="0.35">
      <c r="F74" s="1" t="str">
        <f>IF(OR(F76="S",F76="D"),"P3","")</f>
        <v>P3</v>
      </c>
      <c r="G74" s="1" t="str">
        <f t="shared" ref="G74:AJ74" si="12">IF(OR(G76="S",G76="D"),"P3","")</f>
        <v/>
      </c>
      <c r="H74" s="1" t="str">
        <f t="shared" si="12"/>
        <v/>
      </c>
      <c r="I74" s="1" t="str">
        <f t="shared" si="12"/>
        <v/>
      </c>
      <c r="J74" s="1" t="str">
        <f t="shared" si="12"/>
        <v/>
      </c>
      <c r="K74" s="1" t="str">
        <f t="shared" si="12"/>
        <v/>
      </c>
      <c r="L74" s="1" t="str">
        <f t="shared" si="12"/>
        <v>P3</v>
      </c>
      <c r="M74" s="1" t="str">
        <f t="shared" si="12"/>
        <v>P3</v>
      </c>
      <c r="N74" s="1" t="str">
        <f t="shared" si="12"/>
        <v/>
      </c>
      <c r="O74" s="1" t="str">
        <f t="shared" si="12"/>
        <v/>
      </c>
      <c r="P74" s="1" t="str">
        <f t="shared" si="12"/>
        <v/>
      </c>
      <c r="Q74" s="1" t="str">
        <f t="shared" si="12"/>
        <v/>
      </c>
      <c r="R74" s="1" t="str">
        <f t="shared" si="12"/>
        <v/>
      </c>
      <c r="S74" s="1" t="str">
        <f t="shared" si="12"/>
        <v>P3</v>
      </c>
      <c r="T74" s="1" t="str">
        <f t="shared" si="12"/>
        <v>P3</v>
      </c>
      <c r="U74" s="1" t="str">
        <f t="shared" si="12"/>
        <v/>
      </c>
      <c r="V74" s="1" t="str">
        <f t="shared" si="12"/>
        <v/>
      </c>
      <c r="W74" s="1" t="str">
        <f t="shared" si="12"/>
        <v/>
      </c>
      <c r="X74" s="1" t="str">
        <f t="shared" si="12"/>
        <v/>
      </c>
      <c r="Y74" s="1" t="str">
        <f t="shared" si="12"/>
        <v/>
      </c>
      <c r="Z74" s="1" t="str">
        <f t="shared" si="12"/>
        <v>P3</v>
      </c>
      <c r="AA74" s="1" t="str">
        <f t="shared" si="12"/>
        <v>P3</v>
      </c>
      <c r="AB74" s="1" t="str">
        <f t="shared" si="12"/>
        <v/>
      </c>
      <c r="AC74" s="1" t="str">
        <f t="shared" si="12"/>
        <v/>
      </c>
      <c r="AD74" s="1" t="str">
        <f t="shared" si="12"/>
        <v/>
      </c>
      <c r="AE74" s="1" t="str">
        <f t="shared" si="12"/>
        <v/>
      </c>
      <c r="AF74" s="1" t="str">
        <f t="shared" si="12"/>
        <v/>
      </c>
      <c r="AG74" s="1" t="str">
        <f t="shared" si="12"/>
        <v>P3</v>
      </c>
      <c r="AH74" s="1" t="str">
        <f t="shared" si="12"/>
        <v>P3</v>
      </c>
      <c r="AI74" s="1" t="str">
        <f t="shared" si="12"/>
        <v/>
      </c>
      <c r="AJ74" s="1" t="str">
        <f t="shared" si="12"/>
        <v/>
      </c>
      <c r="AL74" s="10"/>
      <c r="AM74" s="10"/>
      <c r="AN74" s="10"/>
      <c r="AO74" s="10"/>
      <c r="AP74" s="10"/>
      <c r="AQ74" s="10"/>
      <c r="AR74" s="10"/>
    </row>
    <row r="75" spans="1:44" ht="14.25" customHeight="1" x14ac:dyDescent="0.35">
      <c r="F75" s="1" t="str">
        <f>IF(OR(F76="S",F76="D"),"P6","")</f>
        <v>P6</v>
      </c>
      <c r="G75" s="1" t="str">
        <f t="shared" ref="G75:AJ75" si="13">IF(OR(G76="S",G76="D"),"P6","")</f>
        <v/>
      </c>
      <c r="H75" s="1" t="str">
        <f t="shared" si="13"/>
        <v/>
      </c>
      <c r="I75" s="1" t="str">
        <f t="shared" si="13"/>
        <v/>
      </c>
      <c r="J75" s="1" t="str">
        <f t="shared" si="13"/>
        <v/>
      </c>
      <c r="K75" s="1" t="str">
        <f t="shared" si="13"/>
        <v/>
      </c>
      <c r="L75" s="1" t="str">
        <f t="shared" si="13"/>
        <v>P6</v>
      </c>
      <c r="M75" s="1" t="str">
        <f t="shared" si="13"/>
        <v>P6</v>
      </c>
      <c r="N75" s="1" t="str">
        <f t="shared" si="13"/>
        <v/>
      </c>
      <c r="O75" s="1" t="str">
        <f t="shared" si="13"/>
        <v/>
      </c>
      <c r="P75" s="1" t="str">
        <f t="shared" si="13"/>
        <v/>
      </c>
      <c r="Q75" s="1" t="str">
        <f t="shared" si="13"/>
        <v/>
      </c>
      <c r="R75" s="1" t="str">
        <f t="shared" si="13"/>
        <v/>
      </c>
      <c r="S75" s="1" t="str">
        <f t="shared" si="13"/>
        <v>P6</v>
      </c>
      <c r="T75" s="1" t="str">
        <f t="shared" si="13"/>
        <v>P6</v>
      </c>
      <c r="U75" s="1" t="str">
        <f t="shared" si="13"/>
        <v/>
      </c>
      <c r="V75" s="1" t="str">
        <f t="shared" si="13"/>
        <v/>
      </c>
      <c r="W75" s="1" t="str">
        <f t="shared" si="13"/>
        <v/>
      </c>
      <c r="X75" s="1" t="str">
        <f t="shared" si="13"/>
        <v/>
      </c>
      <c r="Y75" s="1" t="str">
        <f t="shared" si="13"/>
        <v/>
      </c>
      <c r="Z75" s="1" t="str">
        <f t="shared" si="13"/>
        <v>P6</v>
      </c>
      <c r="AA75" s="1" t="str">
        <f t="shared" si="13"/>
        <v>P6</v>
      </c>
      <c r="AB75" s="1" t="str">
        <f t="shared" si="13"/>
        <v/>
      </c>
      <c r="AC75" s="1" t="str">
        <f t="shared" si="13"/>
        <v/>
      </c>
      <c r="AD75" s="1" t="str">
        <f t="shared" si="13"/>
        <v/>
      </c>
      <c r="AE75" s="1" t="str">
        <f t="shared" si="13"/>
        <v/>
      </c>
      <c r="AF75" s="1" t="str">
        <f t="shared" si="13"/>
        <v/>
      </c>
      <c r="AG75" s="1" t="str">
        <f t="shared" si="13"/>
        <v>P6</v>
      </c>
      <c r="AH75" s="1" t="str">
        <f t="shared" si="13"/>
        <v>P6</v>
      </c>
      <c r="AI75" s="1" t="str">
        <f t="shared" si="13"/>
        <v/>
      </c>
      <c r="AJ75" s="1" t="str">
        <f t="shared" si="13"/>
        <v/>
      </c>
      <c r="AL75" s="14" t="s">
        <v>122</v>
      </c>
      <c r="AM75" s="14"/>
      <c r="AN75" s="14"/>
      <c r="AO75" s="14"/>
      <c r="AP75" s="14"/>
      <c r="AQ75" s="14"/>
      <c r="AR75" s="14"/>
    </row>
    <row r="76" spans="1:44" ht="14.25" customHeight="1" x14ac:dyDescent="0.35">
      <c r="F76" s="1" t="str">
        <f>CHOOSE(WEEKDAY(F77,2),"L","M","X","J","V","S","D")</f>
        <v>D</v>
      </c>
      <c r="G76" s="1" t="str">
        <f t="shared" ref="G76:AJ76" si="14">CHOOSE(WEEKDAY(G77,2),"L","M","X","J","V","S","D")</f>
        <v>L</v>
      </c>
      <c r="H76" s="1" t="str">
        <f t="shared" si="14"/>
        <v>M</v>
      </c>
      <c r="I76" s="1" t="str">
        <f t="shared" si="14"/>
        <v>X</v>
      </c>
      <c r="J76" s="1" t="str">
        <f t="shared" si="14"/>
        <v>J</v>
      </c>
      <c r="K76" s="1" t="str">
        <f t="shared" si="14"/>
        <v>V</v>
      </c>
      <c r="L76" s="1" t="str">
        <f t="shared" si="14"/>
        <v>S</v>
      </c>
      <c r="M76" s="1" t="str">
        <f t="shared" si="14"/>
        <v>D</v>
      </c>
      <c r="N76" s="1" t="str">
        <f t="shared" si="14"/>
        <v>L</v>
      </c>
      <c r="O76" s="1" t="str">
        <f t="shared" si="14"/>
        <v>M</v>
      </c>
      <c r="P76" s="1" t="str">
        <f t="shared" si="14"/>
        <v>X</v>
      </c>
      <c r="Q76" s="1" t="str">
        <f t="shared" si="14"/>
        <v>J</v>
      </c>
      <c r="R76" s="1" t="str">
        <f t="shared" si="14"/>
        <v>V</v>
      </c>
      <c r="S76" s="1" t="str">
        <f t="shared" si="14"/>
        <v>S</v>
      </c>
      <c r="T76" s="1" t="str">
        <f t="shared" si="14"/>
        <v>D</v>
      </c>
      <c r="U76" s="1" t="str">
        <f t="shared" si="14"/>
        <v>L</v>
      </c>
      <c r="V76" s="1" t="str">
        <f t="shared" si="14"/>
        <v>M</v>
      </c>
      <c r="W76" s="1" t="str">
        <f t="shared" si="14"/>
        <v>X</v>
      </c>
      <c r="X76" s="1" t="str">
        <f t="shared" si="14"/>
        <v>J</v>
      </c>
      <c r="Y76" s="1" t="str">
        <f t="shared" si="14"/>
        <v>V</v>
      </c>
      <c r="Z76" s="1" t="str">
        <f t="shared" si="14"/>
        <v>S</v>
      </c>
      <c r="AA76" s="1" t="str">
        <f t="shared" si="14"/>
        <v>D</v>
      </c>
      <c r="AB76" s="1" t="str">
        <f t="shared" si="14"/>
        <v>L</v>
      </c>
      <c r="AC76" s="1" t="str">
        <f t="shared" si="14"/>
        <v>M</v>
      </c>
      <c r="AD76" s="1" t="str">
        <f t="shared" si="14"/>
        <v>X</v>
      </c>
      <c r="AE76" s="1" t="str">
        <f t="shared" si="14"/>
        <v>J</v>
      </c>
      <c r="AF76" s="1" t="str">
        <f t="shared" si="14"/>
        <v>V</v>
      </c>
      <c r="AG76" s="1" t="str">
        <f t="shared" si="14"/>
        <v>S</v>
      </c>
      <c r="AH76" s="1" t="str">
        <f t="shared" si="14"/>
        <v>D</v>
      </c>
      <c r="AI76" s="1" t="str">
        <f t="shared" si="14"/>
        <v>L</v>
      </c>
      <c r="AJ76" s="1" t="str">
        <f t="shared" si="14"/>
        <v>M</v>
      </c>
      <c r="AL76" s="4"/>
      <c r="AM76" s="4" t="s">
        <v>13</v>
      </c>
      <c r="AN76" s="4" t="s">
        <v>14</v>
      </c>
      <c r="AO76" s="4" t="s">
        <v>15</v>
      </c>
      <c r="AP76" s="4" t="s">
        <v>16</v>
      </c>
      <c r="AQ76" s="4" t="s">
        <v>17</v>
      </c>
      <c r="AR76" s="4" t="s">
        <v>7</v>
      </c>
    </row>
    <row r="77" spans="1:44" ht="14.25" customHeight="1" x14ac:dyDescent="0.35">
      <c r="A77" s="3" t="s">
        <v>76</v>
      </c>
      <c r="B77" s="3" t="s">
        <v>77</v>
      </c>
      <c r="C77" s="3" t="s">
        <v>75</v>
      </c>
      <c r="D77" s="3" t="s">
        <v>74</v>
      </c>
      <c r="F77" s="8">
        <v>46082</v>
      </c>
      <c r="G77" s="8">
        <v>46083</v>
      </c>
      <c r="H77" s="8">
        <v>46084</v>
      </c>
      <c r="I77" s="8">
        <v>46085</v>
      </c>
      <c r="J77" s="8">
        <v>46086</v>
      </c>
      <c r="K77" s="8">
        <v>46087</v>
      </c>
      <c r="L77" s="8">
        <v>46088</v>
      </c>
      <c r="M77" s="8">
        <v>46089</v>
      </c>
      <c r="N77" s="8">
        <v>46090</v>
      </c>
      <c r="O77" s="8">
        <v>46091</v>
      </c>
      <c r="P77" s="8">
        <v>46092</v>
      </c>
      <c r="Q77" s="8">
        <v>46093</v>
      </c>
      <c r="R77" s="8">
        <v>46094</v>
      </c>
      <c r="S77" s="8">
        <v>46095</v>
      </c>
      <c r="T77" s="8">
        <v>46096</v>
      </c>
      <c r="U77" s="8">
        <v>46097</v>
      </c>
      <c r="V77" s="8">
        <v>46098</v>
      </c>
      <c r="W77" s="8">
        <v>46099</v>
      </c>
      <c r="X77" s="8">
        <v>46100</v>
      </c>
      <c r="Y77" s="8">
        <v>46101</v>
      </c>
      <c r="Z77" s="8">
        <v>46102</v>
      </c>
      <c r="AA77" s="8">
        <v>46103</v>
      </c>
      <c r="AB77" s="8">
        <v>46104</v>
      </c>
      <c r="AC77" s="8">
        <v>46105</v>
      </c>
      <c r="AD77" s="8">
        <v>46106</v>
      </c>
      <c r="AE77" s="8">
        <v>46107</v>
      </c>
      <c r="AF77" s="8">
        <v>46108</v>
      </c>
      <c r="AG77" s="8">
        <v>46109</v>
      </c>
      <c r="AH77" s="8">
        <v>46110</v>
      </c>
      <c r="AI77" s="8">
        <v>46111</v>
      </c>
      <c r="AJ77" s="8">
        <v>46112</v>
      </c>
      <c r="AL77" s="4" t="s">
        <v>19</v>
      </c>
      <c r="AM77" s="6" cm="1">
        <f t="array" ref="AM77">IFERROR((SUMPRODUCT(($C$78:$C$101=AM$76)*($F$74:$AJ$74="")*$F$78:$AJ$101)+IF(AM$76="P3",SUMPRODUCT(($F$74:$AJ$74="P3")*$F$78:$AJ$101),0))/(SUMPRODUCT(($C$78:$C$101=AM$76)*($F$74:$AJ$74=""))+IF(AM$76="P3",COUNTIF($F$74:$AJ$74,"P3")*ROWS($C$78:$C$101),0)),"")</f>
        <v>1.0731064204545455</v>
      </c>
      <c r="AN77" s="6" cm="1">
        <f t="array" ref="AN77">IFERROR((SUMPRODUCT(($C$78:$C$101=AN$41)*($F$74:$AJ$74="")*$F$78:$AJ$101)+IF(AN$41="P3",SUMPRODUCT(($F$74:$AJ$74="P3")*$F$78:$AJ$101),0))/(SUMPRODUCT(($C$78:$C$101=AN$41)*($F$74:$AJ$74=""))+IF(AN$41="P3",COUNTIF($F$74:$AJ$74,"P3")*ROWS($C$78:$C$101),0)),"")</f>
        <v>1.1407369886363641</v>
      </c>
      <c r="AO77" s="6" cm="1">
        <f t="array" ref="AO77">IFERROR((SUMPRODUCT(($C$78:$C$101=AO$41)*($F$74:$AJ$74="")*$F$78:$AJ$101)+IF(AO$41="P3",SUMPRODUCT(($F$74:$AJ$74="P3")*$F$78:$AJ$101),0))/(SUMPRODUCT(($C$78:$C$101=AO$41)*($F$74:$AJ$74=""))+IF(AO$41="P3",COUNTIF($F$74:$AJ$74,"P3")*ROWS($C$78:$C$101),0)),"")</f>
        <v>1.1958078061224495</v>
      </c>
      <c r="AP77" s="6" t="str" cm="1">
        <f t="array" ref="AP77">IFERROR((SUMPRODUCT(($C$78:$C$101=AP$41)*($F$74:$AJ$74="")*$F$78:$AJ$101)+IF(AP$41="P3",SUMPRODUCT(($F$74:$AJ$74="P3")*$F$78:$AJ$101),0))/(SUMPRODUCT(($C$78:$C$101=AP$41)*($F$74:$AJ$74=""))+IF(AP$41="P3",COUNTIF($F$74:$AJ$74,"P3")*ROWS($C$78:$C$101),0)),"")</f>
        <v/>
      </c>
      <c r="AQ77" s="6" t="str" cm="1">
        <f t="array" ref="AQ77">IFERROR((SUMPRODUCT(($C$78:$C$101=AQ$41)*($F$74:$AJ$74="")*$F$78:$AJ$101)+IF(AQ$41="P3",SUMPRODUCT(($F$74:$AJ$74="P3")*$F$78:$AJ$101),0))/(SUMPRODUCT(($C$78:$C$101=AQ$41)*($F$74:$AJ$74=""))+IF(AQ$41="P3",COUNTIF($F$74:$AJ$74,"P3")*ROWS($C$78:$C$101),0)),"")</f>
        <v/>
      </c>
      <c r="AR77" s="6" t="str" cm="1">
        <f t="array" ref="AR77">IFERROR((SUMPRODUCT(($C$78:$C$101=AR$41)*($F$74:$AJ$74="")*$F$78:$AJ$101)+IF(AR$41="P3",SUMPRODUCT(($F$74:$AJ$74="P3")*$F$78:$AJ$101),0))/(SUMPRODUCT(($C$78:$C$101=AR$41)*($F$74:$AJ$74=""))+IF(AR$41="P3",COUNTIF($F$74:$AJ$74,"P3")*ROWS($C$78:$C$101),0)),"")</f>
        <v/>
      </c>
    </row>
    <row r="78" spans="1:44" ht="14.25" customHeight="1" x14ac:dyDescent="0.35">
      <c r="A78" s="1" t="s">
        <v>7</v>
      </c>
      <c r="B78" s="1" t="s">
        <v>7</v>
      </c>
      <c r="C78" s="1" t="s">
        <v>15</v>
      </c>
      <c r="D78" s="1" t="s">
        <v>7</v>
      </c>
      <c r="E78" s="1" t="s">
        <v>8</v>
      </c>
      <c r="F78" s="1">
        <v>1.2644200000000001</v>
      </c>
      <c r="G78" s="1">
        <v>1.26244</v>
      </c>
      <c r="H78" s="1">
        <v>1.22377</v>
      </c>
      <c r="I78" s="1">
        <v>1.2215199999999999</v>
      </c>
      <c r="J78" s="1">
        <v>1.1916800000000001</v>
      </c>
      <c r="K78" s="1">
        <v>1.23373</v>
      </c>
      <c r="L78" s="1">
        <v>1.24386</v>
      </c>
      <c r="M78" s="1">
        <v>1.2644200000000001</v>
      </c>
      <c r="N78" s="1">
        <v>1.26244</v>
      </c>
      <c r="O78" s="1">
        <v>1.22377</v>
      </c>
      <c r="P78" s="1">
        <v>1.2215199999999999</v>
      </c>
      <c r="Q78" s="1">
        <v>1.1916800000000001</v>
      </c>
      <c r="R78" s="1">
        <v>1.23373</v>
      </c>
      <c r="S78" s="1">
        <v>1.24386</v>
      </c>
      <c r="T78" s="1">
        <v>1.2644200000000001</v>
      </c>
      <c r="U78" s="1">
        <v>1.26244</v>
      </c>
      <c r="V78" s="1">
        <v>1.22377</v>
      </c>
      <c r="W78" s="1">
        <v>1.2215199999999999</v>
      </c>
      <c r="X78" s="1">
        <v>1.1916800000000001</v>
      </c>
      <c r="Y78" s="1">
        <v>1.23373</v>
      </c>
      <c r="Z78" s="1">
        <v>1.24386</v>
      </c>
      <c r="AA78" s="1">
        <v>1.2644200000000001</v>
      </c>
      <c r="AB78" s="1">
        <v>1.26244</v>
      </c>
      <c r="AC78" s="1">
        <v>1.22377</v>
      </c>
      <c r="AD78" s="1">
        <v>1.2215199999999999</v>
      </c>
      <c r="AE78" s="1">
        <v>1.1916800000000001</v>
      </c>
      <c r="AF78" s="1">
        <v>1.23373</v>
      </c>
      <c r="AG78" s="1">
        <v>1.24386</v>
      </c>
      <c r="AH78" s="1">
        <v>1.2644200000000001</v>
      </c>
      <c r="AI78" s="1">
        <v>1.26244</v>
      </c>
      <c r="AJ78" s="1">
        <v>1.22377</v>
      </c>
      <c r="AL78" s="4" t="s">
        <v>21</v>
      </c>
      <c r="AM78" s="6" t="str" cm="1">
        <f t="array" ref="AM78">IFERROR((SUMPRODUCT(($D$78:$D$101=AM$76)*($F$75:$AJ$75="")*$F$78:$AJ$101)+IF(AM$76="P6",SUMPRODUCT(($F$75:$AJ$75="P6")*$F$78:$AJ$101),0))/(SUMPRODUCT(($D$78:$D$101=AM$76)*($F$75:$AJ$75=""))+IF(AM$76="P6",COUNTIF($F$75:$AJ$75,"P6")*ROWS($D$78:$D$101),0)),"")</f>
        <v/>
      </c>
      <c r="AN78" s="6" cm="1">
        <f t="array" ref="AN78">IFERROR((SUMPRODUCT(($D$78:$D$101=AN$76)*($F$75:$AJ$75="")*$F$78:$AJ$101)+IF(AN$76="P6",SUMPRODUCT(($F$75:$AJ$75="P6")*$F$78:$AJ$101),0))/(SUMPRODUCT(($D$78:$D$101=AN$76)*($F$75:$AJ$75=""))+IF(AN$76="P6",COUNTIF($F$75:$AJ$75,"P6")*ROWS($D$78:$D$101),0)),"")</f>
        <v>1.068430606060607</v>
      </c>
      <c r="AO78" s="6" cm="1">
        <f t="array" ref="AO78">IFERROR((SUMPRODUCT(($D$78:$D$101=AO$76)*($F$75:$AJ$75="")*$F$78:$AJ$101)+IF(AO$76="P6",SUMPRODUCT(($F$75:$AJ$75="P6")*$F$78:$AJ$101),0))/(SUMPRODUCT(($D$78:$D$101=AO$76)*($F$75:$AJ$75=""))+IF(AO$76="P6",COUNTIF($F$75:$AJ$75,"P6")*ROWS($D$78:$D$101),0)),"")</f>
        <v>1.1564102597402603</v>
      </c>
      <c r="AP78" s="6" t="str" cm="1">
        <f t="array" ref="AP78">IFERROR((SUMPRODUCT(($D$78:$D$101=AP$76)*($F$75:$AJ$75="")*$F$78:$AJ$101)+IF(AP$76="P6",SUMPRODUCT(($F$75:$AJ$75="P6")*$F$78:$AJ$101),0))/(SUMPRODUCT(($D$78:$D$101=AP$76)*($F$75:$AJ$75=""))+IF(AP$76="P6",COUNTIF($F$75:$AJ$75,"P6")*ROWS($D$78:$D$101),0)),"")</f>
        <v/>
      </c>
      <c r="AQ78" s="6" t="str" cm="1">
        <f t="array" ref="AQ78">IFERROR((SUMPRODUCT(($D$78:$D$101=AQ$76)*($F$75:$AJ$75="")*$F$78:$AJ$101)+IF(AQ$76="P6",SUMPRODUCT(($F$75:$AJ$75="P6")*$F$78:$AJ$101),0))/(SUMPRODUCT(($D$78:$D$101=AQ$76)*($F$75:$AJ$75=""))+IF(AQ$76="P6",COUNTIF($F$75:$AJ$75,"P6")*ROWS($D$78:$D$101),0)),"")</f>
        <v/>
      </c>
      <c r="AR78" s="6" cm="1">
        <f t="array" ref="AR78">IFERROR((SUMPRODUCT(($D$78:$D$101=AR$76)*($F$75:$AJ$75="")*$F$78:$AJ$101)+IF(AR$76="P6",SUMPRODUCT(($F$75:$AJ$75="P6")*$F$78:$AJ$101),0))/(SUMPRODUCT(($D$78:$D$101=AR$76)*($F$75:$AJ$75=""))+IF(AR$76="P6",COUNTIF($F$75:$AJ$75,"P6")*ROWS($D$78:$D$101),0)),"")</f>
        <v>1.1958078061224495</v>
      </c>
    </row>
    <row r="79" spans="1:44" ht="14.25" customHeight="1" x14ac:dyDescent="0.35">
      <c r="A79" s="1" t="s">
        <v>7</v>
      </c>
      <c r="B79" s="1" t="s">
        <v>7</v>
      </c>
      <c r="C79" s="1" t="s">
        <v>15</v>
      </c>
      <c r="D79" s="1" t="s">
        <v>7</v>
      </c>
      <c r="E79" s="1" t="s">
        <v>9</v>
      </c>
      <c r="F79" s="1">
        <v>1.31549</v>
      </c>
      <c r="G79" s="1">
        <v>1.3145199999999999</v>
      </c>
      <c r="H79" s="1">
        <v>1.26508</v>
      </c>
      <c r="I79" s="1">
        <v>1.2543200000000001</v>
      </c>
      <c r="J79" s="1">
        <v>1.23495</v>
      </c>
      <c r="K79" s="1">
        <v>1.26309</v>
      </c>
      <c r="L79" s="1">
        <v>1.2734099999999999</v>
      </c>
      <c r="M79" s="1">
        <v>1.31549</v>
      </c>
      <c r="N79" s="1">
        <v>1.3145199999999999</v>
      </c>
      <c r="O79" s="1">
        <v>1.26508</v>
      </c>
      <c r="P79" s="1">
        <v>1.2543200000000001</v>
      </c>
      <c r="Q79" s="1">
        <v>1.23495</v>
      </c>
      <c r="R79" s="1">
        <v>1.26309</v>
      </c>
      <c r="S79" s="1">
        <v>1.2734099999999999</v>
      </c>
      <c r="T79" s="1">
        <v>1.31549</v>
      </c>
      <c r="U79" s="1">
        <v>1.3145199999999999</v>
      </c>
      <c r="V79" s="1">
        <v>1.26508</v>
      </c>
      <c r="W79" s="1">
        <v>1.2543200000000001</v>
      </c>
      <c r="X79" s="1">
        <v>1.23495</v>
      </c>
      <c r="Y79" s="1">
        <v>1.26309</v>
      </c>
      <c r="Z79" s="1">
        <v>1.2734099999999999</v>
      </c>
      <c r="AA79" s="1">
        <v>1.31549</v>
      </c>
      <c r="AB79" s="1">
        <v>1.3145199999999999</v>
      </c>
      <c r="AC79" s="1">
        <v>1.26508</v>
      </c>
      <c r="AD79" s="1">
        <v>1.2543200000000001</v>
      </c>
      <c r="AE79" s="1">
        <v>1.23495</v>
      </c>
      <c r="AF79" s="1">
        <v>1.26309</v>
      </c>
      <c r="AG79" s="1">
        <v>1.2734099999999999</v>
      </c>
      <c r="AH79" s="1">
        <v>1.31549</v>
      </c>
      <c r="AI79" s="1">
        <v>1.3145199999999999</v>
      </c>
      <c r="AJ79" s="1">
        <v>1.26508</v>
      </c>
      <c r="AL79" s="4" t="s">
        <v>23</v>
      </c>
      <c r="AM79" s="6" t="str" cm="1">
        <f t="array" ref="AM79">IFERROR((SUMPRODUCT(($D$78:$D$101=AM$76)*($F$75:$AJ$75="")*$F$78:$AJ$101)+IF(AM$76="P6",SUMPRODUCT(($F$75:$AJ$75="P6")*$F$78:$AJ$101),0))/(SUMPRODUCT(($D$78:$D$101=AM$76)*($F$75:$AJ$75=""))+IF(AM$76="P6",COUNTIF($F$75:$AJ$75,"P6")*ROWS($D$78:$D$101),0)),"")</f>
        <v/>
      </c>
      <c r="AN79" s="6" cm="1">
        <f t="array" ref="AN79">IFERROR((SUMPRODUCT(($D$78:$D$101=AN$76)*($F$75:$AJ$75="")*$F$78:$AJ$101)+IF(AN$76="P6",SUMPRODUCT(($F$75:$AJ$75="P6")*$F$78:$AJ$101),0))/(SUMPRODUCT(($D$78:$D$101=AN$76)*($F$75:$AJ$75=""))+IF(AN$76="P6",COUNTIF($F$75:$AJ$75,"P6")*ROWS($D$78:$D$101),0)),"")</f>
        <v>1.068430606060607</v>
      </c>
      <c r="AO79" s="5" cm="1">
        <f t="array" ref="AO79">IFERROR((SUMPRODUCT(($D$78:$D$101=AO$76)*($F$75:$AJ$75="")*$F$78:$AJ$101)+IF(AO$76="P6",SUMPRODUCT(($F$75:$AJ$75="P6")*$F$78:$AJ$101),0))/(SUMPRODUCT(($D$78:$D$101=AO$76)*($F$75:$AJ$75=""))+IF(AO$76="P6",COUNTIF($F$75:$AJ$75,"P6")*ROWS($D$78:$D$101),0)),"")</f>
        <v>1.1564102597402603</v>
      </c>
      <c r="AP79" s="5" t="str" cm="1">
        <f t="array" ref="AP79">IFERROR((SUMPRODUCT(($D$78:$D$101=AP$76)*($F$75:$AJ$75="")*$F$78:$AJ$101)+IF(AP$76="P6",SUMPRODUCT(($F$75:$AJ$75="P6")*$F$78:$AJ$101),0))/(SUMPRODUCT(($D$78:$D$101=AP$76)*($F$75:$AJ$75=""))+IF(AP$76="P6",COUNTIF($F$75:$AJ$75,"P6")*ROWS($D$78:$D$101),0)),"")</f>
        <v/>
      </c>
      <c r="AQ79" s="5" t="str" cm="1">
        <f t="array" ref="AQ79">IFERROR((SUMPRODUCT(($D$78:$D$101=AQ$76)*($F$75:$AJ$75="")*$F$78:$AJ$101)+IF(AQ$76="P6",SUMPRODUCT(($F$75:$AJ$75="P6")*$F$78:$AJ$101),0))/(SUMPRODUCT(($D$78:$D$101=AQ$76)*($F$75:$AJ$75=""))+IF(AQ$76="P6",COUNTIF($F$75:$AJ$75,"P6")*ROWS($D$78:$D$101),0)),"")</f>
        <v/>
      </c>
      <c r="AR79" s="6" cm="1">
        <f t="array" ref="AR79">IFERROR((SUMPRODUCT(($D$78:$D$101=AR$76)*($F$75:$AJ$75="")*$F$78:$AJ$101)+IF(AR$76="P6",SUMPRODUCT(($F$75:$AJ$75="P6")*$F$78:$AJ$101),0))/(SUMPRODUCT(($D$78:$D$101=AR$76)*($F$75:$AJ$75=""))+IF(AR$76="P6",COUNTIF($F$75:$AJ$75,"P6")*ROWS($D$78:$D$101),0)),"")</f>
        <v>1.1958078061224495</v>
      </c>
    </row>
    <row r="80" spans="1:44" ht="14.25" customHeight="1" x14ac:dyDescent="0.35">
      <c r="A80" s="1" t="s">
        <v>7</v>
      </c>
      <c r="B80" s="1" t="s">
        <v>7</v>
      </c>
      <c r="C80" s="1" t="s">
        <v>15</v>
      </c>
      <c r="D80" s="1" t="s">
        <v>7</v>
      </c>
      <c r="E80" s="1" t="s">
        <v>10</v>
      </c>
      <c r="F80" s="1">
        <v>1.3558699999999999</v>
      </c>
      <c r="G80" s="1">
        <v>1.3372299999999999</v>
      </c>
      <c r="H80" s="1">
        <v>1.28609</v>
      </c>
      <c r="I80" s="1">
        <v>1.3002199999999999</v>
      </c>
      <c r="J80" s="1">
        <v>1.24919</v>
      </c>
      <c r="K80" s="1">
        <v>1.2803800000000001</v>
      </c>
      <c r="L80" s="1">
        <v>1.2926299999999999</v>
      </c>
      <c r="M80" s="1">
        <v>1.3558699999999999</v>
      </c>
      <c r="N80" s="1">
        <v>1.3372299999999999</v>
      </c>
      <c r="O80" s="1">
        <v>1.28609</v>
      </c>
      <c r="P80" s="1">
        <v>1.3002199999999999</v>
      </c>
      <c r="Q80" s="1">
        <v>1.24919</v>
      </c>
      <c r="R80" s="1">
        <v>1.2803800000000001</v>
      </c>
      <c r="S80" s="1">
        <v>1.2926299999999999</v>
      </c>
      <c r="T80" s="1">
        <v>1.3558699999999999</v>
      </c>
      <c r="U80" s="1">
        <v>1.3372299999999999</v>
      </c>
      <c r="V80" s="1">
        <v>1.28609</v>
      </c>
      <c r="W80" s="1">
        <v>1.3002199999999999</v>
      </c>
      <c r="X80" s="1">
        <v>1.24919</v>
      </c>
      <c r="Y80" s="1">
        <v>1.2803800000000001</v>
      </c>
      <c r="Z80" s="1">
        <v>1.2926299999999999</v>
      </c>
      <c r="AA80" s="1">
        <v>1.3558699999999999</v>
      </c>
      <c r="AB80" s="1">
        <v>1.3372299999999999</v>
      </c>
      <c r="AC80" s="1">
        <v>1.28609</v>
      </c>
      <c r="AD80" s="1">
        <v>1.3002199999999999</v>
      </c>
      <c r="AE80" s="1">
        <v>1.24919</v>
      </c>
      <c r="AF80" s="1">
        <v>1.2803800000000001</v>
      </c>
      <c r="AG80" s="1">
        <v>1.2926299999999999</v>
      </c>
      <c r="AH80" s="1">
        <v>0</v>
      </c>
      <c r="AI80" s="1">
        <v>1.3372299999999999</v>
      </c>
      <c r="AJ80" s="1">
        <v>1.28609</v>
      </c>
      <c r="AL80" s="4" t="s">
        <v>25</v>
      </c>
      <c r="AM80" s="6" t="str" cm="1">
        <f t="array" ref="AM80">IFERROR((SUMPRODUCT(($D$78:$D$101=AM$76)*($F$75:$AJ$75="")*$F$78:$AJ$101)+IF(AM$76="P6",SUMPRODUCT(($F$75:$AJ$75="P6")*$F$78:$AJ$101),0))/(SUMPRODUCT(($D$78:$D$101=AM$76)*($F$75:$AJ$75=""))+IF(AM$76="P6",COUNTIF($F$75:$AJ$75,"P6")*ROWS($D$78:$D$101),0)),"")</f>
        <v/>
      </c>
      <c r="AN80" s="6" cm="1">
        <f t="array" ref="AN80">IFERROR((SUMPRODUCT(($D$78:$D$101=AN$76)*($F$75:$AJ$75="")*$F$78:$AJ$101)+IF(AN$76="P6",SUMPRODUCT(($F$75:$AJ$75="P6")*$F$78:$AJ$101),0))/(SUMPRODUCT(($D$78:$D$101=AN$76)*($F$75:$AJ$75=""))+IF(AN$76="P6",COUNTIF($F$75:$AJ$75,"P6")*ROWS($D$78:$D$101),0)),"")</f>
        <v>1.068430606060607</v>
      </c>
      <c r="AO80" s="5" cm="1">
        <f t="array" ref="AO80">IFERROR((SUMPRODUCT(($D$78:$D$101=AO$76)*($F$75:$AJ$75="")*$F$78:$AJ$101)+IF(AO$76="P6",SUMPRODUCT(($F$75:$AJ$75="P6")*$F$78:$AJ$101),0))/(SUMPRODUCT(($D$78:$D$101=AO$76)*($F$75:$AJ$75=""))+IF(AO$76="P6",COUNTIF($F$75:$AJ$75,"P6")*ROWS($D$78:$D$101),0)),"")</f>
        <v>1.1564102597402603</v>
      </c>
      <c r="AP80" s="5" t="str" cm="1">
        <f t="array" ref="AP80">IFERROR((SUMPRODUCT(($D$78:$D$101=AP$76)*($F$75:$AJ$75="")*$F$78:$AJ$101)+IF(AP$76="P6",SUMPRODUCT(($F$75:$AJ$75="P6")*$F$78:$AJ$101),0))/(SUMPRODUCT(($D$78:$D$101=AP$76)*($F$75:$AJ$75=""))+IF(AP$76="P6",COUNTIF($F$75:$AJ$75,"P6")*ROWS($D$78:$D$101),0)),"")</f>
        <v/>
      </c>
      <c r="AQ80" s="5" t="str" cm="1">
        <f t="array" ref="AQ80">IFERROR((SUMPRODUCT(($D$78:$D$101=AQ$76)*($F$75:$AJ$75="")*$F$78:$AJ$101)+IF(AQ$76="P6",SUMPRODUCT(($F$75:$AJ$75="P6")*$F$78:$AJ$101),0))/(SUMPRODUCT(($D$78:$D$101=AQ$76)*($F$75:$AJ$75=""))+IF(AQ$76="P6",COUNTIF($F$75:$AJ$75,"P6")*ROWS($D$78:$D$101),0)),"")</f>
        <v/>
      </c>
      <c r="AR80" s="6" cm="1">
        <f t="array" ref="AR80">IFERROR((SUMPRODUCT(($D$78:$D$101=AR$76)*($F$75:$AJ$75="")*$F$78:$AJ$101)+IF(AR$76="P6",SUMPRODUCT(($F$75:$AJ$75="P6")*$F$78:$AJ$101),0))/(SUMPRODUCT(($D$78:$D$101=AR$76)*($F$75:$AJ$75=""))+IF(AR$76="P6",COUNTIF($F$75:$AJ$75,"P6")*ROWS($D$78:$D$101),0)),"")</f>
        <v>1.1958078061224495</v>
      </c>
    </row>
    <row r="81" spans="1:44" ht="14.25" customHeight="1" x14ac:dyDescent="0.35">
      <c r="A81" s="1" t="s">
        <v>7</v>
      </c>
      <c r="B81" s="1" t="s">
        <v>7</v>
      </c>
      <c r="C81" s="1" t="s">
        <v>15</v>
      </c>
      <c r="D81" s="1" t="s">
        <v>7</v>
      </c>
      <c r="E81" s="1" t="s">
        <v>11</v>
      </c>
      <c r="F81" s="1">
        <v>1.3673999999999999</v>
      </c>
      <c r="G81" s="1">
        <v>1.34083</v>
      </c>
      <c r="H81" s="1">
        <v>1.2864800000000001</v>
      </c>
      <c r="I81" s="1">
        <v>1.29105</v>
      </c>
      <c r="J81" s="1">
        <v>1.25587</v>
      </c>
      <c r="K81" s="1">
        <v>1.28243</v>
      </c>
      <c r="L81" s="1">
        <v>1.3114600000000001</v>
      </c>
      <c r="M81" s="1">
        <v>1.3673999999999999</v>
      </c>
      <c r="N81" s="1">
        <v>1.34083</v>
      </c>
      <c r="O81" s="1">
        <v>1.2864800000000001</v>
      </c>
      <c r="P81" s="1">
        <v>1.29105</v>
      </c>
      <c r="Q81" s="1">
        <v>1.25587</v>
      </c>
      <c r="R81" s="1">
        <v>1.28243</v>
      </c>
      <c r="S81" s="1">
        <v>1.3114600000000001</v>
      </c>
      <c r="T81" s="1">
        <v>1.3673999999999999</v>
      </c>
      <c r="U81" s="1">
        <v>1.34083</v>
      </c>
      <c r="V81" s="1">
        <v>1.2864800000000001</v>
      </c>
      <c r="W81" s="1">
        <v>1.29105</v>
      </c>
      <c r="X81" s="1">
        <v>1.25587</v>
      </c>
      <c r="Y81" s="1">
        <v>1.28243</v>
      </c>
      <c r="Z81" s="1">
        <v>1.3114600000000001</v>
      </c>
      <c r="AA81" s="1">
        <v>1.3673999999999999</v>
      </c>
      <c r="AB81" s="1">
        <v>1.34083</v>
      </c>
      <c r="AC81" s="1">
        <v>1.2864800000000001</v>
      </c>
      <c r="AD81" s="1">
        <v>1.29105</v>
      </c>
      <c r="AE81" s="1">
        <v>1.25587</v>
      </c>
      <c r="AF81" s="1">
        <v>1.28243</v>
      </c>
      <c r="AG81" s="1">
        <v>1.3114600000000001</v>
      </c>
      <c r="AH81" s="1">
        <v>1.3558699999999999</v>
      </c>
      <c r="AI81" s="1">
        <v>1.34083</v>
      </c>
      <c r="AJ81" s="1">
        <v>1.2864800000000001</v>
      </c>
      <c r="AL81" s="4" t="s">
        <v>27</v>
      </c>
      <c r="AM81" s="6" t="str" cm="1">
        <f t="array" ref="AM81">IFERROR((SUMPRODUCT(($D$78:$D$101=AM$76)*($F$75:$AJ$75="")*$F$78:$AJ$101)+IF(AM$76="P6",SUMPRODUCT(($F$75:$AJ$75="P6")*$F$78:$AJ$101),0))/(SUMPRODUCT(($D$78:$D$101=AM$76)*($F$75:$AJ$75=""))+IF(AM$76="P6",COUNTIF($F$75:$AJ$75,"P6")*ROWS($D$78:$D$101),0)),"")</f>
        <v/>
      </c>
      <c r="AN81" s="6" cm="1">
        <f t="array" ref="AN81">IFERROR((SUMPRODUCT(($D$78:$D$101=AN$76)*($F$75:$AJ$75="")*$F$78:$AJ$101)+IF(AN$76="P6",SUMPRODUCT(($F$75:$AJ$75="P6")*$F$78:$AJ$101),0))/(SUMPRODUCT(($D$78:$D$101=AN$76)*($F$75:$AJ$75=""))+IF(AN$76="P6",COUNTIF($F$75:$AJ$75,"P6")*ROWS($D$78:$D$101),0)),"")</f>
        <v>1.068430606060607</v>
      </c>
      <c r="AO81" s="5" cm="1">
        <f t="array" ref="AO81">IFERROR((SUMPRODUCT(($D$78:$D$101=AO$76)*($F$75:$AJ$75="")*$F$78:$AJ$101)+IF(AO$76="P6",SUMPRODUCT(($F$75:$AJ$75="P6")*$F$78:$AJ$101),0))/(SUMPRODUCT(($D$78:$D$101=AO$76)*($F$75:$AJ$75=""))+IF(AO$76="P6",COUNTIF($F$75:$AJ$75,"P6")*ROWS($D$78:$D$101),0)),"")</f>
        <v>1.1564102597402603</v>
      </c>
      <c r="AP81" s="5" t="str" cm="1">
        <f t="array" ref="AP81">IFERROR((SUMPRODUCT(($D$78:$D$101=AP$76)*($F$75:$AJ$75="")*$F$78:$AJ$101)+IF(AP$76="P6",SUMPRODUCT(($F$75:$AJ$75="P6")*$F$78:$AJ$101),0))/(SUMPRODUCT(($D$78:$D$101=AP$76)*($F$75:$AJ$75=""))+IF(AP$76="P6",COUNTIF($F$75:$AJ$75,"P6")*ROWS($D$78:$D$101),0)),"")</f>
        <v/>
      </c>
      <c r="AQ81" s="5" t="str" cm="1">
        <f t="array" ref="AQ81">IFERROR((SUMPRODUCT(($D$78:$D$101=AQ$76)*($F$75:$AJ$75="")*$F$78:$AJ$101)+IF(AQ$76="P6",SUMPRODUCT(($F$75:$AJ$75="P6")*$F$78:$AJ$101),0))/(SUMPRODUCT(($D$78:$D$101=AQ$76)*($F$75:$AJ$75=""))+IF(AQ$76="P6",COUNTIF($F$75:$AJ$75,"P6")*ROWS($D$78:$D$101),0)),"")</f>
        <v/>
      </c>
      <c r="AR81" s="6" cm="1">
        <f t="array" ref="AR81">IFERROR((SUMPRODUCT(($D$78:$D$101=AR$76)*($F$75:$AJ$75="")*$F$78:$AJ$101)+IF(AR$76="P6",SUMPRODUCT(($F$75:$AJ$75="P6")*$F$78:$AJ$101),0))/(SUMPRODUCT(($D$78:$D$101=AR$76)*($F$75:$AJ$75=""))+IF(AR$76="P6",COUNTIF($F$75:$AJ$75,"P6")*ROWS($D$78:$D$101),0)),"")</f>
        <v>1.1958078061224495</v>
      </c>
    </row>
    <row r="82" spans="1:44" ht="14.25" customHeight="1" x14ac:dyDescent="0.35">
      <c r="A82" s="1" t="s">
        <v>7</v>
      </c>
      <c r="B82" s="1" t="s">
        <v>7</v>
      </c>
      <c r="C82" s="1" t="s">
        <v>15</v>
      </c>
      <c r="D82" s="1" t="s">
        <v>7</v>
      </c>
      <c r="E82" s="1" t="s">
        <v>12</v>
      </c>
      <c r="F82" s="1">
        <v>1.3795999999999999</v>
      </c>
      <c r="G82" s="1">
        <v>1.3376999999999999</v>
      </c>
      <c r="H82" s="1">
        <v>1.2844100000000001</v>
      </c>
      <c r="I82" s="1">
        <v>1.29362</v>
      </c>
      <c r="J82" s="1">
        <v>1.2607699999999999</v>
      </c>
      <c r="K82" s="1">
        <v>1.2867299999999999</v>
      </c>
      <c r="L82" s="1">
        <v>1.31264</v>
      </c>
      <c r="M82" s="1">
        <v>1.3795999999999999</v>
      </c>
      <c r="N82" s="1">
        <v>1.3376999999999999</v>
      </c>
      <c r="O82" s="1">
        <v>1.2844100000000001</v>
      </c>
      <c r="P82" s="1">
        <v>1.29362</v>
      </c>
      <c r="Q82" s="1">
        <v>1.2607699999999999</v>
      </c>
      <c r="R82" s="1">
        <v>1.2867299999999999</v>
      </c>
      <c r="S82" s="1">
        <v>1.31264</v>
      </c>
      <c r="T82" s="1">
        <v>1.3795999999999999</v>
      </c>
      <c r="U82" s="1">
        <v>1.3376999999999999</v>
      </c>
      <c r="V82" s="1">
        <v>1.2844100000000001</v>
      </c>
      <c r="W82" s="1">
        <v>1.29362</v>
      </c>
      <c r="X82" s="1">
        <v>1.2607699999999999</v>
      </c>
      <c r="Y82" s="1">
        <v>1.2867299999999999</v>
      </c>
      <c r="Z82" s="1">
        <v>1.31264</v>
      </c>
      <c r="AA82" s="1">
        <v>1.3795999999999999</v>
      </c>
      <c r="AB82" s="1">
        <v>1.3376999999999999</v>
      </c>
      <c r="AC82" s="1">
        <v>1.2844100000000001</v>
      </c>
      <c r="AD82" s="1">
        <v>1.29362</v>
      </c>
      <c r="AE82" s="1">
        <v>1.2607699999999999</v>
      </c>
      <c r="AF82" s="1">
        <v>1.2867299999999999</v>
      </c>
      <c r="AG82" s="1">
        <v>1.31264</v>
      </c>
      <c r="AH82" s="1">
        <v>1.3673999999999999</v>
      </c>
      <c r="AI82" s="1">
        <v>1.3376999999999999</v>
      </c>
      <c r="AJ82" s="1">
        <v>1.2844100000000001</v>
      </c>
      <c r="AL82" s="4" t="s">
        <v>29</v>
      </c>
      <c r="AM82" s="6" t="str" cm="1">
        <f t="array" ref="AM82">IFERROR((SUMPRODUCT(($D$78:$D$101=AM$76)*($F$75:$AJ$75="")*$F$78:$AJ$101)+IF(AM$76="P6",SUMPRODUCT(($F$75:$AJ$75="P6")*$F$78:$AJ$101),0))/(SUMPRODUCT(($D$78:$D$101=AM$76)*($F$75:$AJ$75=""))+IF(AM$76="P6",COUNTIF($F$75:$AJ$75,"P6")*ROWS($D$78:$D$101),0)),"")</f>
        <v/>
      </c>
      <c r="AN82" s="6" cm="1">
        <f t="array" ref="AN82">IFERROR((SUMPRODUCT(($D$78:$D$101=AN$76)*($F$75:$AJ$75="")*$F$78:$AJ$101)+IF(AN$76="P6",SUMPRODUCT(($F$75:$AJ$75="P6")*$F$78:$AJ$101),0))/(SUMPRODUCT(($D$78:$D$101=AN$76)*($F$75:$AJ$75=""))+IF(AN$76="P6",COUNTIF($F$75:$AJ$75,"P6")*ROWS($D$78:$D$101),0)),"")</f>
        <v>1.068430606060607</v>
      </c>
      <c r="AO82" s="5" cm="1">
        <f t="array" ref="AO82">IFERROR((SUMPRODUCT(($D$78:$D$101=AO$76)*($F$75:$AJ$75="")*$F$78:$AJ$101)+IF(AO$76="P6",SUMPRODUCT(($F$75:$AJ$75="P6")*$F$78:$AJ$101),0))/(SUMPRODUCT(($D$78:$D$101=AO$76)*($F$75:$AJ$75=""))+IF(AO$76="P6",COUNTIF($F$75:$AJ$75,"P6")*ROWS($D$78:$D$101),0)),"")</f>
        <v>1.1564102597402603</v>
      </c>
      <c r="AP82" s="5" t="str" cm="1">
        <f t="array" ref="AP82">IFERROR((SUMPRODUCT(($D$78:$D$101=AP$76)*($F$75:$AJ$75="")*$F$78:$AJ$101)+IF(AP$76="P6",SUMPRODUCT(($F$75:$AJ$75="P6")*$F$78:$AJ$101),0))/(SUMPRODUCT(($D$78:$D$101=AP$76)*($F$75:$AJ$75=""))+IF(AP$76="P6",COUNTIF($F$75:$AJ$75,"P6")*ROWS($D$78:$D$101),0)),"")</f>
        <v/>
      </c>
      <c r="AQ82" s="5" t="str" cm="1">
        <f t="array" ref="AQ82">IFERROR((SUMPRODUCT(($D$78:$D$101=AQ$76)*($F$75:$AJ$75="")*$F$78:$AJ$101)+IF(AQ$76="P6",SUMPRODUCT(($F$75:$AJ$75="P6")*$F$78:$AJ$101),0))/(SUMPRODUCT(($D$78:$D$101=AQ$76)*($F$75:$AJ$75=""))+IF(AQ$76="P6",COUNTIF($F$75:$AJ$75,"P6")*ROWS($D$78:$D$101),0)),"")</f>
        <v/>
      </c>
      <c r="AR82" s="6" cm="1">
        <f t="array" ref="AR82">IFERROR((SUMPRODUCT(($D$78:$D$101=AR$76)*($F$75:$AJ$75="")*$F$78:$AJ$101)+IF(AR$76="P6",SUMPRODUCT(($F$75:$AJ$75="P6")*$F$78:$AJ$101),0))/(SUMPRODUCT(($D$78:$D$101=AR$76)*($F$75:$AJ$75=""))+IF(AR$76="P6",COUNTIF($F$75:$AJ$75,"P6")*ROWS($D$78:$D$101),0)),"")</f>
        <v>1.1958078061224495</v>
      </c>
    </row>
    <row r="83" spans="1:44" ht="14.25" customHeight="1" x14ac:dyDescent="0.35">
      <c r="A83" s="1" t="s">
        <v>7</v>
      </c>
      <c r="B83" s="1" t="s">
        <v>7</v>
      </c>
      <c r="C83" s="1" t="s">
        <v>15</v>
      </c>
      <c r="D83" s="1" t="s">
        <v>7</v>
      </c>
      <c r="E83" s="1" t="s">
        <v>18</v>
      </c>
      <c r="F83" s="1">
        <v>1.3674900000000001</v>
      </c>
      <c r="G83" s="1">
        <v>1.31908</v>
      </c>
      <c r="H83" s="1">
        <v>1.2561199999999999</v>
      </c>
      <c r="I83" s="1">
        <v>1.26339</v>
      </c>
      <c r="J83" s="1">
        <v>1.2369699999999999</v>
      </c>
      <c r="K83" s="1">
        <v>1.26813</v>
      </c>
      <c r="L83" s="1">
        <v>1.30809</v>
      </c>
      <c r="M83" s="1">
        <v>1.3674900000000001</v>
      </c>
      <c r="N83" s="1">
        <v>1.31908</v>
      </c>
      <c r="O83" s="1">
        <v>1.2561199999999999</v>
      </c>
      <c r="P83" s="1">
        <v>1.26339</v>
      </c>
      <c r="Q83" s="1">
        <v>1.2369699999999999</v>
      </c>
      <c r="R83" s="1">
        <v>1.26813</v>
      </c>
      <c r="S83" s="1">
        <v>1.30809</v>
      </c>
      <c r="T83" s="1">
        <v>1.3674900000000001</v>
      </c>
      <c r="U83" s="1">
        <v>1.31908</v>
      </c>
      <c r="V83" s="1">
        <v>1.2561199999999999</v>
      </c>
      <c r="W83" s="1">
        <v>1.26339</v>
      </c>
      <c r="X83" s="1">
        <v>1.2369699999999999</v>
      </c>
      <c r="Y83" s="1">
        <v>1.26813</v>
      </c>
      <c r="Z83" s="1">
        <v>1.30809</v>
      </c>
      <c r="AA83" s="1">
        <v>1.3674900000000001</v>
      </c>
      <c r="AB83" s="1">
        <v>1.31908</v>
      </c>
      <c r="AC83" s="1">
        <v>1.2561199999999999</v>
      </c>
      <c r="AD83" s="1">
        <v>1.26339</v>
      </c>
      <c r="AE83" s="1">
        <v>1.2369699999999999</v>
      </c>
      <c r="AF83" s="1">
        <v>1.26813</v>
      </c>
      <c r="AG83" s="1">
        <v>1.30809</v>
      </c>
      <c r="AH83" s="1">
        <v>1.3795999999999999</v>
      </c>
      <c r="AI83" s="1">
        <v>1.31908</v>
      </c>
      <c r="AJ83" s="1">
        <v>1.2561199999999999</v>
      </c>
      <c r="AL83" s="10"/>
      <c r="AM83" s="10"/>
      <c r="AN83" s="10"/>
      <c r="AO83" s="10"/>
      <c r="AP83" s="10"/>
      <c r="AQ83" s="10"/>
      <c r="AR83" s="10"/>
    </row>
    <row r="84" spans="1:44" ht="14.25" customHeight="1" x14ac:dyDescent="0.35">
      <c r="A84" s="1" t="s">
        <v>7</v>
      </c>
      <c r="B84" s="1" t="s">
        <v>7</v>
      </c>
      <c r="C84" s="1" t="s">
        <v>15</v>
      </c>
      <c r="D84" s="1" t="s">
        <v>7</v>
      </c>
      <c r="E84" s="1" t="s">
        <v>20</v>
      </c>
      <c r="F84" s="1">
        <v>1.33602</v>
      </c>
      <c r="G84" s="1">
        <v>1.20007</v>
      </c>
      <c r="H84" s="1">
        <v>1.1581600000000001</v>
      </c>
      <c r="I84" s="1">
        <v>1.1391899999999999</v>
      </c>
      <c r="J84" s="1">
        <v>1.1302399999999999</v>
      </c>
      <c r="K84" s="1">
        <v>1.17292</v>
      </c>
      <c r="L84" s="1">
        <v>1.2628999999999999</v>
      </c>
      <c r="M84" s="1">
        <v>1.33602</v>
      </c>
      <c r="N84" s="1">
        <v>1.20007</v>
      </c>
      <c r="O84" s="1">
        <v>1.1581600000000001</v>
      </c>
      <c r="P84" s="1">
        <v>1.1391899999999999</v>
      </c>
      <c r="Q84" s="1">
        <v>1.1302399999999999</v>
      </c>
      <c r="R84" s="1">
        <v>1.17292</v>
      </c>
      <c r="S84" s="1">
        <v>1.2628999999999999</v>
      </c>
      <c r="T84" s="1">
        <v>1.33602</v>
      </c>
      <c r="U84" s="1">
        <v>1.20007</v>
      </c>
      <c r="V84" s="1">
        <v>1.1581600000000001</v>
      </c>
      <c r="W84" s="1">
        <v>1.1391899999999999</v>
      </c>
      <c r="X84" s="1">
        <v>1.1302399999999999</v>
      </c>
      <c r="Y84" s="1">
        <v>1.17292</v>
      </c>
      <c r="Z84" s="1">
        <v>1.2628999999999999</v>
      </c>
      <c r="AA84" s="1">
        <v>1.33602</v>
      </c>
      <c r="AB84" s="1">
        <v>1.20007</v>
      </c>
      <c r="AC84" s="1">
        <v>1.1581600000000001</v>
      </c>
      <c r="AD84" s="1">
        <v>1.1391899999999999</v>
      </c>
      <c r="AE84" s="1">
        <v>1.1302399999999999</v>
      </c>
      <c r="AF84" s="1">
        <v>1.17292</v>
      </c>
      <c r="AG84" s="1">
        <v>1.2628999999999999</v>
      </c>
      <c r="AH84" s="1">
        <v>1.3674900000000001</v>
      </c>
      <c r="AI84" s="1">
        <v>1.20007</v>
      </c>
      <c r="AJ84" s="1">
        <v>1.1581600000000001</v>
      </c>
      <c r="AL84" s="10"/>
      <c r="AM84" s="10"/>
      <c r="AN84" s="10"/>
      <c r="AO84" s="10"/>
      <c r="AP84" s="10"/>
      <c r="AQ84" s="10"/>
      <c r="AR84" s="10"/>
    </row>
    <row r="85" spans="1:44" ht="14.25" customHeight="1" x14ac:dyDescent="0.35">
      <c r="A85" s="1" t="s">
        <v>7</v>
      </c>
      <c r="B85" s="1" t="s">
        <v>7</v>
      </c>
      <c r="C85" s="1" t="s">
        <v>15</v>
      </c>
      <c r="D85" s="1" t="s">
        <v>7</v>
      </c>
      <c r="E85" s="1" t="s">
        <v>22</v>
      </c>
      <c r="F85" s="1">
        <v>1.29321</v>
      </c>
      <c r="G85" s="1">
        <v>1.0612699999999999</v>
      </c>
      <c r="H85" s="1">
        <v>1.0572299999999999</v>
      </c>
      <c r="I85" s="1">
        <v>1.0461100000000001</v>
      </c>
      <c r="J85" s="1">
        <v>1.04433</v>
      </c>
      <c r="K85" s="1">
        <v>1.08968</v>
      </c>
      <c r="L85" s="1">
        <v>1.2216100000000001</v>
      </c>
      <c r="M85" s="1">
        <v>1.29321</v>
      </c>
      <c r="N85" s="1">
        <v>1.0612699999999999</v>
      </c>
      <c r="O85" s="1">
        <v>1.0572299999999999</v>
      </c>
      <c r="P85" s="1">
        <v>1.0461100000000001</v>
      </c>
      <c r="Q85" s="1">
        <v>1.04433</v>
      </c>
      <c r="R85" s="1">
        <v>1.08968</v>
      </c>
      <c r="S85" s="1">
        <v>1.2216100000000001</v>
      </c>
      <c r="T85" s="1">
        <v>1.29321</v>
      </c>
      <c r="U85" s="1">
        <v>1.0612699999999999</v>
      </c>
      <c r="V85" s="1">
        <v>1.0572299999999999</v>
      </c>
      <c r="W85" s="1">
        <v>1.0461100000000001</v>
      </c>
      <c r="X85" s="1">
        <v>1.04433</v>
      </c>
      <c r="Y85" s="1">
        <v>1.08968</v>
      </c>
      <c r="Z85" s="1">
        <v>1.2216100000000001</v>
      </c>
      <c r="AA85" s="1">
        <v>1.29321</v>
      </c>
      <c r="AB85" s="1">
        <v>1.0612699999999999</v>
      </c>
      <c r="AC85" s="1">
        <v>1.0572299999999999</v>
      </c>
      <c r="AD85" s="1">
        <v>1.0461100000000001</v>
      </c>
      <c r="AE85" s="1">
        <v>1.04433</v>
      </c>
      <c r="AF85" s="1">
        <v>1.08968</v>
      </c>
      <c r="AG85" s="1">
        <v>1.2216100000000001</v>
      </c>
      <c r="AH85" s="1">
        <v>1.33602</v>
      </c>
      <c r="AI85" s="1">
        <v>1.0612699999999999</v>
      </c>
      <c r="AJ85" s="1">
        <v>1.0572299999999999</v>
      </c>
      <c r="AL85" s="14" t="s">
        <v>123</v>
      </c>
      <c r="AM85" s="14"/>
      <c r="AN85" s="14"/>
      <c r="AO85" s="14"/>
      <c r="AP85" s="14"/>
      <c r="AQ85" s="14"/>
      <c r="AR85" s="14"/>
    </row>
    <row r="86" spans="1:44" ht="14.25" customHeight="1" x14ac:dyDescent="0.35">
      <c r="A86" s="1" t="s">
        <v>16</v>
      </c>
      <c r="B86" s="1" t="s">
        <v>17</v>
      </c>
      <c r="C86" s="1" t="s">
        <v>14</v>
      </c>
      <c r="D86" s="1" t="s">
        <v>15</v>
      </c>
      <c r="E86" s="1" t="s">
        <v>24</v>
      </c>
      <c r="F86" s="1">
        <v>1.19974</v>
      </c>
      <c r="G86" s="1">
        <v>1.1039300000000001</v>
      </c>
      <c r="H86" s="1">
        <v>1.10476</v>
      </c>
      <c r="I86" s="1">
        <v>1.09331</v>
      </c>
      <c r="J86" s="1">
        <v>1.09826</v>
      </c>
      <c r="K86" s="1">
        <v>1.1485700000000001</v>
      </c>
      <c r="L86" s="1">
        <v>1.12791</v>
      </c>
      <c r="M86" s="1">
        <v>1.19974</v>
      </c>
      <c r="N86" s="1">
        <v>1.1039300000000001</v>
      </c>
      <c r="O86" s="1">
        <v>1.10476</v>
      </c>
      <c r="P86" s="1">
        <v>1.09331</v>
      </c>
      <c r="Q86" s="1">
        <v>1.09826</v>
      </c>
      <c r="R86" s="1">
        <v>1.1485700000000001</v>
      </c>
      <c r="S86" s="1">
        <v>1.12791</v>
      </c>
      <c r="T86" s="1">
        <v>1.19974</v>
      </c>
      <c r="U86" s="1">
        <v>1.1039300000000001</v>
      </c>
      <c r="V86" s="1">
        <v>1.10476</v>
      </c>
      <c r="W86" s="1">
        <v>1.09331</v>
      </c>
      <c r="X86" s="1">
        <v>1.09826</v>
      </c>
      <c r="Y86" s="1">
        <v>1.1485700000000001</v>
      </c>
      <c r="Z86" s="1">
        <v>1.12791</v>
      </c>
      <c r="AA86" s="1">
        <v>1.19974</v>
      </c>
      <c r="AB86" s="1">
        <v>1.1039300000000001</v>
      </c>
      <c r="AC86" s="1">
        <v>1.10476</v>
      </c>
      <c r="AD86" s="1">
        <v>1.09331</v>
      </c>
      <c r="AE86" s="1">
        <v>1.09826</v>
      </c>
      <c r="AF86" s="1">
        <v>1.1485700000000001</v>
      </c>
      <c r="AG86" s="1">
        <v>1.12791</v>
      </c>
      <c r="AH86" s="1">
        <v>1.29321</v>
      </c>
      <c r="AI86" s="1">
        <v>1.1039300000000001</v>
      </c>
      <c r="AJ86" s="1">
        <v>1.10476</v>
      </c>
      <c r="AL86" s="4"/>
      <c r="AM86" s="4" t="s">
        <v>13</v>
      </c>
      <c r="AN86" s="4" t="s">
        <v>14</v>
      </c>
      <c r="AO86" s="4" t="s">
        <v>15</v>
      </c>
      <c r="AP86" s="4" t="s">
        <v>16</v>
      </c>
      <c r="AQ86" s="4" t="s">
        <v>17</v>
      </c>
      <c r="AR86" s="4" t="s">
        <v>7</v>
      </c>
    </row>
    <row r="87" spans="1:44" ht="14.25" customHeight="1" x14ac:dyDescent="0.35">
      <c r="A87" s="1" t="s">
        <v>16</v>
      </c>
      <c r="B87" s="1" t="s">
        <v>17</v>
      </c>
      <c r="C87" s="1" t="s">
        <v>14</v>
      </c>
      <c r="D87" s="1" t="s">
        <v>14</v>
      </c>
      <c r="E87" s="1" t="s">
        <v>26</v>
      </c>
      <c r="F87" s="1">
        <v>1.10548</v>
      </c>
      <c r="G87" s="1">
        <v>1.03346</v>
      </c>
      <c r="H87" s="1">
        <v>1.01271</v>
      </c>
      <c r="I87" s="1">
        <v>1.04034</v>
      </c>
      <c r="J87" s="1">
        <v>1.02681</v>
      </c>
      <c r="K87" s="1">
        <v>1.0457700000000001</v>
      </c>
      <c r="L87" s="1">
        <v>1.0474399999999999</v>
      </c>
      <c r="M87" s="1">
        <v>1.10548</v>
      </c>
      <c r="N87" s="1">
        <v>1.03346</v>
      </c>
      <c r="O87" s="1">
        <v>1.01271</v>
      </c>
      <c r="P87" s="1">
        <v>1.04034</v>
      </c>
      <c r="Q87" s="1">
        <v>1.02681</v>
      </c>
      <c r="R87" s="1">
        <v>1.0457700000000001</v>
      </c>
      <c r="S87" s="1">
        <v>1.0474399999999999</v>
      </c>
      <c r="T87" s="1">
        <v>1.10548</v>
      </c>
      <c r="U87" s="1">
        <v>1.03346</v>
      </c>
      <c r="V87" s="1">
        <v>1.01271</v>
      </c>
      <c r="W87" s="1">
        <v>1.04034</v>
      </c>
      <c r="X87" s="1">
        <v>1.02681</v>
      </c>
      <c r="Y87" s="1">
        <v>1.0457700000000001</v>
      </c>
      <c r="Z87" s="1">
        <v>1.0474399999999999</v>
      </c>
      <c r="AA87" s="1">
        <v>1.10548</v>
      </c>
      <c r="AB87" s="1">
        <v>1.03346</v>
      </c>
      <c r="AC87" s="1">
        <v>1.01271</v>
      </c>
      <c r="AD87" s="1">
        <v>1.04034</v>
      </c>
      <c r="AE87" s="1">
        <v>1.02681</v>
      </c>
      <c r="AF87" s="1">
        <v>1.0457700000000001</v>
      </c>
      <c r="AG87" s="1">
        <v>1.0474399999999999</v>
      </c>
      <c r="AH87" s="1">
        <v>1.19974</v>
      </c>
      <c r="AI87" s="1">
        <v>1.03346</v>
      </c>
      <c r="AJ87" s="1">
        <v>1.01271</v>
      </c>
      <c r="AL87" s="4" t="s">
        <v>19</v>
      </c>
      <c r="AM87" s="6" cm="1">
        <f t="array" ref="AM87">IFERROR((SUMPRODUCT(($C$78:$C$101=AM$76)*($F$74:$AJ$74="")*$F$78:$AJ$101)+IF(AM$76="P3",SUMPRODUCT(($F$74:$AJ$74="P3")*$F$78:$AJ$101),0))/(SUMPRODUCT(($C$78:$C$101=AM$76)*($F$74:$AJ$74=""))+IF(AM$76="P3",COUNTIF($F$74:$AJ$74,"P3")*ROWS($C$78:$C$101),0)),"")</f>
        <v>1.0731064204545455</v>
      </c>
      <c r="AN87" s="6" cm="1">
        <f t="array" ref="AN87">IFERROR((SUMPRODUCT(($C$78:$C$101=AN$41)*($F$74:$AJ$74="")*$F$78:$AJ$101)+IF(AN$41="P3",SUMPRODUCT(($F$74:$AJ$74="P3")*$F$78:$AJ$101),0))/(SUMPRODUCT(($C$78:$C$101=AN$41)*($F$74:$AJ$74=""))+IF(AN$41="P3",COUNTIF($F$74:$AJ$74,"P3")*ROWS($C$78:$C$101),0)),"")</f>
        <v>1.1407369886363641</v>
      </c>
      <c r="AO87" s="6" cm="1">
        <f t="array" ref="AO87">IFERROR((SUMPRODUCT(($C$78:$C$101=AO$41)*($F$74:$AJ$74="")*$F$78:$AJ$101)+IF(AO$41="P3",SUMPRODUCT(($F$74:$AJ$74="P3")*$F$78:$AJ$101),0))/(SUMPRODUCT(($C$78:$C$101=AO$41)*($F$74:$AJ$74=""))+IF(AO$41="P3",COUNTIF($F$74:$AJ$74,"P3")*ROWS($C$78:$C$101),0)),"")</f>
        <v>1.1958078061224495</v>
      </c>
      <c r="AP87" s="6" t="str" cm="1">
        <f t="array" ref="AP87">IFERROR((SUMPRODUCT(($C$78:$C$101=AP$41)*($F$74:$AJ$74="")*$F$78:$AJ$101)+IF(AP$41="P3",SUMPRODUCT(($F$74:$AJ$74="P3")*$F$78:$AJ$101),0))/(SUMPRODUCT(($C$78:$C$101=AP$41)*($F$74:$AJ$74=""))+IF(AP$41="P3",COUNTIF($F$74:$AJ$74,"P3")*ROWS($C$78:$C$101),0)),"")</f>
        <v/>
      </c>
      <c r="AQ87" s="6" t="str" cm="1">
        <f t="array" ref="AQ87">IFERROR((SUMPRODUCT(($C$78:$C$101=AQ$41)*($F$74:$AJ$74="")*$F$78:$AJ$101)+IF(AQ$41="P3",SUMPRODUCT(($F$74:$AJ$74="P3")*$F$78:$AJ$101),0))/(SUMPRODUCT(($C$78:$C$101=AQ$41)*($F$74:$AJ$74=""))+IF(AQ$41="P3",COUNTIF($F$74:$AJ$74,"P3")*ROWS($C$78:$C$101),0)),"")</f>
        <v/>
      </c>
      <c r="AR87" s="6" t="str" cm="1">
        <f t="array" ref="AR87">IFERROR((SUMPRODUCT(($C$78:$C$101=AR$41)*($F$74:$AJ$74="")*$F$78:$AJ$101)+IF(AR$41="P3",SUMPRODUCT(($F$74:$AJ$74="P3")*$F$78:$AJ$101),0))/(SUMPRODUCT(($C$78:$C$101=AR$41)*($F$74:$AJ$74=""))+IF(AR$41="P3",COUNTIF($F$74:$AJ$74,"P3")*ROWS($C$78:$C$101),0)),"")</f>
        <v/>
      </c>
    </row>
    <row r="88" spans="1:44" ht="14.25" customHeight="1" x14ac:dyDescent="0.35">
      <c r="A88" s="1" t="s">
        <v>14</v>
      </c>
      <c r="B88" s="1" t="s">
        <v>16</v>
      </c>
      <c r="C88" s="1" t="s">
        <v>13</v>
      </c>
      <c r="D88" s="1" t="s">
        <v>14</v>
      </c>
      <c r="E88" s="1" t="s">
        <v>28</v>
      </c>
      <c r="F88" s="1">
        <v>1.0157099999999999</v>
      </c>
      <c r="G88" s="1">
        <v>1.0270900000000001</v>
      </c>
      <c r="H88" s="1">
        <v>1.00085</v>
      </c>
      <c r="I88" s="1">
        <v>1.0188299999999999</v>
      </c>
      <c r="J88" s="1">
        <v>1.00048</v>
      </c>
      <c r="K88" s="1">
        <v>1.0126500000000001</v>
      </c>
      <c r="L88" s="1">
        <v>1.01223</v>
      </c>
      <c r="M88" s="1">
        <v>1.0157099999999999</v>
      </c>
      <c r="N88" s="1">
        <v>1.0270900000000001</v>
      </c>
      <c r="O88" s="1">
        <v>1.00085</v>
      </c>
      <c r="P88" s="1">
        <v>1.0188299999999999</v>
      </c>
      <c r="Q88" s="1">
        <v>1.00048</v>
      </c>
      <c r="R88" s="1">
        <v>1.0126500000000001</v>
      </c>
      <c r="S88" s="1">
        <v>1.01223</v>
      </c>
      <c r="T88" s="1">
        <v>1.0157099999999999</v>
      </c>
      <c r="U88" s="1">
        <v>1.0270900000000001</v>
      </c>
      <c r="V88" s="1">
        <v>1.00085</v>
      </c>
      <c r="W88" s="1">
        <v>1.0188299999999999</v>
      </c>
      <c r="X88" s="1">
        <v>1.00048</v>
      </c>
      <c r="Y88" s="1">
        <v>1.0126500000000001</v>
      </c>
      <c r="Z88" s="1">
        <v>1.01223</v>
      </c>
      <c r="AA88" s="1">
        <v>1.0157099999999999</v>
      </c>
      <c r="AB88" s="1">
        <v>1.0270900000000001</v>
      </c>
      <c r="AC88" s="1">
        <v>1.00085</v>
      </c>
      <c r="AD88" s="1">
        <v>1.0188299999999999</v>
      </c>
      <c r="AE88" s="1">
        <v>1.00048</v>
      </c>
      <c r="AF88" s="1">
        <v>1.0126500000000001</v>
      </c>
      <c r="AG88" s="1">
        <v>1.01223</v>
      </c>
      <c r="AH88" s="1">
        <v>1.10548</v>
      </c>
      <c r="AI88" s="1">
        <v>1.0270900000000001</v>
      </c>
      <c r="AJ88" s="1">
        <v>1.00085</v>
      </c>
      <c r="AL88" s="4" t="s">
        <v>21</v>
      </c>
      <c r="AM88" s="6" t="str" cm="1">
        <f t="array" ref="AM88">IFERROR((SUMPRODUCT(($A$78:$A$101=AM$76)*($F$75:$AJ$75="")*$F$78:$AJ$101)+IF(AM$76="P6",SUMPRODUCT(($F$75:$AJ$75="P6")*$F$78:$AJ$101),0))/(SUMPRODUCT(($A$78:$A$101=AM$76)*($F$75:$AJ$75=""))+IF(AM$76="P6",COUNTIF($F$75:$AJ$75,"P6")*ROWS($A$78:$A$101),0)),"")</f>
        <v/>
      </c>
      <c r="AN88" s="6" cm="1">
        <f t="array" ref="AN88">IFERROR((SUMPRODUCT(($A$78:$A$101=AN$76)*($F$75:$AJ$75="")*$F$78:$AJ$101)+IF(AN$76="P6",SUMPRODUCT(($F$75:$AJ$75="P6")*$F$78:$AJ$101),0))/(SUMPRODUCT(($A$78:$A$101=AN$76)*($F$75:$AJ$75=""))+IF(AN$76="P6",COUNTIF($F$75:$AJ$75,"P6")*ROWS($A$78:$A$101),0)),"")</f>
        <v>1.070482727272728</v>
      </c>
      <c r="AO88" s="6" t="str" cm="1">
        <f t="array" ref="AO88">IFERROR((SUMPRODUCT(($A$78:$A$101=AO$76)*($F$75:$AJ$75="")*$F$78:$AJ$101)+IF(AO$76="P6",SUMPRODUCT(($F$75:$AJ$75="P6")*$F$78:$AJ$101),0))/(SUMPRODUCT(($A$78:$A$101=AO$76)*($F$75:$AJ$75=""))+IF(AO$76="P6",COUNTIF($F$75:$AJ$75,"P6")*ROWS($A$78:$A$101),0)),"")</f>
        <v/>
      </c>
      <c r="AP88" s="6" cm="1">
        <f t="array" ref="AP88">IFERROR((SUMPRODUCT(($A$78:$A$101=AP$76)*($F$75:$AJ$75="")*$F$78:$AJ$101)+IF(AP$76="P6",SUMPRODUCT(($F$75:$AJ$75="P6")*$F$78:$AJ$101),0))/(SUMPRODUCT(($A$78:$A$101=AP$76)*($F$75:$AJ$75=""))+IF(AP$76="P6",COUNTIF($F$75:$AJ$75,"P6")*ROWS($A$78:$A$101),0)),"")</f>
        <v>1.1537718181818186</v>
      </c>
      <c r="AQ88" s="6" t="str" cm="1">
        <f t="array" ref="AQ88">IFERROR((SUMPRODUCT(($A$78:$A$101=AQ$76)*($F$75:$AJ$75="")*$F$78:$AJ$101)+IF(AQ$76="P6",SUMPRODUCT(($F$75:$AJ$75="P6")*$F$78:$AJ$101),0))/(SUMPRODUCT(($A$78:$A$101=AQ$76)*($F$75:$AJ$75=""))+IF(AQ$76="P6",COUNTIF($F$75:$AJ$75,"P6")*ROWS($A$78:$A$101),0)),"")</f>
        <v/>
      </c>
      <c r="AR88" s="6" cm="1">
        <f t="array" ref="AR88">IFERROR((SUMPRODUCT(($A$78:$A$101=AR$76)*($F$75:$AJ$75="")*$F$78:$AJ$101)+IF(AR$76="P6",SUMPRODUCT(($F$75:$AJ$75="P6")*$F$78:$AJ$101),0))/(SUMPRODUCT(($A$78:$A$101=AR$76)*($F$75:$AJ$75=""))+IF(AR$76="P6",COUNTIF($F$75:$AJ$75,"P6")*ROWS($A$78:$A$101),0)),"")</f>
        <v>1.1958078061224495</v>
      </c>
    </row>
    <row r="89" spans="1:44" ht="14.25" customHeight="1" x14ac:dyDescent="0.35">
      <c r="A89" s="1" t="s">
        <v>14</v>
      </c>
      <c r="B89" s="1" t="s">
        <v>16</v>
      </c>
      <c r="C89" s="1" t="s">
        <v>13</v>
      </c>
      <c r="D89" s="1" t="s">
        <v>14</v>
      </c>
      <c r="E89" s="1" t="s">
        <v>30</v>
      </c>
      <c r="F89" s="1">
        <v>0.99692999999999998</v>
      </c>
      <c r="G89" s="1">
        <v>0.99480000000000002</v>
      </c>
      <c r="H89" s="1">
        <v>1.00603</v>
      </c>
      <c r="I89" s="1">
        <v>0.99390999999999996</v>
      </c>
      <c r="J89" s="1">
        <v>0.99619000000000002</v>
      </c>
      <c r="K89" s="1">
        <v>0.99558999999999997</v>
      </c>
      <c r="L89" s="1">
        <v>0.99411000000000005</v>
      </c>
      <c r="M89" s="1">
        <v>0.99692999999999998</v>
      </c>
      <c r="N89" s="1">
        <v>0.99480000000000002</v>
      </c>
      <c r="O89" s="1">
        <v>1.00603</v>
      </c>
      <c r="P89" s="1">
        <v>0.99390999999999996</v>
      </c>
      <c r="Q89" s="1">
        <v>0.99619000000000002</v>
      </c>
      <c r="R89" s="1">
        <v>0.99558999999999997</v>
      </c>
      <c r="S89" s="1">
        <v>0.99411000000000005</v>
      </c>
      <c r="T89" s="1">
        <v>0.99692999999999998</v>
      </c>
      <c r="U89" s="1">
        <v>0.99480000000000002</v>
      </c>
      <c r="V89" s="1">
        <v>1.00603</v>
      </c>
      <c r="W89" s="1">
        <v>0.99390999999999996</v>
      </c>
      <c r="X89" s="1">
        <v>0.99619000000000002</v>
      </c>
      <c r="Y89" s="1">
        <v>0.99558999999999997</v>
      </c>
      <c r="Z89" s="1">
        <v>0.99411000000000005</v>
      </c>
      <c r="AA89" s="1">
        <v>0.99692999999999998</v>
      </c>
      <c r="AB89" s="1">
        <v>0.99480000000000002</v>
      </c>
      <c r="AC89" s="1">
        <v>1.00603</v>
      </c>
      <c r="AD89" s="1">
        <v>0.99390999999999996</v>
      </c>
      <c r="AE89" s="1">
        <v>0.99619000000000002</v>
      </c>
      <c r="AF89" s="1">
        <v>0.99558999999999997</v>
      </c>
      <c r="AG89" s="1">
        <v>0.99411000000000005</v>
      </c>
      <c r="AH89" s="1">
        <v>1.0157099999999999</v>
      </c>
      <c r="AI89" s="1">
        <v>0.99480000000000002</v>
      </c>
      <c r="AJ89" s="1">
        <v>1.00603</v>
      </c>
      <c r="AL89" s="4" t="s">
        <v>23</v>
      </c>
      <c r="AM89" s="6" t="str" cm="1">
        <f t="array" ref="AM89">IFERROR((SUMPRODUCT(($A$78:$A$101=AM$76)*($F$75:$AJ$75="")*$F$78:$AJ$101)+IF(AM$76="P6",SUMPRODUCT(($F$75:$AJ$75="P6")*$F$78:$AJ$101),0))/(SUMPRODUCT(($A$78:$A$101=AM$76)*($F$75:$AJ$75=""))+IF(AM$76="P6",COUNTIF($F$75:$AJ$75,"P6")*ROWS($A$78:$A$101),0)),"")</f>
        <v/>
      </c>
      <c r="AN89" s="6" cm="1">
        <f t="array" ref="AN89">IFERROR((SUMPRODUCT(($A$78:$A$101=AN$76)*($F$75:$AJ$75="")*$F$78:$AJ$101)+IF(AN$76="P6",SUMPRODUCT(($F$75:$AJ$75="P6")*$F$78:$AJ$101),0))/(SUMPRODUCT(($A$78:$A$101=AN$76)*($F$75:$AJ$75=""))+IF(AN$76="P6",COUNTIF($F$75:$AJ$75,"P6")*ROWS($A$78:$A$101),0)),"")</f>
        <v>1.070482727272728</v>
      </c>
      <c r="AO89" s="6" t="str" cm="1">
        <f t="array" ref="AO89">IFERROR((SUMPRODUCT(($A$78:$A$101=AO$76)*($F$75:$AJ$75="")*$F$78:$AJ$101)+IF(AO$76="P6",SUMPRODUCT(($F$75:$AJ$75="P6")*$F$78:$AJ$101),0))/(SUMPRODUCT(($A$78:$A$101=AO$76)*($F$75:$AJ$75=""))+IF(AO$76="P6",COUNTIF($F$75:$AJ$75,"P6")*ROWS($A$78:$A$101),0)),"")</f>
        <v/>
      </c>
      <c r="AP89" s="6" cm="1">
        <f t="array" ref="AP89">IFERROR((SUMPRODUCT(($A$78:$A$101=AP$76)*($F$75:$AJ$75="")*$F$78:$AJ$101)+IF(AP$76="P6",SUMPRODUCT(($F$75:$AJ$75="P6")*$F$78:$AJ$101),0))/(SUMPRODUCT(($A$78:$A$101=AP$76)*($F$75:$AJ$75=""))+IF(AP$76="P6",COUNTIF($F$75:$AJ$75,"P6")*ROWS($A$78:$A$101),0)),"")</f>
        <v>1.1537718181818186</v>
      </c>
      <c r="AQ89" s="6" t="str" cm="1">
        <f t="array" ref="AQ89">IFERROR((SUMPRODUCT(($A$78:$A$101=AQ$76)*($F$75:$AJ$75="")*$F$78:$AJ$101)+IF(AQ$76="P6",SUMPRODUCT(($F$75:$AJ$75="P6")*$F$78:$AJ$101),0))/(SUMPRODUCT(($A$78:$A$101=AQ$76)*($F$75:$AJ$75=""))+IF(AQ$76="P6",COUNTIF($F$75:$AJ$75,"P6")*ROWS($A$78:$A$101),0)),"")</f>
        <v/>
      </c>
      <c r="AR89" s="6" cm="1">
        <f t="array" ref="AR89">IFERROR((SUMPRODUCT(($A$78:$A$101=AR$76)*($F$75:$AJ$75="")*$F$78:$AJ$101)+IF(AR$76="P6",SUMPRODUCT(($F$75:$AJ$75="P6")*$F$78:$AJ$101),0))/(SUMPRODUCT(($A$78:$A$101=AR$76)*($F$75:$AJ$75=""))+IF(AR$76="P6",COUNTIF($F$75:$AJ$75,"P6")*ROWS($A$78:$A$101),0)),"")</f>
        <v>1.1958078061224495</v>
      </c>
    </row>
    <row r="90" spans="1:44" ht="14.25" customHeight="1" x14ac:dyDescent="0.35">
      <c r="A90" s="1" t="s">
        <v>14</v>
      </c>
      <c r="B90" s="1" t="s">
        <v>16</v>
      </c>
      <c r="C90" s="1" t="s">
        <v>13</v>
      </c>
      <c r="D90" s="1" t="s">
        <v>14</v>
      </c>
      <c r="E90" s="1" t="s">
        <v>31</v>
      </c>
      <c r="F90" s="1">
        <v>0.99629999999999996</v>
      </c>
      <c r="G90" s="1">
        <v>0.95286000000000004</v>
      </c>
      <c r="H90" s="1">
        <v>1.0128200000000001</v>
      </c>
      <c r="I90" s="1">
        <v>0.97126000000000001</v>
      </c>
      <c r="J90" s="1">
        <v>0.98585</v>
      </c>
      <c r="K90" s="1">
        <v>0.99412999999999996</v>
      </c>
      <c r="L90" s="1">
        <v>0.99895</v>
      </c>
      <c r="M90" s="1">
        <v>0.99629999999999996</v>
      </c>
      <c r="N90" s="1">
        <v>0.95286000000000004</v>
      </c>
      <c r="O90" s="1">
        <v>1.0128200000000001</v>
      </c>
      <c r="P90" s="1">
        <v>0.97126000000000001</v>
      </c>
      <c r="Q90" s="1">
        <v>0.98585</v>
      </c>
      <c r="R90" s="1">
        <v>0.99412999999999996</v>
      </c>
      <c r="S90" s="1">
        <v>0.99895</v>
      </c>
      <c r="T90" s="1">
        <v>0.99629999999999996</v>
      </c>
      <c r="U90" s="1">
        <v>0.95286000000000004</v>
      </c>
      <c r="V90" s="1">
        <v>1.0128200000000001</v>
      </c>
      <c r="W90" s="1">
        <v>0.97126000000000001</v>
      </c>
      <c r="X90" s="1">
        <v>0.98585</v>
      </c>
      <c r="Y90" s="1">
        <v>0.99412999999999996</v>
      </c>
      <c r="Z90" s="1">
        <v>0.99895</v>
      </c>
      <c r="AA90" s="1">
        <v>0.99629999999999996</v>
      </c>
      <c r="AB90" s="1">
        <v>0.95286000000000004</v>
      </c>
      <c r="AC90" s="1">
        <v>1.0128200000000001</v>
      </c>
      <c r="AD90" s="1">
        <v>0.97126000000000001</v>
      </c>
      <c r="AE90" s="1">
        <v>0.98585</v>
      </c>
      <c r="AF90" s="1">
        <v>0.99412999999999996</v>
      </c>
      <c r="AG90" s="1">
        <v>0.99895</v>
      </c>
      <c r="AH90" s="1">
        <v>0.99692999999999998</v>
      </c>
      <c r="AI90" s="1">
        <v>0.95286000000000004</v>
      </c>
      <c r="AJ90" s="1">
        <v>1.0128200000000001</v>
      </c>
      <c r="AL90" s="4" t="s">
        <v>25</v>
      </c>
      <c r="AM90" s="6" t="str" cm="1">
        <f t="array" ref="AM90">IFERROR((SUMPRODUCT(($A$78:$A$101=AM$76)*($F$75:$AJ$75="")*$F$78:$AJ$101)+IF(AM$76="P6",SUMPRODUCT(($F$75:$AJ$75="P6")*$F$78:$AJ$101),0))/(SUMPRODUCT(($A$78:$A$101=AM$76)*($F$75:$AJ$75=""))+IF(AM$76="P6",COUNTIF($F$75:$AJ$75,"P6")*ROWS($A$78:$A$101),0)),"")</f>
        <v/>
      </c>
      <c r="AN90" s="6" cm="1">
        <f t="array" ref="AN90">IFERROR((SUMPRODUCT(($A$78:$A$101=AN$76)*($F$75:$AJ$75="")*$F$78:$AJ$101)+IF(AN$76="P6",SUMPRODUCT(($F$75:$AJ$75="P6")*$F$78:$AJ$101),0))/(SUMPRODUCT(($A$78:$A$101=AN$76)*($F$75:$AJ$75=""))+IF(AN$76="P6",COUNTIF($F$75:$AJ$75,"P6")*ROWS($A$78:$A$101),0)),"")</f>
        <v>1.070482727272728</v>
      </c>
      <c r="AO90" s="6" t="str" cm="1">
        <f t="array" ref="AO90">IFERROR((SUMPRODUCT(($A$78:$A$101=AO$76)*($F$75:$AJ$75="")*$F$78:$AJ$101)+IF(AO$76="P6",SUMPRODUCT(($F$75:$AJ$75="P6")*$F$78:$AJ$101),0))/(SUMPRODUCT(($A$78:$A$101=AO$76)*($F$75:$AJ$75=""))+IF(AO$76="P6",COUNTIF($F$75:$AJ$75,"P6")*ROWS($A$78:$A$101),0)),"")</f>
        <v/>
      </c>
      <c r="AP90" s="6" cm="1">
        <f t="array" ref="AP90">IFERROR((SUMPRODUCT(($A$78:$A$101=AP$76)*($F$75:$AJ$75="")*$F$78:$AJ$101)+IF(AP$76="P6",SUMPRODUCT(($F$75:$AJ$75="P6")*$F$78:$AJ$101),0))/(SUMPRODUCT(($A$78:$A$101=AP$76)*($F$75:$AJ$75=""))+IF(AP$76="P6",COUNTIF($F$75:$AJ$75,"P6")*ROWS($A$78:$A$101),0)),"")</f>
        <v>1.1537718181818186</v>
      </c>
      <c r="AQ90" s="6" t="str" cm="1">
        <f t="array" ref="AQ90">IFERROR((SUMPRODUCT(($A$78:$A$101=AQ$76)*($F$75:$AJ$75="")*$F$78:$AJ$101)+IF(AQ$76="P6",SUMPRODUCT(($F$75:$AJ$75="P6")*$F$78:$AJ$101),0))/(SUMPRODUCT(($A$78:$A$101=AQ$76)*($F$75:$AJ$75=""))+IF(AQ$76="P6",COUNTIF($F$75:$AJ$75,"P6")*ROWS($A$78:$A$101),0)),"")</f>
        <v/>
      </c>
      <c r="AR90" s="6" cm="1">
        <f t="array" ref="AR90">IFERROR((SUMPRODUCT(($A$78:$A$101=AR$76)*($F$75:$AJ$75="")*$F$78:$AJ$101)+IF(AR$76="P6",SUMPRODUCT(($F$75:$AJ$75="P6")*$F$78:$AJ$101),0))/(SUMPRODUCT(($A$78:$A$101=AR$76)*($F$75:$AJ$75=""))+IF(AR$76="P6",COUNTIF($F$75:$AJ$75,"P6")*ROWS($A$78:$A$101),0)),"")</f>
        <v>1.1958078061224495</v>
      </c>
    </row>
    <row r="91" spans="1:44" ht="14.25" customHeight="1" x14ac:dyDescent="0.35">
      <c r="A91" s="1" t="s">
        <v>14</v>
      </c>
      <c r="B91" s="1" t="s">
        <v>16</v>
      </c>
      <c r="C91" s="1" t="s">
        <v>13</v>
      </c>
      <c r="D91" s="1" t="s">
        <v>14</v>
      </c>
      <c r="E91" s="1" t="s">
        <v>32</v>
      </c>
      <c r="F91" s="1">
        <v>0.97040999999999999</v>
      </c>
      <c r="G91" s="1">
        <v>0.95877000000000001</v>
      </c>
      <c r="H91" s="1">
        <v>1.00051</v>
      </c>
      <c r="I91" s="1">
        <v>0.96875</v>
      </c>
      <c r="J91" s="1">
        <v>0.99987999999999999</v>
      </c>
      <c r="K91" s="1">
        <v>1.0021599999999999</v>
      </c>
      <c r="L91" s="1">
        <v>0.97431000000000001</v>
      </c>
      <c r="M91" s="1">
        <v>0.97040999999999999</v>
      </c>
      <c r="N91" s="1">
        <v>0.95877000000000001</v>
      </c>
      <c r="O91" s="1">
        <v>1.00051</v>
      </c>
      <c r="P91" s="1">
        <v>0.96875</v>
      </c>
      <c r="Q91" s="1">
        <v>0.99987999999999999</v>
      </c>
      <c r="R91" s="1">
        <v>1.0021599999999999</v>
      </c>
      <c r="S91" s="1">
        <v>0.97431000000000001</v>
      </c>
      <c r="T91" s="1">
        <v>0.97040999999999999</v>
      </c>
      <c r="U91" s="1">
        <v>0.95877000000000001</v>
      </c>
      <c r="V91" s="1">
        <v>1.00051</v>
      </c>
      <c r="W91" s="1">
        <v>0.96875</v>
      </c>
      <c r="X91" s="1">
        <v>0.99987999999999999</v>
      </c>
      <c r="Y91" s="1">
        <v>1.0021599999999999</v>
      </c>
      <c r="Z91" s="1">
        <v>0.97431000000000001</v>
      </c>
      <c r="AA91" s="1">
        <v>0.97040999999999999</v>
      </c>
      <c r="AB91" s="1">
        <v>0.95877000000000001</v>
      </c>
      <c r="AC91" s="1">
        <v>1.00051</v>
      </c>
      <c r="AD91" s="1">
        <v>0.96875</v>
      </c>
      <c r="AE91" s="1">
        <v>0.99987999999999999</v>
      </c>
      <c r="AF91" s="1">
        <v>1.0021599999999999</v>
      </c>
      <c r="AG91" s="1">
        <v>0.97431000000000001</v>
      </c>
      <c r="AH91" s="1">
        <v>0.99629999999999996</v>
      </c>
      <c r="AI91" s="1">
        <v>0.95877000000000001</v>
      </c>
      <c r="AJ91" s="1">
        <v>1.00051</v>
      </c>
      <c r="AL91" s="4" t="s">
        <v>27</v>
      </c>
      <c r="AM91" s="6" t="str" cm="1">
        <f t="array" ref="AM91">IFERROR((SUMPRODUCT(($A$78:$A$101=AM$76)*($F$75:$AJ$75="")*$F$78:$AJ$101)+IF(AM$76="P6",SUMPRODUCT(($F$75:$AJ$75="P6")*$F$78:$AJ$101),0))/(SUMPRODUCT(($A$78:$A$101=AM$76)*($F$75:$AJ$75=""))+IF(AM$76="P6",COUNTIF($F$75:$AJ$75,"P6")*ROWS($A$78:$A$101),0)),"")</f>
        <v/>
      </c>
      <c r="AN91" s="6" cm="1">
        <f t="array" ref="AN91">IFERROR((SUMPRODUCT(($A$78:$A$101=AN$76)*($F$75:$AJ$75="")*$F$78:$AJ$101)+IF(AN$76="P6",SUMPRODUCT(($F$75:$AJ$75="P6")*$F$78:$AJ$101),0))/(SUMPRODUCT(($A$78:$A$101=AN$76)*($F$75:$AJ$75=""))+IF(AN$76="P6",COUNTIF($F$75:$AJ$75,"P6")*ROWS($A$78:$A$101),0)),"")</f>
        <v>1.070482727272728</v>
      </c>
      <c r="AO91" s="6" t="str" cm="1">
        <f t="array" ref="AO91">IFERROR((SUMPRODUCT(($A$78:$A$101=AO$76)*($F$75:$AJ$75="")*$F$78:$AJ$101)+IF(AO$76="P6",SUMPRODUCT(($F$75:$AJ$75="P6")*$F$78:$AJ$101),0))/(SUMPRODUCT(($A$78:$A$101=AO$76)*($F$75:$AJ$75=""))+IF(AO$76="P6",COUNTIF($F$75:$AJ$75,"P6")*ROWS($A$78:$A$101),0)),"")</f>
        <v/>
      </c>
      <c r="AP91" s="6" cm="1">
        <f t="array" ref="AP91">IFERROR((SUMPRODUCT(($A$78:$A$101=AP$76)*($F$75:$AJ$75="")*$F$78:$AJ$101)+IF(AP$76="P6",SUMPRODUCT(($F$75:$AJ$75="P6")*$F$78:$AJ$101),0))/(SUMPRODUCT(($A$78:$A$101=AP$76)*($F$75:$AJ$75=""))+IF(AP$76="P6",COUNTIF($F$75:$AJ$75,"P6")*ROWS($A$78:$A$101),0)),"")</f>
        <v>1.1537718181818186</v>
      </c>
      <c r="AQ91" s="6" t="str" cm="1">
        <f t="array" ref="AQ91">IFERROR((SUMPRODUCT(($A$78:$A$101=AQ$76)*($F$75:$AJ$75="")*$F$78:$AJ$101)+IF(AQ$76="P6",SUMPRODUCT(($F$75:$AJ$75="P6")*$F$78:$AJ$101),0))/(SUMPRODUCT(($A$78:$A$101=AQ$76)*($F$75:$AJ$75=""))+IF(AQ$76="P6",COUNTIF($F$75:$AJ$75,"P6")*ROWS($A$78:$A$101),0)),"")</f>
        <v/>
      </c>
      <c r="AR91" s="6" cm="1">
        <f t="array" ref="AR91">IFERROR((SUMPRODUCT(($A$78:$A$101=AR$76)*($F$75:$AJ$75="")*$F$78:$AJ$101)+IF(AR$76="P6",SUMPRODUCT(($F$75:$AJ$75="P6")*$F$78:$AJ$101),0))/(SUMPRODUCT(($A$78:$A$101=AR$76)*($F$75:$AJ$75=""))+IF(AR$76="P6",COUNTIF($F$75:$AJ$75,"P6")*ROWS($A$78:$A$101),0)),"")</f>
        <v>1.1958078061224495</v>
      </c>
    </row>
    <row r="92" spans="1:44" ht="14.25" customHeight="1" x14ac:dyDescent="0.35">
      <c r="A92" s="1" t="s">
        <v>14</v>
      </c>
      <c r="B92" s="1" t="s">
        <v>16</v>
      </c>
      <c r="C92" s="1" t="s">
        <v>14</v>
      </c>
      <c r="D92" s="1" t="s">
        <v>15</v>
      </c>
      <c r="E92" s="1" t="s">
        <v>33</v>
      </c>
      <c r="F92" s="1">
        <v>1.00474</v>
      </c>
      <c r="G92" s="1">
        <v>1.0126500000000001</v>
      </c>
      <c r="H92" s="1">
        <v>1.06928</v>
      </c>
      <c r="I92" s="1">
        <v>1.0463800000000001</v>
      </c>
      <c r="J92" s="1">
        <v>1.0676000000000001</v>
      </c>
      <c r="K92" s="1">
        <v>1.05582</v>
      </c>
      <c r="L92" s="1">
        <v>0.99487999999999999</v>
      </c>
      <c r="M92" s="1">
        <v>1.00474</v>
      </c>
      <c r="N92" s="1">
        <v>1.0126500000000001</v>
      </c>
      <c r="O92" s="1">
        <v>1.06928</v>
      </c>
      <c r="P92" s="1">
        <v>1.0463800000000001</v>
      </c>
      <c r="Q92" s="1">
        <v>1.0676000000000001</v>
      </c>
      <c r="R92" s="1">
        <v>1.05582</v>
      </c>
      <c r="S92" s="1">
        <v>0.99487999999999999</v>
      </c>
      <c r="T92" s="1">
        <v>1.00474</v>
      </c>
      <c r="U92" s="1">
        <v>1.0126500000000001</v>
      </c>
      <c r="V92" s="1">
        <v>1.06928</v>
      </c>
      <c r="W92" s="1">
        <v>1.0463800000000001</v>
      </c>
      <c r="X92" s="1">
        <v>1.0676000000000001</v>
      </c>
      <c r="Y92" s="1">
        <v>1.05582</v>
      </c>
      <c r="Z92" s="1">
        <v>0.99487999999999999</v>
      </c>
      <c r="AA92" s="1">
        <v>1.00474</v>
      </c>
      <c r="AB92" s="1">
        <v>1.0126500000000001</v>
      </c>
      <c r="AC92" s="1">
        <v>1.06928</v>
      </c>
      <c r="AD92" s="1">
        <v>1.0463800000000001</v>
      </c>
      <c r="AE92" s="1">
        <v>1.0676000000000001</v>
      </c>
      <c r="AF92" s="1">
        <v>1.05582</v>
      </c>
      <c r="AG92" s="1">
        <v>0.99487999999999999</v>
      </c>
      <c r="AH92" s="1">
        <v>0.97040999999999999</v>
      </c>
      <c r="AI92" s="1">
        <v>1.0126500000000001</v>
      </c>
      <c r="AJ92" s="1">
        <v>1.06928</v>
      </c>
      <c r="AL92" s="4" t="s">
        <v>29</v>
      </c>
      <c r="AM92" s="6" t="str" cm="1">
        <f t="array" ref="AM92">IFERROR((SUMPRODUCT(($A$78:$A$101=AM$76)*($F$75:$AJ$75="")*$F$78:$AJ$101)+IF(AM$76="P6",SUMPRODUCT(($F$75:$AJ$75="P6")*$F$78:$AJ$101),0))/(SUMPRODUCT(($A$78:$A$101=AM$76)*($F$75:$AJ$75=""))+IF(AM$76="P6",COUNTIF($F$75:$AJ$75,"P6")*ROWS($A$78:$A$101),0)),"")</f>
        <v/>
      </c>
      <c r="AN92" s="6" cm="1">
        <f t="array" ref="AN92">IFERROR((SUMPRODUCT(($A$78:$A$101=AN$76)*($F$75:$AJ$75="")*$F$78:$AJ$101)+IF(AN$76="P6",SUMPRODUCT(($F$75:$AJ$75="P6")*$F$78:$AJ$101),0))/(SUMPRODUCT(($A$78:$A$101=AN$76)*($F$75:$AJ$75=""))+IF(AN$76="P6",COUNTIF($F$75:$AJ$75,"P6")*ROWS($A$78:$A$101),0)),"")</f>
        <v>1.070482727272728</v>
      </c>
      <c r="AO92" s="6" t="str" cm="1">
        <f t="array" ref="AO92">IFERROR((SUMPRODUCT(($A$78:$A$101=AO$76)*($F$75:$AJ$75="")*$F$78:$AJ$101)+IF(AO$76="P6",SUMPRODUCT(($F$75:$AJ$75="P6")*$F$78:$AJ$101),0))/(SUMPRODUCT(($A$78:$A$101=AO$76)*($F$75:$AJ$75=""))+IF(AO$76="P6",COUNTIF($F$75:$AJ$75,"P6")*ROWS($A$78:$A$101),0)),"")</f>
        <v/>
      </c>
      <c r="AP92" s="6" cm="1">
        <f t="array" ref="AP92">IFERROR((SUMPRODUCT(($A$78:$A$101=AP$76)*($F$75:$AJ$75="")*$F$78:$AJ$101)+IF(AP$76="P6",SUMPRODUCT(($F$75:$AJ$75="P6")*$F$78:$AJ$101),0))/(SUMPRODUCT(($A$78:$A$101=AP$76)*($F$75:$AJ$75=""))+IF(AP$76="P6",COUNTIF($F$75:$AJ$75,"P6")*ROWS($A$78:$A$101),0)),"")</f>
        <v>1.1537718181818186</v>
      </c>
      <c r="AQ92" s="6" t="str" cm="1">
        <f t="array" ref="AQ92">IFERROR((SUMPRODUCT(($A$78:$A$101=AQ$76)*($F$75:$AJ$75="")*$F$78:$AJ$101)+IF(AQ$76="P6",SUMPRODUCT(($F$75:$AJ$75="P6")*$F$78:$AJ$101),0))/(SUMPRODUCT(($A$78:$A$101=AQ$76)*($F$75:$AJ$75=""))+IF(AQ$76="P6",COUNTIF($F$75:$AJ$75,"P6")*ROWS($A$78:$A$101),0)),"")</f>
        <v/>
      </c>
      <c r="AR92" s="6" cm="1">
        <f t="array" ref="AR92">IFERROR((SUMPRODUCT(($A$78:$A$101=AR$76)*($F$75:$AJ$75="")*$F$78:$AJ$101)+IF(AR$76="P6",SUMPRODUCT(($F$75:$AJ$75="P6")*$F$78:$AJ$101),0))/(SUMPRODUCT(($A$78:$A$101=AR$76)*($F$75:$AJ$75=""))+IF(AR$76="P6",COUNTIF($F$75:$AJ$75,"P6")*ROWS($A$78:$A$101),0)),"")</f>
        <v>1.1958078061224495</v>
      </c>
    </row>
    <row r="93" spans="1:44" ht="14.25" customHeight="1" x14ac:dyDescent="0.35">
      <c r="A93" s="1" t="s">
        <v>16</v>
      </c>
      <c r="B93" s="1" t="s">
        <v>17</v>
      </c>
      <c r="C93" s="1" t="s">
        <v>14</v>
      </c>
      <c r="D93" s="1" t="s">
        <v>15</v>
      </c>
      <c r="E93" s="1" t="s">
        <v>34</v>
      </c>
      <c r="F93" s="1">
        <v>1.0773900000000001</v>
      </c>
      <c r="G93" s="1">
        <v>1.03592</v>
      </c>
      <c r="H93" s="1">
        <v>1.1216299999999999</v>
      </c>
      <c r="I93" s="1">
        <v>1.07148</v>
      </c>
      <c r="J93" s="1">
        <v>1.1041799999999999</v>
      </c>
      <c r="K93" s="1">
        <v>1.09761</v>
      </c>
      <c r="L93" s="1">
        <v>1.0421100000000001</v>
      </c>
      <c r="M93" s="1">
        <v>1.0773900000000001</v>
      </c>
      <c r="N93" s="1">
        <v>1.03592</v>
      </c>
      <c r="O93" s="1">
        <v>1.1216299999999999</v>
      </c>
      <c r="P93" s="1">
        <v>1.07148</v>
      </c>
      <c r="Q93" s="1">
        <v>1.1041799999999999</v>
      </c>
      <c r="R93" s="1">
        <v>1.09761</v>
      </c>
      <c r="S93" s="1">
        <v>1.0421100000000001</v>
      </c>
      <c r="T93" s="1">
        <v>1.0773900000000001</v>
      </c>
      <c r="U93" s="1">
        <v>1.03592</v>
      </c>
      <c r="V93" s="1">
        <v>1.1216299999999999</v>
      </c>
      <c r="W93" s="1">
        <v>1.07148</v>
      </c>
      <c r="X93" s="1">
        <v>1.1041799999999999</v>
      </c>
      <c r="Y93" s="1">
        <v>1.09761</v>
      </c>
      <c r="Z93" s="1">
        <v>1.0421100000000001</v>
      </c>
      <c r="AA93" s="1">
        <v>1.0773900000000001</v>
      </c>
      <c r="AB93" s="1">
        <v>1.03592</v>
      </c>
      <c r="AC93" s="1">
        <v>1.1216299999999999</v>
      </c>
      <c r="AD93" s="1">
        <v>1.07148</v>
      </c>
      <c r="AE93" s="1">
        <v>1.1041799999999999</v>
      </c>
      <c r="AF93" s="1">
        <v>1.09761</v>
      </c>
      <c r="AG93" s="1">
        <v>1.0421100000000001</v>
      </c>
      <c r="AH93" s="1">
        <v>1.00474</v>
      </c>
      <c r="AI93" s="1">
        <v>1.03592</v>
      </c>
      <c r="AJ93" s="1">
        <v>1.1216299999999999</v>
      </c>
      <c r="AL93" s="10"/>
      <c r="AM93" s="10"/>
      <c r="AN93" s="10"/>
      <c r="AO93" s="10"/>
      <c r="AP93" s="10"/>
      <c r="AQ93" s="10"/>
      <c r="AR93" s="10"/>
    </row>
    <row r="94" spans="1:44" ht="14.25" customHeight="1" x14ac:dyDescent="0.35">
      <c r="A94" s="1" t="s">
        <v>16</v>
      </c>
      <c r="B94" s="1" t="s">
        <v>17</v>
      </c>
      <c r="C94" s="1" t="s">
        <v>14</v>
      </c>
      <c r="D94" s="1" t="s">
        <v>15</v>
      </c>
      <c r="E94" s="1" t="s">
        <v>35</v>
      </c>
      <c r="F94" s="1">
        <v>1.12696</v>
      </c>
      <c r="G94" s="1">
        <v>1.06274</v>
      </c>
      <c r="H94" s="1">
        <v>1.1710700000000001</v>
      </c>
      <c r="I94" s="1">
        <v>1.1099300000000001</v>
      </c>
      <c r="J94" s="1">
        <v>1.13097</v>
      </c>
      <c r="K94" s="1">
        <v>1.13907</v>
      </c>
      <c r="L94" s="1">
        <v>1.09517</v>
      </c>
      <c r="M94" s="1">
        <v>1.12696</v>
      </c>
      <c r="N94" s="1">
        <v>1.06274</v>
      </c>
      <c r="O94" s="1">
        <v>1.1710700000000001</v>
      </c>
      <c r="P94" s="1">
        <v>1.1099300000000001</v>
      </c>
      <c r="Q94" s="1">
        <v>1.13097</v>
      </c>
      <c r="R94" s="1">
        <v>1.13907</v>
      </c>
      <c r="S94" s="1">
        <v>1.09517</v>
      </c>
      <c r="T94" s="1">
        <v>1.12696</v>
      </c>
      <c r="U94" s="1">
        <v>1.06274</v>
      </c>
      <c r="V94" s="1">
        <v>1.1710700000000001</v>
      </c>
      <c r="W94" s="1">
        <v>1.1099300000000001</v>
      </c>
      <c r="X94" s="1">
        <v>1.13097</v>
      </c>
      <c r="Y94" s="1">
        <v>1.13907</v>
      </c>
      <c r="Z94" s="1">
        <v>1.09517</v>
      </c>
      <c r="AA94" s="1">
        <v>1.12696</v>
      </c>
      <c r="AB94" s="1">
        <v>1.06274</v>
      </c>
      <c r="AC94" s="1">
        <v>1.1710700000000001</v>
      </c>
      <c r="AD94" s="1">
        <v>1.1099300000000001</v>
      </c>
      <c r="AE94" s="1">
        <v>1.13097</v>
      </c>
      <c r="AF94" s="1">
        <v>1.13907</v>
      </c>
      <c r="AG94" s="1">
        <v>1.09517</v>
      </c>
      <c r="AH94" s="1">
        <v>1.0773900000000001</v>
      </c>
      <c r="AI94" s="1">
        <v>1.06274</v>
      </c>
      <c r="AJ94" s="1">
        <v>1.1710700000000001</v>
      </c>
      <c r="AL94" s="10"/>
      <c r="AM94" s="10"/>
      <c r="AN94" s="10"/>
      <c r="AO94" s="10"/>
      <c r="AP94" s="10"/>
      <c r="AQ94" s="10"/>
      <c r="AR94" s="10"/>
    </row>
    <row r="95" spans="1:44" ht="14.25" customHeight="1" x14ac:dyDescent="0.35">
      <c r="A95" s="1" t="s">
        <v>16</v>
      </c>
      <c r="B95" s="1" t="s">
        <v>17</v>
      </c>
      <c r="C95" s="1" t="s">
        <v>14</v>
      </c>
      <c r="D95" s="1" t="s">
        <v>15</v>
      </c>
      <c r="E95" s="1" t="s">
        <v>36</v>
      </c>
      <c r="F95" s="1">
        <v>1.18529</v>
      </c>
      <c r="G95" s="1">
        <v>1.1011</v>
      </c>
      <c r="H95" s="1">
        <v>1.17859</v>
      </c>
      <c r="I95" s="1">
        <v>1.1308800000000001</v>
      </c>
      <c r="J95" s="1">
        <v>1.1444700000000001</v>
      </c>
      <c r="K95" s="1">
        <v>1.1623600000000001</v>
      </c>
      <c r="L95" s="1">
        <v>1.13086</v>
      </c>
      <c r="M95" s="1">
        <v>1.18529</v>
      </c>
      <c r="N95" s="1">
        <v>1.1011</v>
      </c>
      <c r="O95" s="1">
        <v>1.17859</v>
      </c>
      <c r="P95" s="1">
        <v>1.1308800000000001</v>
      </c>
      <c r="Q95" s="1">
        <v>1.1444700000000001</v>
      </c>
      <c r="R95" s="1">
        <v>1.1623600000000001</v>
      </c>
      <c r="S95" s="1">
        <v>1.13086</v>
      </c>
      <c r="T95" s="1">
        <v>1.18529</v>
      </c>
      <c r="U95" s="1">
        <v>1.1011</v>
      </c>
      <c r="V95" s="1">
        <v>1.17859</v>
      </c>
      <c r="W95" s="1">
        <v>1.1308800000000001</v>
      </c>
      <c r="X95" s="1">
        <v>1.1444700000000001</v>
      </c>
      <c r="Y95" s="1">
        <v>1.1623600000000001</v>
      </c>
      <c r="Z95" s="1">
        <v>1.13086</v>
      </c>
      <c r="AA95" s="1">
        <v>1.18529</v>
      </c>
      <c r="AB95" s="1">
        <v>1.1011</v>
      </c>
      <c r="AC95" s="1">
        <v>1.17859</v>
      </c>
      <c r="AD95" s="1">
        <v>1.1308800000000001</v>
      </c>
      <c r="AE95" s="1">
        <v>1.1444700000000001</v>
      </c>
      <c r="AF95" s="1">
        <v>1.1623600000000001</v>
      </c>
      <c r="AG95" s="1">
        <v>1.13086</v>
      </c>
      <c r="AH95" s="1">
        <v>1.12696</v>
      </c>
      <c r="AI95" s="1">
        <v>1.1011</v>
      </c>
      <c r="AJ95" s="1">
        <v>1.17859</v>
      </c>
      <c r="AL95" s="14" t="s">
        <v>124</v>
      </c>
      <c r="AM95" s="14"/>
      <c r="AN95" s="14"/>
      <c r="AO95" s="14"/>
      <c r="AP95" s="14"/>
      <c r="AQ95" s="14"/>
      <c r="AR95" s="14"/>
    </row>
    <row r="96" spans="1:44" ht="14.25" customHeight="1" x14ac:dyDescent="0.35">
      <c r="A96" s="1" t="s">
        <v>14</v>
      </c>
      <c r="B96" s="1" t="s">
        <v>16</v>
      </c>
      <c r="C96" s="1" t="s">
        <v>13</v>
      </c>
      <c r="D96" s="1" t="s">
        <v>14</v>
      </c>
      <c r="E96" s="1" t="s">
        <v>37</v>
      </c>
      <c r="F96" s="1">
        <v>1.1895199999999999</v>
      </c>
      <c r="G96" s="1">
        <v>1.11992</v>
      </c>
      <c r="H96" s="1">
        <v>1.1475599999999999</v>
      </c>
      <c r="I96" s="1">
        <v>1.1151</v>
      </c>
      <c r="J96" s="1">
        <v>1.1499900000000001</v>
      </c>
      <c r="K96" s="1">
        <v>1.16357</v>
      </c>
      <c r="L96" s="1">
        <v>1.1591199999999999</v>
      </c>
      <c r="M96" s="1">
        <v>1.1895199999999999</v>
      </c>
      <c r="N96" s="1">
        <v>1.11992</v>
      </c>
      <c r="O96" s="1">
        <v>1.1475599999999999</v>
      </c>
      <c r="P96" s="1">
        <v>1.1151</v>
      </c>
      <c r="Q96" s="1">
        <v>1.1499900000000001</v>
      </c>
      <c r="R96" s="1">
        <v>1.16357</v>
      </c>
      <c r="S96" s="1">
        <v>1.1591199999999999</v>
      </c>
      <c r="T96" s="1">
        <v>1.1895199999999999</v>
      </c>
      <c r="U96" s="1">
        <v>1.11992</v>
      </c>
      <c r="V96" s="1">
        <v>1.1475599999999999</v>
      </c>
      <c r="W96" s="1">
        <v>1.1151</v>
      </c>
      <c r="X96" s="1">
        <v>1.1499900000000001</v>
      </c>
      <c r="Y96" s="1">
        <v>1.16357</v>
      </c>
      <c r="Z96" s="1">
        <v>1.1591199999999999</v>
      </c>
      <c r="AA96" s="1">
        <v>1.1895199999999999</v>
      </c>
      <c r="AB96" s="1">
        <v>1.11992</v>
      </c>
      <c r="AC96" s="1">
        <v>1.1475599999999999</v>
      </c>
      <c r="AD96" s="1">
        <v>1.1151</v>
      </c>
      <c r="AE96" s="1">
        <v>1.1499900000000001</v>
      </c>
      <c r="AF96" s="1">
        <v>1.16357</v>
      </c>
      <c r="AG96" s="1">
        <v>1.1591199999999999</v>
      </c>
      <c r="AH96" s="1">
        <v>1.18529</v>
      </c>
      <c r="AI96" s="1">
        <v>1.11992</v>
      </c>
      <c r="AJ96" s="1">
        <v>1.1475599999999999</v>
      </c>
      <c r="AL96" s="4"/>
      <c r="AM96" s="4" t="s">
        <v>13</v>
      </c>
      <c r="AN96" s="4" t="s">
        <v>14</v>
      </c>
      <c r="AO96" s="4" t="s">
        <v>15</v>
      </c>
      <c r="AP96" s="4" t="s">
        <v>16</v>
      </c>
      <c r="AQ96" s="4" t="s">
        <v>17</v>
      </c>
      <c r="AR96" s="4" t="s">
        <v>7</v>
      </c>
    </row>
    <row r="97" spans="1:44" ht="14.25" customHeight="1" x14ac:dyDescent="0.35">
      <c r="A97" s="1" t="s">
        <v>14</v>
      </c>
      <c r="B97" s="1" t="s">
        <v>16</v>
      </c>
      <c r="C97" s="1" t="s">
        <v>13</v>
      </c>
      <c r="D97" s="1" t="s">
        <v>14</v>
      </c>
      <c r="E97" s="1" t="s">
        <v>38</v>
      </c>
      <c r="F97" s="1">
        <v>1.1640999999999999</v>
      </c>
      <c r="G97" s="1">
        <v>1.1237699999999999</v>
      </c>
      <c r="H97" s="1">
        <v>1.1385099999999999</v>
      </c>
      <c r="I97" s="1">
        <v>1.12483</v>
      </c>
      <c r="J97" s="1">
        <v>1.17008</v>
      </c>
      <c r="K97" s="1">
        <v>1.1869099999999999</v>
      </c>
      <c r="L97" s="1">
        <v>1.1581300000000001</v>
      </c>
      <c r="M97" s="1">
        <v>1.1640999999999999</v>
      </c>
      <c r="N97" s="1">
        <v>1.1237699999999999</v>
      </c>
      <c r="O97" s="1">
        <v>1.1385099999999999</v>
      </c>
      <c r="P97" s="1">
        <v>1.12483</v>
      </c>
      <c r="Q97" s="1">
        <v>1.17008</v>
      </c>
      <c r="R97" s="1">
        <v>1.1869099999999999</v>
      </c>
      <c r="S97" s="1">
        <v>1.1581300000000001</v>
      </c>
      <c r="T97" s="1">
        <v>1.1640999999999999</v>
      </c>
      <c r="U97" s="1">
        <v>1.1237699999999999</v>
      </c>
      <c r="V97" s="1">
        <v>1.1385099999999999</v>
      </c>
      <c r="W97" s="1">
        <v>1.12483</v>
      </c>
      <c r="X97" s="1">
        <v>1.17008</v>
      </c>
      <c r="Y97" s="1">
        <v>1.1869099999999999</v>
      </c>
      <c r="Z97" s="1">
        <v>1.1581300000000001</v>
      </c>
      <c r="AA97" s="1">
        <v>1.1640999999999999</v>
      </c>
      <c r="AB97" s="1">
        <v>1.1237699999999999</v>
      </c>
      <c r="AC97" s="1">
        <v>1.1385099999999999</v>
      </c>
      <c r="AD97" s="1">
        <v>1.12483</v>
      </c>
      <c r="AE97" s="1">
        <v>1.17008</v>
      </c>
      <c r="AF97" s="1">
        <v>1.1869099999999999</v>
      </c>
      <c r="AG97" s="1">
        <v>1.1581300000000001</v>
      </c>
      <c r="AH97" s="1">
        <v>1.1895199999999999</v>
      </c>
      <c r="AI97" s="1">
        <v>1.1237699999999999</v>
      </c>
      <c r="AJ97" s="1">
        <v>1.1385099999999999</v>
      </c>
      <c r="AL97" s="4" t="s">
        <v>19</v>
      </c>
      <c r="AM97" s="6" cm="1">
        <f t="array" ref="AM97">IFERROR((SUMPRODUCT(($C$78:$C$101=AM$76)*($F$74:$AJ$74="")*$F$78:$AJ$101)+IF(AM$76="P3",SUMPRODUCT(($F$74:$AJ$74="P3")*$F$78:$AJ$101),0))/(SUMPRODUCT(($C$78:$C$101=AM$76)*($F$74:$AJ$74=""))+IF(AM$76="P3",COUNTIF($F$74:$AJ$74,"P3")*ROWS($C$78:$C$101),0)),"")</f>
        <v>1.0731064204545455</v>
      </c>
      <c r="AN97" s="6" cm="1">
        <f t="array" ref="AN97">IFERROR((SUMPRODUCT(($C$78:$C$101=AN$41)*($F$74:$AJ$74="")*$F$78:$AJ$101)+IF(AN$41="P3",SUMPRODUCT(($F$74:$AJ$74="P3")*$F$78:$AJ$101),0))/(SUMPRODUCT(($C$78:$C$101=AN$41)*($F$74:$AJ$74=""))+IF(AN$41="P3",COUNTIF($F$74:$AJ$74,"P3")*ROWS($C$78:$C$101),0)),"")</f>
        <v>1.1407369886363641</v>
      </c>
      <c r="AO97" s="6" cm="1">
        <f t="array" ref="AO97">IFERROR((SUMPRODUCT(($C$78:$C$101=AO$41)*($F$74:$AJ$74="")*$F$78:$AJ$101)+IF(AO$41="P3",SUMPRODUCT(($F$74:$AJ$74="P3")*$F$78:$AJ$101),0))/(SUMPRODUCT(($C$78:$C$101=AO$41)*($F$74:$AJ$74=""))+IF(AO$41="P3",COUNTIF($F$74:$AJ$74,"P3")*ROWS($C$78:$C$101),0)),"")</f>
        <v>1.1958078061224495</v>
      </c>
      <c r="AP97" s="6" t="str" cm="1">
        <f t="array" ref="AP97">IFERROR((SUMPRODUCT(($C$78:$C$101=AP$41)*($F$74:$AJ$74="")*$F$78:$AJ$101)+IF(AP$41="P3",SUMPRODUCT(($F$74:$AJ$74="P3")*$F$78:$AJ$101),0))/(SUMPRODUCT(($C$78:$C$101=AP$41)*($F$74:$AJ$74=""))+IF(AP$41="P3",COUNTIF($F$74:$AJ$74,"P3")*ROWS($C$78:$C$101),0)),"")</f>
        <v/>
      </c>
      <c r="AQ97" s="6" t="str" cm="1">
        <f t="array" ref="AQ97">IFERROR((SUMPRODUCT(($C$78:$C$101=AQ$41)*($F$74:$AJ$74="")*$F$78:$AJ$101)+IF(AQ$41="P3",SUMPRODUCT(($F$74:$AJ$74="P3")*$F$78:$AJ$101),0))/(SUMPRODUCT(($C$78:$C$101=AQ$41)*($F$74:$AJ$74=""))+IF(AQ$41="P3",COUNTIF($F$74:$AJ$74,"P3")*ROWS($C$78:$C$101),0)),"")</f>
        <v/>
      </c>
      <c r="AR97" s="6" t="str" cm="1">
        <f t="array" ref="AR97">IFERROR((SUMPRODUCT(($C$78:$C$101=AR$41)*($F$74:$AJ$74="")*$F$78:$AJ$101)+IF(AR$41="P3",SUMPRODUCT(($F$74:$AJ$74="P3")*$F$78:$AJ$101),0))/(SUMPRODUCT(($C$78:$C$101=AR$41)*($F$74:$AJ$74=""))+IF(AR$41="P3",COUNTIF($F$74:$AJ$74,"P3")*ROWS($C$78:$C$101),0)),"")</f>
        <v/>
      </c>
    </row>
    <row r="98" spans="1:44" ht="14.25" customHeight="1" x14ac:dyDescent="0.35">
      <c r="A98" s="1" t="s">
        <v>14</v>
      </c>
      <c r="B98" s="1" t="s">
        <v>16</v>
      </c>
      <c r="C98" s="1" t="s">
        <v>13</v>
      </c>
      <c r="D98" s="1" t="s">
        <v>14</v>
      </c>
      <c r="E98" s="1" t="s">
        <v>39</v>
      </c>
      <c r="F98" s="1">
        <v>1.14147</v>
      </c>
      <c r="G98" s="1">
        <v>1.1178399999999999</v>
      </c>
      <c r="H98" s="1">
        <v>1.14029</v>
      </c>
      <c r="I98" s="1">
        <v>1.12385</v>
      </c>
      <c r="J98" s="1">
        <v>1.16239</v>
      </c>
      <c r="K98" s="1">
        <v>1.19587</v>
      </c>
      <c r="L98" s="1">
        <v>1.1429800000000001</v>
      </c>
      <c r="M98" s="1">
        <v>1.14147</v>
      </c>
      <c r="N98" s="1">
        <v>1.1178399999999999</v>
      </c>
      <c r="O98" s="1">
        <v>1.14029</v>
      </c>
      <c r="P98" s="1">
        <v>1.12385</v>
      </c>
      <c r="Q98" s="1">
        <v>1.16239</v>
      </c>
      <c r="R98" s="1">
        <v>1.19587</v>
      </c>
      <c r="S98" s="1">
        <v>1.1429800000000001</v>
      </c>
      <c r="T98" s="1">
        <v>1.14147</v>
      </c>
      <c r="U98" s="1">
        <v>1.1178399999999999</v>
      </c>
      <c r="V98" s="1">
        <v>1.14029</v>
      </c>
      <c r="W98" s="1">
        <v>1.12385</v>
      </c>
      <c r="X98" s="1">
        <v>1.16239</v>
      </c>
      <c r="Y98" s="1">
        <v>1.19587</v>
      </c>
      <c r="Z98" s="1">
        <v>1.1429800000000001</v>
      </c>
      <c r="AA98" s="1">
        <v>1.14147</v>
      </c>
      <c r="AB98" s="1">
        <v>1.1178399999999999</v>
      </c>
      <c r="AC98" s="1">
        <v>1.14029</v>
      </c>
      <c r="AD98" s="1">
        <v>1.12385</v>
      </c>
      <c r="AE98" s="1">
        <v>1.16239</v>
      </c>
      <c r="AF98" s="1">
        <v>1.19587</v>
      </c>
      <c r="AG98" s="1">
        <v>1.1429800000000001</v>
      </c>
      <c r="AH98" s="1">
        <v>1.1640999999999999</v>
      </c>
      <c r="AI98" s="1">
        <v>1.1178399999999999</v>
      </c>
      <c r="AJ98" s="1">
        <v>1.14029</v>
      </c>
      <c r="AL98" s="4" t="s">
        <v>21</v>
      </c>
      <c r="AM98" s="6" t="str" cm="1">
        <f t="array" ref="AM98">IFERROR((SUMPRODUCT(($B$78:$B$101=AM$76)*($F$75:$AJ$75="")*$F$78:$AJ$101)+IF(AM$76="P6",SUMPRODUCT(($F$75:$AJ$75="P6")*$F$78:$AJ$101),0))/(SUMPRODUCT(($B$78:$B$101=AM$76)*($F$75:$AJ$75=""))+IF(AM$76="P6",COUNTIF($F$75:$AJ$75,"P6")*ROWS($B$78:$B$101),0)),"")</f>
        <v/>
      </c>
      <c r="AN98" s="6" t="str" cm="1">
        <f t="array" ref="AN98">IFERROR((SUMPRODUCT(($B$78:$B$101=AN$76)*($F$75:$AJ$75="")*$F$78:$AJ$101)+IF(AN$76="P6",SUMPRODUCT(($F$75:$AJ$75="P6")*$F$78:$AJ$101),0))/(SUMPRODUCT(($B$78:$B$101=AN$76)*($F$75:$AJ$75=""))+IF(AN$76="P6",COUNTIF($F$75:$AJ$75,"P6")*ROWS($B$78:$B$101),0)),"")</f>
        <v/>
      </c>
      <c r="AO98" s="6" t="str" cm="1">
        <f t="array" ref="AO98">IFERROR((SUMPRODUCT(($B$78:$B$101=AO$76)*($F$75:$AJ$75="")*$F$78:$AJ$101)+IF(AO$76="P6",SUMPRODUCT(($F$75:$AJ$75="P6")*$F$78:$AJ$101),0))/(SUMPRODUCT(($B$78:$B$101=AO$76)*($F$75:$AJ$75=""))+IF(AO$76="P6",COUNTIF($F$75:$AJ$75,"P6")*ROWS($B$78:$B$101),0)),"")</f>
        <v/>
      </c>
      <c r="AP98" s="6" cm="1">
        <f t="array" ref="AP98">IFERROR((SUMPRODUCT(($B$78:$B$101=AP$76)*($F$75:$AJ$75="")*$F$78:$AJ$101)+IF(AP$76="P6",SUMPRODUCT(($F$75:$AJ$75="P6")*$F$78:$AJ$101),0))/(SUMPRODUCT(($B$78:$B$101=AP$76)*($F$75:$AJ$75=""))+IF(AP$76="P6",COUNTIF($F$75:$AJ$75,"P6")*ROWS($B$78:$B$101),0)),"")</f>
        <v>1.070482727272728</v>
      </c>
      <c r="AQ98" s="6" cm="1">
        <f t="array" ref="AQ98">IFERROR((SUMPRODUCT(($B$78:$B$101=AQ$76)*($F$75:$AJ$75="")*$F$78:$AJ$101)+IF(AQ$76="P6",SUMPRODUCT(($F$75:$AJ$75="P6")*$F$78:$AJ$101),0))/(SUMPRODUCT(($B$78:$B$101=AQ$76)*($F$75:$AJ$75=""))+IF(AQ$76="P6",COUNTIF($F$75:$AJ$75,"P6")*ROWS($B$78:$B$101),0)),"")</f>
        <v>1.1537718181818186</v>
      </c>
      <c r="AR98" s="6" cm="1">
        <f t="array" ref="AR98">IFERROR((SUMPRODUCT(($B$78:$B$101=AR$76)*($F$75:$AJ$75="")*$F$78:$AJ$101)+IF(AR$76="P6",SUMPRODUCT(($F$75:$AJ$75="P6")*$F$78:$AJ$101),0))/(SUMPRODUCT(($B$78:$B$101=AR$76)*($F$75:$AJ$75=""))+IF(AR$76="P6",COUNTIF($F$75:$AJ$75,"P6")*ROWS($B$78:$B$101),0)),"")</f>
        <v>1.1958078061224495</v>
      </c>
    </row>
    <row r="99" spans="1:44" ht="14.25" customHeight="1" x14ac:dyDescent="0.35">
      <c r="A99" s="1" t="s">
        <v>14</v>
      </c>
      <c r="B99" s="1" t="s">
        <v>16</v>
      </c>
      <c r="C99" s="1" t="s">
        <v>13</v>
      </c>
      <c r="D99" s="1" t="s">
        <v>14</v>
      </c>
      <c r="E99" s="1" t="s">
        <v>40</v>
      </c>
      <c r="F99" s="1">
        <v>1.1510800000000001</v>
      </c>
      <c r="G99" s="1">
        <v>1.1376900000000001</v>
      </c>
      <c r="H99" s="1">
        <v>1.17458</v>
      </c>
      <c r="I99" s="1">
        <v>1.1577</v>
      </c>
      <c r="J99" s="1">
        <v>1.1841999999999999</v>
      </c>
      <c r="K99" s="1">
        <v>1.22515</v>
      </c>
      <c r="L99" s="1">
        <v>1.15296</v>
      </c>
      <c r="M99" s="1">
        <v>1.1510800000000001</v>
      </c>
      <c r="N99" s="1">
        <v>1.1376900000000001</v>
      </c>
      <c r="O99" s="1">
        <v>1.17458</v>
      </c>
      <c r="P99" s="1">
        <v>1.1577</v>
      </c>
      <c r="Q99" s="1">
        <v>1.1841999999999999</v>
      </c>
      <c r="R99" s="1">
        <v>1.22515</v>
      </c>
      <c r="S99" s="1">
        <v>1.15296</v>
      </c>
      <c r="T99" s="1">
        <v>1.1510800000000001</v>
      </c>
      <c r="U99" s="1">
        <v>1.1376900000000001</v>
      </c>
      <c r="V99" s="1">
        <v>1.17458</v>
      </c>
      <c r="W99" s="1">
        <v>1.1577</v>
      </c>
      <c r="X99" s="1">
        <v>1.1841999999999999</v>
      </c>
      <c r="Y99" s="1">
        <v>1.22515</v>
      </c>
      <c r="Z99" s="1">
        <v>1.15296</v>
      </c>
      <c r="AA99" s="1">
        <v>1.1510800000000001</v>
      </c>
      <c r="AB99" s="1">
        <v>1.1376900000000001</v>
      </c>
      <c r="AC99" s="1">
        <v>1.17458</v>
      </c>
      <c r="AD99" s="1">
        <v>1.1577</v>
      </c>
      <c r="AE99" s="1">
        <v>1.1841999999999999</v>
      </c>
      <c r="AF99" s="1">
        <v>1.22515</v>
      </c>
      <c r="AG99" s="1">
        <v>1.15296</v>
      </c>
      <c r="AH99" s="1">
        <v>1.14147</v>
      </c>
      <c r="AI99" s="1">
        <v>1.1376900000000001</v>
      </c>
      <c r="AJ99" s="1">
        <v>1.17458</v>
      </c>
      <c r="AL99" s="4" t="s">
        <v>23</v>
      </c>
      <c r="AM99" s="6" t="str" cm="1">
        <f t="array" ref="AM99">IFERROR((SUMPRODUCT(($B$78:$B$101=AM$76)*($F$75:$AJ$75="")*$F$78:$AJ$101)+IF(AM$76="P6",SUMPRODUCT(($F$75:$AJ$75="P6")*$F$78:$AJ$101),0))/(SUMPRODUCT(($B$78:$B$101=AM$76)*($F$75:$AJ$75=""))+IF(AM$76="P6",COUNTIF($F$75:$AJ$75,"P6")*ROWS($B$78:$B$101),0)),"")</f>
        <v/>
      </c>
      <c r="AN99" s="6" t="str" cm="1">
        <f t="array" ref="AN99">IFERROR((SUMPRODUCT(($B$78:$B$101=AN$76)*($F$75:$AJ$75="")*$F$78:$AJ$101)+IF(AN$76="P6",SUMPRODUCT(($F$75:$AJ$75="P6")*$F$78:$AJ$101),0))/(SUMPRODUCT(($B$78:$B$101=AN$76)*($F$75:$AJ$75=""))+IF(AN$76="P6",COUNTIF($F$75:$AJ$75,"P6")*ROWS($B$78:$B$101),0)),"")</f>
        <v/>
      </c>
      <c r="AO99" s="6" t="str" cm="1">
        <f t="array" ref="AO99">IFERROR((SUMPRODUCT(($B$78:$B$101=AO$76)*($F$75:$AJ$75="")*$F$78:$AJ$101)+IF(AO$76="P6",SUMPRODUCT(($F$75:$AJ$75="P6")*$F$78:$AJ$101),0))/(SUMPRODUCT(($B$78:$B$101=AO$76)*($F$75:$AJ$75=""))+IF(AO$76="P6",COUNTIF($F$75:$AJ$75,"P6")*ROWS($B$78:$B$101),0)),"")</f>
        <v/>
      </c>
      <c r="AP99" s="6" cm="1">
        <f t="array" ref="AP99">IFERROR((SUMPRODUCT(($B$78:$B$101=AP$76)*($F$75:$AJ$75="")*$F$78:$AJ$101)+IF(AP$76="P6",SUMPRODUCT(($F$75:$AJ$75="P6")*$F$78:$AJ$101),0))/(SUMPRODUCT(($B$78:$B$101=AP$76)*($F$75:$AJ$75=""))+IF(AP$76="P6",COUNTIF($F$75:$AJ$75,"P6")*ROWS($B$78:$B$101),0)),"")</f>
        <v>1.070482727272728</v>
      </c>
      <c r="AQ99" s="6" cm="1">
        <f t="array" ref="AQ99">IFERROR((SUMPRODUCT(($B$78:$B$101=AQ$76)*($F$75:$AJ$75="")*$F$78:$AJ$101)+IF(AQ$76="P6",SUMPRODUCT(($F$75:$AJ$75="P6")*$F$78:$AJ$101),0))/(SUMPRODUCT(($B$78:$B$101=AQ$76)*($F$75:$AJ$75=""))+IF(AQ$76="P6",COUNTIF($F$75:$AJ$75,"P6")*ROWS($B$78:$B$101),0)),"")</f>
        <v>1.1537718181818186</v>
      </c>
      <c r="AR99" s="6" cm="1">
        <f t="array" ref="AR99">IFERROR((SUMPRODUCT(($B$78:$B$101=AR$76)*($F$75:$AJ$75="")*$F$78:$AJ$101)+IF(AR$76="P6",SUMPRODUCT(($F$75:$AJ$75="P6")*$F$78:$AJ$101),0))/(SUMPRODUCT(($B$78:$B$101=AR$76)*($F$75:$AJ$75=""))+IF(AR$76="P6",COUNTIF($F$75:$AJ$75,"P6")*ROWS($B$78:$B$101),0)),"")</f>
        <v>1.1958078061224495</v>
      </c>
    </row>
    <row r="100" spans="1:44" ht="14.25" customHeight="1" x14ac:dyDescent="0.35">
      <c r="A100" s="1" t="s">
        <v>16</v>
      </c>
      <c r="B100" s="1" t="s">
        <v>17</v>
      </c>
      <c r="C100" s="1" t="s">
        <v>14</v>
      </c>
      <c r="D100" s="1" t="s">
        <v>15</v>
      </c>
      <c r="E100" s="1" t="s">
        <v>41</v>
      </c>
      <c r="F100" s="1">
        <v>1.1803999999999999</v>
      </c>
      <c r="G100" s="1">
        <v>1.23807</v>
      </c>
      <c r="H100" s="1">
        <v>1.26247</v>
      </c>
      <c r="I100" s="1">
        <v>1.2444500000000001</v>
      </c>
      <c r="J100" s="1">
        <v>1.2816700000000001</v>
      </c>
      <c r="K100" s="1">
        <v>1.3166899999999999</v>
      </c>
      <c r="L100" s="1">
        <v>1.1984900000000001</v>
      </c>
      <c r="M100" s="1">
        <v>1.1803999999999999</v>
      </c>
      <c r="N100" s="1">
        <v>1.23807</v>
      </c>
      <c r="O100" s="1">
        <v>1.26247</v>
      </c>
      <c r="P100" s="1">
        <v>1.2444500000000001</v>
      </c>
      <c r="Q100" s="1">
        <v>1.2816700000000001</v>
      </c>
      <c r="R100" s="1">
        <v>1.3166899999999999</v>
      </c>
      <c r="S100" s="1">
        <v>1.1984900000000001</v>
      </c>
      <c r="T100" s="1">
        <v>1.1803999999999999</v>
      </c>
      <c r="U100" s="1">
        <v>1.23807</v>
      </c>
      <c r="V100" s="1">
        <v>1.26247</v>
      </c>
      <c r="W100" s="1">
        <v>1.2444500000000001</v>
      </c>
      <c r="X100" s="1">
        <v>1.2816700000000001</v>
      </c>
      <c r="Y100" s="1">
        <v>1.3166899999999999</v>
      </c>
      <c r="Z100" s="1">
        <v>1.1984900000000001</v>
      </c>
      <c r="AA100" s="1">
        <v>1.1803999999999999</v>
      </c>
      <c r="AB100" s="1">
        <v>1.23807</v>
      </c>
      <c r="AC100" s="1">
        <v>1.26247</v>
      </c>
      <c r="AD100" s="1">
        <v>1.2444500000000001</v>
      </c>
      <c r="AE100" s="1">
        <v>1.2816700000000001</v>
      </c>
      <c r="AF100" s="1">
        <v>1.3166899999999999</v>
      </c>
      <c r="AG100" s="1">
        <v>1.1984900000000001</v>
      </c>
      <c r="AH100" s="1">
        <v>1.1510800000000001</v>
      </c>
      <c r="AI100" s="1">
        <v>1.23807</v>
      </c>
      <c r="AJ100" s="1">
        <v>1.26247</v>
      </c>
      <c r="AL100" s="4" t="s">
        <v>25</v>
      </c>
      <c r="AM100" s="6" t="str" cm="1">
        <f t="array" ref="AM100">IFERROR((SUMPRODUCT(($B$78:$B$101=AM$76)*($F$75:$AJ$75="")*$F$78:$AJ$101)+IF(AM$76="P6",SUMPRODUCT(($F$75:$AJ$75="P6")*$F$78:$AJ$101),0))/(SUMPRODUCT(($B$78:$B$101=AM$76)*($F$75:$AJ$75=""))+IF(AM$76="P6",COUNTIF($F$75:$AJ$75,"P6")*ROWS($B$78:$B$101),0)),"")</f>
        <v/>
      </c>
      <c r="AN100" s="6" t="str" cm="1">
        <f t="array" ref="AN100">IFERROR((SUMPRODUCT(($B$78:$B$101=AN$76)*($F$75:$AJ$75="")*$F$78:$AJ$101)+IF(AN$76="P6",SUMPRODUCT(($F$75:$AJ$75="P6")*$F$78:$AJ$101),0))/(SUMPRODUCT(($B$78:$B$101=AN$76)*($F$75:$AJ$75=""))+IF(AN$76="P6",COUNTIF($F$75:$AJ$75,"P6")*ROWS($B$78:$B$101),0)),"")</f>
        <v/>
      </c>
      <c r="AO100" s="6" t="str" cm="1">
        <f t="array" ref="AO100">IFERROR((SUMPRODUCT(($B$78:$B$101=AO$76)*($F$75:$AJ$75="")*$F$78:$AJ$101)+IF(AO$76="P6",SUMPRODUCT(($F$75:$AJ$75="P6")*$F$78:$AJ$101),0))/(SUMPRODUCT(($B$78:$B$101=AO$76)*($F$75:$AJ$75=""))+IF(AO$76="P6",COUNTIF($F$75:$AJ$75,"P6")*ROWS($B$78:$B$101),0)),"")</f>
        <v/>
      </c>
      <c r="AP100" s="6" cm="1">
        <f t="array" ref="AP100">IFERROR((SUMPRODUCT(($B$78:$B$101=AP$76)*($F$75:$AJ$75="")*$F$78:$AJ$101)+IF(AP$76="P6",SUMPRODUCT(($F$75:$AJ$75="P6")*$F$78:$AJ$101),0))/(SUMPRODUCT(($B$78:$B$101=AP$76)*($F$75:$AJ$75=""))+IF(AP$76="P6",COUNTIF($F$75:$AJ$75,"P6")*ROWS($B$78:$B$101),0)),"")</f>
        <v>1.070482727272728</v>
      </c>
      <c r="AQ100" s="6" cm="1">
        <f t="array" ref="AQ100">IFERROR((SUMPRODUCT(($B$78:$B$101=AQ$76)*($F$75:$AJ$75="")*$F$78:$AJ$101)+IF(AQ$76="P6",SUMPRODUCT(($F$75:$AJ$75="P6")*$F$78:$AJ$101),0))/(SUMPRODUCT(($B$78:$B$101=AQ$76)*($F$75:$AJ$75=""))+IF(AQ$76="P6",COUNTIF($F$75:$AJ$75,"P6")*ROWS($B$78:$B$101),0)),"")</f>
        <v>1.1537718181818186</v>
      </c>
      <c r="AR100" s="6" cm="1">
        <f t="array" ref="AR100">IFERROR((SUMPRODUCT(($B$78:$B$101=AR$76)*($F$75:$AJ$75="")*$F$78:$AJ$101)+IF(AR$76="P6",SUMPRODUCT(($F$75:$AJ$75="P6")*$F$78:$AJ$101),0))/(SUMPRODUCT(($B$78:$B$101=AR$76)*($F$75:$AJ$75=""))+IF(AR$76="P6",COUNTIF($F$75:$AJ$75,"P6")*ROWS($B$78:$B$101),0)),"")</f>
        <v>1.1958078061224495</v>
      </c>
    </row>
    <row r="101" spans="1:44" ht="14.25" customHeight="1" x14ac:dyDescent="0.35">
      <c r="A101" s="1" t="s">
        <v>16</v>
      </c>
      <c r="B101" s="1" t="s">
        <v>17</v>
      </c>
      <c r="C101" s="1" t="s">
        <v>14</v>
      </c>
      <c r="D101" s="1" t="s">
        <v>15</v>
      </c>
      <c r="E101" s="1" t="s">
        <v>42</v>
      </c>
      <c r="F101" s="1">
        <v>1.23217</v>
      </c>
      <c r="G101" s="1">
        <v>1.2978700000000001</v>
      </c>
      <c r="H101" s="1">
        <v>1.32046</v>
      </c>
      <c r="I101" s="1">
        <v>1.28834</v>
      </c>
      <c r="J101" s="1">
        <v>1.3314299999999999</v>
      </c>
      <c r="K101" s="1">
        <v>1.35765</v>
      </c>
      <c r="L101" s="1">
        <v>1.2408600000000001</v>
      </c>
      <c r="M101" s="1">
        <v>1.23217</v>
      </c>
      <c r="N101" s="1">
        <v>1.2978700000000001</v>
      </c>
      <c r="O101" s="1">
        <v>1.32046</v>
      </c>
      <c r="P101" s="1">
        <v>1.28834</v>
      </c>
      <c r="Q101" s="1">
        <v>1.3314299999999999</v>
      </c>
      <c r="R101" s="1">
        <v>1.35765</v>
      </c>
      <c r="S101" s="1">
        <v>1.2408600000000001</v>
      </c>
      <c r="T101" s="1">
        <v>1.23217</v>
      </c>
      <c r="U101" s="1">
        <v>1.2978700000000001</v>
      </c>
      <c r="V101" s="1">
        <v>1.32046</v>
      </c>
      <c r="W101" s="1">
        <v>1.28834</v>
      </c>
      <c r="X101" s="1">
        <v>1.3314299999999999</v>
      </c>
      <c r="Y101" s="1">
        <v>1.35765</v>
      </c>
      <c r="Z101" s="1">
        <v>1.2408600000000001</v>
      </c>
      <c r="AA101" s="1">
        <v>1.23217</v>
      </c>
      <c r="AB101" s="1">
        <v>1.2978700000000001</v>
      </c>
      <c r="AC101" s="1">
        <v>1.32046</v>
      </c>
      <c r="AD101" s="1">
        <v>1.28834</v>
      </c>
      <c r="AE101" s="1">
        <v>1.3314299999999999</v>
      </c>
      <c r="AF101" s="1">
        <v>1.35765</v>
      </c>
      <c r="AG101" s="1">
        <v>1.2408600000000001</v>
      </c>
      <c r="AH101" s="1">
        <v>1.1803999999999999</v>
      </c>
      <c r="AI101" s="1">
        <v>1.2978700000000001</v>
      </c>
      <c r="AJ101" s="1">
        <v>1.32046</v>
      </c>
      <c r="AL101" s="4" t="s">
        <v>27</v>
      </c>
      <c r="AM101" s="6" t="str" cm="1">
        <f t="array" ref="AM101">IFERROR((SUMPRODUCT(($B$78:$B$101=AM$76)*($F$75:$AJ$75="")*$F$78:$AJ$101)+IF(AM$76="P6",SUMPRODUCT(($F$75:$AJ$75="P6")*$F$78:$AJ$101),0))/(SUMPRODUCT(($B$78:$B$101=AM$76)*($F$75:$AJ$75=""))+IF(AM$76="P6",COUNTIF($F$75:$AJ$75,"P6")*ROWS($B$78:$B$101),0)),"")</f>
        <v/>
      </c>
      <c r="AN101" s="6" t="str" cm="1">
        <f t="array" ref="AN101">IFERROR((SUMPRODUCT(($B$78:$B$101=AN$76)*($F$75:$AJ$75="")*$F$78:$AJ$101)+IF(AN$76="P6",SUMPRODUCT(($F$75:$AJ$75="P6")*$F$78:$AJ$101),0))/(SUMPRODUCT(($B$78:$B$101=AN$76)*($F$75:$AJ$75=""))+IF(AN$76="P6",COUNTIF($F$75:$AJ$75,"P6")*ROWS($B$78:$B$101),0)),"")</f>
        <v/>
      </c>
      <c r="AO101" s="6" t="str" cm="1">
        <f t="array" ref="AO101">IFERROR((SUMPRODUCT(($B$78:$B$101=AO$76)*($F$75:$AJ$75="")*$F$78:$AJ$101)+IF(AO$76="P6",SUMPRODUCT(($F$75:$AJ$75="P6")*$F$78:$AJ$101),0))/(SUMPRODUCT(($B$78:$B$101=AO$76)*($F$75:$AJ$75=""))+IF(AO$76="P6",COUNTIF($F$75:$AJ$75,"P6")*ROWS($B$78:$B$101),0)),"")</f>
        <v/>
      </c>
      <c r="AP101" s="6" cm="1">
        <f t="array" ref="AP101">IFERROR((SUMPRODUCT(($B$78:$B$101=AP$76)*($F$75:$AJ$75="")*$F$78:$AJ$101)+IF(AP$76="P6",SUMPRODUCT(($F$75:$AJ$75="P6")*$F$78:$AJ$101),0))/(SUMPRODUCT(($B$78:$B$101=AP$76)*($F$75:$AJ$75=""))+IF(AP$76="P6",COUNTIF($F$75:$AJ$75,"P6")*ROWS($B$78:$B$101),0)),"")</f>
        <v>1.070482727272728</v>
      </c>
      <c r="AQ101" s="6" cm="1">
        <f t="array" ref="AQ101">IFERROR((SUMPRODUCT(($B$78:$B$101=AQ$76)*($F$75:$AJ$75="")*$F$78:$AJ$101)+IF(AQ$76="P6",SUMPRODUCT(($F$75:$AJ$75="P6")*$F$78:$AJ$101),0))/(SUMPRODUCT(($B$78:$B$101=AQ$76)*($F$75:$AJ$75=""))+IF(AQ$76="P6",COUNTIF($F$75:$AJ$75,"P6")*ROWS($B$78:$B$101),0)),"")</f>
        <v>1.1537718181818186</v>
      </c>
      <c r="AR101" s="6" cm="1">
        <f t="array" ref="AR101">IFERROR((SUMPRODUCT(($B$78:$B$101=AR$76)*($F$75:$AJ$75="")*$F$78:$AJ$101)+IF(AR$76="P6",SUMPRODUCT(($F$75:$AJ$75="P6")*$F$78:$AJ$101),0))/(SUMPRODUCT(($B$78:$B$101=AR$76)*($F$75:$AJ$75=""))+IF(AR$76="P6",COUNTIF($F$75:$AJ$75,"P6")*ROWS($B$78:$B$101),0)),"")</f>
        <v>1.1958078061224495</v>
      </c>
    </row>
    <row r="102" spans="1:44" ht="14.25" customHeight="1" x14ac:dyDescent="0.35">
      <c r="AL102" s="4" t="s">
        <v>29</v>
      </c>
      <c r="AM102" s="6" t="str" cm="1">
        <f t="array" ref="AM102">IFERROR((SUMPRODUCT(($B$78:$B$101=AM$76)*($F$75:$AJ$75="")*$F$78:$AJ$101)+IF(AM$76="P6",SUMPRODUCT(($F$75:$AJ$75="P6")*$F$78:$AJ$101),0))/(SUMPRODUCT(($B$78:$B$101=AM$76)*($F$75:$AJ$75=""))+IF(AM$76="P6",COUNTIF($F$75:$AJ$75,"P6")*ROWS($B$78:$B$101),0)),"")</f>
        <v/>
      </c>
      <c r="AN102" s="6" t="str" cm="1">
        <f t="array" ref="AN102">IFERROR((SUMPRODUCT(($B$78:$B$101=AN$76)*($F$75:$AJ$75="")*$F$78:$AJ$101)+IF(AN$76="P6",SUMPRODUCT(($F$75:$AJ$75="P6")*$F$78:$AJ$101),0))/(SUMPRODUCT(($B$78:$B$101=AN$76)*($F$75:$AJ$75=""))+IF(AN$76="P6",COUNTIF($F$75:$AJ$75,"P6")*ROWS($B$78:$B$101),0)),"")</f>
        <v/>
      </c>
      <c r="AO102" s="6" t="str" cm="1">
        <f t="array" ref="AO102">IFERROR((SUMPRODUCT(($B$78:$B$101=AO$76)*($F$75:$AJ$75="")*$F$78:$AJ$101)+IF(AO$76="P6",SUMPRODUCT(($F$75:$AJ$75="P6")*$F$78:$AJ$101),0))/(SUMPRODUCT(($B$78:$B$101=AO$76)*($F$75:$AJ$75=""))+IF(AO$76="P6",COUNTIF($F$75:$AJ$75,"P6")*ROWS($B$78:$B$101),0)),"")</f>
        <v/>
      </c>
      <c r="AP102" s="6" cm="1">
        <f t="array" ref="AP102">IFERROR((SUMPRODUCT(($B$78:$B$101=AP$76)*($F$75:$AJ$75="")*$F$78:$AJ$101)+IF(AP$76="P6",SUMPRODUCT(($F$75:$AJ$75="P6")*$F$78:$AJ$101),0))/(SUMPRODUCT(($B$78:$B$101=AP$76)*($F$75:$AJ$75=""))+IF(AP$76="P6",COUNTIF($F$75:$AJ$75,"P6")*ROWS($B$78:$B$101),0)),"")</f>
        <v>1.070482727272728</v>
      </c>
      <c r="AQ102" s="6" cm="1">
        <f t="array" ref="AQ102">IFERROR((SUMPRODUCT(($B$78:$B$101=AQ$76)*($F$75:$AJ$75="")*$F$78:$AJ$101)+IF(AQ$76="P6",SUMPRODUCT(($F$75:$AJ$75="P6")*$F$78:$AJ$101),0))/(SUMPRODUCT(($B$78:$B$101=AQ$76)*($F$75:$AJ$75=""))+IF(AQ$76="P6",COUNTIF($F$75:$AJ$75,"P6")*ROWS($B$78:$B$101),0)),"")</f>
        <v>1.1537718181818186</v>
      </c>
      <c r="AR102" s="6" cm="1">
        <f t="array" ref="AR102">IFERROR((SUMPRODUCT(($B$78:$B$101=AR$76)*($F$75:$AJ$75="")*$F$78:$AJ$101)+IF(AR$76="P6",SUMPRODUCT(($F$75:$AJ$75="P6")*$F$78:$AJ$101),0))/(SUMPRODUCT(($B$78:$B$101=AR$76)*($F$75:$AJ$75=""))+IF(AR$76="P6",COUNTIF($F$75:$AJ$75,"P6")*ROWS($B$78:$B$101),0)),"")</f>
        <v>1.1958078061224495</v>
      </c>
    </row>
    <row r="106" spans="1:44" ht="14.25" customHeight="1" x14ac:dyDescent="0.35">
      <c r="A106" s="15" t="s">
        <v>63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</row>
    <row r="107" spans="1:44" ht="14.25" customHeight="1" x14ac:dyDescent="0.3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</row>
    <row r="108" spans="1:44" ht="14.25" customHeight="1" x14ac:dyDescent="0.35">
      <c r="AL108" s="10"/>
      <c r="AM108" s="10"/>
      <c r="AN108" s="10"/>
      <c r="AO108" s="10"/>
      <c r="AP108" s="10"/>
      <c r="AQ108" s="10"/>
      <c r="AR108" s="10"/>
    </row>
    <row r="109" spans="1:44" ht="14.25" customHeight="1" x14ac:dyDescent="0.35">
      <c r="F109" s="1" t="str">
        <f>IF(OR(F111="S",F111="D"),"P3","")</f>
        <v/>
      </c>
      <c r="G109" s="1" t="str">
        <f t="shared" ref="G109:AI109" si="15">IF(OR(G111="S",G111="D"),"P3","")</f>
        <v/>
      </c>
      <c r="H109" s="1" t="str">
        <f t="shared" si="15"/>
        <v/>
      </c>
      <c r="I109" s="1" t="str">
        <f t="shared" si="15"/>
        <v>P3</v>
      </c>
      <c r="J109" s="1" t="str">
        <f t="shared" si="15"/>
        <v>P3</v>
      </c>
      <c r="K109" s="1" t="str">
        <f t="shared" si="15"/>
        <v/>
      </c>
      <c r="L109" s="1" t="str">
        <f t="shared" si="15"/>
        <v/>
      </c>
      <c r="M109" s="1" t="str">
        <f t="shared" si="15"/>
        <v/>
      </c>
      <c r="N109" s="1" t="str">
        <f t="shared" si="15"/>
        <v/>
      </c>
      <c r="O109" s="1" t="str">
        <f t="shared" si="15"/>
        <v/>
      </c>
      <c r="P109" s="1" t="str">
        <f t="shared" si="15"/>
        <v>P3</v>
      </c>
      <c r="Q109" s="1" t="str">
        <f t="shared" si="15"/>
        <v>P3</v>
      </c>
      <c r="R109" s="1" t="str">
        <f t="shared" si="15"/>
        <v/>
      </c>
      <c r="S109" s="1" t="str">
        <f t="shared" si="15"/>
        <v/>
      </c>
      <c r="T109" s="1" t="str">
        <f t="shared" si="15"/>
        <v/>
      </c>
      <c r="U109" s="1" t="str">
        <f t="shared" si="15"/>
        <v/>
      </c>
      <c r="V109" s="1" t="str">
        <f t="shared" si="15"/>
        <v/>
      </c>
      <c r="W109" s="1" t="str">
        <f t="shared" si="15"/>
        <v>P3</v>
      </c>
      <c r="X109" s="1" t="str">
        <f t="shared" si="15"/>
        <v>P3</v>
      </c>
      <c r="Y109" s="1" t="str">
        <f t="shared" si="15"/>
        <v/>
      </c>
      <c r="Z109" s="1" t="str">
        <f t="shared" si="15"/>
        <v/>
      </c>
      <c r="AA109" s="1" t="str">
        <f t="shared" si="15"/>
        <v/>
      </c>
      <c r="AB109" s="1" t="str">
        <f t="shared" si="15"/>
        <v/>
      </c>
      <c r="AC109" s="1" t="str">
        <f t="shared" si="15"/>
        <v/>
      </c>
      <c r="AD109" s="1" t="str">
        <f t="shared" si="15"/>
        <v>P3</v>
      </c>
      <c r="AE109" s="1" t="str">
        <f t="shared" si="15"/>
        <v>P3</v>
      </c>
      <c r="AF109" s="1" t="str">
        <f t="shared" si="15"/>
        <v/>
      </c>
      <c r="AG109" s="1" t="str">
        <f t="shared" si="15"/>
        <v/>
      </c>
      <c r="AH109" s="1" t="str">
        <f t="shared" si="15"/>
        <v/>
      </c>
      <c r="AI109" s="1" t="str">
        <f t="shared" si="15"/>
        <v/>
      </c>
      <c r="AL109" s="10"/>
      <c r="AM109" s="10"/>
      <c r="AN109" s="10"/>
      <c r="AO109" s="10"/>
      <c r="AP109" s="10"/>
      <c r="AQ109" s="10"/>
      <c r="AR109" s="10"/>
    </row>
    <row r="110" spans="1:44" ht="14.25" customHeight="1" x14ac:dyDescent="0.35">
      <c r="F110" s="1" t="str">
        <f>IF(OR(F111="S",F111="D"),"P6","")</f>
        <v/>
      </c>
      <c r="G110" s="1" t="str">
        <f t="shared" ref="G110:AI110" si="16">IF(OR(G111="S",G111="D"),"P6","")</f>
        <v/>
      </c>
      <c r="H110" s="1" t="str">
        <f t="shared" si="16"/>
        <v/>
      </c>
      <c r="I110" s="1" t="str">
        <f t="shared" si="16"/>
        <v>P6</v>
      </c>
      <c r="J110" s="1" t="str">
        <f t="shared" si="16"/>
        <v>P6</v>
      </c>
      <c r="K110" s="1" t="str">
        <f t="shared" si="16"/>
        <v/>
      </c>
      <c r="L110" s="1" t="str">
        <f t="shared" si="16"/>
        <v/>
      </c>
      <c r="M110" s="1" t="str">
        <f t="shared" si="16"/>
        <v/>
      </c>
      <c r="N110" s="1" t="str">
        <f t="shared" si="16"/>
        <v/>
      </c>
      <c r="O110" s="1" t="str">
        <f t="shared" si="16"/>
        <v/>
      </c>
      <c r="P110" s="1" t="str">
        <f t="shared" si="16"/>
        <v>P6</v>
      </c>
      <c r="Q110" s="1" t="str">
        <f t="shared" si="16"/>
        <v>P6</v>
      </c>
      <c r="R110" s="1" t="str">
        <f t="shared" si="16"/>
        <v/>
      </c>
      <c r="S110" s="1" t="str">
        <f t="shared" si="16"/>
        <v/>
      </c>
      <c r="T110" s="1" t="str">
        <f t="shared" si="16"/>
        <v/>
      </c>
      <c r="U110" s="1" t="str">
        <f t="shared" si="16"/>
        <v/>
      </c>
      <c r="V110" s="1" t="str">
        <f t="shared" si="16"/>
        <v/>
      </c>
      <c r="W110" s="1" t="str">
        <f t="shared" si="16"/>
        <v>P6</v>
      </c>
      <c r="X110" s="1" t="str">
        <f t="shared" si="16"/>
        <v>P6</v>
      </c>
      <c r="Y110" s="1" t="str">
        <f t="shared" si="16"/>
        <v/>
      </c>
      <c r="Z110" s="1" t="str">
        <f t="shared" si="16"/>
        <v/>
      </c>
      <c r="AA110" s="1" t="str">
        <f t="shared" si="16"/>
        <v/>
      </c>
      <c r="AB110" s="1" t="str">
        <f t="shared" si="16"/>
        <v/>
      </c>
      <c r="AC110" s="1" t="str">
        <f t="shared" si="16"/>
        <v/>
      </c>
      <c r="AD110" s="1" t="str">
        <f t="shared" si="16"/>
        <v>P6</v>
      </c>
      <c r="AE110" s="1" t="str">
        <f t="shared" si="16"/>
        <v>P6</v>
      </c>
      <c r="AF110" s="1" t="str">
        <f t="shared" si="16"/>
        <v/>
      </c>
      <c r="AG110" s="1" t="str">
        <f t="shared" si="16"/>
        <v/>
      </c>
      <c r="AH110" s="1" t="str">
        <f t="shared" si="16"/>
        <v/>
      </c>
      <c r="AI110" s="1" t="str">
        <f t="shared" si="16"/>
        <v/>
      </c>
      <c r="AL110" s="14" t="s">
        <v>125</v>
      </c>
      <c r="AM110" s="14"/>
      <c r="AN110" s="14"/>
      <c r="AO110" s="14"/>
      <c r="AP110" s="14"/>
      <c r="AQ110" s="14"/>
      <c r="AR110" s="14"/>
    </row>
    <row r="111" spans="1:44" ht="14.25" customHeight="1" x14ac:dyDescent="0.35">
      <c r="F111" s="1" t="str">
        <f>CHOOSE(WEEKDAY(F112,2),"L","M","X","J","V","S","D")</f>
        <v>X</v>
      </c>
      <c r="G111" s="1" t="str">
        <f t="shared" ref="G111:AI111" si="17">CHOOSE(WEEKDAY(G112,2),"L","M","X","J","V","S","D")</f>
        <v>J</v>
      </c>
      <c r="H111" s="1" t="str">
        <f t="shared" si="17"/>
        <v>V</v>
      </c>
      <c r="I111" s="1" t="str">
        <f t="shared" si="17"/>
        <v>S</v>
      </c>
      <c r="J111" s="1" t="str">
        <f t="shared" si="17"/>
        <v>D</v>
      </c>
      <c r="K111" s="1" t="str">
        <f t="shared" si="17"/>
        <v>L</v>
      </c>
      <c r="L111" s="1" t="str">
        <f t="shared" si="17"/>
        <v>M</v>
      </c>
      <c r="M111" s="1" t="str">
        <f t="shared" si="17"/>
        <v>X</v>
      </c>
      <c r="N111" s="1" t="str">
        <f t="shared" si="17"/>
        <v>J</v>
      </c>
      <c r="O111" s="1" t="str">
        <f t="shared" si="17"/>
        <v>V</v>
      </c>
      <c r="P111" s="1" t="str">
        <f t="shared" si="17"/>
        <v>S</v>
      </c>
      <c r="Q111" s="1" t="str">
        <f t="shared" si="17"/>
        <v>D</v>
      </c>
      <c r="R111" s="1" t="str">
        <f t="shared" si="17"/>
        <v>L</v>
      </c>
      <c r="S111" s="1" t="str">
        <f t="shared" si="17"/>
        <v>M</v>
      </c>
      <c r="T111" s="1" t="str">
        <f t="shared" si="17"/>
        <v>X</v>
      </c>
      <c r="U111" s="1" t="str">
        <f t="shared" si="17"/>
        <v>J</v>
      </c>
      <c r="V111" s="1" t="str">
        <f t="shared" si="17"/>
        <v>V</v>
      </c>
      <c r="W111" s="1" t="str">
        <f t="shared" si="17"/>
        <v>S</v>
      </c>
      <c r="X111" s="1" t="str">
        <f t="shared" si="17"/>
        <v>D</v>
      </c>
      <c r="Y111" s="1" t="str">
        <f t="shared" si="17"/>
        <v>L</v>
      </c>
      <c r="Z111" s="1" t="str">
        <f t="shared" si="17"/>
        <v>M</v>
      </c>
      <c r="AA111" s="1" t="str">
        <f t="shared" si="17"/>
        <v>X</v>
      </c>
      <c r="AB111" s="1" t="str">
        <f t="shared" si="17"/>
        <v>J</v>
      </c>
      <c r="AC111" s="1" t="str">
        <f t="shared" si="17"/>
        <v>V</v>
      </c>
      <c r="AD111" s="1" t="str">
        <f t="shared" si="17"/>
        <v>S</v>
      </c>
      <c r="AE111" s="1" t="str">
        <f t="shared" si="17"/>
        <v>D</v>
      </c>
      <c r="AF111" s="1" t="str">
        <f t="shared" si="17"/>
        <v>L</v>
      </c>
      <c r="AG111" s="1" t="str">
        <f t="shared" si="17"/>
        <v>M</v>
      </c>
      <c r="AH111" s="1" t="str">
        <f t="shared" si="17"/>
        <v>X</v>
      </c>
      <c r="AI111" s="1" t="str">
        <f t="shared" si="17"/>
        <v>J</v>
      </c>
      <c r="AL111" s="4"/>
      <c r="AM111" s="4" t="s">
        <v>13</v>
      </c>
      <c r="AN111" s="4" t="s">
        <v>14</v>
      </c>
      <c r="AO111" s="4" t="s">
        <v>15</v>
      </c>
      <c r="AP111" s="4" t="s">
        <v>16</v>
      </c>
      <c r="AQ111" s="4" t="s">
        <v>17</v>
      </c>
      <c r="AR111" s="4" t="s">
        <v>7</v>
      </c>
    </row>
    <row r="112" spans="1:44" ht="14.25" customHeight="1" x14ac:dyDescent="0.35">
      <c r="A112" s="3" t="s">
        <v>76</v>
      </c>
      <c r="B112" s="3" t="s">
        <v>77</v>
      </c>
      <c r="C112" s="3" t="s">
        <v>75</v>
      </c>
      <c r="D112" s="3" t="s">
        <v>74</v>
      </c>
      <c r="F112" s="8">
        <v>46113</v>
      </c>
      <c r="G112" s="8">
        <v>46114</v>
      </c>
      <c r="H112" s="8">
        <v>46115</v>
      </c>
      <c r="I112" s="8">
        <v>46116</v>
      </c>
      <c r="J112" s="8">
        <v>46117</v>
      </c>
      <c r="K112" s="8">
        <v>46118</v>
      </c>
      <c r="L112" s="8">
        <v>46119</v>
      </c>
      <c r="M112" s="8">
        <v>46120</v>
      </c>
      <c r="N112" s="8">
        <v>46121</v>
      </c>
      <c r="O112" s="8">
        <v>46122</v>
      </c>
      <c r="P112" s="8">
        <v>46123</v>
      </c>
      <c r="Q112" s="8">
        <v>46124</v>
      </c>
      <c r="R112" s="8">
        <v>46125</v>
      </c>
      <c r="S112" s="8">
        <v>46126</v>
      </c>
      <c r="T112" s="8">
        <v>46127</v>
      </c>
      <c r="U112" s="8">
        <v>46128</v>
      </c>
      <c r="V112" s="8">
        <v>46129</v>
      </c>
      <c r="W112" s="8">
        <v>46130</v>
      </c>
      <c r="X112" s="8">
        <v>46131</v>
      </c>
      <c r="Y112" s="8">
        <v>46132</v>
      </c>
      <c r="Z112" s="8">
        <v>46133</v>
      </c>
      <c r="AA112" s="8">
        <v>46134</v>
      </c>
      <c r="AB112" s="8">
        <v>46135</v>
      </c>
      <c r="AC112" s="8">
        <v>46136</v>
      </c>
      <c r="AD112" s="8">
        <v>46137</v>
      </c>
      <c r="AE112" s="8">
        <v>46138</v>
      </c>
      <c r="AF112" s="8">
        <v>46139</v>
      </c>
      <c r="AG112" s="8">
        <v>46140</v>
      </c>
      <c r="AH112" s="8">
        <v>46141</v>
      </c>
      <c r="AI112" s="8">
        <v>46142</v>
      </c>
      <c r="AL112" s="4" t="s">
        <v>19</v>
      </c>
      <c r="AM112" s="6" cm="1">
        <f t="array" ref="AM112">IFERROR((SUMPRODUCT(($C$113:$C$136=AM$111)*($F$109:$AI$109="")*$F$113:$AI$136)+IF(AM$111="P3",SUMPRODUCT(($F$109:$AI$109="P3")*$F$113:$AI$136),0))/(SUMPRODUCT(($C$113:$C$136=AM$111)*($F$109:$AI$109=""))+IF(AM$111="P3",COUNTIF($F$109:$AI$109,"P3")*ROWS($C$113:$C$136),0)),"")</f>
        <v>0.98857568181818178</v>
      </c>
      <c r="AN112" s="6" cm="1">
        <f t="array" ref="AN112">IFERROR((SUMPRODUCT(($C$113:$C$136=AN$111)*($F$109:$AI$109="")*$F$113:$AI$136)+IF(AN$111="P3",SUMPRODUCT(($F$109:$AI$109="P3")*$F$113:$AI$136),0))/(SUMPRODUCT(($C$113:$C$136=AN$111)*($F$109:$AI$109=""))+IF(AN$111="P3",COUNTIF($F$109:$AI$109,"P3")*ROWS($C$113:$C$136),0)),"")</f>
        <v>1.138195625</v>
      </c>
      <c r="AO112" s="6" cm="1">
        <f t="array" ref="AO112">IFERROR((SUMPRODUCT(($C$113:$C$136=AO$111)*($F$109:$AI$109="")*$F$113:$AI$136)+IF(AO$111="P3",SUMPRODUCT(($F$109:$AI$109="P3")*$F$113:$AI$136),0))/(SUMPRODUCT(($C$113:$C$136=AO$111)*($F$109:$AI$109=""))+IF(AO$111="P3",COUNTIF($F$109:$AI$109,"P3")*ROWS($C$113:$C$136),0)),"")</f>
        <v>1.052470625</v>
      </c>
      <c r="AP112" s="6" t="str" cm="1">
        <f t="array" ref="AP112">IFERROR((SUMPRODUCT(($C$113:$C$136=AP$111)*($F$109:$AI$109="")*$F$113:$AI$136)+IF(AP$111="P3",SUMPRODUCT(($F$109:$AI$109="P3")*$F$113:$AI$136),0))/(SUMPRODUCT(($C$113:$C$136=AP$111)*($F$109:$AI$109=""))+IF(AP$111="P3",COUNTIF($F$109:$AI$109,"P3")*ROWS($C$113:$C$136),0)),"")</f>
        <v/>
      </c>
      <c r="AQ112" s="6" t="str" cm="1">
        <f t="array" ref="AQ112">IFERROR((SUMPRODUCT(($C$113:$C$136=AQ$111)*($F$109:$AI$109="")*$F$113:$AI$136)+IF(AQ$111="P3",SUMPRODUCT(($F$109:$AI$109="P3")*$F$113:$AI$136),0))/(SUMPRODUCT(($C$113:$C$136=AQ$111)*($F$109:$AI$109=""))+IF(AQ$111="P3",COUNTIF($F$109:$AI$109,"P3")*ROWS($C$113:$C$136),0)),"")</f>
        <v/>
      </c>
      <c r="AR112" s="6" t="str" cm="1">
        <f t="array" ref="AR112">IFERROR((SUMPRODUCT(($C$113:$C$136=AR$111)*($F$109:$AI$109="")*$F$113:$AI$136)+IF(AR$111="P3",SUMPRODUCT(($F$109:$AI$109="P3")*$F$113:$AI$136),0))/(SUMPRODUCT(($C$113:$C$136=AR$111)*($F$109:$AI$109=""))+IF(AR$111="P3",COUNTIF($F$109:$AI$109,"P3")*ROWS($C$113:$C$136),0)),"")</f>
        <v/>
      </c>
    </row>
    <row r="113" spans="1:44" ht="14.25" customHeight="1" x14ac:dyDescent="0.35">
      <c r="A113" s="1" t="s">
        <v>7</v>
      </c>
      <c r="B113" s="1" t="s">
        <v>7</v>
      </c>
      <c r="C113" s="1" t="s">
        <v>15</v>
      </c>
      <c r="D113" s="1" t="s">
        <v>7</v>
      </c>
      <c r="E113" s="1" t="s">
        <v>8</v>
      </c>
      <c r="F113" s="1">
        <v>1.0484100000000001</v>
      </c>
      <c r="G113" s="1">
        <v>1.0715300000000001</v>
      </c>
      <c r="H113" s="1">
        <v>1.1012999999999999</v>
      </c>
      <c r="I113" s="1">
        <v>1.1103099999999999</v>
      </c>
      <c r="J113" s="1">
        <v>1.11086</v>
      </c>
      <c r="K113" s="1">
        <v>1.1055900000000001</v>
      </c>
      <c r="L113" s="1">
        <v>0.87678999999999996</v>
      </c>
      <c r="M113" s="1">
        <v>1.0484100000000001</v>
      </c>
      <c r="N113" s="1">
        <v>1.0715300000000001</v>
      </c>
      <c r="O113" s="1">
        <v>1.1012999999999999</v>
      </c>
      <c r="P113" s="1">
        <v>1.1103099999999999</v>
      </c>
      <c r="Q113" s="1">
        <v>1.11086</v>
      </c>
      <c r="R113" s="1">
        <v>1.1055900000000001</v>
      </c>
      <c r="S113" s="1">
        <v>0.87678999999999996</v>
      </c>
      <c r="T113" s="1">
        <v>1.0484100000000001</v>
      </c>
      <c r="U113" s="1">
        <v>1.0715300000000001</v>
      </c>
      <c r="V113" s="1">
        <v>1.1012999999999999</v>
      </c>
      <c r="W113" s="1">
        <v>1.1103099999999999</v>
      </c>
      <c r="X113" s="1">
        <v>1.11086</v>
      </c>
      <c r="Y113" s="1">
        <v>1.1055900000000001</v>
      </c>
      <c r="Z113" s="1">
        <v>0.87678999999999996</v>
      </c>
      <c r="AA113" s="1">
        <v>1.0484100000000001</v>
      </c>
      <c r="AB113" s="1">
        <v>1.0715300000000001</v>
      </c>
      <c r="AC113" s="1">
        <v>1.1012999999999999</v>
      </c>
      <c r="AD113" s="1">
        <v>1.1103099999999999</v>
      </c>
      <c r="AE113" s="1">
        <v>1.11086</v>
      </c>
      <c r="AF113" s="1">
        <v>1.1055900000000001</v>
      </c>
      <c r="AG113" s="1">
        <v>0.87678999999999996</v>
      </c>
      <c r="AH113" s="1">
        <v>1.0484100000000001</v>
      </c>
      <c r="AI113" s="1">
        <v>1.0715300000000001</v>
      </c>
      <c r="AL113" s="4" t="s">
        <v>21</v>
      </c>
      <c r="AM113" s="6" t="str" cm="1">
        <f t="array" ref="AM113">IFERROR((SUMPRODUCT(($D$113:$D$136=AM$111)*($F$110:$AI$110="")*$F$113:$AI$136)+IF(AM$111="P6",SUMPRODUCT(($F$110:$AI$110="P6")*$F$113:$AI$136),0))/(SUMPRODUCT(($D$113:$D$136=AM$111)*($F$110:$AI$110=""))+IF(AM$111="P6",COUNTIF($F$110:$AI$110,"P6")*ROWS($D$113:$D$136),0)),"")</f>
        <v/>
      </c>
      <c r="AN113" s="6" t="str" cm="1">
        <f t="array" ref="AN113">IFERROR((SUMPRODUCT(($D$113:$D$136=AN$111)*($F$110:$AI$110="")*$F$113:$AI$136)+IF(AN$111="P6",SUMPRODUCT(($F$110:$AI$110="P6")*$F$113:$AI$136),0))/(SUMPRODUCT(($D$113:$D$136=AN$111)*($F$110:$AI$110=""))+IF(AN$111="P6",COUNTIF($F$110:$AI$110,"P6")*ROWS($D$113:$D$136),0)),"")</f>
        <v/>
      </c>
      <c r="AO113" s="6" t="str" cm="1">
        <f t="array" ref="AO113">IFERROR((SUMPRODUCT(($D$113:$D$136=AO$111)*($F$110:$AI$110="")*$F$113:$AI$136)+IF(AO$111="P6",SUMPRODUCT(($F$110:$AI$110="P6")*$F$113:$AI$136),0))/(SUMPRODUCT(($D$113:$D$136=AO$111)*($F$110:$AI$110=""))+IF(AO$111="P6",COUNTIF($F$110:$AI$110,"P6")*ROWS($D$113:$D$136),0)),"")</f>
        <v/>
      </c>
      <c r="AP113" s="6" cm="1">
        <f t="array" ref="AP113">IFERROR((SUMPRODUCT(($D$113:$D$136=AP$111)*($F$110:$AI$110="")*$F$113:$AI$136)+IF(AP$111="P6",SUMPRODUCT(($F$110:$AI$110="P6")*$F$113:$AI$136),0))/(SUMPRODUCT(($D$113:$D$136=AP$111)*($F$110:$AI$110=""))+IF(AP$111="P6",COUNTIF($F$110:$AI$110,"P6")*ROWS($D$113:$D$136),0)),"")</f>
        <v>0.98801878787878838</v>
      </c>
      <c r="AQ113" s="6" cm="1">
        <f t="array" ref="AQ113">IFERROR((SUMPRODUCT(($D$113:$D$136=AQ$111)*($F$110:$AI$110="")*$F$113:$AI$136)+IF(AQ$111="P6",SUMPRODUCT(($F$110:$AI$110="P6")*$F$113:$AI$136),0))/(SUMPRODUCT(($D$113:$D$136=AQ$111)*($F$110:$AI$110=""))+IF(AQ$111="P6",COUNTIF($F$110:$AI$110,"P6")*ROWS($D$113:$D$136),0)),"")</f>
        <v>1.1602859090909083</v>
      </c>
      <c r="AR113" s="6" cm="1">
        <f t="array" ref="AR113">IFERROR((SUMPRODUCT(($D$113:$D$136=AR$111)*($F$110:$AI$110="")*$F$113:$AI$136)+IF(AR$111="P6",SUMPRODUCT(($F$110:$AI$110="P6")*$F$113:$AI$136),0))/(SUMPRODUCT(($D$113:$D$136=AR$111)*($F$110:$AI$110=""))+IF(AR$111="P6",COUNTIF($F$110:$AI$110,"P6")*ROWS($D$113:$D$136),0)),"")</f>
        <v>1.052470625</v>
      </c>
    </row>
    <row r="114" spans="1:44" ht="14.25" customHeight="1" x14ac:dyDescent="0.35">
      <c r="A114" s="1" t="s">
        <v>7</v>
      </c>
      <c r="B114" s="1" t="s">
        <v>7</v>
      </c>
      <c r="C114" s="1" t="s">
        <v>15</v>
      </c>
      <c r="D114" s="1" t="s">
        <v>7</v>
      </c>
      <c r="E114" s="1" t="s">
        <v>9</v>
      </c>
      <c r="F114" s="1">
        <v>1.0859700000000001</v>
      </c>
      <c r="G114" s="1">
        <v>1.0893200000000001</v>
      </c>
      <c r="H114" s="1">
        <v>1.1409199999999999</v>
      </c>
      <c r="I114" s="1">
        <v>1.1368499999999999</v>
      </c>
      <c r="J114" s="1">
        <v>1.1516999999999999</v>
      </c>
      <c r="K114" s="1">
        <v>1.1512899999999999</v>
      </c>
      <c r="L114" s="1">
        <v>1.0487500000000001</v>
      </c>
      <c r="M114" s="1">
        <v>1.0859700000000001</v>
      </c>
      <c r="N114" s="1">
        <v>1.0893200000000001</v>
      </c>
      <c r="O114" s="1">
        <v>1.1409199999999999</v>
      </c>
      <c r="P114" s="1">
        <v>1.1368499999999999</v>
      </c>
      <c r="Q114" s="1">
        <v>1.1516999999999999</v>
      </c>
      <c r="R114" s="1">
        <v>1.1512899999999999</v>
      </c>
      <c r="S114" s="1">
        <v>1.0487500000000001</v>
      </c>
      <c r="T114" s="1">
        <v>1.0859700000000001</v>
      </c>
      <c r="U114" s="1">
        <v>1.0893200000000001</v>
      </c>
      <c r="V114" s="1">
        <v>1.1409199999999999</v>
      </c>
      <c r="W114" s="1">
        <v>1.1368499999999999</v>
      </c>
      <c r="X114" s="1">
        <v>1.1516999999999999</v>
      </c>
      <c r="Y114" s="1">
        <v>1.1512899999999999</v>
      </c>
      <c r="Z114" s="1">
        <v>1.0487500000000001</v>
      </c>
      <c r="AA114" s="1">
        <v>1.0859700000000001</v>
      </c>
      <c r="AB114" s="1">
        <v>1.0893200000000001</v>
      </c>
      <c r="AC114" s="1">
        <v>1.1409199999999999</v>
      </c>
      <c r="AD114" s="1">
        <v>1.1368499999999999</v>
      </c>
      <c r="AE114" s="1">
        <v>1.1516999999999999</v>
      </c>
      <c r="AF114" s="1">
        <v>1.1512899999999999</v>
      </c>
      <c r="AG114" s="1">
        <v>1.0487500000000001</v>
      </c>
      <c r="AH114" s="1">
        <v>1.0859700000000001</v>
      </c>
      <c r="AI114" s="1">
        <v>1.0893200000000001</v>
      </c>
      <c r="AL114" s="4" t="s">
        <v>23</v>
      </c>
      <c r="AM114" s="6" t="str" cm="1">
        <f t="array" ref="AM114">IFERROR((SUMPRODUCT(($D$113:$D$136=AM$111)*($F$110:$AI$110="")*$F$113:$AI$136)+IF(AM$111="P6",SUMPRODUCT(($F$110:$AI$110="P6")*$F$113:$AI$136),0))/(SUMPRODUCT(($D$113:$D$136=AM$111)*($F$110:$AI$110=""))+IF(AM$111="P6",COUNTIF($F$110:$AI$110,"P6")*ROWS($D$113:$D$136),0)),"")</f>
        <v/>
      </c>
      <c r="AN114" s="6" t="str" cm="1">
        <f t="array" ref="AN114">IFERROR((SUMPRODUCT(($D$113:$D$136=AN$111)*($F$110:$AI$110="")*$F$113:$AI$136)+IF(AN$111="P6",SUMPRODUCT(($F$110:$AI$110="P6")*$F$113:$AI$136),0))/(SUMPRODUCT(($D$113:$D$136=AN$111)*($F$110:$AI$110=""))+IF(AN$111="P6",COUNTIF($F$110:$AI$110,"P6")*ROWS($D$113:$D$136),0)),"")</f>
        <v/>
      </c>
      <c r="AO114" s="5" t="str" cm="1">
        <f t="array" ref="AO114">IFERROR((SUMPRODUCT(($D$113:$D$136=AO$111)*($F$110:$AI$110="")*$F$113:$AI$136)+IF(AO$111="P6",SUMPRODUCT(($F$110:$AI$110="P6")*$F$113:$AI$136),0))/(SUMPRODUCT(($D$113:$D$136=AO$111)*($F$110:$AI$110=""))+IF(AO$111="P6",COUNTIF($F$110:$AI$110,"P6")*ROWS($D$113:$D$136),0)),"")</f>
        <v/>
      </c>
      <c r="AP114" s="5" cm="1">
        <f t="array" ref="AP114">IFERROR((SUMPRODUCT(($D$113:$D$136=AP$111)*($F$110:$AI$110="")*$F$113:$AI$136)+IF(AP$111="P6",SUMPRODUCT(($F$110:$AI$110="P6")*$F$113:$AI$136),0))/(SUMPRODUCT(($D$113:$D$136=AP$111)*($F$110:$AI$110=""))+IF(AP$111="P6",COUNTIF($F$110:$AI$110,"P6")*ROWS($D$113:$D$136),0)),"")</f>
        <v>0.98801878787878838</v>
      </c>
      <c r="AQ114" s="5" cm="1">
        <f t="array" ref="AQ114">IFERROR((SUMPRODUCT(($D$113:$D$136=AQ$111)*($F$110:$AI$110="")*$F$113:$AI$136)+IF(AQ$111="P6",SUMPRODUCT(($F$110:$AI$110="P6")*$F$113:$AI$136),0))/(SUMPRODUCT(($D$113:$D$136=AQ$111)*($F$110:$AI$110=""))+IF(AQ$111="P6",COUNTIF($F$110:$AI$110,"P6")*ROWS($D$113:$D$136),0)),"")</f>
        <v>1.1602859090909083</v>
      </c>
      <c r="AR114" s="6" cm="1">
        <f t="array" ref="AR114">IFERROR((SUMPRODUCT(($D$113:$D$136=AR$111)*($F$110:$AI$110="")*$F$113:$AI$136)+IF(AR$111="P6",SUMPRODUCT(($F$110:$AI$110="P6")*$F$113:$AI$136),0))/(SUMPRODUCT(($D$113:$D$136=AR$111)*($F$110:$AI$110=""))+IF(AR$111="P6",COUNTIF($F$110:$AI$110,"P6")*ROWS($D$113:$D$136),0)),"")</f>
        <v>1.052470625</v>
      </c>
    </row>
    <row r="115" spans="1:44" ht="14.25" customHeight="1" x14ac:dyDescent="0.35">
      <c r="A115" s="1" t="s">
        <v>7</v>
      </c>
      <c r="B115" s="1" t="s">
        <v>7</v>
      </c>
      <c r="C115" s="1" t="s">
        <v>15</v>
      </c>
      <c r="D115" s="1" t="s">
        <v>7</v>
      </c>
      <c r="E115" s="1" t="s">
        <v>10</v>
      </c>
      <c r="F115" s="1">
        <v>1.1027</v>
      </c>
      <c r="G115" s="1">
        <v>1.1365400000000001</v>
      </c>
      <c r="H115" s="1">
        <v>1.17222</v>
      </c>
      <c r="I115" s="1">
        <v>1.15079</v>
      </c>
      <c r="J115" s="1">
        <v>1.17723</v>
      </c>
      <c r="K115" s="1">
        <v>1.16614</v>
      </c>
      <c r="L115" s="1">
        <v>1.09962</v>
      </c>
      <c r="M115" s="1">
        <v>1.1027</v>
      </c>
      <c r="N115" s="1">
        <v>1.1365400000000001</v>
      </c>
      <c r="O115" s="1">
        <v>1.17222</v>
      </c>
      <c r="P115" s="1">
        <v>1.15079</v>
      </c>
      <c r="Q115" s="1">
        <v>1.17723</v>
      </c>
      <c r="R115" s="1">
        <v>1.16614</v>
      </c>
      <c r="S115" s="1">
        <v>1.09962</v>
      </c>
      <c r="T115" s="1">
        <v>1.1027</v>
      </c>
      <c r="U115" s="1">
        <v>1.1365400000000001</v>
      </c>
      <c r="V115" s="1">
        <v>1.17222</v>
      </c>
      <c r="W115" s="1">
        <v>1.15079</v>
      </c>
      <c r="X115" s="1">
        <v>1.17723</v>
      </c>
      <c r="Y115" s="1">
        <v>1.16614</v>
      </c>
      <c r="Z115" s="1">
        <v>1.09962</v>
      </c>
      <c r="AA115" s="1">
        <v>1.1027</v>
      </c>
      <c r="AB115" s="1">
        <v>1.1365400000000001</v>
      </c>
      <c r="AC115" s="1">
        <v>1.17222</v>
      </c>
      <c r="AD115" s="1">
        <v>1.15079</v>
      </c>
      <c r="AE115" s="1">
        <v>1.17723</v>
      </c>
      <c r="AF115" s="1">
        <v>1.16614</v>
      </c>
      <c r="AG115" s="1">
        <v>1.09962</v>
      </c>
      <c r="AH115" s="1">
        <v>1.1027</v>
      </c>
      <c r="AI115" s="1">
        <v>1.1365400000000001</v>
      </c>
      <c r="AL115" s="4" t="s">
        <v>25</v>
      </c>
      <c r="AM115" s="6" t="str" cm="1">
        <f t="array" ref="AM115">IFERROR((SUMPRODUCT(($D$113:$D$136=AM$111)*($F$110:$AI$110="")*$F$113:$AI$136)+IF(AM$111="P6",SUMPRODUCT(($F$110:$AI$110="P6")*$F$113:$AI$136),0))/(SUMPRODUCT(($D$113:$D$136=AM$111)*($F$110:$AI$110=""))+IF(AM$111="P6",COUNTIF($F$110:$AI$110,"P6")*ROWS($D$113:$D$136),0)),"")</f>
        <v/>
      </c>
      <c r="AN115" s="6" t="str" cm="1">
        <f t="array" ref="AN115">IFERROR((SUMPRODUCT(($D$113:$D$136=AN$111)*($F$110:$AI$110="")*$F$113:$AI$136)+IF(AN$111="P6",SUMPRODUCT(($F$110:$AI$110="P6")*$F$113:$AI$136),0))/(SUMPRODUCT(($D$113:$D$136=AN$111)*($F$110:$AI$110=""))+IF(AN$111="P6",COUNTIF($F$110:$AI$110,"P6")*ROWS($D$113:$D$136),0)),"")</f>
        <v/>
      </c>
      <c r="AO115" s="5" t="str" cm="1">
        <f t="array" ref="AO115">IFERROR((SUMPRODUCT(($D$113:$D$136=AO$111)*($F$110:$AI$110="")*$F$113:$AI$136)+IF(AO$111="P6",SUMPRODUCT(($F$110:$AI$110="P6")*$F$113:$AI$136),0))/(SUMPRODUCT(($D$113:$D$136=AO$111)*($F$110:$AI$110=""))+IF(AO$111="P6",COUNTIF($F$110:$AI$110,"P6")*ROWS($D$113:$D$136),0)),"")</f>
        <v/>
      </c>
      <c r="AP115" s="5" cm="1">
        <f t="array" ref="AP115">IFERROR((SUMPRODUCT(($D$113:$D$136=AP$111)*($F$110:$AI$110="")*$F$113:$AI$136)+IF(AP$111="P6",SUMPRODUCT(($F$110:$AI$110="P6")*$F$113:$AI$136),0))/(SUMPRODUCT(($D$113:$D$136=AP$111)*($F$110:$AI$110=""))+IF(AP$111="P6",COUNTIF($F$110:$AI$110,"P6")*ROWS($D$113:$D$136),0)),"")</f>
        <v>0.98801878787878838</v>
      </c>
      <c r="AQ115" s="5" cm="1">
        <f t="array" ref="AQ115">IFERROR((SUMPRODUCT(($D$113:$D$136=AQ$111)*($F$110:$AI$110="")*$F$113:$AI$136)+IF(AQ$111="P6",SUMPRODUCT(($F$110:$AI$110="P6")*$F$113:$AI$136),0))/(SUMPRODUCT(($D$113:$D$136=AQ$111)*($F$110:$AI$110=""))+IF(AQ$111="P6",COUNTIF($F$110:$AI$110,"P6")*ROWS($D$113:$D$136),0)),"")</f>
        <v>1.1602859090909083</v>
      </c>
      <c r="AR115" s="6" cm="1">
        <f t="array" ref="AR115">IFERROR((SUMPRODUCT(($D$113:$D$136=AR$111)*($F$110:$AI$110="")*$F$113:$AI$136)+IF(AR$111="P6",SUMPRODUCT(($F$110:$AI$110="P6")*$F$113:$AI$136),0))/(SUMPRODUCT(($D$113:$D$136=AR$111)*($F$110:$AI$110=""))+IF(AR$111="P6",COUNTIF($F$110:$AI$110,"P6")*ROWS($D$113:$D$136),0)),"")</f>
        <v>1.052470625</v>
      </c>
    </row>
    <row r="116" spans="1:44" ht="14.25" customHeight="1" x14ac:dyDescent="0.35">
      <c r="A116" s="1" t="s">
        <v>7</v>
      </c>
      <c r="B116" s="1" t="s">
        <v>7</v>
      </c>
      <c r="C116" s="1" t="s">
        <v>15</v>
      </c>
      <c r="D116" s="1" t="s">
        <v>7</v>
      </c>
      <c r="E116" s="1" t="s">
        <v>11</v>
      </c>
      <c r="F116" s="1">
        <v>1.10582</v>
      </c>
      <c r="G116" s="1">
        <v>1.13896</v>
      </c>
      <c r="H116" s="1">
        <v>1.18658</v>
      </c>
      <c r="I116" s="1">
        <v>1.17381</v>
      </c>
      <c r="J116" s="1">
        <v>1.1873499999999999</v>
      </c>
      <c r="K116" s="1">
        <v>1.1629100000000001</v>
      </c>
      <c r="L116" s="1">
        <v>1.1096900000000001</v>
      </c>
      <c r="M116" s="1">
        <v>1.10582</v>
      </c>
      <c r="N116" s="1">
        <v>1.13896</v>
      </c>
      <c r="O116" s="1">
        <v>1.18658</v>
      </c>
      <c r="P116" s="1">
        <v>1.17381</v>
      </c>
      <c r="Q116" s="1">
        <v>1.1873499999999999</v>
      </c>
      <c r="R116" s="1">
        <v>1.1629100000000001</v>
      </c>
      <c r="S116" s="1">
        <v>1.1096900000000001</v>
      </c>
      <c r="T116" s="1">
        <v>1.10582</v>
      </c>
      <c r="U116" s="1">
        <v>1.13896</v>
      </c>
      <c r="V116" s="1">
        <v>1.18658</v>
      </c>
      <c r="W116" s="1">
        <v>1.17381</v>
      </c>
      <c r="X116" s="1">
        <v>1.1873499999999999</v>
      </c>
      <c r="Y116" s="1">
        <v>1.1629100000000001</v>
      </c>
      <c r="Z116" s="1">
        <v>1.1096900000000001</v>
      </c>
      <c r="AA116" s="1">
        <v>1.10582</v>
      </c>
      <c r="AB116" s="1">
        <v>1.13896</v>
      </c>
      <c r="AC116" s="1">
        <v>1.18658</v>
      </c>
      <c r="AD116" s="1">
        <v>1.17381</v>
      </c>
      <c r="AE116" s="1">
        <v>1.1873499999999999</v>
      </c>
      <c r="AF116" s="1">
        <v>1.1629100000000001</v>
      </c>
      <c r="AG116" s="1">
        <v>1.1096900000000001</v>
      </c>
      <c r="AH116" s="1">
        <v>1.10582</v>
      </c>
      <c r="AI116" s="1">
        <v>1.13896</v>
      </c>
      <c r="AL116" s="4" t="s">
        <v>27</v>
      </c>
      <c r="AM116" s="6" t="str" cm="1">
        <f t="array" ref="AM116">IFERROR((SUMPRODUCT(($D$113:$D$136=AM$111)*($F$110:$AI$110="")*$F$113:$AI$136)+IF(AM$111="P6",SUMPRODUCT(($F$110:$AI$110="P6")*$F$113:$AI$136),0))/(SUMPRODUCT(($D$113:$D$136=AM$111)*($F$110:$AI$110=""))+IF(AM$111="P6",COUNTIF($F$110:$AI$110,"P6")*ROWS($D$113:$D$136),0)),"")</f>
        <v/>
      </c>
      <c r="AN116" s="6" t="str" cm="1">
        <f t="array" ref="AN116">IFERROR((SUMPRODUCT(($D$113:$D$136=AN$111)*($F$110:$AI$110="")*$F$113:$AI$136)+IF(AN$111="P6",SUMPRODUCT(($F$110:$AI$110="P6")*$F$113:$AI$136),0))/(SUMPRODUCT(($D$113:$D$136=AN$111)*($F$110:$AI$110=""))+IF(AN$111="P6",COUNTIF($F$110:$AI$110,"P6")*ROWS($D$113:$D$136),0)),"")</f>
        <v/>
      </c>
      <c r="AO116" s="5" t="str" cm="1">
        <f t="array" ref="AO116">IFERROR((SUMPRODUCT(($D$113:$D$136=AO$111)*($F$110:$AI$110="")*$F$113:$AI$136)+IF(AO$111="P6",SUMPRODUCT(($F$110:$AI$110="P6")*$F$113:$AI$136),0))/(SUMPRODUCT(($D$113:$D$136=AO$111)*($F$110:$AI$110=""))+IF(AO$111="P6",COUNTIF($F$110:$AI$110,"P6")*ROWS($D$113:$D$136),0)),"")</f>
        <v/>
      </c>
      <c r="AP116" s="5" cm="1">
        <f t="array" ref="AP116">IFERROR((SUMPRODUCT(($D$113:$D$136=AP$111)*($F$110:$AI$110="")*$F$113:$AI$136)+IF(AP$111="P6",SUMPRODUCT(($F$110:$AI$110="P6")*$F$113:$AI$136),0))/(SUMPRODUCT(($D$113:$D$136=AP$111)*($F$110:$AI$110=""))+IF(AP$111="P6",COUNTIF($F$110:$AI$110,"P6")*ROWS($D$113:$D$136),0)),"")</f>
        <v>0.98801878787878838</v>
      </c>
      <c r="AQ116" s="5" cm="1">
        <f t="array" ref="AQ116">IFERROR((SUMPRODUCT(($D$113:$D$136=AQ$111)*($F$110:$AI$110="")*$F$113:$AI$136)+IF(AQ$111="P6",SUMPRODUCT(($F$110:$AI$110="P6")*$F$113:$AI$136),0))/(SUMPRODUCT(($D$113:$D$136=AQ$111)*($F$110:$AI$110=""))+IF(AQ$111="P6",COUNTIF($F$110:$AI$110,"P6")*ROWS($D$113:$D$136),0)),"")</f>
        <v>1.1602859090909083</v>
      </c>
      <c r="AR116" s="6" cm="1">
        <f t="array" ref="AR116">IFERROR((SUMPRODUCT(($D$113:$D$136=AR$111)*($F$110:$AI$110="")*$F$113:$AI$136)+IF(AR$111="P6",SUMPRODUCT(($F$110:$AI$110="P6")*$F$113:$AI$136),0))/(SUMPRODUCT(($D$113:$D$136=AR$111)*($F$110:$AI$110=""))+IF(AR$111="P6",COUNTIF($F$110:$AI$110,"P6")*ROWS($D$113:$D$136),0)),"")</f>
        <v>1.052470625</v>
      </c>
    </row>
    <row r="117" spans="1:44" ht="14.25" customHeight="1" x14ac:dyDescent="0.35">
      <c r="A117" s="1" t="s">
        <v>7</v>
      </c>
      <c r="B117" s="1" t="s">
        <v>7</v>
      </c>
      <c r="C117" s="1" t="s">
        <v>15</v>
      </c>
      <c r="D117" s="1" t="s">
        <v>7</v>
      </c>
      <c r="E117" s="1" t="s">
        <v>12</v>
      </c>
      <c r="F117" s="1">
        <v>1.09765</v>
      </c>
      <c r="G117" s="1">
        <v>1.1526400000000001</v>
      </c>
      <c r="H117" s="1">
        <v>1.1957599999999999</v>
      </c>
      <c r="I117" s="1">
        <v>1.1924999999999999</v>
      </c>
      <c r="J117" s="1">
        <v>1.1970000000000001</v>
      </c>
      <c r="K117" s="1">
        <v>1.15947</v>
      </c>
      <c r="L117" s="1">
        <v>1.1147</v>
      </c>
      <c r="M117" s="1">
        <v>1.09765</v>
      </c>
      <c r="N117" s="1">
        <v>1.1526400000000001</v>
      </c>
      <c r="O117" s="1">
        <v>1.1957599999999999</v>
      </c>
      <c r="P117" s="1">
        <v>1.1924999999999999</v>
      </c>
      <c r="Q117" s="1">
        <v>1.1970000000000001</v>
      </c>
      <c r="R117" s="1">
        <v>1.15947</v>
      </c>
      <c r="S117" s="1">
        <v>1.1147</v>
      </c>
      <c r="T117" s="1">
        <v>1.09765</v>
      </c>
      <c r="U117" s="1">
        <v>1.1526400000000001</v>
      </c>
      <c r="V117" s="1">
        <v>1.1957599999999999</v>
      </c>
      <c r="W117" s="1">
        <v>1.1924999999999999</v>
      </c>
      <c r="X117" s="1">
        <v>1.1970000000000001</v>
      </c>
      <c r="Y117" s="1">
        <v>1.15947</v>
      </c>
      <c r="Z117" s="1">
        <v>1.1147</v>
      </c>
      <c r="AA117" s="1">
        <v>1.09765</v>
      </c>
      <c r="AB117" s="1">
        <v>1.1526400000000001</v>
      </c>
      <c r="AC117" s="1">
        <v>1.1957599999999999</v>
      </c>
      <c r="AD117" s="1">
        <v>1.1924999999999999</v>
      </c>
      <c r="AE117" s="1">
        <v>1.1970000000000001</v>
      </c>
      <c r="AF117" s="1">
        <v>1.15947</v>
      </c>
      <c r="AG117" s="1">
        <v>1.1147</v>
      </c>
      <c r="AH117" s="1">
        <v>1.09765</v>
      </c>
      <c r="AI117" s="1">
        <v>1.1526400000000001</v>
      </c>
      <c r="AL117" s="4" t="s">
        <v>29</v>
      </c>
      <c r="AM117" s="6" t="str" cm="1">
        <f t="array" ref="AM117">IFERROR((SUMPRODUCT(($D$113:$D$136=AM$111)*($F$110:$AI$110="")*$F$113:$AI$136)+IF(AM$111="P6",SUMPRODUCT(($F$110:$AI$110="P6")*$F$113:$AI$136),0))/(SUMPRODUCT(($D$113:$D$136=AM$111)*($F$110:$AI$110=""))+IF(AM$111="P6",COUNTIF($F$110:$AI$110,"P6")*ROWS($D$113:$D$136),0)),"")</f>
        <v/>
      </c>
      <c r="AN117" s="6" t="str" cm="1">
        <f t="array" ref="AN117">IFERROR((SUMPRODUCT(($D$113:$D$136=AN$111)*($F$110:$AI$110="")*$F$113:$AI$136)+IF(AN$111="P6",SUMPRODUCT(($F$110:$AI$110="P6")*$F$113:$AI$136),0))/(SUMPRODUCT(($D$113:$D$136=AN$111)*($F$110:$AI$110=""))+IF(AN$111="P6",COUNTIF($F$110:$AI$110,"P6")*ROWS($D$113:$D$136),0)),"")</f>
        <v/>
      </c>
      <c r="AO117" s="5" t="str" cm="1">
        <f t="array" ref="AO117">IFERROR((SUMPRODUCT(($D$113:$D$136=AO$111)*($F$110:$AI$110="")*$F$113:$AI$136)+IF(AO$111="P6",SUMPRODUCT(($F$110:$AI$110="P6")*$F$113:$AI$136),0))/(SUMPRODUCT(($D$113:$D$136=AO$111)*($F$110:$AI$110=""))+IF(AO$111="P6",COUNTIF($F$110:$AI$110,"P6")*ROWS($D$113:$D$136),0)),"")</f>
        <v/>
      </c>
      <c r="AP117" s="5" cm="1">
        <f t="array" ref="AP117">IFERROR((SUMPRODUCT(($D$113:$D$136=AP$111)*($F$110:$AI$110="")*$F$113:$AI$136)+IF(AP$111="P6",SUMPRODUCT(($F$110:$AI$110="P6")*$F$113:$AI$136),0))/(SUMPRODUCT(($D$113:$D$136=AP$111)*($F$110:$AI$110=""))+IF(AP$111="P6",COUNTIF($F$110:$AI$110,"P6")*ROWS($D$113:$D$136),0)),"")</f>
        <v>0.98801878787878838</v>
      </c>
      <c r="AQ117" s="5" cm="1">
        <f t="array" ref="AQ117">IFERROR((SUMPRODUCT(($D$113:$D$136=AQ$111)*($F$110:$AI$110="")*$F$113:$AI$136)+IF(AQ$111="P6",SUMPRODUCT(($F$110:$AI$110="P6")*$F$113:$AI$136),0))/(SUMPRODUCT(($D$113:$D$136=AQ$111)*($F$110:$AI$110=""))+IF(AQ$111="P6",COUNTIF($F$110:$AI$110,"P6")*ROWS($D$113:$D$136),0)),"")</f>
        <v>1.1602859090909083</v>
      </c>
      <c r="AR117" s="6" cm="1">
        <f t="array" ref="AR117">IFERROR((SUMPRODUCT(($D$113:$D$136=AR$111)*($F$110:$AI$110="")*$F$113:$AI$136)+IF(AR$111="P6",SUMPRODUCT(($F$110:$AI$110="P6")*$F$113:$AI$136),0))/(SUMPRODUCT(($D$113:$D$136=AR$111)*($F$110:$AI$110=""))+IF(AR$111="P6",COUNTIF($F$110:$AI$110,"P6")*ROWS($D$113:$D$136),0)),"")</f>
        <v>1.052470625</v>
      </c>
    </row>
    <row r="118" spans="1:44" ht="14.25" customHeight="1" x14ac:dyDescent="0.35">
      <c r="A118" s="1" t="s">
        <v>7</v>
      </c>
      <c r="B118" s="1" t="s">
        <v>7</v>
      </c>
      <c r="C118" s="1" t="s">
        <v>15</v>
      </c>
      <c r="D118" s="1" t="s">
        <v>7</v>
      </c>
      <c r="E118" s="1" t="s">
        <v>18</v>
      </c>
      <c r="F118" s="1">
        <v>1.08219</v>
      </c>
      <c r="G118" s="1">
        <v>1.1394</v>
      </c>
      <c r="H118" s="1">
        <v>1.18971</v>
      </c>
      <c r="I118" s="1">
        <v>1.1848000000000001</v>
      </c>
      <c r="J118" s="1">
        <v>1.20078</v>
      </c>
      <c r="K118" s="1">
        <v>1.1594599999999999</v>
      </c>
      <c r="L118" s="1">
        <v>1.1105700000000001</v>
      </c>
      <c r="M118" s="1">
        <v>1.08219</v>
      </c>
      <c r="N118" s="1">
        <v>1.1394</v>
      </c>
      <c r="O118" s="1">
        <v>1.18971</v>
      </c>
      <c r="P118" s="1">
        <v>1.1848000000000001</v>
      </c>
      <c r="Q118" s="1">
        <v>1.20078</v>
      </c>
      <c r="R118" s="1">
        <v>1.1594599999999999</v>
      </c>
      <c r="S118" s="1">
        <v>1.1105700000000001</v>
      </c>
      <c r="T118" s="1">
        <v>1.08219</v>
      </c>
      <c r="U118" s="1">
        <v>1.1394</v>
      </c>
      <c r="V118" s="1">
        <v>1.18971</v>
      </c>
      <c r="W118" s="1">
        <v>1.1848000000000001</v>
      </c>
      <c r="X118" s="1">
        <v>1.20078</v>
      </c>
      <c r="Y118" s="1">
        <v>1.1594599999999999</v>
      </c>
      <c r="Z118" s="1">
        <v>1.1105700000000001</v>
      </c>
      <c r="AA118" s="1">
        <v>1.08219</v>
      </c>
      <c r="AB118" s="1">
        <v>1.1394</v>
      </c>
      <c r="AC118" s="1">
        <v>1.18971</v>
      </c>
      <c r="AD118" s="1">
        <v>1.1848000000000001</v>
      </c>
      <c r="AE118" s="1">
        <v>1.20078</v>
      </c>
      <c r="AF118" s="1">
        <v>1.1594599999999999</v>
      </c>
      <c r="AG118" s="1">
        <v>1.1105700000000001</v>
      </c>
      <c r="AH118" s="1">
        <v>1.08219</v>
      </c>
      <c r="AI118" s="1">
        <v>1.1394</v>
      </c>
      <c r="AL118" s="10"/>
      <c r="AM118" s="10"/>
      <c r="AN118" s="10"/>
      <c r="AO118" s="10"/>
      <c r="AP118" s="10"/>
      <c r="AQ118" s="10"/>
      <c r="AR118" s="10"/>
    </row>
    <row r="119" spans="1:44" ht="14.25" customHeight="1" x14ac:dyDescent="0.35">
      <c r="A119" s="1" t="s">
        <v>7</v>
      </c>
      <c r="B119" s="1" t="s">
        <v>7</v>
      </c>
      <c r="C119" s="1" t="s">
        <v>15</v>
      </c>
      <c r="D119" s="1" t="s">
        <v>7</v>
      </c>
      <c r="E119" s="1" t="s">
        <v>20</v>
      </c>
      <c r="F119" s="1">
        <v>1.0277499999999999</v>
      </c>
      <c r="G119" s="1">
        <v>1.0761700000000001</v>
      </c>
      <c r="H119" s="1">
        <v>1.12584</v>
      </c>
      <c r="I119" s="1">
        <v>1.1485700000000001</v>
      </c>
      <c r="J119" s="1">
        <v>1.1817800000000001</v>
      </c>
      <c r="K119" s="1">
        <v>1.0831</v>
      </c>
      <c r="L119" s="1">
        <v>1.0396700000000001</v>
      </c>
      <c r="M119" s="1">
        <v>1.0277499999999999</v>
      </c>
      <c r="N119" s="1">
        <v>1.0761700000000001</v>
      </c>
      <c r="O119" s="1">
        <v>1.12584</v>
      </c>
      <c r="P119" s="1">
        <v>1.1485700000000001</v>
      </c>
      <c r="Q119" s="1">
        <v>1.1817800000000001</v>
      </c>
      <c r="R119" s="1">
        <v>1.0831</v>
      </c>
      <c r="S119" s="1">
        <v>1.0396700000000001</v>
      </c>
      <c r="T119" s="1">
        <v>1.0277499999999999</v>
      </c>
      <c r="U119" s="1">
        <v>1.0761700000000001</v>
      </c>
      <c r="V119" s="1">
        <v>1.12584</v>
      </c>
      <c r="W119" s="1">
        <v>1.1485700000000001</v>
      </c>
      <c r="X119" s="1">
        <v>1.1817800000000001</v>
      </c>
      <c r="Y119" s="1">
        <v>1.0831</v>
      </c>
      <c r="Z119" s="1">
        <v>1.0396700000000001</v>
      </c>
      <c r="AA119" s="1">
        <v>1.0277499999999999</v>
      </c>
      <c r="AB119" s="1">
        <v>1.0761700000000001</v>
      </c>
      <c r="AC119" s="1">
        <v>1.12584</v>
      </c>
      <c r="AD119" s="1">
        <v>1.1485700000000001</v>
      </c>
      <c r="AE119" s="1">
        <v>1.1817800000000001</v>
      </c>
      <c r="AF119" s="1">
        <v>1.0831</v>
      </c>
      <c r="AG119" s="1">
        <v>1.0396700000000001</v>
      </c>
      <c r="AH119" s="1">
        <v>1.0277499999999999</v>
      </c>
      <c r="AI119" s="1">
        <v>1.0761700000000001</v>
      </c>
      <c r="AL119" s="10"/>
      <c r="AM119" s="10"/>
      <c r="AN119" s="10"/>
      <c r="AO119" s="10"/>
      <c r="AP119" s="10"/>
      <c r="AQ119" s="10"/>
      <c r="AR119" s="10"/>
    </row>
    <row r="120" spans="1:44" ht="14.25" customHeight="1" x14ac:dyDescent="0.35">
      <c r="A120" s="1" t="s">
        <v>7</v>
      </c>
      <c r="B120" s="1" t="s">
        <v>7</v>
      </c>
      <c r="C120" s="1" t="s">
        <v>15</v>
      </c>
      <c r="D120" s="1" t="s">
        <v>7</v>
      </c>
      <c r="E120" s="1" t="s">
        <v>22</v>
      </c>
      <c r="F120" s="1">
        <v>0.96047000000000005</v>
      </c>
      <c r="G120" s="1">
        <v>1.00383</v>
      </c>
      <c r="H120" s="1">
        <v>1.0507200000000001</v>
      </c>
      <c r="I120" s="1">
        <v>1.12039</v>
      </c>
      <c r="J120" s="1">
        <v>1.16954</v>
      </c>
      <c r="K120" s="1">
        <v>1.00108</v>
      </c>
      <c r="L120" s="1">
        <v>0.96770999999999996</v>
      </c>
      <c r="M120" s="1">
        <v>0.96047000000000005</v>
      </c>
      <c r="N120" s="1">
        <v>1.00383</v>
      </c>
      <c r="O120" s="1">
        <v>1.0507200000000001</v>
      </c>
      <c r="P120" s="1">
        <v>1.12039</v>
      </c>
      <c r="Q120" s="1">
        <v>1.16954</v>
      </c>
      <c r="R120" s="1">
        <v>1.00108</v>
      </c>
      <c r="S120" s="1">
        <v>0.96770999999999996</v>
      </c>
      <c r="T120" s="1">
        <v>0.96047000000000005</v>
      </c>
      <c r="U120" s="1">
        <v>1.00383</v>
      </c>
      <c r="V120" s="1">
        <v>1.0507200000000001</v>
      </c>
      <c r="W120" s="1">
        <v>1.12039</v>
      </c>
      <c r="X120" s="1">
        <v>1.16954</v>
      </c>
      <c r="Y120" s="1">
        <v>1.00108</v>
      </c>
      <c r="Z120" s="1">
        <v>0.96770999999999996</v>
      </c>
      <c r="AA120" s="1">
        <v>0.96047000000000005</v>
      </c>
      <c r="AB120" s="1">
        <v>1.00383</v>
      </c>
      <c r="AC120" s="1">
        <v>1.0507200000000001</v>
      </c>
      <c r="AD120" s="1">
        <v>1.12039</v>
      </c>
      <c r="AE120" s="1">
        <v>1.16954</v>
      </c>
      <c r="AF120" s="1">
        <v>1.00108</v>
      </c>
      <c r="AG120" s="1">
        <v>0.96770999999999996</v>
      </c>
      <c r="AH120" s="1">
        <v>0.96047000000000005</v>
      </c>
      <c r="AI120" s="1">
        <v>1.00383</v>
      </c>
      <c r="AL120" s="14" t="s">
        <v>126</v>
      </c>
      <c r="AM120" s="14"/>
      <c r="AN120" s="14"/>
      <c r="AO120" s="14"/>
      <c r="AP120" s="14"/>
      <c r="AQ120" s="14"/>
      <c r="AR120" s="14"/>
    </row>
    <row r="121" spans="1:44" ht="14.25" customHeight="1" x14ac:dyDescent="0.35">
      <c r="A121" s="1" t="s">
        <v>17</v>
      </c>
      <c r="B121" s="1" t="s">
        <v>17</v>
      </c>
      <c r="C121" s="1" t="s">
        <v>14</v>
      </c>
      <c r="D121" s="1" t="s">
        <v>17</v>
      </c>
      <c r="E121" s="1" t="s">
        <v>24</v>
      </c>
      <c r="F121" s="1">
        <v>1.18716</v>
      </c>
      <c r="G121" s="1">
        <v>1.2317100000000001</v>
      </c>
      <c r="H121" s="1">
        <v>1.2863899999999999</v>
      </c>
      <c r="I121" s="1">
        <v>1.04023</v>
      </c>
      <c r="J121" s="1">
        <v>1.1003700000000001</v>
      </c>
      <c r="K121" s="1">
        <v>1.1960599999999999</v>
      </c>
      <c r="L121" s="1">
        <v>1.2089700000000001</v>
      </c>
      <c r="M121" s="1">
        <v>1.18716</v>
      </c>
      <c r="N121" s="1">
        <v>1.2317100000000001</v>
      </c>
      <c r="O121" s="1">
        <v>1.2863899999999999</v>
      </c>
      <c r="P121" s="1">
        <v>1.04023</v>
      </c>
      <c r="Q121" s="1">
        <v>1.1003700000000001</v>
      </c>
      <c r="R121" s="1">
        <v>1.1960599999999999</v>
      </c>
      <c r="S121" s="1">
        <v>1.2089700000000001</v>
      </c>
      <c r="T121" s="1">
        <v>1.18716</v>
      </c>
      <c r="U121" s="1">
        <v>1.2317100000000001</v>
      </c>
      <c r="V121" s="1">
        <v>1.2863899999999999</v>
      </c>
      <c r="W121" s="1">
        <v>1.04023</v>
      </c>
      <c r="X121" s="1">
        <v>1.1003700000000001</v>
      </c>
      <c r="Y121" s="1">
        <v>1.1960599999999999</v>
      </c>
      <c r="Z121" s="1">
        <v>1.2089700000000001</v>
      </c>
      <c r="AA121" s="1">
        <v>1.18716</v>
      </c>
      <c r="AB121" s="1">
        <v>1.2317100000000001</v>
      </c>
      <c r="AC121" s="1">
        <v>1.2863899999999999</v>
      </c>
      <c r="AD121" s="1">
        <v>1.04023</v>
      </c>
      <c r="AE121" s="1">
        <v>1.1003700000000001</v>
      </c>
      <c r="AF121" s="1">
        <v>1.1960599999999999</v>
      </c>
      <c r="AG121" s="1">
        <v>1.2089700000000001</v>
      </c>
      <c r="AH121" s="1">
        <v>1.18716</v>
      </c>
      <c r="AI121" s="1">
        <v>1.2317100000000001</v>
      </c>
      <c r="AL121" s="4"/>
      <c r="AM121" s="4" t="s">
        <v>13</v>
      </c>
      <c r="AN121" s="4" t="s">
        <v>14</v>
      </c>
      <c r="AO121" s="4" t="s">
        <v>15</v>
      </c>
      <c r="AP121" s="4" t="s">
        <v>16</v>
      </c>
      <c r="AQ121" s="4" t="s">
        <v>17</v>
      </c>
      <c r="AR121" s="4" t="s">
        <v>7</v>
      </c>
    </row>
    <row r="122" spans="1:44" ht="14.25" customHeight="1" x14ac:dyDescent="0.35">
      <c r="A122" s="1" t="s">
        <v>17</v>
      </c>
      <c r="B122" s="1" t="s">
        <v>17</v>
      </c>
      <c r="C122" s="1" t="s">
        <v>14</v>
      </c>
      <c r="D122" s="1" t="s">
        <v>16</v>
      </c>
      <c r="E122" s="1" t="s">
        <v>26</v>
      </c>
      <c r="F122" s="1">
        <v>0.97216000000000002</v>
      </c>
      <c r="G122" s="1">
        <v>0.99807999999999997</v>
      </c>
      <c r="H122" s="1">
        <v>1.0193300000000001</v>
      </c>
      <c r="I122" s="1">
        <v>0.94296999999999997</v>
      </c>
      <c r="J122" s="1">
        <v>0.97360000000000002</v>
      </c>
      <c r="K122" s="1">
        <v>0.96038000000000001</v>
      </c>
      <c r="L122" s="1">
        <v>0.96709000000000001</v>
      </c>
      <c r="M122" s="1">
        <v>0.97216000000000002</v>
      </c>
      <c r="N122" s="1">
        <v>0.99807999999999997</v>
      </c>
      <c r="O122" s="1">
        <v>1.0193300000000001</v>
      </c>
      <c r="P122" s="1">
        <v>0.94296999999999997</v>
      </c>
      <c r="Q122" s="1">
        <v>0.97360000000000002</v>
      </c>
      <c r="R122" s="1">
        <v>0.96038000000000001</v>
      </c>
      <c r="S122" s="1">
        <v>0.96709000000000001</v>
      </c>
      <c r="T122" s="1">
        <v>0.97216000000000002</v>
      </c>
      <c r="U122" s="1">
        <v>0.99807999999999997</v>
      </c>
      <c r="V122" s="1">
        <v>1.0193300000000001</v>
      </c>
      <c r="W122" s="1">
        <v>0.94296999999999997</v>
      </c>
      <c r="X122" s="1">
        <v>0.97360000000000002</v>
      </c>
      <c r="Y122" s="1">
        <v>0.96038000000000001</v>
      </c>
      <c r="Z122" s="1">
        <v>0.96709000000000001</v>
      </c>
      <c r="AA122" s="1">
        <v>0.97216000000000002</v>
      </c>
      <c r="AB122" s="1">
        <v>0.99807999999999997</v>
      </c>
      <c r="AC122" s="1">
        <v>1.0193300000000001</v>
      </c>
      <c r="AD122" s="1">
        <v>0.94296999999999997</v>
      </c>
      <c r="AE122" s="1">
        <v>0.97360000000000002</v>
      </c>
      <c r="AF122" s="1">
        <v>0.96038000000000001</v>
      </c>
      <c r="AG122" s="1">
        <v>0.96709000000000001</v>
      </c>
      <c r="AH122" s="1">
        <v>0.97216000000000002</v>
      </c>
      <c r="AI122" s="1">
        <v>0.99807999999999997</v>
      </c>
      <c r="AL122" s="4" t="s">
        <v>19</v>
      </c>
      <c r="AM122" s="6" cm="1">
        <f t="array" ref="AM122">IFERROR((SUMPRODUCT(($C$113:$C$136=AM$111)*($F$109:$AI$109="")*$F$113:$AI$136)+IF(AM$111="P3",SUMPRODUCT(($F$109:$AI$109="P3")*$F$113:$AI$136),0))/(SUMPRODUCT(($C$113:$C$136=AM$111)*($F$109:$AI$109=""))+IF(AM$111="P3",COUNTIF($F$109:$AI$109,"P3")*ROWS($C$113:$C$136),0)),"")</f>
        <v>0.98857568181818178</v>
      </c>
      <c r="AN122" s="6" cm="1">
        <f t="array" ref="AN122">IFERROR((SUMPRODUCT(($C$113:$C$136=AN$111)*($F$109:$AI$109="")*$F$113:$AI$136)+IF(AN$111="P3",SUMPRODUCT(($F$109:$AI$109="P3")*$F$113:$AI$136),0))/(SUMPRODUCT(($C$113:$C$136=AN$111)*($F$109:$AI$109=""))+IF(AN$111="P3",COUNTIF($F$109:$AI$109,"P3")*ROWS($C$113:$C$136),0)),"")</f>
        <v>1.138195625</v>
      </c>
      <c r="AO122" s="6" cm="1">
        <f t="array" ref="AO122">IFERROR((SUMPRODUCT(($C$113:$C$136=AO$111)*($F$109:$AI$109="")*$F$113:$AI$136)+IF(AO$111="P3",SUMPRODUCT(($F$109:$AI$109="P3")*$F$113:$AI$136),0))/(SUMPRODUCT(($C$113:$C$136=AO$111)*($F$109:$AI$109=""))+IF(AO$111="P3",COUNTIF($F$109:$AI$109,"P3")*ROWS($C$113:$C$136),0)),"")</f>
        <v>1.052470625</v>
      </c>
      <c r="AP122" s="6" t="str" cm="1">
        <f t="array" ref="AP122">IFERROR((SUMPRODUCT(($C$113:$C$136=AP$111)*($F$109:$AI$109="")*$F$113:$AI$136)+IF(AP$111="P3",SUMPRODUCT(($F$109:$AI$109="P3")*$F$113:$AI$136),0))/(SUMPRODUCT(($C$113:$C$136=AP$111)*($F$109:$AI$109=""))+IF(AP$111="P3",COUNTIF($F$109:$AI$109,"P3")*ROWS($C$113:$C$136),0)),"")</f>
        <v/>
      </c>
      <c r="AQ122" s="6" t="str" cm="1">
        <f t="array" ref="AQ122">IFERROR((SUMPRODUCT(($C$113:$C$136=AQ$111)*($F$109:$AI$109="")*$F$113:$AI$136)+IF(AQ$111="P3",SUMPRODUCT(($F$109:$AI$109="P3")*$F$113:$AI$136),0))/(SUMPRODUCT(($C$113:$C$136=AQ$111)*($F$109:$AI$109=""))+IF(AQ$111="P3",COUNTIF($F$109:$AI$109,"P3")*ROWS($C$113:$C$136),0)),"")</f>
        <v/>
      </c>
      <c r="AR122" s="6" t="str" cm="1">
        <f t="array" ref="AR122">IFERROR((SUMPRODUCT(($C$113:$C$136=AR$111)*($F$109:$AI$109="")*$F$113:$AI$136)+IF(AR$111="P3",SUMPRODUCT(($F$109:$AI$109="P3")*$F$113:$AI$136),0))/(SUMPRODUCT(($C$113:$C$136=AR$111)*($F$109:$AI$109=""))+IF(AR$111="P3",COUNTIF($F$109:$AI$109,"P3")*ROWS($C$113:$C$136),0)),"")</f>
        <v/>
      </c>
    </row>
    <row r="123" spans="1:44" ht="14.25" customHeight="1" x14ac:dyDescent="0.35">
      <c r="A123" s="1" t="s">
        <v>16</v>
      </c>
      <c r="B123" s="1" t="s">
        <v>16</v>
      </c>
      <c r="C123" s="1" t="s">
        <v>13</v>
      </c>
      <c r="D123" s="1" t="s">
        <v>16</v>
      </c>
      <c r="E123" s="1" t="s">
        <v>28</v>
      </c>
      <c r="F123" s="1">
        <v>0.95045000000000002</v>
      </c>
      <c r="G123" s="1">
        <v>0.97228999999999999</v>
      </c>
      <c r="H123" s="1">
        <v>0.97528999999999999</v>
      </c>
      <c r="I123" s="1">
        <v>0.88002999999999998</v>
      </c>
      <c r="J123" s="1">
        <v>0.89176</v>
      </c>
      <c r="K123" s="1">
        <v>0.93886000000000003</v>
      </c>
      <c r="L123" s="1">
        <v>0.94325999999999999</v>
      </c>
      <c r="M123" s="1">
        <v>0.95045000000000002</v>
      </c>
      <c r="N123" s="1">
        <v>0.97228999999999999</v>
      </c>
      <c r="O123" s="1">
        <v>0.97528999999999999</v>
      </c>
      <c r="P123" s="1">
        <v>0.88002999999999998</v>
      </c>
      <c r="Q123" s="1">
        <v>0.89176</v>
      </c>
      <c r="R123" s="1">
        <v>0.93886000000000003</v>
      </c>
      <c r="S123" s="1">
        <v>0.94325999999999999</v>
      </c>
      <c r="T123" s="1">
        <v>0.95045000000000002</v>
      </c>
      <c r="U123" s="1">
        <v>0.97228999999999999</v>
      </c>
      <c r="V123" s="1">
        <v>0.97528999999999999</v>
      </c>
      <c r="W123" s="1">
        <v>0.88002999999999998</v>
      </c>
      <c r="X123" s="1">
        <v>0.89176</v>
      </c>
      <c r="Y123" s="1">
        <v>0.93886000000000003</v>
      </c>
      <c r="Z123" s="1">
        <v>0.94325999999999999</v>
      </c>
      <c r="AA123" s="1">
        <v>0.95045000000000002</v>
      </c>
      <c r="AB123" s="1">
        <v>0.97228999999999999</v>
      </c>
      <c r="AC123" s="1">
        <v>0.97528999999999999</v>
      </c>
      <c r="AD123" s="1">
        <v>0.88002999999999998</v>
      </c>
      <c r="AE123" s="1">
        <v>0.89176</v>
      </c>
      <c r="AF123" s="1">
        <v>0.93886000000000003</v>
      </c>
      <c r="AG123" s="1">
        <v>0.94325999999999999</v>
      </c>
      <c r="AH123" s="1">
        <v>0.95045000000000002</v>
      </c>
      <c r="AI123" s="1">
        <v>0.97228999999999999</v>
      </c>
      <c r="AL123" s="4" t="s">
        <v>21</v>
      </c>
      <c r="AM123" s="6" t="str" cm="1">
        <f t="array" ref="AM123">IFERROR((SUMPRODUCT(($A$113:$A$136=AM$111)*($F$110:$AI$110="")*$F$113:$AI$136)+IF(AM$111="P6",SUMPRODUCT(($F$110:$AI$110="P6")*$F$113:$AI$136),0))/(SUMPRODUCT(($A$113:$A$136=AM$111)*($F$110:$AI$110=""))+IF(AM$111="P6",COUNTIF($F$110:$AI$110,"P6")*ROWS($A$113:$A$136),0)),"")</f>
        <v/>
      </c>
      <c r="AN123" s="6" t="str" cm="1">
        <f t="array" ref="AN123">IFERROR((SUMPRODUCT(($A$113:$A$136=AN$111)*($F$110:$AI$110="")*$F$113:$AI$136)+IF(AN$111="P6",SUMPRODUCT(($F$110:$AI$110="P6")*$F$113:$AI$136),0))/(SUMPRODUCT(($A$113:$A$136=AN$111)*($F$110:$AI$110=""))+IF(AN$111="P6",COUNTIF($F$110:$AI$110,"P6")*ROWS($A$113:$A$136),0)),"")</f>
        <v/>
      </c>
      <c r="AO123" s="6" t="str" cm="1">
        <f t="array" ref="AO123">IFERROR((SUMPRODUCT(($A$113:$A$136=AO$111)*($F$110:$AI$110="")*$F$113:$AI$136)+IF(AO$111="P6",SUMPRODUCT(($F$110:$AI$110="P6")*$F$113:$AI$136),0))/(SUMPRODUCT(($A$113:$A$136=AO$111)*($F$110:$AI$110=""))+IF(AO$111="P6",COUNTIF($F$110:$AI$110,"P6")*ROWS($A$113:$A$136),0)),"")</f>
        <v/>
      </c>
      <c r="AP123" s="6" cm="1">
        <f t="array" ref="AP123">IFERROR((SUMPRODUCT(($A$113:$A$136=AP$111)*($F$110:$AI$110="")*$F$113:$AI$136)+IF(AP$111="P6",SUMPRODUCT(($F$110:$AI$110="P6")*$F$113:$AI$136),0))/(SUMPRODUCT(($A$113:$A$136=AP$111)*($F$110:$AI$110=""))+IF(AP$111="P6",COUNTIF($F$110:$AI$110,"P6")*ROWS($A$113:$A$136),0)),"")</f>
        <v>0.99186444444444488</v>
      </c>
      <c r="AQ123" s="6" cm="1">
        <f t="array" ref="AQ123">IFERROR((SUMPRODUCT(($A$113:$A$136=AQ$111)*($F$110:$AI$110="")*$F$113:$AI$136)+IF(AQ$111="P6",SUMPRODUCT(($F$110:$AI$110="P6")*$F$113:$AI$136),0))/(SUMPRODUCT(($A$113:$A$136=AQ$111)*($F$110:$AI$110=""))+IF(AQ$111="P6",COUNTIF($F$110:$AI$110,"P6")*ROWS($A$113:$A$136),0)),"")</f>
        <v>1.155341493506493</v>
      </c>
      <c r="AR123" s="6" cm="1">
        <f t="array" ref="AR123">IFERROR((SUMPRODUCT(($A$113:$A$136=AR$111)*($F$110:$AI$110="")*$F$113:$AI$136)+IF(AR$111="P6",SUMPRODUCT(($F$110:$AI$110="P6")*$F$113:$AI$136),0))/(SUMPRODUCT(($A$113:$A$136=AR$111)*($F$110:$AI$110=""))+IF(AR$111="P6",COUNTIF($F$110:$AI$110,"P6")*ROWS($A$113:$A$136),0)),"")</f>
        <v>1.052470625</v>
      </c>
    </row>
    <row r="124" spans="1:44" ht="14.25" customHeight="1" x14ac:dyDescent="0.35">
      <c r="A124" s="1" t="s">
        <v>16</v>
      </c>
      <c r="B124" s="1" t="s">
        <v>16</v>
      </c>
      <c r="C124" s="1" t="s">
        <v>13</v>
      </c>
      <c r="D124" s="1" t="s">
        <v>16</v>
      </c>
      <c r="E124" s="1" t="s">
        <v>30</v>
      </c>
      <c r="F124" s="1">
        <v>0.91820999999999997</v>
      </c>
      <c r="G124" s="1">
        <v>0.93384</v>
      </c>
      <c r="H124" s="1">
        <v>0.91842999999999997</v>
      </c>
      <c r="I124" s="1">
        <v>0.84316999999999998</v>
      </c>
      <c r="J124" s="1">
        <v>0.84057000000000004</v>
      </c>
      <c r="K124" s="1">
        <v>0.96375999999999995</v>
      </c>
      <c r="L124" s="1">
        <v>0.91186</v>
      </c>
      <c r="M124" s="1">
        <v>0.91820999999999997</v>
      </c>
      <c r="N124" s="1">
        <v>0.93384</v>
      </c>
      <c r="O124" s="1">
        <v>0.91842999999999997</v>
      </c>
      <c r="P124" s="1">
        <v>0.84316999999999998</v>
      </c>
      <c r="Q124" s="1">
        <v>0.84057000000000004</v>
      </c>
      <c r="R124" s="1">
        <v>0.96375999999999995</v>
      </c>
      <c r="S124" s="1">
        <v>0.91186</v>
      </c>
      <c r="T124" s="1">
        <v>0.91820999999999997</v>
      </c>
      <c r="U124" s="1">
        <v>0.93384</v>
      </c>
      <c r="V124" s="1">
        <v>0.91842999999999997</v>
      </c>
      <c r="W124" s="1">
        <v>0.84316999999999998</v>
      </c>
      <c r="X124" s="1">
        <v>0.84057000000000004</v>
      </c>
      <c r="Y124" s="1">
        <v>0.96375999999999995</v>
      </c>
      <c r="Z124" s="1">
        <v>0.91186</v>
      </c>
      <c r="AA124" s="1">
        <v>0.91820999999999997</v>
      </c>
      <c r="AB124" s="1">
        <v>0.93384</v>
      </c>
      <c r="AC124" s="1">
        <v>0.91842999999999997</v>
      </c>
      <c r="AD124" s="1">
        <v>0.84316999999999998</v>
      </c>
      <c r="AE124" s="1">
        <v>0.84057000000000004</v>
      </c>
      <c r="AF124" s="1">
        <v>0.96375999999999995</v>
      </c>
      <c r="AG124" s="1">
        <v>0.91186</v>
      </c>
      <c r="AH124" s="1">
        <v>0.91820999999999997</v>
      </c>
      <c r="AI124" s="1">
        <v>0.93384</v>
      </c>
      <c r="AL124" s="4" t="s">
        <v>23</v>
      </c>
      <c r="AM124" s="6" t="str" cm="1">
        <f t="array" ref="AM124">IFERROR((SUMPRODUCT(($A$113:$A$136=AM$111)*($F$110:$AI$110="")*$F$113:$AI$136)+IF(AM$111="P6",SUMPRODUCT(($F$110:$AI$110="P6")*$F$113:$AI$136),0))/(SUMPRODUCT(($A$113:$A$136=AM$111)*($F$110:$AI$110=""))+IF(AM$111="P6",COUNTIF($F$110:$AI$110,"P6")*ROWS($A$113:$A$136),0)),"")</f>
        <v/>
      </c>
      <c r="AN124" s="6" t="str" cm="1">
        <f t="array" ref="AN124">IFERROR((SUMPRODUCT(($A$113:$A$136=AN$111)*($F$110:$AI$110="")*$F$113:$AI$136)+IF(AN$111="P6",SUMPRODUCT(($F$110:$AI$110="P6")*$F$113:$AI$136),0))/(SUMPRODUCT(($A$113:$A$136=AN$111)*($F$110:$AI$110=""))+IF(AN$111="P6",COUNTIF($F$110:$AI$110,"P6")*ROWS($A$113:$A$136),0)),"")</f>
        <v/>
      </c>
      <c r="AO124" s="6" t="str" cm="1">
        <f t="array" ref="AO124">IFERROR((SUMPRODUCT(($A$113:$A$136=AO$111)*($F$110:$AI$110="")*$F$113:$AI$136)+IF(AO$111="P6",SUMPRODUCT(($F$110:$AI$110="P6")*$F$113:$AI$136),0))/(SUMPRODUCT(($A$113:$A$136=AO$111)*($F$110:$AI$110=""))+IF(AO$111="P6",COUNTIF($F$110:$AI$110,"P6")*ROWS($A$113:$A$136),0)),"")</f>
        <v/>
      </c>
      <c r="AP124" s="6" cm="1">
        <f t="array" ref="AP124">IFERROR((SUMPRODUCT(($A$113:$A$136=AP$111)*($F$110:$AI$110="")*$F$113:$AI$136)+IF(AP$111="P6",SUMPRODUCT(($F$110:$AI$110="P6")*$F$113:$AI$136),0))/(SUMPRODUCT(($A$113:$A$136=AP$111)*($F$110:$AI$110=""))+IF(AP$111="P6",COUNTIF($F$110:$AI$110,"P6")*ROWS($A$113:$A$136),0)),"")</f>
        <v>0.99186444444444488</v>
      </c>
      <c r="AQ124" s="6" cm="1">
        <f t="array" ref="AQ124">IFERROR((SUMPRODUCT(($A$113:$A$136=AQ$111)*($F$110:$AI$110="")*$F$113:$AI$136)+IF(AQ$111="P6",SUMPRODUCT(($F$110:$AI$110="P6")*$F$113:$AI$136),0))/(SUMPRODUCT(($A$113:$A$136=AQ$111)*($F$110:$AI$110=""))+IF(AQ$111="P6",COUNTIF($F$110:$AI$110,"P6")*ROWS($A$113:$A$136),0)),"")</f>
        <v>1.155341493506493</v>
      </c>
      <c r="AR124" s="6" cm="1">
        <f t="array" ref="AR124">IFERROR((SUMPRODUCT(($A$113:$A$136=AR$111)*($F$110:$AI$110="")*$F$113:$AI$136)+IF(AR$111="P6",SUMPRODUCT(($F$110:$AI$110="P6")*$F$113:$AI$136),0))/(SUMPRODUCT(($A$113:$A$136=AR$111)*($F$110:$AI$110=""))+IF(AR$111="P6",COUNTIF($F$110:$AI$110,"P6")*ROWS($A$113:$A$136),0)),"")</f>
        <v>1.052470625</v>
      </c>
    </row>
    <row r="125" spans="1:44" ht="14.25" customHeight="1" x14ac:dyDescent="0.35">
      <c r="A125" s="1" t="s">
        <v>16</v>
      </c>
      <c r="B125" s="1" t="s">
        <v>16</v>
      </c>
      <c r="C125" s="1" t="s">
        <v>13</v>
      </c>
      <c r="D125" s="1" t="s">
        <v>16</v>
      </c>
      <c r="E125" s="1" t="s">
        <v>31</v>
      </c>
      <c r="F125" s="1">
        <v>0.89078000000000002</v>
      </c>
      <c r="G125" s="1">
        <v>0.88280999999999998</v>
      </c>
      <c r="H125" s="1">
        <v>0.88044</v>
      </c>
      <c r="I125" s="1">
        <v>0.83596000000000004</v>
      </c>
      <c r="J125" s="1">
        <v>0.80152000000000001</v>
      </c>
      <c r="K125" s="1">
        <v>0.92847999999999997</v>
      </c>
      <c r="L125" s="1">
        <v>0.88612999999999997</v>
      </c>
      <c r="M125" s="1">
        <v>0.89078000000000002</v>
      </c>
      <c r="N125" s="1">
        <v>0.88280999999999998</v>
      </c>
      <c r="O125" s="1">
        <v>0.88044</v>
      </c>
      <c r="P125" s="1">
        <v>0.83596000000000004</v>
      </c>
      <c r="Q125" s="1">
        <v>0.80152000000000001</v>
      </c>
      <c r="R125" s="1">
        <v>0.92847999999999997</v>
      </c>
      <c r="S125" s="1">
        <v>0.88612999999999997</v>
      </c>
      <c r="T125" s="1">
        <v>0.89078000000000002</v>
      </c>
      <c r="U125" s="1">
        <v>0.88280999999999998</v>
      </c>
      <c r="V125" s="1">
        <v>0.88044</v>
      </c>
      <c r="W125" s="1">
        <v>0.83596000000000004</v>
      </c>
      <c r="X125" s="1">
        <v>0.80152000000000001</v>
      </c>
      <c r="Y125" s="1">
        <v>0.92847999999999997</v>
      </c>
      <c r="Z125" s="1">
        <v>0.88612999999999997</v>
      </c>
      <c r="AA125" s="1">
        <v>0.89078000000000002</v>
      </c>
      <c r="AB125" s="1">
        <v>0.88280999999999998</v>
      </c>
      <c r="AC125" s="1">
        <v>0.88044</v>
      </c>
      <c r="AD125" s="1">
        <v>0.83596000000000004</v>
      </c>
      <c r="AE125" s="1">
        <v>0.80152000000000001</v>
      </c>
      <c r="AF125" s="1">
        <v>0.92847999999999997</v>
      </c>
      <c r="AG125" s="1">
        <v>0.88612999999999997</v>
      </c>
      <c r="AH125" s="1">
        <v>0.89078000000000002</v>
      </c>
      <c r="AI125" s="1">
        <v>0.88280999999999998</v>
      </c>
      <c r="AL125" s="4" t="s">
        <v>25</v>
      </c>
      <c r="AM125" s="6" t="str" cm="1">
        <f t="array" ref="AM125">IFERROR((SUMPRODUCT(($A$113:$A$136=AM$111)*($F$110:$AI$110="")*$F$113:$AI$136)+IF(AM$111="P6",SUMPRODUCT(($F$110:$AI$110="P6")*$F$113:$AI$136),0))/(SUMPRODUCT(($A$113:$A$136=AM$111)*($F$110:$AI$110=""))+IF(AM$111="P6",COUNTIF($F$110:$AI$110,"P6")*ROWS($A$113:$A$136),0)),"")</f>
        <v/>
      </c>
      <c r="AN125" s="6" t="str" cm="1">
        <f t="array" ref="AN125">IFERROR((SUMPRODUCT(($A$113:$A$136=AN$111)*($F$110:$AI$110="")*$F$113:$AI$136)+IF(AN$111="P6",SUMPRODUCT(($F$110:$AI$110="P6")*$F$113:$AI$136),0))/(SUMPRODUCT(($A$113:$A$136=AN$111)*($F$110:$AI$110=""))+IF(AN$111="P6",COUNTIF($F$110:$AI$110,"P6")*ROWS($A$113:$A$136),0)),"")</f>
        <v/>
      </c>
      <c r="AO125" s="6" t="str" cm="1">
        <f t="array" ref="AO125">IFERROR((SUMPRODUCT(($A$113:$A$136=AO$111)*($F$110:$AI$110="")*$F$113:$AI$136)+IF(AO$111="P6",SUMPRODUCT(($F$110:$AI$110="P6")*$F$113:$AI$136),0))/(SUMPRODUCT(($A$113:$A$136=AO$111)*($F$110:$AI$110=""))+IF(AO$111="P6",COUNTIF($F$110:$AI$110,"P6")*ROWS($A$113:$A$136),0)),"")</f>
        <v/>
      </c>
      <c r="AP125" s="6" cm="1">
        <f t="array" ref="AP125">IFERROR((SUMPRODUCT(($A$113:$A$136=AP$111)*($F$110:$AI$110="")*$F$113:$AI$136)+IF(AP$111="P6",SUMPRODUCT(($F$110:$AI$110="P6")*$F$113:$AI$136),0))/(SUMPRODUCT(($A$113:$A$136=AP$111)*($F$110:$AI$110=""))+IF(AP$111="P6",COUNTIF($F$110:$AI$110,"P6")*ROWS($A$113:$A$136),0)),"")</f>
        <v>0.99186444444444488</v>
      </c>
      <c r="AQ125" s="6" cm="1">
        <f t="array" ref="AQ125">IFERROR((SUMPRODUCT(($A$113:$A$136=AQ$111)*($F$110:$AI$110="")*$F$113:$AI$136)+IF(AQ$111="P6",SUMPRODUCT(($F$110:$AI$110="P6")*$F$113:$AI$136),0))/(SUMPRODUCT(($A$113:$A$136=AQ$111)*($F$110:$AI$110=""))+IF(AQ$111="P6",COUNTIF($F$110:$AI$110,"P6")*ROWS($A$113:$A$136),0)),"")</f>
        <v>1.155341493506493</v>
      </c>
      <c r="AR125" s="6" cm="1">
        <f t="array" ref="AR125">IFERROR((SUMPRODUCT(($A$113:$A$136=AR$111)*($F$110:$AI$110="")*$F$113:$AI$136)+IF(AR$111="P6",SUMPRODUCT(($F$110:$AI$110="P6")*$F$113:$AI$136),0))/(SUMPRODUCT(($A$113:$A$136=AR$111)*($F$110:$AI$110=""))+IF(AR$111="P6",COUNTIF($F$110:$AI$110,"P6")*ROWS($A$113:$A$136),0)),"")</f>
        <v>1.052470625</v>
      </c>
    </row>
    <row r="126" spans="1:44" ht="14.25" customHeight="1" x14ac:dyDescent="0.35">
      <c r="A126" s="1" t="s">
        <v>16</v>
      </c>
      <c r="B126" s="1" t="s">
        <v>16</v>
      </c>
      <c r="C126" s="1" t="s">
        <v>13</v>
      </c>
      <c r="D126" s="1" t="s">
        <v>16</v>
      </c>
      <c r="E126" s="1" t="s">
        <v>32</v>
      </c>
      <c r="F126" s="1">
        <v>0.87546000000000002</v>
      </c>
      <c r="G126" s="1">
        <v>0.87665000000000004</v>
      </c>
      <c r="H126" s="1">
        <v>0.86068</v>
      </c>
      <c r="I126" s="1">
        <v>0.82045000000000001</v>
      </c>
      <c r="J126" s="1">
        <v>0.76580000000000004</v>
      </c>
      <c r="K126" s="1">
        <v>0.91191999999999995</v>
      </c>
      <c r="L126" s="1">
        <v>0.86156999999999995</v>
      </c>
      <c r="M126" s="1">
        <v>0.87546000000000002</v>
      </c>
      <c r="N126" s="1">
        <v>0.87665000000000004</v>
      </c>
      <c r="O126" s="1">
        <v>0.86068</v>
      </c>
      <c r="P126" s="1">
        <v>0.82045000000000001</v>
      </c>
      <c r="Q126" s="1">
        <v>0.76580000000000004</v>
      </c>
      <c r="R126" s="1">
        <v>0.91191999999999995</v>
      </c>
      <c r="S126" s="1">
        <v>0.86156999999999995</v>
      </c>
      <c r="T126" s="1">
        <v>0.87546000000000002</v>
      </c>
      <c r="U126" s="1">
        <v>0.87665000000000004</v>
      </c>
      <c r="V126" s="1">
        <v>0.86068</v>
      </c>
      <c r="W126" s="1">
        <v>0.82045000000000001</v>
      </c>
      <c r="X126" s="1">
        <v>0.76580000000000004</v>
      </c>
      <c r="Y126" s="1">
        <v>0.91191999999999995</v>
      </c>
      <c r="Z126" s="1">
        <v>0.86156999999999995</v>
      </c>
      <c r="AA126" s="1">
        <v>0.87546000000000002</v>
      </c>
      <c r="AB126" s="1">
        <v>0.87665000000000004</v>
      </c>
      <c r="AC126" s="1">
        <v>0.86068</v>
      </c>
      <c r="AD126" s="1">
        <v>0.82045000000000001</v>
      </c>
      <c r="AE126" s="1">
        <v>0.76580000000000004</v>
      </c>
      <c r="AF126" s="1">
        <v>0.91191999999999995</v>
      </c>
      <c r="AG126" s="1">
        <v>0.86156999999999995</v>
      </c>
      <c r="AH126" s="1">
        <v>0.87546000000000002</v>
      </c>
      <c r="AI126" s="1">
        <v>0.87665000000000004</v>
      </c>
      <c r="AL126" s="4" t="s">
        <v>27</v>
      </c>
      <c r="AM126" s="6" t="str" cm="1">
        <f t="array" ref="AM126">IFERROR((SUMPRODUCT(($A$113:$A$136=AM$111)*($F$110:$AI$110="")*$F$113:$AI$136)+IF(AM$111="P6",SUMPRODUCT(($F$110:$AI$110="P6")*$F$113:$AI$136),0))/(SUMPRODUCT(($A$113:$A$136=AM$111)*($F$110:$AI$110=""))+IF(AM$111="P6",COUNTIF($F$110:$AI$110,"P6")*ROWS($A$113:$A$136),0)),"")</f>
        <v/>
      </c>
      <c r="AN126" s="6" t="str" cm="1">
        <f t="array" ref="AN126">IFERROR((SUMPRODUCT(($A$113:$A$136=AN$111)*($F$110:$AI$110="")*$F$113:$AI$136)+IF(AN$111="P6",SUMPRODUCT(($F$110:$AI$110="P6")*$F$113:$AI$136),0))/(SUMPRODUCT(($A$113:$A$136=AN$111)*($F$110:$AI$110=""))+IF(AN$111="P6",COUNTIF($F$110:$AI$110,"P6")*ROWS($A$113:$A$136),0)),"")</f>
        <v/>
      </c>
      <c r="AO126" s="6" t="str" cm="1">
        <f t="array" ref="AO126">IFERROR((SUMPRODUCT(($A$113:$A$136=AO$111)*($F$110:$AI$110="")*$F$113:$AI$136)+IF(AO$111="P6",SUMPRODUCT(($F$110:$AI$110="P6")*$F$113:$AI$136),0))/(SUMPRODUCT(($A$113:$A$136=AO$111)*($F$110:$AI$110=""))+IF(AO$111="P6",COUNTIF($F$110:$AI$110,"P6")*ROWS($A$113:$A$136),0)),"")</f>
        <v/>
      </c>
      <c r="AP126" s="6" cm="1">
        <f t="array" ref="AP126">IFERROR((SUMPRODUCT(($A$113:$A$136=AP$111)*($F$110:$AI$110="")*$F$113:$AI$136)+IF(AP$111="P6",SUMPRODUCT(($F$110:$AI$110="P6")*$F$113:$AI$136),0))/(SUMPRODUCT(($A$113:$A$136=AP$111)*($F$110:$AI$110=""))+IF(AP$111="P6",COUNTIF($F$110:$AI$110,"P6")*ROWS($A$113:$A$136),0)),"")</f>
        <v>0.99186444444444488</v>
      </c>
      <c r="AQ126" s="6" cm="1">
        <f t="array" ref="AQ126">IFERROR((SUMPRODUCT(($A$113:$A$136=AQ$111)*($F$110:$AI$110="")*$F$113:$AI$136)+IF(AQ$111="P6",SUMPRODUCT(($F$110:$AI$110="P6")*$F$113:$AI$136),0))/(SUMPRODUCT(($A$113:$A$136=AQ$111)*($F$110:$AI$110=""))+IF(AQ$111="P6",COUNTIF($F$110:$AI$110,"P6")*ROWS($A$113:$A$136),0)),"")</f>
        <v>1.155341493506493</v>
      </c>
      <c r="AR126" s="6" cm="1">
        <f t="array" ref="AR126">IFERROR((SUMPRODUCT(($A$113:$A$136=AR$111)*($F$110:$AI$110="")*$F$113:$AI$136)+IF(AR$111="P6",SUMPRODUCT(($F$110:$AI$110="P6")*$F$113:$AI$136),0))/(SUMPRODUCT(($A$113:$A$136=AR$111)*($F$110:$AI$110=""))+IF(AR$111="P6",COUNTIF($F$110:$AI$110,"P6")*ROWS($A$113:$A$136),0)),"")</f>
        <v>1.052470625</v>
      </c>
    </row>
    <row r="127" spans="1:44" ht="14.25" customHeight="1" x14ac:dyDescent="0.35">
      <c r="A127" s="1" t="s">
        <v>16</v>
      </c>
      <c r="B127" s="1" t="s">
        <v>16</v>
      </c>
      <c r="C127" s="1" t="s">
        <v>14</v>
      </c>
      <c r="D127" s="1" t="s">
        <v>17</v>
      </c>
      <c r="E127" s="1" t="s">
        <v>33</v>
      </c>
      <c r="F127" s="1">
        <v>1.0178100000000001</v>
      </c>
      <c r="G127" s="1">
        <v>1.0283100000000001</v>
      </c>
      <c r="H127" s="1">
        <v>1.0097499999999999</v>
      </c>
      <c r="I127" s="1">
        <v>0.82037000000000004</v>
      </c>
      <c r="J127" s="1">
        <v>0.76243000000000005</v>
      </c>
      <c r="K127" s="1">
        <v>1.0192600000000001</v>
      </c>
      <c r="L127" s="1">
        <v>1.0133000000000001</v>
      </c>
      <c r="M127" s="1">
        <v>1.0178100000000001</v>
      </c>
      <c r="N127" s="1">
        <v>1.0283100000000001</v>
      </c>
      <c r="O127" s="1">
        <v>1.0097499999999999</v>
      </c>
      <c r="P127" s="1">
        <v>0.82037000000000004</v>
      </c>
      <c r="Q127" s="1">
        <v>0.76243000000000005</v>
      </c>
      <c r="R127" s="1">
        <v>1.0192600000000001</v>
      </c>
      <c r="S127" s="1">
        <v>1.0133000000000001</v>
      </c>
      <c r="T127" s="1">
        <v>1.0178100000000001</v>
      </c>
      <c r="U127" s="1">
        <v>1.0283100000000001</v>
      </c>
      <c r="V127" s="1">
        <v>1.0097499999999999</v>
      </c>
      <c r="W127" s="1">
        <v>0.82037000000000004</v>
      </c>
      <c r="X127" s="1">
        <v>0.76243000000000005</v>
      </c>
      <c r="Y127" s="1">
        <v>1.0192600000000001</v>
      </c>
      <c r="Z127" s="1">
        <v>1.0133000000000001</v>
      </c>
      <c r="AA127" s="1">
        <v>1.0178100000000001</v>
      </c>
      <c r="AB127" s="1">
        <v>1.0283100000000001</v>
      </c>
      <c r="AC127" s="1">
        <v>1.0097499999999999</v>
      </c>
      <c r="AD127" s="1">
        <v>0.82037000000000004</v>
      </c>
      <c r="AE127" s="1">
        <v>0.76243000000000005</v>
      </c>
      <c r="AF127" s="1">
        <v>1.0192600000000001</v>
      </c>
      <c r="AG127" s="1">
        <v>1.0133000000000001</v>
      </c>
      <c r="AH127" s="1">
        <v>1.0178100000000001</v>
      </c>
      <c r="AI127" s="1">
        <v>1.0283100000000001</v>
      </c>
      <c r="AL127" s="4" t="s">
        <v>29</v>
      </c>
      <c r="AM127" s="6" t="str" cm="1">
        <f t="array" ref="AM127">IFERROR((SUMPRODUCT(($A$113:$A$136=AM$111)*($F$110:$AI$110="")*$F$113:$AI$136)+IF(AM$111="P6",SUMPRODUCT(($F$110:$AI$110="P6")*$F$113:$AI$136),0))/(SUMPRODUCT(($A$113:$A$136=AM$111)*($F$110:$AI$110=""))+IF(AM$111="P6",COUNTIF($F$110:$AI$110,"P6")*ROWS($A$113:$A$136),0)),"")</f>
        <v/>
      </c>
      <c r="AN127" s="6" t="str" cm="1">
        <f t="array" ref="AN127">IFERROR((SUMPRODUCT(($A$113:$A$136=AN$111)*($F$110:$AI$110="")*$F$113:$AI$136)+IF(AN$111="P6",SUMPRODUCT(($F$110:$AI$110="P6")*$F$113:$AI$136),0))/(SUMPRODUCT(($A$113:$A$136=AN$111)*($F$110:$AI$110=""))+IF(AN$111="P6",COUNTIF($F$110:$AI$110,"P6")*ROWS($A$113:$A$136),0)),"")</f>
        <v/>
      </c>
      <c r="AO127" s="6" t="str" cm="1">
        <f t="array" ref="AO127">IFERROR((SUMPRODUCT(($A$113:$A$136=AO$111)*($F$110:$AI$110="")*$F$113:$AI$136)+IF(AO$111="P6",SUMPRODUCT(($F$110:$AI$110="P6")*$F$113:$AI$136),0))/(SUMPRODUCT(($A$113:$A$136=AO$111)*($F$110:$AI$110=""))+IF(AO$111="P6",COUNTIF($F$110:$AI$110,"P6")*ROWS($A$113:$A$136),0)),"")</f>
        <v/>
      </c>
      <c r="AP127" s="6" cm="1">
        <f t="array" ref="AP127">IFERROR((SUMPRODUCT(($A$113:$A$136=AP$111)*($F$110:$AI$110="")*$F$113:$AI$136)+IF(AP$111="P6",SUMPRODUCT(($F$110:$AI$110="P6")*$F$113:$AI$136),0))/(SUMPRODUCT(($A$113:$A$136=AP$111)*($F$110:$AI$110=""))+IF(AP$111="P6",COUNTIF($F$110:$AI$110,"P6")*ROWS($A$113:$A$136),0)),"")</f>
        <v>0.99186444444444488</v>
      </c>
      <c r="AQ127" s="6" cm="1">
        <f t="array" ref="AQ127">IFERROR((SUMPRODUCT(($A$113:$A$136=AQ$111)*($F$110:$AI$110="")*$F$113:$AI$136)+IF(AQ$111="P6",SUMPRODUCT(($F$110:$AI$110="P6")*$F$113:$AI$136),0))/(SUMPRODUCT(($A$113:$A$136=AQ$111)*($F$110:$AI$110=""))+IF(AQ$111="P6",COUNTIF($F$110:$AI$110,"P6")*ROWS($A$113:$A$136),0)),"")</f>
        <v>1.155341493506493</v>
      </c>
      <c r="AR127" s="6" cm="1">
        <f t="array" ref="AR127">IFERROR((SUMPRODUCT(($A$113:$A$136=AR$111)*($F$110:$AI$110="")*$F$113:$AI$136)+IF(AR$111="P6",SUMPRODUCT(($F$110:$AI$110="P6")*$F$113:$AI$136),0))/(SUMPRODUCT(($A$113:$A$136=AR$111)*($F$110:$AI$110=""))+IF(AR$111="P6",COUNTIF($F$110:$AI$110,"P6")*ROWS($A$113:$A$136),0)),"")</f>
        <v>1.052470625</v>
      </c>
    </row>
    <row r="128" spans="1:44" ht="14.25" customHeight="1" x14ac:dyDescent="0.35">
      <c r="A128" s="1" t="s">
        <v>17</v>
      </c>
      <c r="B128" s="1" t="s">
        <v>17</v>
      </c>
      <c r="C128" s="1" t="s">
        <v>14</v>
      </c>
      <c r="D128" s="1" t="s">
        <v>17</v>
      </c>
      <c r="E128" s="1" t="s">
        <v>34</v>
      </c>
      <c r="F128" s="1">
        <v>1.0280499999999999</v>
      </c>
      <c r="G128" s="1">
        <v>1.0572999999999999</v>
      </c>
      <c r="H128" s="1">
        <v>1.06108</v>
      </c>
      <c r="I128" s="1">
        <v>0.84689999999999999</v>
      </c>
      <c r="J128" s="1">
        <v>0.82352999999999998</v>
      </c>
      <c r="K128" s="1">
        <v>1.0716600000000001</v>
      </c>
      <c r="L128" s="1">
        <v>1.0342199999999999</v>
      </c>
      <c r="M128" s="1">
        <v>1.0280499999999999</v>
      </c>
      <c r="N128" s="1">
        <v>1.0572999999999999</v>
      </c>
      <c r="O128" s="1">
        <v>1.06108</v>
      </c>
      <c r="P128" s="1">
        <v>0.84689999999999999</v>
      </c>
      <c r="Q128" s="1">
        <v>0.82352999999999998</v>
      </c>
      <c r="R128" s="1">
        <v>1.0716600000000001</v>
      </c>
      <c r="S128" s="1">
        <v>1.0342199999999999</v>
      </c>
      <c r="T128" s="1">
        <v>1.0280499999999999</v>
      </c>
      <c r="U128" s="1">
        <v>1.0572999999999999</v>
      </c>
      <c r="V128" s="1">
        <v>1.06108</v>
      </c>
      <c r="W128" s="1">
        <v>0.84689999999999999</v>
      </c>
      <c r="X128" s="1">
        <v>0.82352999999999998</v>
      </c>
      <c r="Y128" s="1">
        <v>1.0716600000000001</v>
      </c>
      <c r="Z128" s="1">
        <v>1.0342199999999999</v>
      </c>
      <c r="AA128" s="1">
        <v>1.0280499999999999</v>
      </c>
      <c r="AB128" s="1">
        <v>1.0572999999999999</v>
      </c>
      <c r="AC128" s="1">
        <v>1.06108</v>
      </c>
      <c r="AD128" s="1">
        <v>0.84689999999999999</v>
      </c>
      <c r="AE128" s="1">
        <v>0.82352999999999998</v>
      </c>
      <c r="AF128" s="1">
        <v>1.0716600000000001</v>
      </c>
      <c r="AG128" s="1">
        <v>1.0342199999999999</v>
      </c>
      <c r="AH128" s="1">
        <v>1.0280499999999999</v>
      </c>
      <c r="AI128" s="1">
        <v>1.0572999999999999</v>
      </c>
      <c r="AL128" s="10"/>
      <c r="AM128" s="10"/>
      <c r="AN128" s="10"/>
      <c r="AO128" s="10"/>
      <c r="AP128" s="10"/>
      <c r="AQ128" s="10"/>
      <c r="AR128" s="10"/>
    </row>
    <row r="129" spans="1:44" ht="14.25" customHeight="1" x14ac:dyDescent="0.35">
      <c r="A129" s="1" t="s">
        <v>17</v>
      </c>
      <c r="B129" s="1" t="s">
        <v>17</v>
      </c>
      <c r="C129" s="1" t="s">
        <v>14</v>
      </c>
      <c r="D129" s="1" t="s">
        <v>17</v>
      </c>
      <c r="E129" s="1" t="s">
        <v>35</v>
      </c>
      <c r="F129" s="1">
        <v>1.01065</v>
      </c>
      <c r="G129" s="1">
        <v>1.0842099999999999</v>
      </c>
      <c r="H129" s="1">
        <v>1.0850500000000001</v>
      </c>
      <c r="I129" s="1">
        <v>0.88012999999999997</v>
      </c>
      <c r="J129" s="1">
        <v>0.89112999999999998</v>
      </c>
      <c r="K129" s="1">
        <v>1.1347100000000001</v>
      </c>
      <c r="L129" s="1">
        <v>1.0900399999999999</v>
      </c>
      <c r="M129" s="1">
        <v>1.01065</v>
      </c>
      <c r="N129" s="1">
        <v>1.0842099999999999</v>
      </c>
      <c r="O129" s="1">
        <v>1.0850500000000001</v>
      </c>
      <c r="P129" s="1">
        <v>0.88012999999999997</v>
      </c>
      <c r="Q129" s="1">
        <v>0.89112999999999998</v>
      </c>
      <c r="R129" s="1">
        <v>1.1347100000000001</v>
      </c>
      <c r="S129" s="1">
        <v>1.0900399999999999</v>
      </c>
      <c r="T129" s="1">
        <v>1.01065</v>
      </c>
      <c r="U129" s="1">
        <v>1.0842099999999999</v>
      </c>
      <c r="V129" s="1">
        <v>1.0850500000000001</v>
      </c>
      <c r="W129" s="1">
        <v>0.88012999999999997</v>
      </c>
      <c r="X129" s="1">
        <v>0.89112999999999998</v>
      </c>
      <c r="Y129" s="1">
        <v>1.1347100000000001</v>
      </c>
      <c r="Z129" s="1">
        <v>1.0900399999999999</v>
      </c>
      <c r="AA129" s="1">
        <v>1.01065</v>
      </c>
      <c r="AB129" s="1">
        <v>1.0842099999999999</v>
      </c>
      <c r="AC129" s="1">
        <v>1.0850500000000001</v>
      </c>
      <c r="AD129" s="1">
        <v>0.88012999999999997</v>
      </c>
      <c r="AE129" s="1">
        <v>0.89112999999999998</v>
      </c>
      <c r="AF129" s="1">
        <v>1.1347100000000001</v>
      </c>
      <c r="AG129" s="1">
        <v>1.0900399999999999</v>
      </c>
      <c r="AH129" s="1">
        <v>1.01065</v>
      </c>
      <c r="AI129" s="1">
        <v>1.0842099999999999</v>
      </c>
      <c r="AL129" s="10"/>
      <c r="AM129" s="10"/>
      <c r="AN129" s="10"/>
      <c r="AO129" s="10"/>
      <c r="AP129" s="10"/>
      <c r="AQ129" s="10"/>
      <c r="AR129" s="10"/>
    </row>
    <row r="130" spans="1:44" ht="14.25" customHeight="1" x14ac:dyDescent="0.35">
      <c r="A130" s="1" t="s">
        <v>17</v>
      </c>
      <c r="B130" s="1" t="s">
        <v>17</v>
      </c>
      <c r="C130" s="1" t="s">
        <v>14</v>
      </c>
      <c r="D130" s="1" t="s">
        <v>17</v>
      </c>
      <c r="E130" s="1" t="s">
        <v>36</v>
      </c>
      <c r="F130" s="1">
        <v>1.1227100000000001</v>
      </c>
      <c r="G130" s="1">
        <v>1.12931</v>
      </c>
      <c r="H130" s="1">
        <v>1.1601399999999999</v>
      </c>
      <c r="I130" s="1">
        <v>0.91639999999999999</v>
      </c>
      <c r="J130" s="1">
        <v>0.93833</v>
      </c>
      <c r="K130" s="1">
        <v>1.157</v>
      </c>
      <c r="L130" s="1">
        <v>1.1282799999999999</v>
      </c>
      <c r="M130" s="1">
        <v>1.1227100000000001</v>
      </c>
      <c r="N130" s="1">
        <v>1.12931</v>
      </c>
      <c r="O130" s="1">
        <v>1.1601399999999999</v>
      </c>
      <c r="P130" s="1">
        <v>0.91639999999999999</v>
      </c>
      <c r="Q130" s="1">
        <v>0.93833</v>
      </c>
      <c r="R130" s="1">
        <v>1.157</v>
      </c>
      <c r="S130" s="1">
        <v>1.1282799999999999</v>
      </c>
      <c r="T130" s="1">
        <v>1.1227100000000001</v>
      </c>
      <c r="U130" s="1">
        <v>1.12931</v>
      </c>
      <c r="V130" s="1">
        <v>1.1601399999999999</v>
      </c>
      <c r="W130" s="1">
        <v>0.91639999999999999</v>
      </c>
      <c r="X130" s="1">
        <v>0.93833</v>
      </c>
      <c r="Y130" s="1">
        <v>1.157</v>
      </c>
      <c r="Z130" s="1">
        <v>1.1282799999999999</v>
      </c>
      <c r="AA130" s="1">
        <v>1.1227100000000001</v>
      </c>
      <c r="AB130" s="1">
        <v>1.12931</v>
      </c>
      <c r="AC130" s="1">
        <v>1.1601399999999999</v>
      </c>
      <c r="AD130" s="1">
        <v>0.91639999999999999</v>
      </c>
      <c r="AE130" s="1">
        <v>0.93833</v>
      </c>
      <c r="AF130" s="1">
        <v>1.157</v>
      </c>
      <c r="AG130" s="1">
        <v>1.1282799999999999</v>
      </c>
      <c r="AH130" s="1">
        <v>1.1227100000000001</v>
      </c>
      <c r="AI130" s="1">
        <v>1.12931</v>
      </c>
      <c r="AL130" s="14" t="s">
        <v>127</v>
      </c>
      <c r="AM130" s="14"/>
      <c r="AN130" s="14"/>
      <c r="AO130" s="14"/>
      <c r="AP130" s="14"/>
      <c r="AQ130" s="14"/>
      <c r="AR130" s="14"/>
    </row>
    <row r="131" spans="1:44" ht="14.25" customHeight="1" x14ac:dyDescent="0.35">
      <c r="A131" s="1" t="s">
        <v>16</v>
      </c>
      <c r="B131" s="1" t="s">
        <v>16</v>
      </c>
      <c r="C131" s="1" t="s">
        <v>13</v>
      </c>
      <c r="D131" s="1" t="s">
        <v>16</v>
      </c>
      <c r="E131" s="1" t="s">
        <v>37</v>
      </c>
      <c r="F131" s="1">
        <v>1.01383</v>
      </c>
      <c r="G131" s="1">
        <v>1.03349</v>
      </c>
      <c r="H131" s="1">
        <v>1.07087</v>
      </c>
      <c r="I131" s="1">
        <v>0.97150999999999998</v>
      </c>
      <c r="J131" s="1">
        <v>1.00241</v>
      </c>
      <c r="K131" s="1">
        <v>1.05507</v>
      </c>
      <c r="L131" s="1">
        <v>1.0147699999999999</v>
      </c>
      <c r="M131" s="1">
        <v>1.01383</v>
      </c>
      <c r="N131" s="1">
        <v>1.03349</v>
      </c>
      <c r="O131" s="1">
        <v>1.07087</v>
      </c>
      <c r="P131" s="1">
        <v>0.97150999999999998</v>
      </c>
      <c r="Q131" s="1">
        <v>1.00241</v>
      </c>
      <c r="R131" s="1">
        <v>1.05507</v>
      </c>
      <c r="S131" s="1">
        <v>1.0147699999999999</v>
      </c>
      <c r="T131" s="1">
        <v>1.01383</v>
      </c>
      <c r="U131" s="1">
        <v>1.03349</v>
      </c>
      <c r="V131" s="1">
        <v>1.07087</v>
      </c>
      <c r="W131" s="1">
        <v>0.97150999999999998</v>
      </c>
      <c r="X131" s="1">
        <v>1.00241</v>
      </c>
      <c r="Y131" s="1">
        <v>1.05507</v>
      </c>
      <c r="Z131" s="1">
        <v>1.0147699999999999</v>
      </c>
      <c r="AA131" s="1">
        <v>1.01383</v>
      </c>
      <c r="AB131" s="1">
        <v>1.03349</v>
      </c>
      <c r="AC131" s="1">
        <v>1.07087</v>
      </c>
      <c r="AD131" s="1">
        <v>0.97150999999999998</v>
      </c>
      <c r="AE131" s="1">
        <v>1.00241</v>
      </c>
      <c r="AF131" s="1">
        <v>1.05507</v>
      </c>
      <c r="AG131" s="1">
        <v>1.0147699999999999</v>
      </c>
      <c r="AH131" s="1">
        <v>1.01383</v>
      </c>
      <c r="AI131" s="1">
        <v>1.03349</v>
      </c>
      <c r="AL131" s="4"/>
      <c r="AM131" s="4" t="s">
        <v>13</v>
      </c>
      <c r="AN131" s="4" t="s">
        <v>14</v>
      </c>
      <c r="AO131" s="4" t="s">
        <v>15</v>
      </c>
      <c r="AP131" s="4" t="s">
        <v>16</v>
      </c>
      <c r="AQ131" s="4" t="s">
        <v>17</v>
      </c>
      <c r="AR131" s="4" t="s">
        <v>7</v>
      </c>
    </row>
    <row r="132" spans="1:44" ht="14.25" customHeight="1" x14ac:dyDescent="0.35">
      <c r="A132" s="1" t="s">
        <v>16</v>
      </c>
      <c r="B132" s="1" t="s">
        <v>16</v>
      </c>
      <c r="C132" s="1" t="s">
        <v>13</v>
      </c>
      <c r="D132" s="1" t="s">
        <v>16</v>
      </c>
      <c r="E132" s="1" t="s">
        <v>38</v>
      </c>
      <c r="F132" s="1">
        <v>1.0535399999999999</v>
      </c>
      <c r="G132" s="1">
        <v>1.0606100000000001</v>
      </c>
      <c r="H132" s="1">
        <v>1.11843</v>
      </c>
      <c r="I132" s="1">
        <v>1.0171600000000001</v>
      </c>
      <c r="J132" s="1">
        <v>1.0337499999999999</v>
      </c>
      <c r="K132" s="1">
        <v>1.11277</v>
      </c>
      <c r="L132" s="1">
        <v>1.0120400000000001</v>
      </c>
      <c r="M132" s="1">
        <v>1.0535399999999999</v>
      </c>
      <c r="N132" s="1">
        <v>1.0606100000000001</v>
      </c>
      <c r="O132" s="1">
        <v>1.11843</v>
      </c>
      <c r="P132" s="1">
        <v>1.0171600000000001</v>
      </c>
      <c r="Q132" s="1">
        <v>1.0337499999999999</v>
      </c>
      <c r="R132" s="1">
        <v>1.11277</v>
      </c>
      <c r="S132" s="1">
        <v>1.0120400000000001</v>
      </c>
      <c r="T132" s="1">
        <v>1.0535399999999999</v>
      </c>
      <c r="U132" s="1">
        <v>1.0606100000000001</v>
      </c>
      <c r="V132" s="1">
        <v>1.11843</v>
      </c>
      <c r="W132" s="1">
        <v>1.0171600000000001</v>
      </c>
      <c r="X132" s="1">
        <v>1.0337499999999999</v>
      </c>
      <c r="Y132" s="1">
        <v>1.11277</v>
      </c>
      <c r="Z132" s="1">
        <v>1.0120400000000001</v>
      </c>
      <c r="AA132" s="1">
        <v>1.0535399999999999</v>
      </c>
      <c r="AB132" s="1">
        <v>1.0606100000000001</v>
      </c>
      <c r="AC132" s="1">
        <v>1.11843</v>
      </c>
      <c r="AD132" s="1">
        <v>1.0171600000000001</v>
      </c>
      <c r="AE132" s="1">
        <v>1.0337499999999999</v>
      </c>
      <c r="AF132" s="1">
        <v>1.11277</v>
      </c>
      <c r="AG132" s="1">
        <v>1.0120400000000001</v>
      </c>
      <c r="AH132" s="1">
        <v>1.0535399999999999</v>
      </c>
      <c r="AI132" s="1">
        <v>1.0606100000000001</v>
      </c>
      <c r="AL132" s="4" t="s">
        <v>19</v>
      </c>
      <c r="AM132" s="6" cm="1">
        <f t="array" ref="AM132">IFERROR((SUMPRODUCT(($C$113:$C$136=AM$111)*($F$109:$AI$109="")*$F$113:$AI$136)+IF(AM$111="P3",SUMPRODUCT(($F$109:$AI$109="P3")*$F$113:$AI$136),0))/(SUMPRODUCT(($C$113:$C$136=AM$111)*($F$109:$AI$109=""))+IF(AM$111="P3",COUNTIF($F$109:$AI$109,"P3")*ROWS($C$113:$C$136),0)),"")</f>
        <v>0.98857568181818178</v>
      </c>
      <c r="AN132" s="6" cm="1">
        <f t="array" ref="AN132">IFERROR((SUMPRODUCT(($C$113:$C$136=AN$111)*($F$109:$AI$109="")*$F$113:$AI$136)+IF(AN$111="P3",SUMPRODUCT(($F$109:$AI$109="P3")*$F$113:$AI$136),0))/(SUMPRODUCT(($C$113:$C$136=AN$111)*($F$109:$AI$109=""))+IF(AN$111="P3",COUNTIF($F$109:$AI$109,"P3")*ROWS($C$113:$C$136),0)),"")</f>
        <v>1.138195625</v>
      </c>
      <c r="AO132" s="6" cm="1">
        <f t="array" ref="AO132">IFERROR((SUMPRODUCT(($C$113:$C$136=AO$111)*($F$109:$AI$109="")*$F$113:$AI$136)+IF(AO$111="P3",SUMPRODUCT(($F$109:$AI$109="P3")*$F$113:$AI$136),0))/(SUMPRODUCT(($C$113:$C$136=AO$111)*($F$109:$AI$109=""))+IF(AO$111="P3",COUNTIF($F$109:$AI$109,"P3")*ROWS($C$113:$C$136),0)),"")</f>
        <v>1.052470625</v>
      </c>
      <c r="AP132" s="6" t="str" cm="1">
        <f t="array" ref="AP132">IFERROR((SUMPRODUCT(($C$113:$C$136=AP$111)*($F$109:$AI$109="")*$F$113:$AI$136)+IF(AP$111="P3",SUMPRODUCT(($F$109:$AI$109="P3")*$F$113:$AI$136),0))/(SUMPRODUCT(($C$113:$C$136=AP$111)*($F$109:$AI$109=""))+IF(AP$111="P3",COUNTIF($F$109:$AI$109,"P3")*ROWS($C$113:$C$136),0)),"")</f>
        <v/>
      </c>
      <c r="AQ132" s="6" t="str" cm="1">
        <f t="array" ref="AQ132">IFERROR((SUMPRODUCT(($C$113:$C$136=AQ$111)*($F$109:$AI$109="")*$F$113:$AI$136)+IF(AQ$111="P3",SUMPRODUCT(($F$109:$AI$109="P3")*$F$113:$AI$136),0))/(SUMPRODUCT(($C$113:$C$136=AQ$111)*($F$109:$AI$109=""))+IF(AQ$111="P3",COUNTIF($F$109:$AI$109,"P3")*ROWS($C$113:$C$136),0)),"")</f>
        <v/>
      </c>
      <c r="AR132" s="6" t="str" cm="1">
        <f t="array" ref="AR132">IFERROR((SUMPRODUCT(($C$113:$C$136=AR$111)*($F$109:$AI$109="")*$F$113:$AI$136)+IF(AR$111="P3",SUMPRODUCT(($F$109:$AI$109="P3")*$F$113:$AI$136),0))/(SUMPRODUCT(($C$113:$C$136=AR$111)*($F$109:$AI$109=""))+IF(AR$111="P3",COUNTIF($F$109:$AI$109,"P3")*ROWS($C$113:$C$136),0)),"")</f>
        <v/>
      </c>
    </row>
    <row r="133" spans="1:44" ht="14.25" customHeight="1" x14ac:dyDescent="0.35">
      <c r="A133" s="1" t="s">
        <v>16</v>
      </c>
      <c r="B133" s="1" t="s">
        <v>16</v>
      </c>
      <c r="C133" s="1" t="s">
        <v>13</v>
      </c>
      <c r="D133" s="1" t="s">
        <v>16</v>
      </c>
      <c r="E133" s="1" t="s">
        <v>39</v>
      </c>
      <c r="F133" s="1">
        <v>1.07311</v>
      </c>
      <c r="G133" s="1">
        <v>1.12616</v>
      </c>
      <c r="H133" s="1">
        <v>1.16656</v>
      </c>
      <c r="I133" s="1">
        <v>1.0337700000000001</v>
      </c>
      <c r="J133" s="1">
        <v>1.03498</v>
      </c>
      <c r="K133" s="1">
        <v>0.88149999999999995</v>
      </c>
      <c r="L133" s="1">
        <v>1.04667</v>
      </c>
      <c r="M133" s="1">
        <v>1.07311</v>
      </c>
      <c r="N133" s="1">
        <v>1.12616</v>
      </c>
      <c r="O133" s="1">
        <v>1.16656</v>
      </c>
      <c r="P133" s="1">
        <v>1.0337700000000001</v>
      </c>
      <c r="Q133" s="1">
        <v>1.03498</v>
      </c>
      <c r="R133" s="1">
        <v>0.88149999999999995</v>
      </c>
      <c r="S133" s="1">
        <v>1.04667</v>
      </c>
      <c r="T133" s="1">
        <v>1.07311</v>
      </c>
      <c r="U133" s="1">
        <v>1.12616</v>
      </c>
      <c r="V133" s="1">
        <v>1.16656</v>
      </c>
      <c r="W133" s="1">
        <v>1.0337700000000001</v>
      </c>
      <c r="X133" s="1">
        <v>1.03498</v>
      </c>
      <c r="Y133" s="1">
        <v>0.88149999999999995</v>
      </c>
      <c r="Z133" s="1">
        <v>1.04667</v>
      </c>
      <c r="AA133" s="1">
        <v>1.07311</v>
      </c>
      <c r="AB133" s="1">
        <v>1.12616</v>
      </c>
      <c r="AC133" s="1">
        <v>1.16656</v>
      </c>
      <c r="AD133" s="1">
        <v>1.0337700000000001</v>
      </c>
      <c r="AE133" s="1">
        <v>1.03498</v>
      </c>
      <c r="AF133" s="1">
        <v>0.88149999999999995</v>
      </c>
      <c r="AG133" s="1">
        <v>1.04667</v>
      </c>
      <c r="AH133" s="1">
        <v>1.07311</v>
      </c>
      <c r="AI133" s="1">
        <v>1.12616</v>
      </c>
      <c r="AL133" s="4" t="s">
        <v>21</v>
      </c>
      <c r="AM133" s="6" t="str" cm="1">
        <f t="array" ref="AM133">IFERROR((SUMPRODUCT(($B$113:$B$136=AM$111)*($F$110:$AI$110="")*$F$113:$AI$136)+IF(AM$111="P6",SUMPRODUCT(($F$110:$AI$110="P6")*$F$113:$AI$136),0))/(SUMPRODUCT(($B$113:$B$136=AM$111)*($F$110:$AI$110=""))+IF(AM$111="P6",COUNTIF($F$110:$AI$110,"P6")*ROWS($B$113:$B$136),0)),"")</f>
        <v/>
      </c>
      <c r="AN133" s="6" t="str" cm="1">
        <f t="array" ref="AN133">IFERROR((SUMPRODUCT(($B$113:$B$136=AN$111)*($F$110:$AI$110="")*$F$113:$AI$136)+IF(AN$111="P6",SUMPRODUCT(($F$110:$AI$110="P6")*$F$113:$AI$136),0))/(SUMPRODUCT(($B$113:$B$136=AN$111)*($F$110:$AI$110=""))+IF(AN$111="P6",COUNTIF($F$110:$AI$110,"P6")*ROWS($B$113:$B$136),0)),"")</f>
        <v/>
      </c>
      <c r="AO133" s="6" t="str" cm="1">
        <f t="array" ref="AO133">IFERROR((SUMPRODUCT(($B$113:$B$136=AO$111)*($F$110:$AI$110="")*$F$113:$AI$136)+IF(AO$111="P6",SUMPRODUCT(($F$110:$AI$110="P6")*$F$113:$AI$136),0))/(SUMPRODUCT(($B$113:$B$136=AO$111)*($F$110:$AI$110=""))+IF(AO$111="P6",COUNTIF($F$110:$AI$110,"P6")*ROWS($B$113:$B$136),0)),"")</f>
        <v/>
      </c>
      <c r="AP133" s="6" cm="1">
        <f t="array" ref="AP133">IFERROR((SUMPRODUCT(($B$113:$B$136=AP$111)*($F$110:$AI$110="")*$F$113:$AI$136)+IF(AP$111="P6",SUMPRODUCT(($F$110:$AI$110="P6")*$F$113:$AI$136),0))/(SUMPRODUCT(($B$113:$B$136=AP$111)*($F$110:$AI$110=""))+IF(AP$111="P6",COUNTIF($F$110:$AI$110,"P6")*ROWS($B$113:$B$136),0)),"")</f>
        <v>0.99186444444444488</v>
      </c>
      <c r="AQ133" s="6" cm="1">
        <f t="array" ref="AQ133">IFERROR((SUMPRODUCT(($B$113:$B$136=AQ$111)*($F$110:$AI$110="")*$F$113:$AI$136)+IF(AQ$111="P6",SUMPRODUCT(($F$110:$AI$110="P6")*$F$113:$AI$136),0))/(SUMPRODUCT(($B$113:$B$136=AQ$111)*($F$110:$AI$110=""))+IF(AQ$111="P6",COUNTIF($F$110:$AI$110,"P6")*ROWS($B$113:$B$136),0)),"")</f>
        <v>1.155341493506493</v>
      </c>
      <c r="AR133" s="6" cm="1">
        <f t="array" ref="AR133">IFERROR((SUMPRODUCT(($B$113:$B$136=AR$111)*($F$110:$AI$110="")*$F$113:$AI$136)+IF(AR$111="P6",SUMPRODUCT(($F$110:$AI$110="P6")*$F$113:$AI$136),0))/(SUMPRODUCT(($B$113:$B$136=AR$111)*($F$110:$AI$110=""))+IF(AR$111="P6",COUNTIF($F$110:$AI$110,"P6")*ROWS($B$113:$B$136),0)),"")</f>
        <v>1.052470625</v>
      </c>
    </row>
    <row r="134" spans="1:44" ht="14.25" customHeight="1" x14ac:dyDescent="0.35">
      <c r="A134" s="1" t="s">
        <v>16</v>
      </c>
      <c r="B134" s="1" t="s">
        <v>16</v>
      </c>
      <c r="C134" s="1" t="s">
        <v>13</v>
      </c>
      <c r="D134" s="1" t="s">
        <v>16</v>
      </c>
      <c r="E134" s="1" t="s">
        <v>40</v>
      </c>
      <c r="F134" s="1">
        <v>1.1028100000000001</v>
      </c>
      <c r="G134" s="1">
        <v>1.12944</v>
      </c>
      <c r="H134" s="1">
        <v>1.17489</v>
      </c>
      <c r="I134" s="1">
        <v>1.0445500000000001</v>
      </c>
      <c r="J134" s="1">
        <v>1.0209900000000001</v>
      </c>
      <c r="K134" s="1">
        <v>0.93803999999999998</v>
      </c>
      <c r="L134" s="1">
        <v>1.05819</v>
      </c>
      <c r="M134" s="1">
        <v>1.1028100000000001</v>
      </c>
      <c r="N134" s="1">
        <v>1.12944</v>
      </c>
      <c r="O134" s="1">
        <v>1.17489</v>
      </c>
      <c r="P134" s="1">
        <v>1.0445500000000001</v>
      </c>
      <c r="Q134" s="1">
        <v>1.0209900000000001</v>
      </c>
      <c r="R134" s="1">
        <v>0.93803999999999998</v>
      </c>
      <c r="S134" s="1">
        <v>1.05819</v>
      </c>
      <c r="T134" s="1">
        <v>1.1028100000000001</v>
      </c>
      <c r="U134" s="1">
        <v>1.12944</v>
      </c>
      <c r="V134" s="1">
        <v>1.17489</v>
      </c>
      <c r="W134" s="1">
        <v>1.0445500000000001</v>
      </c>
      <c r="X134" s="1">
        <v>1.0209900000000001</v>
      </c>
      <c r="Y134" s="1">
        <v>0.93803999999999998</v>
      </c>
      <c r="Z134" s="1">
        <v>1.05819</v>
      </c>
      <c r="AA134" s="1">
        <v>1.1028100000000001</v>
      </c>
      <c r="AB134" s="1">
        <v>1.12944</v>
      </c>
      <c r="AC134" s="1">
        <v>1.17489</v>
      </c>
      <c r="AD134" s="1">
        <v>1.0445500000000001</v>
      </c>
      <c r="AE134" s="1">
        <v>1.0209900000000001</v>
      </c>
      <c r="AF134" s="1">
        <v>0.93803999999999998</v>
      </c>
      <c r="AG134" s="1">
        <v>1.05819</v>
      </c>
      <c r="AH134" s="1">
        <v>1.1028100000000001</v>
      </c>
      <c r="AI134" s="1">
        <v>1.12944</v>
      </c>
      <c r="AL134" s="4" t="s">
        <v>23</v>
      </c>
      <c r="AM134" s="6" t="str" cm="1">
        <f t="array" ref="AM134">IFERROR((SUMPRODUCT(($B$113:$B$136=AM$111)*($F$110:$AI$110="")*$F$113:$AI$136)+IF(AM$111="P6",SUMPRODUCT(($F$110:$AI$110="P6")*$F$113:$AI$136),0))/(SUMPRODUCT(($B$113:$B$136=AM$111)*($F$110:$AI$110=""))+IF(AM$111="P6",COUNTIF($F$110:$AI$110,"P6")*ROWS($B$113:$B$136),0)),"")</f>
        <v/>
      </c>
      <c r="AN134" s="6" t="str" cm="1">
        <f t="array" ref="AN134">IFERROR((SUMPRODUCT(($B$113:$B$136=AN$111)*($F$110:$AI$110="")*$F$113:$AI$136)+IF(AN$111="P6",SUMPRODUCT(($F$110:$AI$110="P6")*$F$113:$AI$136),0))/(SUMPRODUCT(($B$113:$B$136=AN$111)*($F$110:$AI$110=""))+IF(AN$111="P6",COUNTIF($F$110:$AI$110,"P6")*ROWS($B$113:$B$136),0)),"")</f>
        <v/>
      </c>
      <c r="AO134" s="6" t="str" cm="1">
        <f t="array" ref="AO134">IFERROR((SUMPRODUCT(($B$113:$B$136=AO$111)*($F$110:$AI$110="")*$F$113:$AI$136)+IF(AO$111="P6",SUMPRODUCT(($F$110:$AI$110="P6")*$F$113:$AI$136),0))/(SUMPRODUCT(($B$113:$B$136=AO$111)*($F$110:$AI$110=""))+IF(AO$111="P6",COUNTIF($F$110:$AI$110,"P6")*ROWS($B$113:$B$136),0)),"")</f>
        <v/>
      </c>
      <c r="AP134" s="6" cm="1">
        <f t="array" ref="AP134">IFERROR((SUMPRODUCT(($B$113:$B$136=AP$111)*($F$110:$AI$110="")*$F$113:$AI$136)+IF(AP$111="P6",SUMPRODUCT(($F$110:$AI$110="P6")*$F$113:$AI$136),0))/(SUMPRODUCT(($B$113:$B$136=AP$111)*($F$110:$AI$110=""))+IF(AP$111="P6",COUNTIF($F$110:$AI$110,"P6")*ROWS($B$113:$B$136),0)),"")</f>
        <v>0.99186444444444488</v>
      </c>
      <c r="AQ134" s="6" cm="1">
        <f t="array" ref="AQ134">IFERROR((SUMPRODUCT(($B$113:$B$136=AQ$111)*($F$110:$AI$110="")*$F$113:$AI$136)+IF(AQ$111="P6",SUMPRODUCT(($F$110:$AI$110="P6")*$F$113:$AI$136),0))/(SUMPRODUCT(($B$113:$B$136=AQ$111)*($F$110:$AI$110=""))+IF(AQ$111="P6",COUNTIF($F$110:$AI$110,"P6")*ROWS($B$113:$B$136),0)),"")</f>
        <v>1.155341493506493</v>
      </c>
      <c r="AR134" s="6" cm="1">
        <f t="array" ref="AR134">IFERROR((SUMPRODUCT(($B$113:$B$136=AR$111)*($F$110:$AI$110="")*$F$113:$AI$136)+IF(AR$111="P6",SUMPRODUCT(($F$110:$AI$110="P6")*$F$113:$AI$136),0))/(SUMPRODUCT(($B$113:$B$136=AR$111)*($F$110:$AI$110=""))+IF(AR$111="P6",COUNTIF($F$110:$AI$110,"P6")*ROWS($B$113:$B$136),0)),"")</f>
        <v>1.052470625</v>
      </c>
    </row>
    <row r="135" spans="1:44" ht="14.25" customHeight="1" x14ac:dyDescent="0.35">
      <c r="A135" s="1" t="s">
        <v>17</v>
      </c>
      <c r="B135" s="1" t="s">
        <v>17</v>
      </c>
      <c r="C135" s="1" t="s">
        <v>14</v>
      </c>
      <c r="D135" s="1" t="s">
        <v>17</v>
      </c>
      <c r="E135" s="1" t="s">
        <v>41</v>
      </c>
      <c r="F135" s="1">
        <v>1.3046599999999999</v>
      </c>
      <c r="G135" s="1">
        <v>1.3263799999999999</v>
      </c>
      <c r="H135" s="1">
        <v>1.37907</v>
      </c>
      <c r="I135" s="1">
        <v>1.06986</v>
      </c>
      <c r="J135" s="1">
        <v>1.0471999999999999</v>
      </c>
      <c r="K135" s="1">
        <v>1.1433199999999999</v>
      </c>
      <c r="L135" s="1">
        <v>1.2493000000000001</v>
      </c>
      <c r="M135" s="1">
        <v>1.3046599999999999</v>
      </c>
      <c r="N135" s="1">
        <v>1.3263799999999999</v>
      </c>
      <c r="O135" s="1">
        <v>1.37907</v>
      </c>
      <c r="P135" s="1">
        <v>1.06986</v>
      </c>
      <c r="Q135" s="1">
        <v>1.0471999999999999</v>
      </c>
      <c r="R135" s="1">
        <v>1.1433199999999999</v>
      </c>
      <c r="S135" s="1">
        <v>1.2493000000000001</v>
      </c>
      <c r="T135" s="1">
        <v>1.3046599999999999</v>
      </c>
      <c r="U135" s="1">
        <v>1.3263799999999999</v>
      </c>
      <c r="V135" s="1">
        <v>1.37907</v>
      </c>
      <c r="W135" s="1">
        <v>1.06986</v>
      </c>
      <c r="X135" s="1">
        <v>1.0471999999999999</v>
      </c>
      <c r="Y135" s="1">
        <v>1.1433199999999999</v>
      </c>
      <c r="Z135" s="1">
        <v>1.2493000000000001</v>
      </c>
      <c r="AA135" s="1">
        <v>1.3046599999999999</v>
      </c>
      <c r="AB135" s="1">
        <v>1.3263799999999999</v>
      </c>
      <c r="AC135" s="1">
        <v>1.37907</v>
      </c>
      <c r="AD135" s="1">
        <v>1.06986</v>
      </c>
      <c r="AE135" s="1">
        <v>1.0471999999999999</v>
      </c>
      <c r="AF135" s="1">
        <v>1.1433199999999999</v>
      </c>
      <c r="AG135" s="1">
        <v>1.2493000000000001</v>
      </c>
      <c r="AH135" s="1">
        <v>1.3046599999999999</v>
      </c>
      <c r="AI135" s="1">
        <v>1.3263799999999999</v>
      </c>
      <c r="AL135" s="4" t="s">
        <v>25</v>
      </c>
      <c r="AM135" s="6" t="str" cm="1">
        <f t="array" ref="AM135">IFERROR((SUMPRODUCT(($B$113:$B$136=AM$111)*($F$110:$AI$110="")*$F$113:$AI$136)+IF(AM$111="P6",SUMPRODUCT(($F$110:$AI$110="P6")*$F$113:$AI$136),0))/(SUMPRODUCT(($B$113:$B$136=AM$111)*($F$110:$AI$110=""))+IF(AM$111="P6",COUNTIF($F$110:$AI$110,"P6")*ROWS($B$113:$B$136),0)),"")</f>
        <v/>
      </c>
      <c r="AN135" s="6" t="str" cm="1">
        <f t="array" ref="AN135">IFERROR((SUMPRODUCT(($B$113:$B$136=AN$111)*($F$110:$AI$110="")*$F$113:$AI$136)+IF(AN$111="P6",SUMPRODUCT(($F$110:$AI$110="P6")*$F$113:$AI$136),0))/(SUMPRODUCT(($B$113:$B$136=AN$111)*($F$110:$AI$110=""))+IF(AN$111="P6",COUNTIF($F$110:$AI$110,"P6")*ROWS($B$113:$B$136),0)),"")</f>
        <v/>
      </c>
      <c r="AO135" s="6" t="str" cm="1">
        <f t="array" ref="AO135">IFERROR((SUMPRODUCT(($B$113:$B$136=AO$111)*($F$110:$AI$110="")*$F$113:$AI$136)+IF(AO$111="P6",SUMPRODUCT(($F$110:$AI$110="P6")*$F$113:$AI$136),0))/(SUMPRODUCT(($B$113:$B$136=AO$111)*($F$110:$AI$110=""))+IF(AO$111="P6",COUNTIF($F$110:$AI$110,"P6")*ROWS($B$113:$B$136),0)),"")</f>
        <v/>
      </c>
      <c r="AP135" s="6" cm="1">
        <f t="array" ref="AP135">IFERROR((SUMPRODUCT(($B$113:$B$136=AP$111)*($F$110:$AI$110="")*$F$113:$AI$136)+IF(AP$111="P6",SUMPRODUCT(($F$110:$AI$110="P6")*$F$113:$AI$136),0))/(SUMPRODUCT(($B$113:$B$136=AP$111)*($F$110:$AI$110=""))+IF(AP$111="P6",COUNTIF($F$110:$AI$110,"P6")*ROWS($B$113:$B$136),0)),"")</f>
        <v>0.99186444444444488</v>
      </c>
      <c r="AQ135" s="6" cm="1">
        <f t="array" ref="AQ135">IFERROR((SUMPRODUCT(($B$113:$B$136=AQ$111)*($F$110:$AI$110="")*$F$113:$AI$136)+IF(AQ$111="P6",SUMPRODUCT(($F$110:$AI$110="P6")*$F$113:$AI$136),0))/(SUMPRODUCT(($B$113:$B$136=AQ$111)*($F$110:$AI$110=""))+IF(AQ$111="P6",COUNTIF($F$110:$AI$110,"P6")*ROWS($B$113:$B$136),0)),"")</f>
        <v>1.155341493506493</v>
      </c>
      <c r="AR135" s="6" cm="1">
        <f t="array" ref="AR135">IFERROR((SUMPRODUCT(($B$113:$B$136=AR$111)*($F$110:$AI$110="")*$F$113:$AI$136)+IF(AR$111="P6",SUMPRODUCT(($F$110:$AI$110="P6")*$F$113:$AI$136),0))/(SUMPRODUCT(($B$113:$B$136=AR$111)*($F$110:$AI$110=""))+IF(AR$111="P6",COUNTIF($F$110:$AI$110,"P6")*ROWS($B$113:$B$136),0)),"")</f>
        <v>1.052470625</v>
      </c>
    </row>
    <row r="136" spans="1:44" ht="14.25" customHeight="1" x14ac:dyDescent="0.35">
      <c r="A136" s="1" t="s">
        <v>17</v>
      </c>
      <c r="B136" s="1" t="s">
        <v>17</v>
      </c>
      <c r="C136" s="1" t="s">
        <v>14</v>
      </c>
      <c r="D136" s="1" t="s">
        <v>17</v>
      </c>
      <c r="E136" s="1" t="s">
        <v>42</v>
      </c>
      <c r="F136" s="1">
        <v>1.32755</v>
      </c>
      <c r="G136" s="1">
        <v>1.3725400000000001</v>
      </c>
      <c r="H136" s="1">
        <v>1.4133100000000001</v>
      </c>
      <c r="I136" s="1">
        <v>1.0907800000000001</v>
      </c>
      <c r="J136" s="1">
        <v>1.08165</v>
      </c>
      <c r="K136" s="1">
        <v>1.2401599999999999</v>
      </c>
      <c r="L136" s="1">
        <v>1.3045</v>
      </c>
      <c r="M136" s="1">
        <v>1.32755</v>
      </c>
      <c r="N136" s="1">
        <v>1.3725400000000001</v>
      </c>
      <c r="O136" s="1">
        <v>1.4133100000000001</v>
      </c>
      <c r="P136" s="1">
        <v>1.0907800000000001</v>
      </c>
      <c r="Q136" s="1">
        <v>1.08165</v>
      </c>
      <c r="R136" s="1">
        <v>1.2401599999999999</v>
      </c>
      <c r="S136" s="1">
        <v>1.3045</v>
      </c>
      <c r="T136" s="1">
        <v>1.32755</v>
      </c>
      <c r="U136" s="1">
        <v>1.3725400000000001</v>
      </c>
      <c r="V136" s="1">
        <v>1.4133100000000001</v>
      </c>
      <c r="W136" s="1">
        <v>1.0907800000000001</v>
      </c>
      <c r="X136" s="1">
        <v>1.08165</v>
      </c>
      <c r="Y136" s="1">
        <v>1.2401599999999999</v>
      </c>
      <c r="Z136" s="1">
        <v>1.3045</v>
      </c>
      <c r="AA136" s="1">
        <v>1.32755</v>
      </c>
      <c r="AB136" s="1">
        <v>1.3725400000000001</v>
      </c>
      <c r="AC136" s="1">
        <v>1.4133100000000001</v>
      </c>
      <c r="AD136" s="1">
        <v>1.0907800000000001</v>
      </c>
      <c r="AE136" s="1">
        <v>1.08165</v>
      </c>
      <c r="AF136" s="1">
        <v>1.2401599999999999</v>
      </c>
      <c r="AG136" s="1">
        <v>1.3045</v>
      </c>
      <c r="AH136" s="1">
        <v>1.32755</v>
      </c>
      <c r="AI136" s="1">
        <v>1.3725400000000001</v>
      </c>
      <c r="AL136" s="4" t="s">
        <v>27</v>
      </c>
      <c r="AM136" s="6" t="str" cm="1">
        <f t="array" ref="AM136">IFERROR((SUMPRODUCT(($B$113:$B$136=AM$111)*($F$110:$AI$110="")*$F$113:$AI$136)+IF(AM$111="P6",SUMPRODUCT(($F$110:$AI$110="P6")*$F$113:$AI$136),0))/(SUMPRODUCT(($B$113:$B$136=AM$111)*($F$110:$AI$110=""))+IF(AM$111="P6",COUNTIF($F$110:$AI$110,"P6")*ROWS($B$113:$B$136),0)),"")</f>
        <v/>
      </c>
      <c r="AN136" s="6" t="str" cm="1">
        <f t="array" ref="AN136">IFERROR((SUMPRODUCT(($B$113:$B$136=AN$111)*($F$110:$AI$110="")*$F$113:$AI$136)+IF(AN$111="P6",SUMPRODUCT(($F$110:$AI$110="P6")*$F$113:$AI$136),0))/(SUMPRODUCT(($B$113:$B$136=AN$111)*($F$110:$AI$110=""))+IF(AN$111="P6",COUNTIF($F$110:$AI$110,"P6")*ROWS($B$113:$B$136),0)),"")</f>
        <v/>
      </c>
      <c r="AO136" s="6" t="str" cm="1">
        <f t="array" ref="AO136">IFERROR((SUMPRODUCT(($B$113:$B$136=AO$111)*($F$110:$AI$110="")*$F$113:$AI$136)+IF(AO$111="P6",SUMPRODUCT(($F$110:$AI$110="P6")*$F$113:$AI$136),0))/(SUMPRODUCT(($B$113:$B$136=AO$111)*($F$110:$AI$110=""))+IF(AO$111="P6",COUNTIF($F$110:$AI$110,"P6")*ROWS($B$113:$B$136),0)),"")</f>
        <v/>
      </c>
      <c r="AP136" s="6" cm="1">
        <f t="array" ref="AP136">IFERROR((SUMPRODUCT(($B$113:$B$136=AP$111)*($F$110:$AI$110="")*$F$113:$AI$136)+IF(AP$111="P6",SUMPRODUCT(($F$110:$AI$110="P6")*$F$113:$AI$136),0))/(SUMPRODUCT(($B$113:$B$136=AP$111)*($F$110:$AI$110=""))+IF(AP$111="P6",COUNTIF($F$110:$AI$110,"P6")*ROWS($B$113:$B$136),0)),"")</f>
        <v>0.99186444444444488</v>
      </c>
      <c r="AQ136" s="6" cm="1">
        <f t="array" ref="AQ136">IFERROR((SUMPRODUCT(($B$113:$B$136=AQ$111)*($F$110:$AI$110="")*$F$113:$AI$136)+IF(AQ$111="P6",SUMPRODUCT(($F$110:$AI$110="P6")*$F$113:$AI$136),0))/(SUMPRODUCT(($B$113:$B$136=AQ$111)*($F$110:$AI$110=""))+IF(AQ$111="P6",COUNTIF($F$110:$AI$110,"P6")*ROWS($B$113:$B$136),0)),"")</f>
        <v>1.155341493506493</v>
      </c>
      <c r="AR136" s="6" cm="1">
        <f t="array" ref="AR136">IFERROR((SUMPRODUCT(($B$113:$B$136=AR$111)*($F$110:$AI$110="")*$F$113:$AI$136)+IF(AR$111="P6",SUMPRODUCT(($F$110:$AI$110="P6")*$F$113:$AI$136),0))/(SUMPRODUCT(($B$113:$B$136=AR$111)*($F$110:$AI$110=""))+IF(AR$111="P6",COUNTIF($F$110:$AI$110,"P6")*ROWS($B$113:$B$136),0)),"")</f>
        <v>1.052470625</v>
      </c>
    </row>
    <row r="137" spans="1:44" ht="14.25" customHeight="1" x14ac:dyDescent="0.35">
      <c r="AL137" s="4" t="s">
        <v>29</v>
      </c>
      <c r="AM137" s="6" t="str" cm="1">
        <f t="array" ref="AM137">IFERROR((SUMPRODUCT(($B$113:$B$136=AM$111)*($F$110:$AI$110="")*$F$113:$AI$136)+IF(AM$111="P6",SUMPRODUCT(($F$110:$AI$110="P6")*$F$113:$AI$136),0))/(SUMPRODUCT(($B$113:$B$136=AM$111)*($F$110:$AI$110=""))+IF(AM$111="P6",COUNTIF($F$110:$AI$110,"P6")*ROWS($B$113:$B$136),0)),"")</f>
        <v/>
      </c>
      <c r="AN137" s="6" t="str" cm="1">
        <f t="array" ref="AN137">IFERROR((SUMPRODUCT(($B$113:$B$136=AN$111)*($F$110:$AI$110="")*$F$113:$AI$136)+IF(AN$111="P6",SUMPRODUCT(($F$110:$AI$110="P6")*$F$113:$AI$136),0))/(SUMPRODUCT(($B$113:$B$136=AN$111)*($F$110:$AI$110=""))+IF(AN$111="P6",COUNTIF($F$110:$AI$110,"P6")*ROWS($B$113:$B$136),0)),"")</f>
        <v/>
      </c>
      <c r="AO137" s="6" t="str" cm="1">
        <f t="array" ref="AO137">IFERROR((SUMPRODUCT(($B$113:$B$136=AO$111)*($F$110:$AI$110="")*$F$113:$AI$136)+IF(AO$111="P6",SUMPRODUCT(($F$110:$AI$110="P6")*$F$113:$AI$136),0))/(SUMPRODUCT(($B$113:$B$136=AO$111)*($F$110:$AI$110=""))+IF(AO$111="P6",COUNTIF($F$110:$AI$110,"P6")*ROWS($B$113:$B$136),0)),"")</f>
        <v/>
      </c>
      <c r="AP137" s="6" cm="1">
        <f t="array" ref="AP137">IFERROR((SUMPRODUCT(($B$113:$B$136=AP$111)*($F$110:$AI$110="")*$F$113:$AI$136)+IF(AP$111="P6",SUMPRODUCT(($F$110:$AI$110="P6")*$F$113:$AI$136),0))/(SUMPRODUCT(($B$113:$B$136=AP$111)*($F$110:$AI$110=""))+IF(AP$111="P6",COUNTIF($F$110:$AI$110,"P6")*ROWS($B$113:$B$136),0)),"")</f>
        <v>0.99186444444444488</v>
      </c>
      <c r="AQ137" s="6" cm="1">
        <f t="array" ref="AQ137">IFERROR((SUMPRODUCT(($B$113:$B$136=AQ$111)*($F$110:$AI$110="")*$F$113:$AI$136)+IF(AQ$111="P6",SUMPRODUCT(($F$110:$AI$110="P6")*$F$113:$AI$136),0))/(SUMPRODUCT(($B$113:$B$136=AQ$111)*($F$110:$AI$110=""))+IF(AQ$111="P6",COUNTIF($F$110:$AI$110,"P6")*ROWS($B$113:$B$136),0)),"")</f>
        <v>1.155341493506493</v>
      </c>
      <c r="AR137" s="6" cm="1">
        <f t="array" ref="AR137">IFERROR((SUMPRODUCT(($B$113:$B$136=AR$111)*($F$110:$AI$110="")*$F$113:$AI$136)+IF(AR$111="P6",SUMPRODUCT(($F$110:$AI$110="P6")*$F$113:$AI$136),0))/(SUMPRODUCT(($B$113:$B$136=AR$111)*($F$110:$AI$110=""))+IF(AR$111="P6",COUNTIF($F$110:$AI$110,"P6")*ROWS($B$113:$B$136),0)),"")</f>
        <v>1.052470625</v>
      </c>
    </row>
    <row r="141" spans="1:44" ht="14.25" customHeight="1" x14ac:dyDescent="0.35">
      <c r="A141" s="15" t="s">
        <v>64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</row>
    <row r="142" spans="1:44" ht="14.25" customHeight="1" x14ac:dyDescent="0.3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</row>
    <row r="143" spans="1:44" ht="14.25" customHeight="1" x14ac:dyDescent="0.35">
      <c r="AL143" s="10"/>
      <c r="AM143" s="10"/>
      <c r="AN143" s="10"/>
      <c r="AO143" s="10"/>
      <c r="AP143" s="10"/>
      <c r="AQ143" s="10"/>
      <c r="AR143" s="10"/>
    </row>
    <row r="144" spans="1:44" ht="14.25" customHeight="1" x14ac:dyDescent="0.35">
      <c r="F144" s="1" t="str">
        <f>IF(OR(F146="S",F146="D",F147=DATE(2026,5,1)),"P3","")</f>
        <v>P3</v>
      </c>
      <c r="G144" s="1" t="str">
        <f t="shared" ref="G144:AJ144" si="18">IF(OR(G146="S",G146="D",G147=DATE(2026,5,1)),"P3","")</f>
        <v>P3</v>
      </c>
      <c r="H144" s="1" t="str">
        <f t="shared" si="18"/>
        <v>P3</v>
      </c>
      <c r="I144" s="1" t="str">
        <f t="shared" si="18"/>
        <v/>
      </c>
      <c r="J144" s="1" t="str">
        <f t="shared" si="18"/>
        <v/>
      </c>
      <c r="K144" s="1" t="str">
        <f t="shared" si="18"/>
        <v/>
      </c>
      <c r="L144" s="1" t="str">
        <f t="shared" si="18"/>
        <v/>
      </c>
      <c r="M144" s="1" t="str">
        <f t="shared" si="18"/>
        <v/>
      </c>
      <c r="N144" s="1" t="str">
        <f t="shared" si="18"/>
        <v>P3</v>
      </c>
      <c r="O144" s="1" t="str">
        <f t="shared" si="18"/>
        <v>P3</v>
      </c>
      <c r="P144" s="1" t="str">
        <f t="shared" si="18"/>
        <v/>
      </c>
      <c r="Q144" s="1" t="str">
        <f t="shared" si="18"/>
        <v/>
      </c>
      <c r="R144" s="1" t="str">
        <f t="shared" si="18"/>
        <v/>
      </c>
      <c r="S144" s="1" t="str">
        <f t="shared" si="18"/>
        <v/>
      </c>
      <c r="T144" s="1" t="str">
        <f t="shared" si="18"/>
        <v/>
      </c>
      <c r="U144" s="1" t="str">
        <f t="shared" si="18"/>
        <v>P3</v>
      </c>
      <c r="V144" s="1" t="str">
        <f t="shared" si="18"/>
        <v>P3</v>
      </c>
      <c r="W144" s="1" t="str">
        <f t="shared" si="18"/>
        <v/>
      </c>
      <c r="X144" s="1" t="str">
        <f t="shared" si="18"/>
        <v/>
      </c>
      <c r="Y144" s="1" t="str">
        <f t="shared" si="18"/>
        <v/>
      </c>
      <c r="Z144" s="1" t="str">
        <f t="shared" si="18"/>
        <v/>
      </c>
      <c r="AA144" s="1" t="str">
        <f t="shared" si="18"/>
        <v/>
      </c>
      <c r="AB144" s="1" t="str">
        <f t="shared" si="18"/>
        <v>P3</v>
      </c>
      <c r="AC144" s="1" t="str">
        <f t="shared" si="18"/>
        <v>P3</v>
      </c>
      <c r="AD144" s="1" t="str">
        <f t="shared" si="18"/>
        <v/>
      </c>
      <c r="AE144" s="1" t="str">
        <f t="shared" si="18"/>
        <v/>
      </c>
      <c r="AF144" s="1" t="str">
        <f t="shared" si="18"/>
        <v/>
      </c>
      <c r="AG144" s="1" t="str">
        <f t="shared" si="18"/>
        <v/>
      </c>
      <c r="AH144" s="1" t="str">
        <f t="shared" si="18"/>
        <v/>
      </c>
      <c r="AI144" s="1" t="str">
        <f t="shared" si="18"/>
        <v>P3</v>
      </c>
      <c r="AJ144" s="1" t="str">
        <f t="shared" si="18"/>
        <v>P3</v>
      </c>
      <c r="AL144" s="10"/>
      <c r="AM144" s="10"/>
      <c r="AN144" s="10"/>
      <c r="AO144" s="10"/>
      <c r="AP144" s="10"/>
      <c r="AQ144" s="10"/>
      <c r="AR144" s="10"/>
    </row>
    <row r="145" spans="1:44" ht="14.25" customHeight="1" x14ac:dyDescent="0.35">
      <c r="F145" s="1" t="str">
        <f>IF(OR(F146="S",F146="D",F147=DATE(2026,5,1)),"P6","")</f>
        <v>P6</v>
      </c>
      <c r="G145" s="1" t="str">
        <f t="shared" ref="G145:AJ145" si="19">IF(OR(G146="S",G146="D",G147=DATE(2026,5,1)),"P6","")</f>
        <v>P6</v>
      </c>
      <c r="H145" s="1" t="str">
        <f t="shared" si="19"/>
        <v>P6</v>
      </c>
      <c r="I145" s="1" t="str">
        <f t="shared" si="19"/>
        <v/>
      </c>
      <c r="J145" s="1" t="str">
        <f t="shared" si="19"/>
        <v/>
      </c>
      <c r="K145" s="1" t="str">
        <f t="shared" si="19"/>
        <v/>
      </c>
      <c r="L145" s="1" t="str">
        <f t="shared" si="19"/>
        <v/>
      </c>
      <c r="M145" s="1" t="str">
        <f t="shared" si="19"/>
        <v/>
      </c>
      <c r="N145" s="1" t="str">
        <f t="shared" si="19"/>
        <v>P6</v>
      </c>
      <c r="O145" s="1" t="str">
        <f t="shared" si="19"/>
        <v>P6</v>
      </c>
      <c r="P145" s="1" t="str">
        <f t="shared" si="19"/>
        <v/>
      </c>
      <c r="Q145" s="1" t="str">
        <f t="shared" si="19"/>
        <v/>
      </c>
      <c r="R145" s="1" t="str">
        <f t="shared" si="19"/>
        <v/>
      </c>
      <c r="S145" s="1" t="str">
        <f t="shared" si="19"/>
        <v/>
      </c>
      <c r="T145" s="1" t="str">
        <f t="shared" si="19"/>
        <v/>
      </c>
      <c r="U145" s="1" t="str">
        <f t="shared" si="19"/>
        <v>P6</v>
      </c>
      <c r="V145" s="1" t="str">
        <f t="shared" si="19"/>
        <v>P6</v>
      </c>
      <c r="W145" s="1" t="str">
        <f t="shared" si="19"/>
        <v/>
      </c>
      <c r="X145" s="1" t="str">
        <f t="shared" si="19"/>
        <v/>
      </c>
      <c r="Y145" s="1" t="str">
        <f t="shared" si="19"/>
        <v/>
      </c>
      <c r="Z145" s="1" t="str">
        <f t="shared" si="19"/>
        <v/>
      </c>
      <c r="AA145" s="1" t="str">
        <f t="shared" si="19"/>
        <v/>
      </c>
      <c r="AB145" s="1" t="str">
        <f t="shared" si="19"/>
        <v>P6</v>
      </c>
      <c r="AC145" s="1" t="str">
        <f t="shared" si="19"/>
        <v>P6</v>
      </c>
      <c r="AD145" s="1" t="str">
        <f t="shared" si="19"/>
        <v/>
      </c>
      <c r="AE145" s="1" t="str">
        <f t="shared" si="19"/>
        <v/>
      </c>
      <c r="AF145" s="1" t="str">
        <f t="shared" si="19"/>
        <v/>
      </c>
      <c r="AG145" s="1" t="str">
        <f t="shared" si="19"/>
        <v/>
      </c>
      <c r="AH145" s="1" t="str">
        <f t="shared" si="19"/>
        <v/>
      </c>
      <c r="AI145" s="1" t="str">
        <f t="shared" si="19"/>
        <v>P6</v>
      </c>
      <c r="AJ145" s="1" t="str">
        <f t="shared" si="19"/>
        <v>P6</v>
      </c>
      <c r="AL145" s="14" t="s">
        <v>128</v>
      </c>
      <c r="AM145" s="14"/>
      <c r="AN145" s="14"/>
      <c r="AO145" s="14"/>
      <c r="AP145" s="14"/>
      <c r="AQ145" s="14"/>
      <c r="AR145" s="14"/>
    </row>
    <row r="146" spans="1:44" ht="14.25" customHeight="1" x14ac:dyDescent="0.35">
      <c r="F146" s="1" t="str">
        <f>CHOOSE(WEEKDAY(F147,2),"L","M","X","J","V","S","D")</f>
        <v>V</v>
      </c>
      <c r="G146" s="1" t="str">
        <f t="shared" ref="G146:AJ146" si="20">CHOOSE(WEEKDAY(G147,2),"L","M","X","J","V","S","D")</f>
        <v>S</v>
      </c>
      <c r="H146" s="1" t="str">
        <f t="shared" si="20"/>
        <v>D</v>
      </c>
      <c r="I146" s="1" t="str">
        <f t="shared" si="20"/>
        <v>L</v>
      </c>
      <c r="J146" s="1" t="str">
        <f t="shared" si="20"/>
        <v>M</v>
      </c>
      <c r="K146" s="1" t="str">
        <f t="shared" si="20"/>
        <v>X</v>
      </c>
      <c r="L146" s="1" t="str">
        <f t="shared" si="20"/>
        <v>J</v>
      </c>
      <c r="M146" s="1" t="str">
        <f t="shared" si="20"/>
        <v>V</v>
      </c>
      <c r="N146" s="1" t="str">
        <f t="shared" si="20"/>
        <v>S</v>
      </c>
      <c r="O146" s="1" t="str">
        <f t="shared" si="20"/>
        <v>D</v>
      </c>
      <c r="P146" s="1" t="str">
        <f t="shared" si="20"/>
        <v>L</v>
      </c>
      <c r="Q146" s="1" t="str">
        <f t="shared" si="20"/>
        <v>M</v>
      </c>
      <c r="R146" s="1" t="str">
        <f t="shared" si="20"/>
        <v>X</v>
      </c>
      <c r="S146" s="1" t="str">
        <f t="shared" si="20"/>
        <v>J</v>
      </c>
      <c r="T146" s="1" t="str">
        <f t="shared" si="20"/>
        <v>V</v>
      </c>
      <c r="U146" s="1" t="str">
        <f t="shared" si="20"/>
        <v>S</v>
      </c>
      <c r="V146" s="1" t="str">
        <f t="shared" si="20"/>
        <v>D</v>
      </c>
      <c r="W146" s="1" t="str">
        <f t="shared" si="20"/>
        <v>L</v>
      </c>
      <c r="X146" s="1" t="str">
        <f t="shared" si="20"/>
        <v>M</v>
      </c>
      <c r="Y146" s="1" t="str">
        <f t="shared" si="20"/>
        <v>X</v>
      </c>
      <c r="Z146" s="1" t="str">
        <f t="shared" si="20"/>
        <v>J</v>
      </c>
      <c r="AA146" s="1" t="str">
        <f t="shared" si="20"/>
        <v>V</v>
      </c>
      <c r="AB146" s="1" t="str">
        <f t="shared" si="20"/>
        <v>S</v>
      </c>
      <c r="AC146" s="1" t="str">
        <f t="shared" si="20"/>
        <v>D</v>
      </c>
      <c r="AD146" s="1" t="str">
        <f t="shared" si="20"/>
        <v>L</v>
      </c>
      <c r="AE146" s="1" t="str">
        <f t="shared" si="20"/>
        <v>M</v>
      </c>
      <c r="AF146" s="1" t="str">
        <f t="shared" si="20"/>
        <v>X</v>
      </c>
      <c r="AG146" s="1" t="str">
        <f t="shared" si="20"/>
        <v>J</v>
      </c>
      <c r="AH146" s="1" t="str">
        <f t="shared" si="20"/>
        <v>V</v>
      </c>
      <c r="AI146" s="1" t="str">
        <f t="shared" si="20"/>
        <v>S</v>
      </c>
      <c r="AJ146" s="1" t="str">
        <f t="shared" si="20"/>
        <v>D</v>
      </c>
      <c r="AL146" s="4"/>
      <c r="AM146" s="4" t="s">
        <v>13</v>
      </c>
      <c r="AN146" s="4" t="s">
        <v>14</v>
      </c>
      <c r="AO146" s="4" t="s">
        <v>15</v>
      </c>
      <c r="AP146" s="4" t="s">
        <v>16</v>
      </c>
      <c r="AQ146" s="4" t="s">
        <v>17</v>
      </c>
      <c r="AR146" s="4" t="s">
        <v>7</v>
      </c>
    </row>
    <row r="147" spans="1:44" s="8" customFormat="1" ht="14.25" customHeight="1" x14ac:dyDescent="0.35">
      <c r="A147" s="3" t="s">
        <v>76</v>
      </c>
      <c r="B147" s="3" t="s">
        <v>77</v>
      </c>
      <c r="C147" s="3" t="s">
        <v>75</v>
      </c>
      <c r="D147" s="3" t="s">
        <v>74</v>
      </c>
      <c r="F147" s="8">
        <v>46143</v>
      </c>
      <c r="G147" s="8">
        <v>46144</v>
      </c>
      <c r="H147" s="8">
        <v>46145</v>
      </c>
      <c r="I147" s="8">
        <v>46146</v>
      </c>
      <c r="J147" s="8">
        <v>46147</v>
      </c>
      <c r="K147" s="8">
        <v>46148</v>
      </c>
      <c r="L147" s="8">
        <v>46149</v>
      </c>
      <c r="M147" s="8">
        <v>46150</v>
      </c>
      <c r="N147" s="8">
        <v>46151</v>
      </c>
      <c r="O147" s="8">
        <v>46152</v>
      </c>
      <c r="P147" s="8">
        <v>46153</v>
      </c>
      <c r="Q147" s="8">
        <v>46154</v>
      </c>
      <c r="R147" s="8">
        <v>46155</v>
      </c>
      <c r="S147" s="8">
        <v>46156</v>
      </c>
      <c r="T147" s="8">
        <v>46157</v>
      </c>
      <c r="U147" s="8">
        <v>46158</v>
      </c>
      <c r="V147" s="8">
        <v>46159</v>
      </c>
      <c r="W147" s="8">
        <v>46160</v>
      </c>
      <c r="X147" s="8">
        <v>46161</v>
      </c>
      <c r="Y147" s="8">
        <v>46162</v>
      </c>
      <c r="Z147" s="8">
        <v>46163</v>
      </c>
      <c r="AA147" s="8">
        <v>46164</v>
      </c>
      <c r="AB147" s="8">
        <v>46165</v>
      </c>
      <c r="AC147" s="8">
        <v>46166</v>
      </c>
      <c r="AD147" s="8">
        <v>46167</v>
      </c>
      <c r="AE147" s="8">
        <v>46168</v>
      </c>
      <c r="AF147" s="8">
        <v>46169</v>
      </c>
      <c r="AG147" s="8">
        <v>46170</v>
      </c>
      <c r="AH147" s="8">
        <v>46171</v>
      </c>
      <c r="AI147" s="8">
        <v>46172</v>
      </c>
      <c r="AJ147" s="8">
        <v>46173</v>
      </c>
      <c r="AL147" s="4" t="s">
        <v>19</v>
      </c>
      <c r="AM147" s="6" cm="1">
        <f t="array" ref="AM147">IFERROR((SUMPRODUCT(($C$148:$C$171=AM$146)*($F$144:$AJ$144="")*$F$148:$AJ$171)+IF(AM$146="P3",SUMPRODUCT(($F$144:$AJ$144="P3")*$F$148:$AJ$171),0))/(SUMPRODUCT(($C$148:$C$171=AM$146)*($F$144:$AJ$144=""))+IF(AM$146="P3",COUNTIF($F$144:$AJ$144,"P3")*ROWS($C$148:$C$171),0)),"")</f>
        <v>0.9299737499999996</v>
      </c>
      <c r="AN147" s="6" cm="1">
        <f t="array" ref="AN147">IFERROR((SUMPRODUCT(($C$148:$C$171=AN$146)*($F$144:$AJ$144="")*$F$148:$AJ$171)+IF(AN$146="P3",SUMPRODUCT(($F$144:$AJ$144="P3")*$F$148:$AJ$171),0))/(SUMPRODUCT(($C$148:$C$171=AN$146)*($F$144:$AJ$144=""))+IF(AN$146="P3",COUNTIF($F$144:$AJ$144,"P3")*ROWS($C$148:$C$171),0)),"")</f>
        <v>1.0644892499999996</v>
      </c>
      <c r="AO147" s="6" cm="1">
        <f t="array" ref="AO147">IFERROR((SUMPRODUCT(($C$148:$C$171=AO$146)*($F$144:$AJ$144="")*$F$148:$AJ$171)+IF(AO$146="P3",SUMPRODUCT(($F$144:$AJ$144="P3")*$F$148:$AJ$171),0))/(SUMPRODUCT(($C$148:$C$171=AO$146)*($F$144:$AJ$144=""))+IF(AO$146="P3",COUNTIF($F$144:$AJ$144,"P3")*ROWS($C$148:$C$171),0)),"")</f>
        <v>0.94429183962264174</v>
      </c>
      <c r="AP147" s="6" t="str" cm="1">
        <f t="array" ref="AP147">IFERROR((SUMPRODUCT(($C$148:$C$171=AP$146)*($F$144:$AJ$144="")*$F$148:$AJ$171)+IF(AP$146="P3",SUMPRODUCT(($F$144:$AJ$144="P3")*$F$148:$AJ$171),0))/(SUMPRODUCT(($C$148:$C$171=AP$146)*($F$144:$AJ$144=""))+IF(AP$146="P3",COUNTIF($F$144:$AJ$144,"P3")*ROWS($C$148:$C$171),0)),"")</f>
        <v/>
      </c>
      <c r="AQ147" s="6" t="str" cm="1">
        <f t="array" ref="AQ147">IFERROR((SUMPRODUCT(($C$148:$C$171=AQ$146)*($F$144:$AJ$144="")*$F$148:$AJ$171)+IF(AQ$146="P3",SUMPRODUCT(($F$144:$AJ$144="P3")*$F$148:$AJ$171),0))/(SUMPRODUCT(($C$148:$C$171=AQ$146)*($F$144:$AJ$144=""))+IF(AQ$146="P3",COUNTIF($F$144:$AJ$144,"P3")*ROWS($C$148:$C$171),0)),"")</f>
        <v/>
      </c>
      <c r="AR147" s="6" t="str" cm="1">
        <f t="array" ref="AR147">IFERROR((SUMPRODUCT(($C$148:$C$171=AR$146)*($F$144:$AJ$144="")*$F$148:$AJ$171)+IF(AR$146="P3",SUMPRODUCT(($F$144:$AJ$144="P3")*$F$148:$AJ$171),0))/(SUMPRODUCT(($C$148:$C$171=AR$146)*($F$144:$AJ$144=""))+IF(AR$146="P3",COUNTIF($F$144:$AJ$144,"P3")*ROWS($C$148:$C$171),0)),"")</f>
        <v/>
      </c>
    </row>
    <row r="148" spans="1:44" ht="14.25" customHeight="1" x14ac:dyDescent="0.35">
      <c r="A148" s="1" t="s">
        <v>7</v>
      </c>
      <c r="B148" s="1" t="s">
        <v>7</v>
      </c>
      <c r="C148" s="1" t="s">
        <v>15</v>
      </c>
      <c r="D148" s="1" t="s">
        <v>7</v>
      </c>
      <c r="E148" s="1" t="s">
        <v>8</v>
      </c>
      <c r="F148" s="1">
        <v>1.0999300000000001</v>
      </c>
      <c r="G148" s="1">
        <v>0.97787000000000002</v>
      </c>
      <c r="H148" s="1">
        <v>0.99758000000000002</v>
      </c>
      <c r="I148" s="1">
        <v>0.96226999999999996</v>
      </c>
      <c r="J148" s="1">
        <v>0.97035000000000005</v>
      </c>
      <c r="K148" s="1">
        <v>0.97324999999999995</v>
      </c>
      <c r="L148" s="1">
        <v>0.96396000000000004</v>
      </c>
      <c r="M148" s="1">
        <v>0.98204999999999998</v>
      </c>
      <c r="N148" s="1">
        <v>0.97787000000000002</v>
      </c>
      <c r="O148" s="1">
        <v>0.99758000000000002</v>
      </c>
      <c r="P148" s="1">
        <v>0.96226999999999996</v>
      </c>
      <c r="Q148" s="1">
        <v>0.97035000000000005</v>
      </c>
      <c r="R148" s="1">
        <v>0.97324999999999995</v>
      </c>
      <c r="S148" s="1">
        <v>0.96396000000000004</v>
      </c>
      <c r="T148" s="1">
        <v>0.98204999999999998</v>
      </c>
      <c r="U148" s="1">
        <v>0.97787000000000002</v>
      </c>
      <c r="V148" s="1">
        <v>0.99758000000000002</v>
      </c>
      <c r="W148" s="1">
        <v>0.96226999999999996</v>
      </c>
      <c r="X148" s="1">
        <v>0.97035000000000005</v>
      </c>
      <c r="Y148" s="1">
        <v>0.97324999999999995</v>
      </c>
      <c r="Z148" s="1">
        <v>0.96396000000000004</v>
      </c>
      <c r="AA148" s="1">
        <v>0.98204999999999998</v>
      </c>
      <c r="AB148" s="1">
        <v>0.97787000000000002</v>
      </c>
      <c r="AC148" s="1">
        <v>0.99758000000000002</v>
      </c>
      <c r="AD148" s="1">
        <v>0.96226999999999996</v>
      </c>
      <c r="AE148" s="1">
        <v>0.97035000000000005</v>
      </c>
      <c r="AF148" s="1">
        <v>0.97324999999999995</v>
      </c>
      <c r="AG148" s="1">
        <v>0.96396000000000004</v>
      </c>
      <c r="AH148" s="1">
        <v>0.98204999999999998</v>
      </c>
      <c r="AI148" s="1">
        <v>0.97787000000000002</v>
      </c>
      <c r="AJ148" s="1">
        <v>0.99758000000000002</v>
      </c>
      <c r="AL148" s="4" t="s">
        <v>21</v>
      </c>
      <c r="AM148" s="6" t="str" cm="1">
        <f t="array" ref="AM148">IFERROR((SUMPRODUCT(($D$148:$D$171=AM$146)*($F$145:$AJ$145="")*$F$148:$AJ$171)+IF(AM$146="P6",SUMPRODUCT(($F$145:$AJ$145="P6")*$F$148:$AJ$171),0))/(SUMPRODUCT(($D$148:$D$171=AM$146)*($F$145:$AJ$145=""))+IF(AM$146="P6",COUNTIF($F$145:$AJ$145,"P6")*ROWS($D$148:$D$171),0)),"")</f>
        <v/>
      </c>
      <c r="AN148" s="6" t="str" cm="1">
        <f t="array" ref="AN148">IFERROR((SUMPRODUCT(($D$148:$D$171=AN$146)*($F$145:$AJ$145="")*$F$148:$AJ$171)+IF(AN$146="P6",SUMPRODUCT(($F$145:$AJ$145="P6")*$F$148:$AJ$171),0))/(SUMPRODUCT(($D$148:$D$171=AN$146)*($F$145:$AJ$145=""))+IF(AN$146="P6",COUNTIF($F$145:$AJ$145,"P6")*ROWS($D$148:$D$171),0)),"")</f>
        <v/>
      </c>
      <c r="AO148" s="6" t="str" cm="1">
        <f t="array" ref="AO148">IFERROR((SUMPRODUCT(($D$148:$D$171=AO$146)*($F$145:$AJ$145="")*$F$148:$AJ$171)+IF(AO$146="P6",SUMPRODUCT(($F$145:$AJ$145="P6")*$F$148:$AJ$171),0))/(SUMPRODUCT(($D$148:$D$171=AO$146)*($F$145:$AJ$145=""))+IF(AO$146="P6",COUNTIF($F$145:$AJ$145,"P6")*ROWS($D$148:$D$171),0)),"")</f>
        <v/>
      </c>
      <c r="AP148" s="6" cm="1">
        <f t="array" ref="AP148">IFERROR((SUMPRODUCT(($D$148:$D$171=AP$146)*($F$145:$AJ$145="")*$F$148:$AJ$171)+IF(AP$146="P6",SUMPRODUCT(($F$145:$AJ$145="P6")*$F$148:$AJ$171),0))/(SUMPRODUCT(($D$148:$D$171=AP$146)*($F$145:$AJ$145=""))+IF(AP$146="P6",COUNTIF($F$145:$AJ$145,"P6")*ROWS($D$148:$D$171),0)),"")</f>
        <v>0.9283357777777772</v>
      </c>
      <c r="AQ148" s="6" cm="1">
        <f t="array" ref="AQ148">IFERROR((SUMPRODUCT(($D$148:$D$171=AQ$146)*($F$145:$AJ$145="")*$F$148:$AJ$171)+IF(AQ$146="P6",SUMPRODUCT(($F$145:$AJ$145="P6")*$F$148:$AJ$171),0))/(SUMPRODUCT(($D$148:$D$171=AQ$146)*($F$145:$AJ$145=""))+IF(AQ$146="P6",COUNTIF($F$145:$AJ$145,"P6")*ROWS($D$148:$D$171),0)),"")</f>
        <v>1.085811714285714</v>
      </c>
      <c r="AR148" s="6" cm="1">
        <f t="array" ref="AR148">IFERROR((SUMPRODUCT(($D$148:$D$171=AR$146)*($F$145:$AJ$145="")*$F$148:$AJ$171)+IF(AR$146="P6",SUMPRODUCT(($F$145:$AJ$145="P6")*$F$148:$AJ$171),0))/(SUMPRODUCT(($D$148:$D$171=AR$146)*($F$145:$AJ$145=""))+IF(AR$146="P6",COUNTIF($F$145:$AJ$145,"P6")*ROWS($D$148:$D$171),0)),"")</f>
        <v>0.94429183962264174</v>
      </c>
    </row>
    <row r="149" spans="1:44" ht="14.25" customHeight="1" x14ac:dyDescent="0.35">
      <c r="A149" s="1" t="s">
        <v>7</v>
      </c>
      <c r="B149" s="1" t="s">
        <v>7</v>
      </c>
      <c r="C149" s="1" t="s">
        <v>15</v>
      </c>
      <c r="D149" s="1" t="s">
        <v>7</v>
      </c>
      <c r="E149" s="1" t="s">
        <v>9</v>
      </c>
      <c r="F149" s="1">
        <v>1.11399</v>
      </c>
      <c r="G149" s="1">
        <v>1.0021</v>
      </c>
      <c r="H149" s="1">
        <v>1.03349</v>
      </c>
      <c r="I149" s="1">
        <v>0.98382000000000003</v>
      </c>
      <c r="J149" s="1">
        <v>0.99307999999999996</v>
      </c>
      <c r="K149" s="1">
        <v>0.98687999999999998</v>
      </c>
      <c r="L149" s="1">
        <v>0.97809999999999997</v>
      </c>
      <c r="M149" s="1">
        <v>0.99934000000000001</v>
      </c>
      <c r="N149" s="1">
        <v>1.0021</v>
      </c>
      <c r="O149" s="1">
        <v>1.03349</v>
      </c>
      <c r="P149" s="1">
        <v>0.98382000000000003</v>
      </c>
      <c r="Q149" s="1">
        <v>0.99307999999999996</v>
      </c>
      <c r="R149" s="1">
        <v>0.98687999999999998</v>
      </c>
      <c r="S149" s="1">
        <v>0.97809999999999997</v>
      </c>
      <c r="T149" s="1">
        <v>0.99934000000000001</v>
      </c>
      <c r="U149" s="1">
        <v>1.0021</v>
      </c>
      <c r="V149" s="1">
        <v>1.03349</v>
      </c>
      <c r="W149" s="1">
        <v>0.98382000000000003</v>
      </c>
      <c r="X149" s="1">
        <v>0.99307999999999996</v>
      </c>
      <c r="Y149" s="1">
        <v>0.98687999999999998</v>
      </c>
      <c r="Z149" s="1">
        <v>0.97809999999999997</v>
      </c>
      <c r="AA149" s="1">
        <v>0.99934000000000001</v>
      </c>
      <c r="AB149" s="1">
        <v>1.0021</v>
      </c>
      <c r="AC149" s="1">
        <v>1.03349</v>
      </c>
      <c r="AD149" s="1">
        <v>0.98382000000000003</v>
      </c>
      <c r="AE149" s="1">
        <v>0.99307999999999996</v>
      </c>
      <c r="AF149" s="1">
        <v>0.98687999999999998</v>
      </c>
      <c r="AG149" s="1">
        <v>0.97809999999999997</v>
      </c>
      <c r="AH149" s="1">
        <v>0.99934000000000001</v>
      </c>
      <c r="AI149" s="1">
        <v>1.0021</v>
      </c>
      <c r="AJ149" s="1">
        <v>1.03349</v>
      </c>
      <c r="AL149" s="4" t="s">
        <v>23</v>
      </c>
      <c r="AM149" s="6" t="str" cm="1">
        <f t="array" ref="AM149">IFERROR((SUMPRODUCT(($D$148:$D$171=AM$146)*($F$145:$AJ$145="")*$F$148:$AJ$171)+IF(AM$146="P6",SUMPRODUCT(($F$145:$AJ$145="P6")*$F$148:$AJ$171),0))/(SUMPRODUCT(($D$148:$D$171=AM$146)*($F$145:$AJ$145=""))+IF(AM$146="P6",COUNTIF($F$145:$AJ$145,"P6")*ROWS($D$148:$D$171),0)),"")</f>
        <v/>
      </c>
      <c r="AN149" s="6" t="str" cm="1">
        <f t="array" ref="AN149">IFERROR((SUMPRODUCT(($D$148:$D$171=AN$146)*($F$145:$AJ$145="")*$F$148:$AJ$171)+IF(AN$146="P6",SUMPRODUCT(($F$145:$AJ$145="P6")*$F$148:$AJ$171),0))/(SUMPRODUCT(($D$148:$D$171=AN$146)*($F$145:$AJ$145=""))+IF(AN$146="P6",COUNTIF($F$145:$AJ$145,"P6")*ROWS($D$148:$D$171),0)),"")</f>
        <v/>
      </c>
      <c r="AO149" s="5" t="str" cm="1">
        <f t="array" ref="AO149">IFERROR((SUMPRODUCT(($D$148:$D$171=AO$146)*($F$145:$AJ$145="")*$F$148:$AJ$171)+IF(AO$146="P6",SUMPRODUCT(($F$145:$AJ$145="P6")*$F$148:$AJ$171),0))/(SUMPRODUCT(($D$148:$D$171=AO$146)*($F$145:$AJ$145=""))+IF(AO$146="P6",COUNTIF($F$145:$AJ$145,"P6")*ROWS($D$148:$D$171),0)),"")</f>
        <v/>
      </c>
      <c r="AP149" s="5" cm="1">
        <f t="array" ref="AP149">IFERROR((SUMPRODUCT(($D$148:$D$171=AP$146)*($F$145:$AJ$145="")*$F$148:$AJ$171)+IF(AP$146="P6",SUMPRODUCT(($F$145:$AJ$145="P6")*$F$148:$AJ$171),0))/(SUMPRODUCT(($D$148:$D$171=AP$146)*($F$145:$AJ$145=""))+IF(AP$146="P6",COUNTIF($F$145:$AJ$145,"P6")*ROWS($D$148:$D$171),0)),"")</f>
        <v>0.9283357777777772</v>
      </c>
      <c r="AQ149" s="5" cm="1">
        <f t="array" ref="AQ149">IFERROR((SUMPRODUCT(($D$148:$D$171=AQ$146)*($F$145:$AJ$145="")*$F$148:$AJ$171)+IF(AQ$146="P6",SUMPRODUCT(($F$145:$AJ$145="P6")*$F$148:$AJ$171),0))/(SUMPRODUCT(($D$148:$D$171=AQ$146)*($F$145:$AJ$145=""))+IF(AQ$146="P6",COUNTIF($F$145:$AJ$145,"P6")*ROWS($D$148:$D$171),0)),"")</f>
        <v>1.085811714285714</v>
      </c>
      <c r="AR149" s="6" cm="1">
        <f t="array" ref="AR149">IFERROR((SUMPRODUCT(($D$148:$D$171=AR$146)*($F$145:$AJ$145="")*$F$148:$AJ$171)+IF(AR$146="P6",SUMPRODUCT(($F$145:$AJ$145="P6")*$F$148:$AJ$171),0))/(SUMPRODUCT(($D$148:$D$171=AR$146)*($F$145:$AJ$145=""))+IF(AR$146="P6",COUNTIF($F$145:$AJ$145,"P6")*ROWS($D$148:$D$171),0)),"")</f>
        <v>0.94429183962264174</v>
      </c>
    </row>
    <row r="150" spans="1:44" ht="14.25" customHeight="1" x14ac:dyDescent="0.35">
      <c r="A150" s="1" t="s">
        <v>7</v>
      </c>
      <c r="B150" s="1" t="s">
        <v>7</v>
      </c>
      <c r="C150" s="1" t="s">
        <v>15</v>
      </c>
      <c r="D150" s="1" t="s">
        <v>7</v>
      </c>
      <c r="E150" s="1" t="s">
        <v>10</v>
      </c>
      <c r="F150" s="1">
        <v>1.1387</v>
      </c>
      <c r="G150" s="1">
        <v>1.0239400000000001</v>
      </c>
      <c r="H150" s="1">
        <v>1.0471900000000001</v>
      </c>
      <c r="I150" s="1">
        <v>0.99689000000000005</v>
      </c>
      <c r="J150" s="1">
        <v>1.0041599999999999</v>
      </c>
      <c r="K150" s="1">
        <v>0.99597999999999998</v>
      </c>
      <c r="L150" s="1">
        <v>0.98331999999999997</v>
      </c>
      <c r="M150" s="1">
        <v>1.0140899999999999</v>
      </c>
      <c r="N150" s="1">
        <v>1.0239400000000001</v>
      </c>
      <c r="O150" s="1">
        <v>1.0471900000000001</v>
      </c>
      <c r="P150" s="1">
        <v>0.99689000000000005</v>
      </c>
      <c r="Q150" s="1">
        <v>1.0041599999999999</v>
      </c>
      <c r="R150" s="1">
        <v>0.99597999999999998</v>
      </c>
      <c r="S150" s="1">
        <v>0.98331999999999997</v>
      </c>
      <c r="T150" s="1">
        <v>1.0140899999999999</v>
      </c>
      <c r="U150" s="1">
        <v>1.0239400000000001</v>
      </c>
      <c r="V150" s="1">
        <v>1.0471900000000001</v>
      </c>
      <c r="W150" s="1">
        <v>0.99689000000000005</v>
      </c>
      <c r="X150" s="1">
        <v>1.0041599999999999</v>
      </c>
      <c r="Y150" s="1">
        <v>0.99597999999999998</v>
      </c>
      <c r="Z150" s="1">
        <v>0.98331999999999997</v>
      </c>
      <c r="AA150" s="1">
        <v>1.0140899999999999</v>
      </c>
      <c r="AB150" s="1">
        <v>1.0239400000000001</v>
      </c>
      <c r="AC150" s="1">
        <v>1.0471900000000001</v>
      </c>
      <c r="AD150" s="1">
        <v>0.99689000000000005</v>
      </c>
      <c r="AE150" s="1">
        <v>1.0041599999999999</v>
      </c>
      <c r="AF150" s="1">
        <v>0.99597999999999998</v>
      </c>
      <c r="AG150" s="1">
        <v>0.98331999999999997</v>
      </c>
      <c r="AH150" s="1">
        <v>1.0140899999999999</v>
      </c>
      <c r="AI150" s="1">
        <v>1.0239400000000001</v>
      </c>
      <c r="AJ150" s="1">
        <v>1.0471900000000001</v>
      </c>
      <c r="AL150" s="4" t="s">
        <v>25</v>
      </c>
      <c r="AM150" s="6" t="str" cm="1">
        <f t="array" ref="AM150">IFERROR((SUMPRODUCT(($D$148:$D$171=AM$146)*($F$145:$AJ$145="")*$F$148:$AJ$171)+IF(AM$146="P6",SUMPRODUCT(($F$145:$AJ$145="P6")*$F$148:$AJ$171),0))/(SUMPRODUCT(($D$148:$D$171=AM$146)*($F$145:$AJ$145=""))+IF(AM$146="P6",COUNTIF($F$145:$AJ$145,"P6")*ROWS($D$148:$D$171),0)),"")</f>
        <v/>
      </c>
      <c r="AN150" s="6" t="str" cm="1">
        <f t="array" ref="AN150">IFERROR((SUMPRODUCT(($D$148:$D$171=AN$146)*($F$145:$AJ$145="")*$F$148:$AJ$171)+IF(AN$146="P6",SUMPRODUCT(($F$145:$AJ$145="P6")*$F$148:$AJ$171),0))/(SUMPRODUCT(($D$148:$D$171=AN$146)*($F$145:$AJ$145=""))+IF(AN$146="P6",COUNTIF($F$145:$AJ$145,"P6")*ROWS($D$148:$D$171),0)),"")</f>
        <v/>
      </c>
      <c r="AO150" s="5" t="str" cm="1">
        <f t="array" ref="AO150">IFERROR((SUMPRODUCT(($D$148:$D$171=AO$146)*($F$145:$AJ$145="")*$F$148:$AJ$171)+IF(AO$146="P6",SUMPRODUCT(($F$145:$AJ$145="P6")*$F$148:$AJ$171),0))/(SUMPRODUCT(($D$148:$D$171=AO$146)*($F$145:$AJ$145=""))+IF(AO$146="P6",COUNTIF($F$145:$AJ$145,"P6")*ROWS($D$148:$D$171),0)),"")</f>
        <v/>
      </c>
      <c r="AP150" s="5" cm="1">
        <f t="array" ref="AP150">IFERROR((SUMPRODUCT(($D$148:$D$171=AP$146)*($F$145:$AJ$145="")*$F$148:$AJ$171)+IF(AP$146="P6",SUMPRODUCT(($F$145:$AJ$145="P6")*$F$148:$AJ$171),0))/(SUMPRODUCT(($D$148:$D$171=AP$146)*($F$145:$AJ$145=""))+IF(AP$146="P6",COUNTIF($F$145:$AJ$145,"P6")*ROWS($D$148:$D$171),0)),"")</f>
        <v>0.9283357777777772</v>
      </c>
      <c r="AQ150" s="5" cm="1">
        <f t="array" ref="AQ150">IFERROR((SUMPRODUCT(($D$148:$D$171=AQ$146)*($F$145:$AJ$145="")*$F$148:$AJ$171)+IF(AQ$146="P6",SUMPRODUCT(($F$145:$AJ$145="P6")*$F$148:$AJ$171),0))/(SUMPRODUCT(($D$148:$D$171=AQ$146)*($F$145:$AJ$145=""))+IF(AQ$146="P6",COUNTIF($F$145:$AJ$145,"P6")*ROWS($D$148:$D$171),0)),"")</f>
        <v>1.085811714285714</v>
      </c>
      <c r="AR150" s="6" cm="1">
        <f t="array" ref="AR150">IFERROR((SUMPRODUCT(($D$148:$D$171=AR$146)*($F$145:$AJ$145="")*$F$148:$AJ$171)+IF(AR$146="P6",SUMPRODUCT(($F$145:$AJ$145="P6")*$F$148:$AJ$171),0))/(SUMPRODUCT(($D$148:$D$171=AR$146)*($F$145:$AJ$145=""))+IF(AR$146="P6",COUNTIF($F$145:$AJ$145,"P6")*ROWS($D$148:$D$171),0)),"")</f>
        <v>0.94429183962264174</v>
      </c>
    </row>
    <row r="151" spans="1:44" ht="14.25" customHeight="1" x14ac:dyDescent="0.35">
      <c r="A151" s="1" t="s">
        <v>7</v>
      </c>
      <c r="B151" s="1" t="s">
        <v>7</v>
      </c>
      <c r="C151" s="1" t="s">
        <v>15</v>
      </c>
      <c r="D151" s="1" t="s">
        <v>7</v>
      </c>
      <c r="E151" s="1" t="s">
        <v>11</v>
      </c>
      <c r="F151" s="1">
        <v>1.1483399999999999</v>
      </c>
      <c r="G151" s="1">
        <v>1.0304899999999999</v>
      </c>
      <c r="H151" s="1">
        <v>1.06287</v>
      </c>
      <c r="I151" s="1">
        <v>1.01206</v>
      </c>
      <c r="J151" s="1">
        <v>1.0047200000000001</v>
      </c>
      <c r="K151" s="1">
        <v>0.98624999999999996</v>
      </c>
      <c r="L151" s="1">
        <v>0.97540000000000004</v>
      </c>
      <c r="M151" s="1">
        <v>1.0110699999999999</v>
      </c>
      <c r="N151" s="1">
        <v>1.0304899999999999</v>
      </c>
      <c r="O151" s="1">
        <v>1.06287</v>
      </c>
      <c r="P151" s="1">
        <v>1.01206</v>
      </c>
      <c r="Q151" s="1">
        <v>1.0047200000000001</v>
      </c>
      <c r="R151" s="1">
        <v>0.98624999999999996</v>
      </c>
      <c r="S151" s="1">
        <v>0.97540000000000004</v>
      </c>
      <c r="T151" s="1">
        <v>1.0110699999999999</v>
      </c>
      <c r="U151" s="1">
        <v>1.0304899999999999</v>
      </c>
      <c r="V151" s="1">
        <v>1.06287</v>
      </c>
      <c r="W151" s="1">
        <v>1.01206</v>
      </c>
      <c r="X151" s="1">
        <v>1.0047200000000001</v>
      </c>
      <c r="Y151" s="1">
        <v>0.98624999999999996</v>
      </c>
      <c r="Z151" s="1">
        <v>0.97540000000000004</v>
      </c>
      <c r="AA151" s="1">
        <v>1.0110699999999999</v>
      </c>
      <c r="AB151" s="1">
        <v>1.0304899999999999</v>
      </c>
      <c r="AC151" s="1">
        <v>1.06287</v>
      </c>
      <c r="AD151" s="1">
        <v>1.01206</v>
      </c>
      <c r="AE151" s="1">
        <v>1.0047200000000001</v>
      </c>
      <c r="AF151" s="1">
        <v>0.98624999999999996</v>
      </c>
      <c r="AG151" s="1">
        <v>0.97540000000000004</v>
      </c>
      <c r="AH151" s="1">
        <v>1.0110699999999999</v>
      </c>
      <c r="AI151" s="1">
        <v>1.0304899999999999</v>
      </c>
      <c r="AJ151" s="1">
        <v>1.06287</v>
      </c>
      <c r="AL151" s="4" t="s">
        <v>27</v>
      </c>
      <c r="AM151" s="6" t="str" cm="1">
        <f t="array" ref="AM151">IFERROR((SUMPRODUCT(($D$148:$D$171=AM$146)*($F$145:$AJ$145="")*$F$148:$AJ$171)+IF(AM$146="P6",SUMPRODUCT(($F$145:$AJ$145="P6")*$F$148:$AJ$171),0))/(SUMPRODUCT(($D$148:$D$171=AM$146)*($F$145:$AJ$145=""))+IF(AM$146="P6",COUNTIF($F$145:$AJ$145,"P6")*ROWS($D$148:$D$171),0)),"")</f>
        <v/>
      </c>
      <c r="AN151" s="6" t="str" cm="1">
        <f t="array" ref="AN151">IFERROR((SUMPRODUCT(($D$148:$D$171=AN$146)*($F$145:$AJ$145="")*$F$148:$AJ$171)+IF(AN$146="P6",SUMPRODUCT(($F$145:$AJ$145="P6")*$F$148:$AJ$171),0))/(SUMPRODUCT(($D$148:$D$171=AN$146)*($F$145:$AJ$145=""))+IF(AN$146="P6",COUNTIF($F$145:$AJ$145,"P6")*ROWS($D$148:$D$171),0)),"")</f>
        <v/>
      </c>
      <c r="AO151" s="5" t="str" cm="1">
        <f t="array" ref="AO151">IFERROR((SUMPRODUCT(($D$148:$D$171=AO$146)*($F$145:$AJ$145="")*$F$148:$AJ$171)+IF(AO$146="P6",SUMPRODUCT(($F$145:$AJ$145="P6")*$F$148:$AJ$171),0))/(SUMPRODUCT(($D$148:$D$171=AO$146)*($F$145:$AJ$145=""))+IF(AO$146="P6",COUNTIF($F$145:$AJ$145,"P6")*ROWS($D$148:$D$171),0)),"")</f>
        <v/>
      </c>
      <c r="AP151" s="5" cm="1">
        <f t="array" ref="AP151">IFERROR((SUMPRODUCT(($D$148:$D$171=AP$146)*($F$145:$AJ$145="")*$F$148:$AJ$171)+IF(AP$146="P6",SUMPRODUCT(($F$145:$AJ$145="P6")*$F$148:$AJ$171),0))/(SUMPRODUCT(($D$148:$D$171=AP$146)*($F$145:$AJ$145=""))+IF(AP$146="P6",COUNTIF($F$145:$AJ$145,"P6")*ROWS($D$148:$D$171),0)),"")</f>
        <v>0.9283357777777772</v>
      </c>
      <c r="AQ151" s="5" cm="1">
        <f t="array" ref="AQ151">IFERROR((SUMPRODUCT(($D$148:$D$171=AQ$146)*($F$145:$AJ$145="")*$F$148:$AJ$171)+IF(AQ$146="P6",SUMPRODUCT(($F$145:$AJ$145="P6")*$F$148:$AJ$171),0))/(SUMPRODUCT(($D$148:$D$171=AQ$146)*($F$145:$AJ$145=""))+IF(AQ$146="P6",COUNTIF($F$145:$AJ$145,"P6")*ROWS($D$148:$D$171),0)),"")</f>
        <v>1.085811714285714</v>
      </c>
      <c r="AR151" s="6" cm="1">
        <f t="array" ref="AR151">IFERROR((SUMPRODUCT(($D$148:$D$171=AR$146)*($F$145:$AJ$145="")*$F$148:$AJ$171)+IF(AR$146="P6",SUMPRODUCT(($F$145:$AJ$145="P6")*$F$148:$AJ$171),0))/(SUMPRODUCT(($D$148:$D$171=AR$146)*($F$145:$AJ$145=""))+IF(AR$146="P6",COUNTIF($F$145:$AJ$145,"P6")*ROWS($D$148:$D$171),0)),"")</f>
        <v>0.94429183962264174</v>
      </c>
    </row>
    <row r="152" spans="1:44" ht="14.25" customHeight="1" x14ac:dyDescent="0.35">
      <c r="A152" s="1" t="s">
        <v>7</v>
      </c>
      <c r="B152" s="1" t="s">
        <v>7</v>
      </c>
      <c r="C152" s="1" t="s">
        <v>15</v>
      </c>
      <c r="D152" s="1" t="s">
        <v>7</v>
      </c>
      <c r="E152" s="1" t="s">
        <v>12</v>
      </c>
      <c r="F152" s="1">
        <v>1.1521600000000001</v>
      </c>
      <c r="G152" s="1">
        <v>1.02078</v>
      </c>
      <c r="H152" s="1">
        <v>1.0715300000000001</v>
      </c>
      <c r="I152" s="1">
        <v>1.0000800000000001</v>
      </c>
      <c r="J152" s="1">
        <v>1.0025200000000001</v>
      </c>
      <c r="K152" s="1">
        <v>0.98031999999999997</v>
      </c>
      <c r="L152" s="1">
        <v>0.97645000000000004</v>
      </c>
      <c r="M152" s="1">
        <v>1.01159</v>
      </c>
      <c r="N152" s="1">
        <v>1.02078</v>
      </c>
      <c r="O152" s="1">
        <v>1.0715300000000001</v>
      </c>
      <c r="P152" s="1">
        <v>1.0000800000000001</v>
      </c>
      <c r="Q152" s="1">
        <v>1.0025200000000001</v>
      </c>
      <c r="R152" s="1">
        <v>0.98031999999999997</v>
      </c>
      <c r="S152" s="1">
        <v>0.97645000000000004</v>
      </c>
      <c r="T152" s="1">
        <v>1.01159</v>
      </c>
      <c r="U152" s="1">
        <v>1.02078</v>
      </c>
      <c r="V152" s="1">
        <v>1.0715300000000001</v>
      </c>
      <c r="W152" s="1">
        <v>1.0000800000000001</v>
      </c>
      <c r="X152" s="1">
        <v>1.0025200000000001</v>
      </c>
      <c r="Y152" s="1">
        <v>0.98031999999999997</v>
      </c>
      <c r="Z152" s="1">
        <v>0.97645000000000004</v>
      </c>
      <c r="AA152" s="1">
        <v>1.01159</v>
      </c>
      <c r="AB152" s="1">
        <v>1.02078</v>
      </c>
      <c r="AC152" s="1">
        <v>1.0715300000000001</v>
      </c>
      <c r="AD152" s="1">
        <v>1.0000800000000001</v>
      </c>
      <c r="AE152" s="1">
        <v>1.0025200000000001</v>
      </c>
      <c r="AF152" s="1">
        <v>0.98031999999999997</v>
      </c>
      <c r="AG152" s="1">
        <v>0.97645000000000004</v>
      </c>
      <c r="AH152" s="1">
        <v>1.01159</v>
      </c>
      <c r="AI152" s="1">
        <v>1.02078</v>
      </c>
      <c r="AJ152" s="1">
        <v>1.0715300000000001</v>
      </c>
      <c r="AL152" s="4" t="s">
        <v>29</v>
      </c>
      <c r="AM152" s="6" t="str" cm="1">
        <f t="array" ref="AM152">IFERROR((SUMPRODUCT(($D$148:$D$171=AM$146)*($F$145:$AJ$145="")*$F$148:$AJ$171)+IF(AM$146="P6",SUMPRODUCT(($F$145:$AJ$145="P6")*$F$148:$AJ$171),0))/(SUMPRODUCT(($D$148:$D$171=AM$146)*($F$145:$AJ$145=""))+IF(AM$146="P6",COUNTIF($F$145:$AJ$145,"P6")*ROWS($D$148:$D$171),0)),"")</f>
        <v/>
      </c>
      <c r="AN152" s="6" t="str" cm="1">
        <f t="array" ref="AN152">IFERROR((SUMPRODUCT(($D$148:$D$171=AN$146)*($F$145:$AJ$145="")*$F$148:$AJ$171)+IF(AN$146="P6",SUMPRODUCT(($F$145:$AJ$145="P6")*$F$148:$AJ$171),0))/(SUMPRODUCT(($D$148:$D$171=AN$146)*($F$145:$AJ$145=""))+IF(AN$146="P6",COUNTIF($F$145:$AJ$145,"P6")*ROWS($D$148:$D$171),0)),"")</f>
        <v/>
      </c>
      <c r="AO152" s="5" t="str" cm="1">
        <f t="array" ref="AO152">IFERROR((SUMPRODUCT(($D$148:$D$171=AO$146)*($F$145:$AJ$145="")*$F$148:$AJ$171)+IF(AO$146="P6",SUMPRODUCT(($F$145:$AJ$145="P6")*$F$148:$AJ$171),0))/(SUMPRODUCT(($D$148:$D$171=AO$146)*($F$145:$AJ$145=""))+IF(AO$146="P6",COUNTIF($F$145:$AJ$145,"P6")*ROWS($D$148:$D$171),0)),"")</f>
        <v/>
      </c>
      <c r="AP152" s="5" cm="1">
        <f t="array" ref="AP152">IFERROR((SUMPRODUCT(($D$148:$D$171=AP$146)*($F$145:$AJ$145="")*$F$148:$AJ$171)+IF(AP$146="P6",SUMPRODUCT(($F$145:$AJ$145="P6")*$F$148:$AJ$171),0))/(SUMPRODUCT(($D$148:$D$171=AP$146)*($F$145:$AJ$145=""))+IF(AP$146="P6",COUNTIF($F$145:$AJ$145,"P6")*ROWS($D$148:$D$171),0)),"")</f>
        <v>0.9283357777777772</v>
      </c>
      <c r="AQ152" s="5" cm="1">
        <f t="array" ref="AQ152">IFERROR((SUMPRODUCT(($D$148:$D$171=AQ$146)*($F$145:$AJ$145="")*$F$148:$AJ$171)+IF(AQ$146="P6",SUMPRODUCT(($F$145:$AJ$145="P6")*$F$148:$AJ$171),0))/(SUMPRODUCT(($D$148:$D$171=AQ$146)*($F$145:$AJ$145=""))+IF(AQ$146="P6",COUNTIF($F$145:$AJ$145,"P6")*ROWS($D$148:$D$171),0)),"")</f>
        <v>1.085811714285714</v>
      </c>
      <c r="AR152" s="6" cm="1">
        <f t="array" ref="AR152">IFERROR((SUMPRODUCT(($D$148:$D$171=AR$146)*($F$145:$AJ$145="")*$F$148:$AJ$171)+IF(AR$146="P6",SUMPRODUCT(($F$145:$AJ$145="P6")*$F$148:$AJ$171),0))/(SUMPRODUCT(($D$148:$D$171=AR$146)*($F$145:$AJ$145=""))+IF(AR$146="P6",COUNTIF($F$145:$AJ$145,"P6")*ROWS($D$148:$D$171),0)),"")</f>
        <v>0.94429183962264174</v>
      </c>
    </row>
    <row r="153" spans="1:44" ht="14.25" customHeight="1" x14ac:dyDescent="0.35">
      <c r="A153" s="1" t="s">
        <v>7</v>
      </c>
      <c r="B153" s="1" t="s">
        <v>7</v>
      </c>
      <c r="C153" s="1" t="s">
        <v>15</v>
      </c>
      <c r="D153" s="1" t="s">
        <v>7</v>
      </c>
      <c r="E153" s="1" t="s">
        <v>18</v>
      </c>
      <c r="F153" s="1">
        <v>1.15649</v>
      </c>
      <c r="G153" s="1">
        <v>1.0178499999999999</v>
      </c>
      <c r="H153" s="1">
        <v>1.0644400000000001</v>
      </c>
      <c r="I153" s="1">
        <v>0.98699999999999999</v>
      </c>
      <c r="J153" s="1">
        <v>1.0026999999999999</v>
      </c>
      <c r="K153" s="1">
        <v>0.97092000000000001</v>
      </c>
      <c r="L153" s="1">
        <v>0.96184000000000003</v>
      </c>
      <c r="M153" s="1">
        <v>1.0052700000000001</v>
      </c>
      <c r="N153" s="1">
        <v>1.0178499999999999</v>
      </c>
      <c r="O153" s="1">
        <v>1.0644400000000001</v>
      </c>
      <c r="P153" s="1">
        <v>0.98699999999999999</v>
      </c>
      <c r="Q153" s="1">
        <v>1.0026999999999999</v>
      </c>
      <c r="R153" s="1">
        <v>0.97092000000000001</v>
      </c>
      <c r="S153" s="1">
        <v>0.96184000000000003</v>
      </c>
      <c r="T153" s="1">
        <v>1.0052700000000001</v>
      </c>
      <c r="U153" s="1">
        <v>1.0178499999999999</v>
      </c>
      <c r="V153" s="1">
        <v>1.0644400000000001</v>
      </c>
      <c r="W153" s="1">
        <v>0.98699999999999999</v>
      </c>
      <c r="X153" s="1">
        <v>1.0026999999999999</v>
      </c>
      <c r="Y153" s="1">
        <v>0.97092000000000001</v>
      </c>
      <c r="Z153" s="1">
        <v>0.96184000000000003</v>
      </c>
      <c r="AA153" s="1">
        <v>1.0052700000000001</v>
      </c>
      <c r="AB153" s="1">
        <v>1.0178499999999999</v>
      </c>
      <c r="AC153" s="1">
        <v>1.0644400000000001</v>
      </c>
      <c r="AD153" s="1">
        <v>0.98699999999999999</v>
      </c>
      <c r="AE153" s="1">
        <v>1.0026999999999999</v>
      </c>
      <c r="AF153" s="1">
        <v>0.97092000000000001</v>
      </c>
      <c r="AG153" s="1">
        <v>0.96184000000000003</v>
      </c>
      <c r="AH153" s="1">
        <v>1.0052700000000001</v>
      </c>
      <c r="AI153" s="1">
        <v>1.0178499999999999</v>
      </c>
      <c r="AJ153" s="1">
        <v>1.0644400000000001</v>
      </c>
      <c r="AL153" s="10"/>
      <c r="AM153" s="10"/>
      <c r="AN153" s="10"/>
      <c r="AO153" s="10"/>
      <c r="AP153" s="10"/>
      <c r="AQ153" s="10"/>
      <c r="AR153" s="10"/>
    </row>
    <row r="154" spans="1:44" ht="14.25" customHeight="1" x14ac:dyDescent="0.35">
      <c r="A154" s="1" t="s">
        <v>7</v>
      </c>
      <c r="B154" s="1" t="s">
        <v>7</v>
      </c>
      <c r="C154" s="1" t="s">
        <v>15</v>
      </c>
      <c r="D154" s="1" t="s">
        <v>7</v>
      </c>
      <c r="E154" s="1" t="s">
        <v>20</v>
      </c>
      <c r="F154" s="1">
        <v>1.15811</v>
      </c>
      <c r="G154" s="1">
        <v>1.0086999999999999</v>
      </c>
      <c r="H154" s="1">
        <v>1.06271</v>
      </c>
      <c r="I154" s="1">
        <v>0.91864000000000001</v>
      </c>
      <c r="J154" s="1">
        <v>0.94074000000000002</v>
      </c>
      <c r="K154" s="1">
        <v>0.91813</v>
      </c>
      <c r="L154" s="1">
        <v>0.91647000000000001</v>
      </c>
      <c r="M154" s="1">
        <v>0.95074000000000003</v>
      </c>
      <c r="N154" s="1">
        <v>1.0086999999999999</v>
      </c>
      <c r="O154" s="1">
        <v>1.06271</v>
      </c>
      <c r="P154" s="1">
        <v>0.91864000000000001</v>
      </c>
      <c r="Q154" s="1">
        <v>0.94074000000000002</v>
      </c>
      <c r="R154" s="1">
        <v>0.91813</v>
      </c>
      <c r="S154" s="1">
        <v>0.91647000000000001</v>
      </c>
      <c r="T154" s="1">
        <v>0.95074000000000003</v>
      </c>
      <c r="U154" s="1">
        <v>1.0086999999999999</v>
      </c>
      <c r="V154" s="1">
        <v>1.06271</v>
      </c>
      <c r="W154" s="1">
        <v>0.91864000000000001</v>
      </c>
      <c r="X154" s="1">
        <v>0.94074000000000002</v>
      </c>
      <c r="Y154" s="1">
        <v>0.91813</v>
      </c>
      <c r="Z154" s="1">
        <v>0.91647000000000001</v>
      </c>
      <c r="AA154" s="1">
        <v>0.95074000000000003</v>
      </c>
      <c r="AB154" s="1">
        <v>1.0086999999999999</v>
      </c>
      <c r="AC154" s="1">
        <v>1.06271</v>
      </c>
      <c r="AD154" s="1">
        <v>0.91864000000000001</v>
      </c>
      <c r="AE154" s="1">
        <v>0.94074000000000002</v>
      </c>
      <c r="AF154" s="1">
        <v>0.91813</v>
      </c>
      <c r="AG154" s="1">
        <v>0.91647000000000001</v>
      </c>
      <c r="AH154" s="1">
        <v>0.95074000000000003</v>
      </c>
      <c r="AI154" s="1">
        <v>1.0086999999999999</v>
      </c>
      <c r="AJ154" s="1">
        <v>1.06271</v>
      </c>
      <c r="AL154" s="10"/>
      <c r="AM154" s="10"/>
      <c r="AN154" s="10"/>
      <c r="AO154" s="10"/>
      <c r="AP154" s="10"/>
      <c r="AQ154" s="10"/>
      <c r="AR154" s="10"/>
    </row>
    <row r="155" spans="1:44" ht="14.25" customHeight="1" x14ac:dyDescent="0.35">
      <c r="A155" s="1" t="s">
        <v>7</v>
      </c>
      <c r="B155" s="1" t="s">
        <v>7</v>
      </c>
      <c r="C155" s="1" t="s">
        <v>15</v>
      </c>
      <c r="D155" s="1" t="s">
        <v>7</v>
      </c>
      <c r="E155" s="1" t="s">
        <v>22</v>
      </c>
      <c r="F155" s="1">
        <v>1.13768</v>
      </c>
      <c r="G155" s="1">
        <v>0.97929999999999995</v>
      </c>
      <c r="H155" s="1">
        <v>1.0609999999999999</v>
      </c>
      <c r="I155" s="1">
        <v>0.85575999999999997</v>
      </c>
      <c r="J155" s="1">
        <v>0.87782000000000004</v>
      </c>
      <c r="K155" s="1">
        <v>0.86316999999999999</v>
      </c>
      <c r="L155" s="1">
        <v>0.86155999999999999</v>
      </c>
      <c r="M155" s="1">
        <v>0.88044999999999995</v>
      </c>
      <c r="N155" s="1">
        <v>0.97929999999999995</v>
      </c>
      <c r="O155" s="1">
        <v>1.0609999999999999</v>
      </c>
      <c r="P155" s="1">
        <v>0.85575999999999997</v>
      </c>
      <c r="Q155" s="1">
        <v>0.87782000000000004</v>
      </c>
      <c r="R155" s="1">
        <v>0.86316999999999999</v>
      </c>
      <c r="S155" s="1">
        <v>0.86155999999999999</v>
      </c>
      <c r="T155" s="1">
        <v>0.88044999999999995</v>
      </c>
      <c r="U155" s="1">
        <v>0.97929999999999995</v>
      </c>
      <c r="V155" s="1">
        <v>1.0609999999999999</v>
      </c>
      <c r="W155" s="1">
        <v>0.85575999999999997</v>
      </c>
      <c r="X155" s="1">
        <v>0.87782000000000004</v>
      </c>
      <c r="Y155" s="1">
        <v>0.86316999999999999</v>
      </c>
      <c r="Z155" s="1">
        <v>0.86155999999999999</v>
      </c>
      <c r="AA155" s="1">
        <v>0.88044999999999995</v>
      </c>
      <c r="AB155" s="1">
        <v>0.97929999999999995</v>
      </c>
      <c r="AC155" s="1">
        <v>1.0609999999999999</v>
      </c>
      <c r="AD155" s="1">
        <v>0.85575999999999997</v>
      </c>
      <c r="AE155" s="1">
        <v>0.87782000000000004</v>
      </c>
      <c r="AF155" s="1">
        <v>0.86316999999999999</v>
      </c>
      <c r="AG155" s="1">
        <v>0.86155999999999999</v>
      </c>
      <c r="AH155" s="1">
        <v>0.88044999999999995</v>
      </c>
      <c r="AI155" s="1">
        <v>0.97929999999999995</v>
      </c>
      <c r="AJ155" s="1">
        <v>1.0609999999999999</v>
      </c>
      <c r="AL155" s="14" t="s">
        <v>129</v>
      </c>
      <c r="AM155" s="14"/>
      <c r="AN155" s="14"/>
      <c r="AO155" s="14"/>
      <c r="AP155" s="14"/>
      <c r="AQ155" s="14"/>
      <c r="AR155" s="14"/>
    </row>
    <row r="156" spans="1:44" ht="14.25" customHeight="1" x14ac:dyDescent="0.35">
      <c r="A156" s="1" t="s">
        <v>17</v>
      </c>
      <c r="B156" s="1" t="s">
        <v>15</v>
      </c>
      <c r="C156" s="1" t="s">
        <v>14</v>
      </c>
      <c r="D156" s="1" t="s">
        <v>17</v>
      </c>
      <c r="E156" s="1" t="s">
        <v>24</v>
      </c>
      <c r="F156" s="1">
        <v>1.01135</v>
      </c>
      <c r="G156" s="1">
        <v>0.88071999999999995</v>
      </c>
      <c r="H156" s="1">
        <v>0.96072999999999997</v>
      </c>
      <c r="I156" s="1">
        <v>1.04775</v>
      </c>
      <c r="J156" s="1">
        <v>1.09111</v>
      </c>
      <c r="K156" s="1">
        <v>1.0773999999999999</v>
      </c>
      <c r="L156" s="1">
        <v>1.0386299999999999</v>
      </c>
      <c r="M156" s="1">
        <v>1.0589599999999999</v>
      </c>
      <c r="N156" s="1">
        <v>0.88071999999999995</v>
      </c>
      <c r="O156" s="1">
        <v>0.96072999999999997</v>
      </c>
      <c r="P156" s="1">
        <v>1.04775</v>
      </c>
      <c r="Q156" s="1">
        <v>1.09111</v>
      </c>
      <c r="R156" s="1">
        <v>1.0773999999999999</v>
      </c>
      <c r="S156" s="1">
        <v>1.0386299999999999</v>
      </c>
      <c r="T156" s="1">
        <v>1.0589599999999999</v>
      </c>
      <c r="U156" s="1">
        <v>0.88071999999999995</v>
      </c>
      <c r="V156" s="1">
        <v>0.96072999999999997</v>
      </c>
      <c r="W156" s="1">
        <v>1.04775</v>
      </c>
      <c r="X156" s="1">
        <v>1.09111</v>
      </c>
      <c r="Y156" s="1">
        <v>1.0773999999999999</v>
      </c>
      <c r="Z156" s="1">
        <v>1.0386299999999999</v>
      </c>
      <c r="AA156" s="1">
        <v>1.0589599999999999</v>
      </c>
      <c r="AB156" s="1">
        <v>0.88071999999999995</v>
      </c>
      <c r="AC156" s="1">
        <v>0.96072999999999997</v>
      </c>
      <c r="AD156" s="1">
        <v>1.04775</v>
      </c>
      <c r="AE156" s="1">
        <v>1.09111</v>
      </c>
      <c r="AF156" s="1">
        <v>1.0773999999999999</v>
      </c>
      <c r="AG156" s="1">
        <v>1.0386299999999999</v>
      </c>
      <c r="AH156" s="1">
        <v>1.0589599999999999</v>
      </c>
      <c r="AI156" s="1">
        <v>0.88071999999999995</v>
      </c>
      <c r="AJ156" s="1">
        <v>0.96072999999999997</v>
      </c>
      <c r="AL156" s="4"/>
      <c r="AM156" s="4" t="s">
        <v>13</v>
      </c>
      <c r="AN156" s="4" t="s">
        <v>14</v>
      </c>
      <c r="AO156" s="4" t="s">
        <v>15</v>
      </c>
      <c r="AP156" s="4" t="s">
        <v>16</v>
      </c>
      <c r="AQ156" s="4" t="s">
        <v>17</v>
      </c>
      <c r="AR156" s="4" t="s">
        <v>7</v>
      </c>
    </row>
    <row r="157" spans="1:44" ht="14.25" customHeight="1" x14ac:dyDescent="0.35">
      <c r="A157" s="1" t="s">
        <v>17</v>
      </c>
      <c r="B157" s="1" t="s">
        <v>15</v>
      </c>
      <c r="C157" s="1" t="s">
        <v>14</v>
      </c>
      <c r="D157" s="1" t="s">
        <v>16</v>
      </c>
      <c r="E157" s="1" t="s">
        <v>26</v>
      </c>
      <c r="F157" s="1">
        <v>0.95877000000000001</v>
      </c>
      <c r="G157" s="1">
        <v>0.85531999999999997</v>
      </c>
      <c r="H157" s="1">
        <v>0.89648000000000005</v>
      </c>
      <c r="I157" s="1">
        <v>0.90012999999999999</v>
      </c>
      <c r="J157" s="1">
        <v>0.92374000000000001</v>
      </c>
      <c r="K157" s="1">
        <v>0.95226</v>
      </c>
      <c r="L157" s="1">
        <v>0.90391999999999995</v>
      </c>
      <c r="M157" s="1">
        <v>0.89610999999999996</v>
      </c>
      <c r="N157" s="1">
        <v>0.85531999999999997</v>
      </c>
      <c r="O157" s="1">
        <v>0.89648000000000005</v>
      </c>
      <c r="P157" s="1">
        <v>0.90012999999999999</v>
      </c>
      <c r="Q157" s="1">
        <v>0.92374000000000001</v>
      </c>
      <c r="R157" s="1">
        <v>0.95226</v>
      </c>
      <c r="S157" s="1">
        <v>0.90391999999999995</v>
      </c>
      <c r="T157" s="1">
        <v>0.89610999999999996</v>
      </c>
      <c r="U157" s="1">
        <v>0.85531999999999997</v>
      </c>
      <c r="V157" s="1">
        <v>0.89648000000000005</v>
      </c>
      <c r="W157" s="1">
        <v>0.90012999999999999</v>
      </c>
      <c r="X157" s="1">
        <v>0.92374000000000001</v>
      </c>
      <c r="Y157" s="1">
        <v>0.95226</v>
      </c>
      <c r="Z157" s="1">
        <v>0.90391999999999995</v>
      </c>
      <c r="AA157" s="1">
        <v>0.89610999999999996</v>
      </c>
      <c r="AB157" s="1">
        <v>0.85531999999999997</v>
      </c>
      <c r="AC157" s="1">
        <v>0.89648000000000005</v>
      </c>
      <c r="AD157" s="1">
        <v>0.90012999999999999</v>
      </c>
      <c r="AE157" s="1">
        <v>0.92374000000000001</v>
      </c>
      <c r="AF157" s="1">
        <v>0.95226</v>
      </c>
      <c r="AG157" s="1">
        <v>0.90391999999999995</v>
      </c>
      <c r="AH157" s="1">
        <v>0.89610999999999996</v>
      </c>
      <c r="AI157" s="1">
        <v>0.85531999999999997</v>
      </c>
      <c r="AJ157" s="1">
        <v>0.89648000000000005</v>
      </c>
      <c r="AL157" s="4" t="s">
        <v>19</v>
      </c>
      <c r="AM157" s="6" cm="1">
        <f t="array" ref="AM157">IFERROR((SUMPRODUCT(($C$148:$C$171=AM$146)*($F$144:$AJ$144="")*$F$148:$AJ$171)+IF(AM$146="P3",SUMPRODUCT(($F$144:$AJ$144="P3")*$F$148:$AJ$171),0))/(SUMPRODUCT(($C$148:$C$171=AM$146)*($F$144:$AJ$144=""))+IF(AM$146="P3",COUNTIF($F$144:$AJ$144,"P3")*ROWS($C$148:$C$171),0)),"")</f>
        <v>0.9299737499999996</v>
      </c>
      <c r="AN157" s="6" cm="1">
        <f t="array" ref="AN157">IFERROR((SUMPRODUCT(($C$148:$C$171=AN$146)*($F$144:$AJ$144="")*$F$148:$AJ$171)+IF(AN$146="P3",SUMPRODUCT(($F$144:$AJ$144="P3")*$F$148:$AJ$171),0))/(SUMPRODUCT(($C$148:$C$171=AN$146)*($F$144:$AJ$144=""))+IF(AN$146="P3",COUNTIF($F$144:$AJ$144,"P3")*ROWS($C$148:$C$171),0)),"")</f>
        <v>1.0644892499999996</v>
      </c>
      <c r="AO157" s="6" cm="1">
        <f t="array" ref="AO157">IFERROR((SUMPRODUCT(($C$148:$C$171=AO$146)*($F$144:$AJ$144="")*$F$148:$AJ$171)+IF(AO$146="P3",SUMPRODUCT(($F$144:$AJ$144="P3")*$F$148:$AJ$171),0))/(SUMPRODUCT(($C$148:$C$171=AO$146)*($F$144:$AJ$144=""))+IF(AO$146="P3",COUNTIF($F$144:$AJ$144,"P3")*ROWS($C$148:$C$171),0)),"")</f>
        <v>0.94429183962264174</v>
      </c>
      <c r="AP157" s="6" t="str" cm="1">
        <f t="array" ref="AP157">IFERROR((SUMPRODUCT(($C$148:$C$171=AP$146)*($F$144:$AJ$144="")*$F$148:$AJ$171)+IF(AP$146="P3",SUMPRODUCT(($F$144:$AJ$144="P3")*$F$148:$AJ$171),0))/(SUMPRODUCT(($C$148:$C$171=AP$146)*($F$144:$AJ$144=""))+IF(AP$146="P3",COUNTIF($F$144:$AJ$144,"P3")*ROWS($C$148:$C$171),0)),"")</f>
        <v/>
      </c>
      <c r="AQ157" s="6" t="str" cm="1">
        <f t="array" ref="AQ157">IFERROR((SUMPRODUCT(($C$148:$C$171=AQ$146)*($F$144:$AJ$144="")*$F$148:$AJ$171)+IF(AQ$146="P3",SUMPRODUCT(($F$144:$AJ$144="P3")*$F$148:$AJ$171),0))/(SUMPRODUCT(($C$148:$C$171=AQ$146)*($F$144:$AJ$144=""))+IF(AQ$146="P3",COUNTIF($F$144:$AJ$144,"P3")*ROWS($C$148:$C$171),0)),"")</f>
        <v/>
      </c>
      <c r="AR157" s="6" t="str" cm="1">
        <f t="array" ref="AR157">IFERROR((SUMPRODUCT(($C$148:$C$171=AR$146)*($F$144:$AJ$144="")*$F$148:$AJ$171)+IF(AR$146="P3",SUMPRODUCT(($F$144:$AJ$144="P3")*$F$148:$AJ$171),0))/(SUMPRODUCT(($C$148:$C$171=AR$146)*($F$144:$AJ$144=""))+IF(AR$146="P3",COUNTIF($F$144:$AJ$144,"P3")*ROWS($C$148:$C$171),0)),"")</f>
        <v/>
      </c>
    </row>
    <row r="158" spans="1:44" ht="14.25" customHeight="1" x14ac:dyDescent="0.35">
      <c r="A158" s="1" t="s">
        <v>16</v>
      </c>
      <c r="B158" s="1" t="s">
        <v>14</v>
      </c>
      <c r="C158" s="1" t="s">
        <v>13</v>
      </c>
      <c r="D158" s="1" t="s">
        <v>16</v>
      </c>
      <c r="E158" s="1" t="s">
        <v>28</v>
      </c>
      <c r="F158" s="1">
        <v>0.88441000000000003</v>
      </c>
      <c r="G158" s="1">
        <v>0.81149000000000004</v>
      </c>
      <c r="H158" s="1">
        <v>0.84148999999999996</v>
      </c>
      <c r="I158" s="1">
        <v>0.88458999999999999</v>
      </c>
      <c r="J158" s="1">
        <v>0.88149</v>
      </c>
      <c r="K158" s="1">
        <v>0.91254999999999997</v>
      </c>
      <c r="L158" s="1">
        <v>0.92515999999999998</v>
      </c>
      <c r="M158" s="1">
        <v>0.86485000000000001</v>
      </c>
      <c r="N158" s="1">
        <v>0.81149000000000004</v>
      </c>
      <c r="O158" s="1">
        <v>0.84148999999999996</v>
      </c>
      <c r="P158" s="1">
        <v>0.88458999999999999</v>
      </c>
      <c r="Q158" s="1">
        <v>0.88149</v>
      </c>
      <c r="R158" s="1">
        <v>0.91254999999999997</v>
      </c>
      <c r="S158" s="1">
        <v>0.92515999999999998</v>
      </c>
      <c r="T158" s="1">
        <v>0.86485000000000001</v>
      </c>
      <c r="U158" s="1">
        <v>0.81149000000000004</v>
      </c>
      <c r="V158" s="1">
        <v>0.84148999999999996</v>
      </c>
      <c r="W158" s="1">
        <v>0.88458999999999999</v>
      </c>
      <c r="X158" s="1">
        <v>0.88149</v>
      </c>
      <c r="Y158" s="1">
        <v>0.91254999999999997</v>
      </c>
      <c r="Z158" s="1">
        <v>0.92515999999999998</v>
      </c>
      <c r="AA158" s="1">
        <v>0.86485000000000001</v>
      </c>
      <c r="AB158" s="1">
        <v>0.81149000000000004</v>
      </c>
      <c r="AC158" s="1">
        <v>0.84148999999999996</v>
      </c>
      <c r="AD158" s="1">
        <v>0.88458999999999999</v>
      </c>
      <c r="AE158" s="1">
        <v>0.88149</v>
      </c>
      <c r="AF158" s="1">
        <v>0.91254999999999997</v>
      </c>
      <c r="AG158" s="1">
        <v>0.92515999999999998</v>
      </c>
      <c r="AH158" s="1">
        <v>0.86485000000000001</v>
      </c>
      <c r="AI158" s="1">
        <v>0.81149000000000004</v>
      </c>
      <c r="AJ158" s="1">
        <v>0.84148999999999996</v>
      </c>
      <c r="AL158" s="4" t="s">
        <v>21</v>
      </c>
      <c r="AM158" s="6" t="str" cm="1">
        <f t="array" ref="AM158">IFERROR((SUMPRODUCT(($A$148:$A$171=AM$146)*($F$145:$AJ$145="")*$F$148:$AJ$171)+IF(AM$146="P6",SUMPRODUCT(($F$145:$AJ$145="P6")*$F$148:$AJ$171),0))/(SUMPRODUCT(($A$148:$A$171=AM$146)*($F$145:$AJ$145=""))+IF(AM$146="P6",COUNTIF($F$145:$AJ$145,"P6")*ROWS($A$148:$A$171),0)),"")</f>
        <v/>
      </c>
      <c r="AN158" s="6" t="str" cm="1">
        <f t="array" ref="AN158">IFERROR((SUMPRODUCT(($A$148:$A$171=AN$146)*($F$145:$AJ$145="")*$F$148:$AJ$171)+IF(AN$146="P6",SUMPRODUCT(($F$145:$AJ$145="P6")*$F$148:$AJ$171),0))/(SUMPRODUCT(($A$148:$A$171=AN$146)*($F$145:$AJ$145=""))+IF(AN$146="P6",COUNTIF($F$145:$AJ$145,"P6")*ROWS($A$148:$A$171),0)),"")</f>
        <v/>
      </c>
      <c r="AO158" s="6" t="str" cm="1">
        <f t="array" ref="AO158">IFERROR((SUMPRODUCT(($A$148:$A$171=AO$146)*($F$145:$AJ$145="")*$F$148:$AJ$171)+IF(AO$146="P6",SUMPRODUCT(($F$145:$AJ$145="P6")*$F$148:$AJ$171),0))/(SUMPRODUCT(($A$148:$A$171=AO$146)*($F$145:$AJ$145=""))+IF(AO$146="P6",COUNTIF($F$145:$AJ$145,"P6")*ROWS($A$148:$A$171),0)),"")</f>
        <v/>
      </c>
      <c r="AP158" s="6" cm="1">
        <f t="array" ref="AP158">IFERROR((SUMPRODUCT(($A$148:$A$171=AP$146)*($F$145:$AJ$145="")*$F$148:$AJ$171)+IF(AP$146="P6",SUMPRODUCT(($F$145:$AJ$145="P6")*$F$148:$AJ$171),0))/(SUMPRODUCT(($A$148:$A$171=AP$146)*($F$145:$AJ$145=""))+IF(AP$146="P6",COUNTIF($F$145:$AJ$145,"P6")*ROWS($A$148:$A$171),0)),"")</f>
        <v>0.93467644444444375</v>
      </c>
      <c r="AQ158" s="6" cm="1">
        <f t="array" ref="AQ158">IFERROR((SUMPRODUCT(($A$148:$A$171=AQ$146)*($F$145:$AJ$145="")*$F$148:$AJ$171)+IF(AQ$146="P6",SUMPRODUCT(($F$145:$AJ$145="P6")*$F$148:$AJ$171),0))/(SUMPRODUCT(($A$148:$A$171=AQ$146)*($F$145:$AJ$145=""))+IF(AQ$146="P6",COUNTIF($F$145:$AJ$145,"P6")*ROWS($A$148:$A$171),0)),"")</f>
        <v>1.0776594285714285</v>
      </c>
      <c r="AR158" s="6" cm="1">
        <f t="array" ref="AR158">IFERROR((SUMPRODUCT(($A$148:$A$171=AR$146)*($F$145:$AJ$145="")*$F$148:$AJ$171)+IF(AR$146="P6",SUMPRODUCT(($F$145:$AJ$145="P6")*$F$148:$AJ$171),0))/(SUMPRODUCT(($A$148:$A$171=AR$146)*($F$145:$AJ$145=""))+IF(AR$146="P6",COUNTIF($F$145:$AJ$145,"P6")*ROWS($A$148:$A$171),0)),"")</f>
        <v>0.94429183962264174</v>
      </c>
    </row>
    <row r="159" spans="1:44" ht="14.25" customHeight="1" x14ac:dyDescent="0.35">
      <c r="A159" s="1" t="s">
        <v>16</v>
      </c>
      <c r="B159" s="1" t="s">
        <v>14</v>
      </c>
      <c r="C159" s="1" t="s">
        <v>13</v>
      </c>
      <c r="D159" s="1" t="s">
        <v>16</v>
      </c>
      <c r="E159" s="1" t="s">
        <v>30</v>
      </c>
      <c r="F159" s="1">
        <v>0.82813999999999999</v>
      </c>
      <c r="G159" s="1">
        <v>0.79688000000000003</v>
      </c>
      <c r="H159" s="1">
        <v>0.79125000000000001</v>
      </c>
      <c r="I159" s="1">
        <v>0.88292000000000004</v>
      </c>
      <c r="J159" s="1">
        <v>0.85136000000000001</v>
      </c>
      <c r="K159" s="1">
        <v>0.88187000000000004</v>
      </c>
      <c r="L159" s="1">
        <v>0.89043000000000005</v>
      </c>
      <c r="M159" s="1">
        <v>0.85370000000000001</v>
      </c>
      <c r="N159" s="1">
        <v>0.79688000000000003</v>
      </c>
      <c r="O159" s="1">
        <v>0.79125000000000001</v>
      </c>
      <c r="P159" s="1">
        <v>0.88292000000000004</v>
      </c>
      <c r="Q159" s="1">
        <v>0.85136000000000001</v>
      </c>
      <c r="R159" s="1">
        <v>0.88187000000000004</v>
      </c>
      <c r="S159" s="1">
        <v>0.89043000000000005</v>
      </c>
      <c r="T159" s="1">
        <v>0.85370000000000001</v>
      </c>
      <c r="U159" s="1">
        <v>0.79688000000000003</v>
      </c>
      <c r="V159" s="1">
        <v>0.79125000000000001</v>
      </c>
      <c r="W159" s="1">
        <v>0.88292000000000004</v>
      </c>
      <c r="X159" s="1">
        <v>0.85136000000000001</v>
      </c>
      <c r="Y159" s="1">
        <v>0.88187000000000004</v>
      </c>
      <c r="Z159" s="1">
        <v>0.89043000000000005</v>
      </c>
      <c r="AA159" s="1">
        <v>0.85370000000000001</v>
      </c>
      <c r="AB159" s="1">
        <v>0.79688000000000003</v>
      </c>
      <c r="AC159" s="1">
        <v>0.79125000000000001</v>
      </c>
      <c r="AD159" s="1">
        <v>0.88292000000000004</v>
      </c>
      <c r="AE159" s="1">
        <v>0.85136000000000001</v>
      </c>
      <c r="AF159" s="1">
        <v>0.88187000000000004</v>
      </c>
      <c r="AG159" s="1">
        <v>0.89043000000000005</v>
      </c>
      <c r="AH159" s="1">
        <v>0.85370000000000001</v>
      </c>
      <c r="AI159" s="1">
        <v>0.79688000000000003</v>
      </c>
      <c r="AJ159" s="1">
        <v>0.79125000000000001</v>
      </c>
      <c r="AL159" s="4" t="s">
        <v>23</v>
      </c>
      <c r="AM159" s="6" t="str" cm="1">
        <f t="array" ref="AM159">IFERROR((SUMPRODUCT(($A$148:$A$171=AM$146)*($F$145:$AJ$145="")*$F$148:$AJ$171)+IF(AM$146="P6",SUMPRODUCT(($F$145:$AJ$145="P6")*$F$148:$AJ$171),0))/(SUMPRODUCT(($A$148:$A$171=AM$146)*($F$145:$AJ$145=""))+IF(AM$146="P6",COUNTIF($F$145:$AJ$145,"P6")*ROWS($A$148:$A$171),0)),"")</f>
        <v/>
      </c>
      <c r="AN159" s="6" t="str" cm="1">
        <f t="array" ref="AN159">IFERROR((SUMPRODUCT(($A$148:$A$171=AN$146)*($F$145:$AJ$145="")*$F$148:$AJ$171)+IF(AN$146="P6",SUMPRODUCT(($F$145:$AJ$145="P6")*$F$148:$AJ$171),0))/(SUMPRODUCT(($A$148:$A$171=AN$146)*($F$145:$AJ$145=""))+IF(AN$146="P6",COUNTIF($F$145:$AJ$145,"P6")*ROWS($A$148:$A$171),0)),"")</f>
        <v/>
      </c>
      <c r="AO159" s="6" t="str" cm="1">
        <f t="array" ref="AO159">IFERROR((SUMPRODUCT(($A$148:$A$171=AO$146)*($F$145:$AJ$145="")*$F$148:$AJ$171)+IF(AO$146="P6",SUMPRODUCT(($F$145:$AJ$145="P6")*$F$148:$AJ$171),0))/(SUMPRODUCT(($A$148:$A$171=AO$146)*($F$145:$AJ$145=""))+IF(AO$146="P6",COUNTIF($F$145:$AJ$145,"P6")*ROWS($A$148:$A$171),0)),"")</f>
        <v/>
      </c>
      <c r="AP159" s="6" cm="1">
        <f t="array" ref="AP159">IFERROR((SUMPRODUCT(($A$148:$A$171=AP$146)*($F$145:$AJ$145="")*$F$148:$AJ$171)+IF(AP$146="P6",SUMPRODUCT(($F$145:$AJ$145="P6")*$F$148:$AJ$171),0))/(SUMPRODUCT(($A$148:$A$171=AP$146)*($F$145:$AJ$145=""))+IF(AP$146="P6",COUNTIF($F$145:$AJ$145,"P6")*ROWS($A$148:$A$171),0)),"")</f>
        <v>0.93467644444444375</v>
      </c>
      <c r="AQ159" s="6" cm="1">
        <f t="array" ref="AQ159">IFERROR((SUMPRODUCT(($A$148:$A$171=AQ$146)*($F$145:$AJ$145="")*$F$148:$AJ$171)+IF(AQ$146="P6",SUMPRODUCT(($F$145:$AJ$145="P6")*$F$148:$AJ$171),0))/(SUMPRODUCT(($A$148:$A$171=AQ$146)*($F$145:$AJ$145=""))+IF(AQ$146="P6",COUNTIF($F$145:$AJ$145,"P6")*ROWS($A$148:$A$171),0)),"")</f>
        <v>1.0776594285714285</v>
      </c>
      <c r="AR159" s="6" cm="1">
        <f t="array" ref="AR159">IFERROR((SUMPRODUCT(($A$148:$A$171=AR$146)*($F$145:$AJ$145="")*$F$148:$AJ$171)+IF(AR$146="P6",SUMPRODUCT(($F$145:$AJ$145="P6")*$F$148:$AJ$171),0))/(SUMPRODUCT(($A$148:$A$171=AR$146)*($F$145:$AJ$145=""))+IF(AR$146="P6",COUNTIF($F$145:$AJ$145,"P6")*ROWS($A$148:$A$171),0)),"")</f>
        <v>0.94429183962264174</v>
      </c>
    </row>
    <row r="160" spans="1:44" ht="14.25" customHeight="1" x14ac:dyDescent="0.35">
      <c r="A160" s="1" t="s">
        <v>16</v>
      </c>
      <c r="B160" s="1" t="s">
        <v>14</v>
      </c>
      <c r="C160" s="1" t="s">
        <v>13</v>
      </c>
      <c r="D160" s="1" t="s">
        <v>16</v>
      </c>
      <c r="E160" s="1" t="s">
        <v>31</v>
      </c>
      <c r="F160" s="1">
        <v>0.81852999999999998</v>
      </c>
      <c r="G160" s="1">
        <v>0.78108999999999995</v>
      </c>
      <c r="H160" s="1">
        <v>0.77159</v>
      </c>
      <c r="I160" s="1">
        <v>0.86992000000000003</v>
      </c>
      <c r="J160" s="1">
        <v>0.81838999999999995</v>
      </c>
      <c r="K160" s="1">
        <v>0.87324999999999997</v>
      </c>
      <c r="L160" s="1">
        <v>0.86306000000000005</v>
      </c>
      <c r="M160" s="1">
        <v>0.83965999999999996</v>
      </c>
      <c r="N160" s="1">
        <v>0.78108999999999995</v>
      </c>
      <c r="O160" s="1">
        <v>0.77159</v>
      </c>
      <c r="P160" s="1">
        <v>0.86992000000000003</v>
      </c>
      <c r="Q160" s="1">
        <v>0.81838999999999995</v>
      </c>
      <c r="R160" s="1">
        <v>0.87324999999999997</v>
      </c>
      <c r="S160" s="1">
        <v>0.86306000000000005</v>
      </c>
      <c r="T160" s="1">
        <v>0.83965999999999996</v>
      </c>
      <c r="U160" s="1">
        <v>0.78108999999999995</v>
      </c>
      <c r="V160" s="1">
        <v>0.77159</v>
      </c>
      <c r="W160" s="1">
        <v>0.86992000000000003</v>
      </c>
      <c r="X160" s="1">
        <v>0.81838999999999995</v>
      </c>
      <c r="Y160" s="1">
        <v>0.87324999999999997</v>
      </c>
      <c r="Z160" s="1">
        <v>0.86306000000000005</v>
      </c>
      <c r="AA160" s="1">
        <v>0.83965999999999996</v>
      </c>
      <c r="AB160" s="1">
        <v>0.78108999999999995</v>
      </c>
      <c r="AC160" s="1">
        <v>0.77159</v>
      </c>
      <c r="AD160" s="1">
        <v>0.86992000000000003</v>
      </c>
      <c r="AE160" s="1">
        <v>0.81838999999999995</v>
      </c>
      <c r="AF160" s="1">
        <v>0.87324999999999997</v>
      </c>
      <c r="AG160" s="1">
        <v>0.86306000000000005</v>
      </c>
      <c r="AH160" s="1">
        <v>0.83965999999999996</v>
      </c>
      <c r="AI160" s="1">
        <v>0.78108999999999995</v>
      </c>
      <c r="AJ160" s="1">
        <v>0.77159</v>
      </c>
      <c r="AL160" s="4" t="s">
        <v>25</v>
      </c>
      <c r="AM160" s="6" t="str" cm="1">
        <f t="array" ref="AM160">IFERROR((SUMPRODUCT(($A$148:$A$171=AM$146)*($F$145:$AJ$145="")*$F$148:$AJ$171)+IF(AM$146="P6",SUMPRODUCT(($F$145:$AJ$145="P6")*$F$148:$AJ$171),0))/(SUMPRODUCT(($A$148:$A$171=AM$146)*($F$145:$AJ$145=""))+IF(AM$146="P6",COUNTIF($F$145:$AJ$145,"P6")*ROWS($A$148:$A$171),0)),"")</f>
        <v/>
      </c>
      <c r="AN160" s="6" t="str" cm="1">
        <f t="array" ref="AN160">IFERROR((SUMPRODUCT(($A$148:$A$171=AN$146)*($F$145:$AJ$145="")*$F$148:$AJ$171)+IF(AN$146="P6",SUMPRODUCT(($F$145:$AJ$145="P6")*$F$148:$AJ$171),0))/(SUMPRODUCT(($A$148:$A$171=AN$146)*($F$145:$AJ$145=""))+IF(AN$146="P6",COUNTIF($F$145:$AJ$145,"P6")*ROWS($A$148:$A$171),0)),"")</f>
        <v/>
      </c>
      <c r="AO160" s="6" t="str" cm="1">
        <f t="array" ref="AO160">IFERROR((SUMPRODUCT(($A$148:$A$171=AO$146)*($F$145:$AJ$145="")*$F$148:$AJ$171)+IF(AO$146="P6",SUMPRODUCT(($F$145:$AJ$145="P6")*$F$148:$AJ$171),0))/(SUMPRODUCT(($A$148:$A$171=AO$146)*($F$145:$AJ$145=""))+IF(AO$146="P6",COUNTIF($F$145:$AJ$145,"P6")*ROWS($A$148:$A$171),0)),"")</f>
        <v/>
      </c>
      <c r="AP160" s="6" cm="1">
        <f t="array" ref="AP160">IFERROR((SUMPRODUCT(($A$148:$A$171=AP$146)*($F$145:$AJ$145="")*$F$148:$AJ$171)+IF(AP$146="P6",SUMPRODUCT(($F$145:$AJ$145="P6")*$F$148:$AJ$171),0))/(SUMPRODUCT(($A$148:$A$171=AP$146)*($F$145:$AJ$145=""))+IF(AP$146="P6",COUNTIF($F$145:$AJ$145,"P6")*ROWS($A$148:$A$171),0)),"")</f>
        <v>0.93467644444444375</v>
      </c>
      <c r="AQ160" s="6" cm="1">
        <f t="array" ref="AQ160">IFERROR((SUMPRODUCT(($A$148:$A$171=AQ$146)*($F$145:$AJ$145="")*$F$148:$AJ$171)+IF(AQ$146="P6",SUMPRODUCT(($F$145:$AJ$145="P6")*$F$148:$AJ$171),0))/(SUMPRODUCT(($A$148:$A$171=AQ$146)*($F$145:$AJ$145=""))+IF(AQ$146="P6",COUNTIF($F$145:$AJ$145,"P6")*ROWS($A$148:$A$171),0)),"")</f>
        <v>1.0776594285714285</v>
      </c>
      <c r="AR160" s="6" cm="1">
        <f t="array" ref="AR160">IFERROR((SUMPRODUCT(($A$148:$A$171=AR$146)*($F$145:$AJ$145="")*$F$148:$AJ$171)+IF(AR$146="P6",SUMPRODUCT(($F$145:$AJ$145="P6")*$F$148:$AJ$171),0))/(SUMPRODUCT(($A$148:$A$171=AR$146)*($F$145:$AJ$145=""))+IF(AR$146="P6",COUNTIF($F$145:$AJ$145,"P6")*ROWS($A$148:$A$171),0)),"")</f>
        <v>0.94429183962264174</v>
      </c>
    </row>
    <row r="161" spans="1:44" ht="14.25" customHeight="1" x14ac:dyDescent="0.35">
      <c r="A161" s="1" t="s">
        <v>16</v>
      </c>
      <c r="B161" s="1" t="s">
        <v>14</v>
      </c>
      <c r="C161" s="1" t="s">
        <v>13</v>
      </c>
      <c r="D161" s="1" t="s">
        <v>16</v>
      </c>
      <c r="E161" s="1" t="s">
        <v>32</v>
      </c>
      <c r="F161" s="1">
        <v>0.79015000000000002</v>
      </c>
      <c r="G161" s="1">
        <v>0.74570000000000003</v>
      </c>
      <c r="H161" s="1">
        <v>0.73631000000000002</v>
      </c>
      <c r="I161" s="1">
        <v>0.86651999999999996</v>
      </c>
      <c r="J161" s="1">
        <v>0.80284</v>
      </c>
      <c r="K161" s="1">
        <v>0.84831000000000001</v>
      </c>
      <c r="L161" s="1">
        <v>0.81637000000000004</v>
      </c>
      <c r="M161" s="1">
        <v>0.81918999999999997</v>
      </c>
      <c r="N161" s="1">
        <v>0.74570000000000003</v>
      </c>
      <c r="O161" s="1">
        <v>0.73631000000000002</v>
      </c>
      <c r="P161" s="1">
        <v>0.86651999999999996</v>
      </c>
      <c r="Q161" s="1">
        <v>0.80284</v>
      </c>
      <c r="R161" s="1">
        <v>0.84831000000000001</v>
      </c>
      <c r="S161" s="1">
        <v>0.81637000000000004</v>
      </c>
      <c r="T161" s="1">
        <v>0.81918999999999997</v>
      </c>
      <c r="U161" s="1">
        <v>0.74570000000000003</v>
      </c>
      <c r="V161" s="1">
        <v>0.73631000000000002</v>
      </c>
      <c r="W161" s="1">
        <v>0.86651999999999996</v>
      </c>
      <c r="X161" s="1">
        <v>0.80284</v>
      </c>
      <c r="Y161" s="1">
        <v>0.84831000000000001</v>
      </c>
      <c r="Z161" s="1">
        <v>0.81637000000000004</v>
      </c>
      <c r="AA161" s="1">
        <v>0.81918999999999997</v>
      </c>
      <c r="AB161" s="1">
        <v>0.74570000000000003</v>
      </c>
      <c r="AC161" s="1">
        <v>0.73631000000000002</v>
      </c>
      <c r="AD161" s="1">
        <v>0.86651999999999996</v>
      </c>
      <c r="AE161" s="1">
        <v>0.80284</v>
      </c>
      <c r="AF161" s="1">
        <v>0.84831000000000001</v>
      </c>
      <c r="AG161" s="1">
        <v>0.81637000000000004</v>
      </c>
      <c r="AH161" s="1">
        <v>0.81918999999999997</v>
      </c>
      <c r="AI161" s="1">
        <v>0.74570000000000003</v>
      </c>
      <c r="AJ161" s="1">
        <v>0.73631000000000002</v>
      </c>
      <c r="AL161" s="4" t="s">
        <v>27</v>
      </c>
      <c r="AM161" s="6" t="str" cm="1">
        <f t="array" ref="AM161">IFERROR((SUMPRODUCT(($A$148:$A$171=AM$146)*($F$145:$AJ$145="")*$F$148:$AJ$171)+IF(AM$146="P6",SUMPRODUCT(($F$145:$AJ$145="P6")*$F$148:$AJ$171),0))/(SUMPRODUCT(($A$148:$A$171=AM$146)*($F$145:$AJ$145=""))+IF(AM$146="P6",COUNTIF($F$145:$AJ$145,"P6")*ROWS($A$148:$A$171),0)),"")</f>
        <v/>
      </c>
      <c r="AN161" s="6" t="str" cm="1">
        <f t="array" ref="AN161">IFERROR((SUMPRODUCT(($A$148:$A$171=AN$146)*($F$145:$AJ$145="")*$F$148:$AJ$171)+IF(AN$146="P6",SUMPRODUCT(($F$145:$AJ$145="P6")*$F$148:$AJ$171),0))/(SUMPRODUCT(($A$148:$A$171=AN$146)*($F$145:$AJ$145=""))+IF(AN$146="P6",COUNTIF($F$145:$AJ$145,"P6")*ROWS($A$148:$A$171),0)),"")</f>
        <v/>
      </c>
      <c r="AO161" s="6" t="str" cm="1">
        <f t="array" ref="AO161">IFERROR((SUMPRODUCT(($A$148:$A$171=AO$146)*($F$145:$AJ$145="")*$F$148:$AJ$171)+IF(AO$146="P6",SUMPRODUCT(($F$145:$AJ$145="P6")*$F$148:$AJ$171),0))/(SUMPRODUCT(($A$148:$A$171=AO$146)*($F$145:$AJ$145=""))+IF(AO$146="P6",COUNTIF($F$145:$AJ$145,"P6")*ROWS($A$148:$A$171),0)),"")</f>
        <v/>
      </c>
      <c r="AP161" s="6" cm="1">
        <f t="array" ref="AP161">IFERROR((SUMPRODUCT(($A$148:$A$171=AP$146)*($F$145:$AJ$145="")*$F$148:$AJ$171)+IF(AP$146="P6",SUMPRODUCT(($F$145:$AJ$145="P6")*$F$148:$AJ$171),0))/(SUMPRODUCT(($A$148:$A$171=AP$146)*($F$145:$AJ$145=""))+IF(AP$146="P6",COUNTIF($F$145:$AJ$145,"P6")*ROWS($A$148:$A$171),0)),"")</f>
        <v>0.93467644444444375</v>
      </c>
      <c r="AQ161" s="6" cm="1">
        <f t="array" ref="AQ161">IFERROR((SUMPRODUCT(($A$148:$A$171=AQ$146)*($F$145:$AJ$145="")*$F$148:$AJ$171)+IF(AQ$146="P6",SUMPRODUCT(($F$145:$AJ$145="P6")*$F$148:$AJ$171),0))/(SUMPRODUCT(($A$148:$A$171=AQ$146)*($F$145:$AJ$145=""))+IF(AQ$146="P6",COUNTIF($F$145:$AJ$145,"P6")*ROWS($A$148:$A$171),0)),"")</f>
        <v>1.0776594285714285</v>
      </c>
      <c r="AR161" s="6" cm="1">
        <f t="array" ref="AR161">IFERROR((SUMPRODUCT(($A$148:$A$171=AR$146)*($F$145:$AJ$145="")*$F$148:$AJ$171)+IF(AR$146="P6",SUMPRODUCT(($F$145:$AJ$145="P6")*$F$148:$AJ$171),0))/(SUMPRODUCT(($A$148:$A$171=AR$146)*($F$145:$AJ$145=""))+IF(AR$146="P6",COUNTIF($F$145:$AJ$145,"P6")*ROWS($A$148:$A$171),0)),"")</f>
        <v>0.94429183962264174</v>
      </c>
    </row>
    <row r="162" spans="1:44" ht="14.25" customHeight="1" x14ac:dyDescent="0.35">
      <c r="A162" s="1" t="s">
        <v>16</v>
      </c>
      <c r="B162" s="1" t="s">
        <v>14</v>
      </c>
      <c r="C162" s="1" t="s">
        <v>14</v>
      </c>
      <c r="D162" s="1" t="s">
        <v>17</v>
      </c>
      <c r="E162" s="1" t="s">
        <v>33</v>
      </c>
      <c r="F162" s="1">
        <v>0.79035999999999995</v>
      </c>
      <c r="G162" s="1">
        <v>0.74441000000000002</v>
      </c>
      <c r="H162" s="1">
        <v>0.73172000000000004</v>
      </c>
      <c r="I162" s="1">
        <v>1.0039400000000001</v>
      </c>
      <c r="J162" s="1">
        <v>0.96472000000000002</v>
      </c>
      <c r="K162" s="1">
        <v>0.97674000000000005</v>
      </c>
      <c r="L162" s="1">
        <v>0.96762999999999999</v>
      </c>
      <c r="M162" s="1">
        <v>0.94845999999999997</v>
      </c>
      <c r="N162" s="1">
        <v>0.74441000000000002</v>
      </c>
      <c r="O162" s="1">
        <v>0.73172000000000004</v>
      </c>
      <c r="P162" s="1">
        <v>1.0039400000000001</v>
      </c>
      <c r="Q162" s="1">
        <v>0.96472000000000002</v>
      </c>
      <c r="R162" s="1">
        <v>0.97674000000000005</v>
      </c>
      <c r="S162" s="1">
        <v>0.96762999999999999</v>
      </c>
      <c r="T162" s="1">
        <v>0.94845999999999997</v>
      </c>
      <c r="U162" s="1">
        <v>0.74441000000000002</v>
      </c>
      <c r="V162" s="1">
        <v>0.73172000000000004</v>
      </c>
      <c r="W162" s="1">
        <v>1.0039400000000001</v>
      </c>
      <c r="X162" s="1">
        <v>0.96472000000000002</v>
      </c>
      <c r="Y162" s="1">
        <v>0.97674000000000005</v>
      </c>
      <c r="Z162" s="1">
        <v>0.96762999999999999</v>
      </c>
      <c r="AA162" s="1">
        <v>0.94845999999999997</v>
      </c>
      <c r="AB162" s="1">
        <v>0.74441000000000002</v>
      </c>
      <c r="AC162" s="1">
        <v>0.73172000000000004</v>
      </c>
      <c r="AD162" s="1">
        <v>1.0039400000000001</v>
      </c>
      <c r="AE162" s="1">
        <v>0.96472000000000002</v>
      </c>
      <c r="AF162" s="1">
        <v>0.97674000000000005</v>
      </c>
      <c r="AG162" s="1">
        <v>0.96762999999999999</v>
      </c>
      <c r="AH162" s="1">
        <v>0.94845999999999997</v>
      </c>
      <c r="AI162" s="1">
        <v>0.74441000000000002</v>
      </c>
      <c r="AJ162" s="1">
        <v>0.73172000000000004</v>
      </c>
      <c r="AL162" s="4" t="s">
        <v>29</v>
      </c>
      <c r="AM162" s="6" t="str" cm="1">
        <f t="array" ref="AM162">IFERROR((SUMPRODUCT(($A$148:$A$171=AM$146)*($F$145:$AJ$145="")*$F$148:$AJ$171)+IF(AM$146="P6",SUMPRODUCT(($F$145:$AJ$145="P6")*$F$148:$AJ$171),0))/(SUMPRODUCT(($A$148:$A$171=AM$146)*($F$145:$AJ$145=""))+IF(AM$146="P6",COUNTIF($F$145:$AJ$145,"P6")*ROWS($A$148:$A$171),0)),"")</f>
        <v/>
      </c>
      <c r="AN162" s="6" t="str" cm="1">
        <f t="array" ref="AN162">IFERROR((SUMPRODUCT(($A$148:$A$171=AN$146)*($F$145:$AJ$145="")*$F$148:$AJ$171)+IF(AN$146="P6",SUMPRODUCT(($F$145:$AJ$145="P6")*$F$148:$AJ$171),0))/(SUMPRODUCT(($A$148:$A$171=AN$146)*($F$145:$AJ$145=""))+IF(AN$146="P6",COUNTIF($F$145:$AJ$145,"P6")*ROWS($A$148:$A$171),0)),"")</f>
        <v/>
      </c>
      <c r="AO162" s="6" t="str" cm="1">
        <f t="array" ref="AO162">IFERROR((SUMPRODUCT(($A$148:$A$171=AO$146)*($F$145:$AJ$145="")*$F$148:$AJ$171)+IF(AO$146="P6",SUMPRODUCT(($F$145:$AJ$145="P6")*$F$148:$AJ$171),0))/(SUMPRODUCT(($A$148:$A$171=AO$146)*($F$145:$AJ$145=""))+IF(AO$146="P6",COUNTIF($F$145:$AJ$145,"P6")*ROWS($A$148:$A$171),0)),"")</f>
        <v/>
      </c>
      <c r="AP162" s="6" cm="1">
        <f t="array" ref="AP162">IFERROR((SUMPRODUCT(($A$148:$A$171=AP$146)*($F$145:$AJ$145="")*$F$148:$AJ$171)+IF(AP$146="P6",SUMPRODUCT(($F$145:$AJ$145="P6")*$F$148:$AJ$171),0))/(SUMPRODUCT(($A$148:$A$171=AP$146)*($F$145:$AJ$145=""))+IF(AP$146="P6",COUNTIF($F$145:$AJ$145,"P6")*ROWS($A$148:$A$171),0)),"")</f>
        <v>0.93467644444444375</v>
      </c>
      <c r="AQ162" s="6" cm="1">
        <f t="array" ref="AQ162">IFERROR((SUMPRODUCT(($A$148:$A$171=AQ$146)*($F$145:$AJ$145="")*$F$148:$AJ$171)+IF(AQ$146="P6",SUMPRODUCT(($F$145:$AJ$145="P6")*$F$148:$AJ$171),0))/(SUMPRODUCT(($A$148:$A$171=AQ$146)*($F$145:$AJ$145=""))+IF(AQ$146="P6",COUNTIF($F$145:$AJ$145,"P6")*ROWS($A$148:$A$171),0)),"")</f>
        <v>1.0776594285714285</v>
      </c>
      <c r="AR162" s="6" cm="1">
        <f t="array" ref="AR162">IFERROR((SUMPRODUCT(($A$148:$A$171=AR$146)*($F$145:$AJ$145="")*$F$148:$AJ$171)+IF(AR$146="P6",SUMPRODUCT(($F$145:$AJ$145="P6")*$F$148:$AJ$171),0))/(SUMPRODUCT(($A$148:$A$171=AR$146)*($F$145:$AJ$145=""))+IF(AR$146="P6",COUNTIF($F$145:$AJ$145,"P6")*ROWS($A$148:$A$171),0)),"")</f>
        <v>0.94429183962264174</v>
      </c>
    </row>
    <row r="163" spans="1:44" ht="14.25" customHeight="1" x14ac:dyDescent="0.35">
      <c r="A163" s="1" t="s">
        <v>17</v>
      </c>
      <c r="B163" s="1" t="s">
        <v>15</v>
      </c>
      <c r="C163" s="1" t="s">
        <v>14</v>
      </c>
      <c r="D163" s="1" t="s">
        <v>17</v>
      </c>
      <c r="E163" s="1" t="s">
        <v>34</v>
      </c>
      <c r="F163" s="1">
        <v>0.81471000000000005</v>
      </c>
      <c r="G163" s="1">
        <v>0.78893999999999997</v>
      </c>
      <c r="H163" s="1">
        <v>0.76909000000000005</v>
      </c>
      <c r="I163" s="1">
        <v>1.03853</v>
      </c>
      <c r="J163" s="1">
        <v>1.00563</v>
      </c>
      <c r="K163" s="1">
        <v>1.0222800000000001</v>
      </c>
      <c r="L163" s="1">
        <v>0.99568000000000001</v>
      </c>
      <c r="M163" s="1">
        <v>0.98858999999999997</v>
      </c>
      <c r="N163" s="1">
        <v>0.78893999999999997</v>
      </c>
      <c r="O163" s="1">
        <v>0.76909000000000005</v>
      </c>
      <c r="P163" s="1">
        <v>1.03853</v>
      </c>
      <c r="Q163" s="1">
        <v>1.00563</v>
      </c>
      <c r="R163" s="1">
        <v>1.0222800000000001</v>
      </c>
      <c r="S163" s="1">
        <v>0.99568000000000001</v>
      </c>
      <c r="T163" s="1">
        <v>0.98858999999999997</v>
      </c>
      <c r="U163" s="1">
        <v>0.78893999999999997</v>
      </c>
      <c r="V163" s="1">
        <v>0.76909000000000005</v>
      </c>
      <c r="W163" s="1">
        <v>1.03853</v>
      </c>
      <c r="X163" s="1">
        <v>1.00563</v>
      </c>
      <c r="Y163" s="1">
        <v>1.0222800000000001</v>
      </c>
      <c r="Z163" s="1">
        <v>0.99568000000000001</v>
      </c>
      <c r="AA163" s="1">
        <v>0.98858999999999997</v>
      </c>
      <c r="AB163" s="1">
        <v>0.78893999999999997</v>
      </c>
      <c r="AC163" s="1">
        <v>0.76909000000000005</v>
      </c>
      <c r="AD163" s="1">
        <v>1.03853</v>
      </c>
      <c r="AE163" s="1">
        <v>1.00563</v>
      </c>
      <c r="AF163" s="1">
        <v>1.0222800000000001</v>
      </c>
      <c r="AG163" s="1">
        <v>0.99568000000000001</v>
      </c>
      <c r="AH163" s="1">
        <v>0.98858999999999997</v>
      </c>
      <c r="AI163" s="1">
        <v>0.78893999999999997</v>
      </c>
      <c r="AJ163" s="1">
        <v>0.76909000000000005</v>
      </c>
      <c r="AL163" s="10"/>
      <c r="AM163" s="10"/>
      <c r="AN163" s="10"/>
      <c r="AO163" s="10"/>
      <c r="AP163" s="10"/>
      <c r="AQ163" s="10"/>
      <c r="AR163" s="10"/>
    </row>
    <row r="164" spans="1:44" ht="14.25" customHeight="1" x14ac:dyDescent="0.35">
      <c r="A164" s="1" t="s">
        <v>17</v>
      </c>
      <c r="B164" s="1" t="s">
        <v>15</v>
      </c>
      <c r="C164" s="1" t="s">
        <v>14</v>
      </c>
      <c r="D164" s="1" t="s">
        <v>17</v>
      </c>
      <c r="E164" s="1" t="s">
        <v>35</v>
      </c>
      <c r="F164" s="1">
        <v>0.87744999999999995</v>
      </c>
      <c r="G164" s="1">
        <v>0.83892</v>
      </c>
      <c r="H164" s="1">
        <v>0.83979000000000004</v>
      </c>
      <c r="I164" s="1">
        <v>1.0694999999999999</v>
      </c>
      <c r="J164" s="1">
        <v>1.03207</v>
      </c>
      <c r="K164" s="1">
        <v>1.05159</v>
      </c>
      <c r="L164" s="1">
        <v>1.0349600000000001</v>
      </c>
      <c r="M164" s="1">
        <v>1.0348299999999999</v>
      </c>
      <c r="N164" s="1">
        <v>0.83892</v>
      </c>
      <c r="O164" s="1">
        <v>0.83979000000000004</v>
      </c>
      <c r="P164" s="1">
        <v>1.0694999999999999</v>
      </c>
      <c r="Q164" s="1">
        <v>1.03207</v>
      </c>
      <c r="R164" s="1">
        <v>1.05159</v>
      </c>
      <c r="S164" s="1">
        <v>1.0349600000000001</v>
      </c>
      <c r="T164" s="1">
        <v>1.0348299999999999</v>
      </c>
      <c r="U164" s="1">
        <v>0.83892</v>
      </c>
      <c r="V164" s="1">
        <v>0.83979000000000004</v>
      </c>
      <c r="W164" s="1">
        <v>1.0694999999999999</v>
      </c>
      <c r="X164" s="1">
        <v>1.03207</v>
      </c>
      <c r="Y164" s="1">
        <v>1.05159</v>
      </c>
      <c r="Z164" s="1">
        <v>1.0349600000000001</v>
      </c>
      <c r="AA164" s="1">
        <v>1.0348299999999999</v>
      </c>
      <c r="AB164" s="1">
        <v>0.83892</v>
      </c>
      <c r="AC164" s="1">
        <v>0.83979000000000004</v>
      </c>
      <c r="AD164" s="1">
        <v>1.0694999999999999</v>
      </c>
      <c r="AE164" s="1">
        <v>1.03207</v>
      </c>
      <c r="AF164" s="1">
        <v>1.05159</v>
      </c>
      <c r="AG164" s="1">
        <v>1.0349600000000001</v>
      </c>
      <c r="AH164" s="1">
        <v>1.0348299999999999</v>
      </c>
      <c r="AI164" s="1">
        <v>0.83892</v>
      </c>
      <c r="AJ164" s="1">
        <v>0.83979000000000004</v>
      </c>
      <c r="AL164" s="10"/>
      <c r="AM164" s="10"/>
      <c r="AN164" s="10"/>
      <c r="AO164" s="10"/>
      <c r="AP164" s="10"/>
      <c r="AQ164" s="10"/>
      <c r="AR164" s="10"/>
    </row>
    <row r="165" spans="1:44" ht="14.25" customHeight="1" x14ac:dyDescent="0.35">
      <c r="A165" s="1" t="s">
        <v>17</v>
      </c>
      <c r="B165" s="1" t="s">
        <v>15</v>
      </c>
      <c r="C165" s="1" t="s">
        <v>14</v>
      </c>
      <c r="D165" s="1" t="s">
        <v>17</v>
      </c>
      <c r="E165" s="1" t="s">
        <v>36</v>
      </c>
      <c r="F165" s="1">
        <v>0.94894000000000001</v>
      </c>
      <c r="G165" s="1">
        <v>0.89605000000000001</v>
      </c>
      <c r="H165" s="1">
        <v>0.90678999999999998</v>
      </c>
      <c r="I165" s="1">
        <v>1.0989899999999999</v>
      </c>
      <c r="J165" s="1">
        <v>1.0867899999999999</v>
      </c>
      <c r="K165" s="1">
        <v>1.1027400000000001</v>
      </c>
      <c r="L165" s="1">
        <v>1.0464599999999999</v>
      </c>
      <c r="M165" s="1">
        <v>1.09074</v>
      </c>
      <c r="N165" s="1">
        <v>0.89605000000000001</v>
      </c>
      <c r="O165" s="1">
        <v>0.90678999999999998</v>
      </c>
      <c r="P165" s="1">
        <v>1.0989899999999999</v>
      </c>
      <c r="Q165" s="1">
        <v>1.0867899999999999</v>
      </c>
      <c r="R165" s="1">
        <v>1.1027400000000001</v>
      </c>
      <c r="S165" s="1">
        <v>1.0464599999999999</v>
      </c>
      <c r="T165" s="1">
        <v>1.09074</v>
      </c>
      <c r="U165" s="1">
        <v>0.89605000000000001</v>
      </c>
      <c r="V165" s="1">
        <v>0.90678999999999998</v>
      </c>
      <c r="W165" s="1">
        <v>1.0989899999999999</v>
      </c>
      <c r="X165" s="1">
        <v>1.0867899999999999</v>
      </c>
      <c r="Y165" s="1">
        <v>1.1027400000000001</v>
      </c>
      <c r="Z165" s="1">
        <v>1.0464599999999999</v>
      </c>
      <c r="AA165" s="1">
        <v>1.09074</v>
      </c>
      <c r="AB165" s="1">
        <v>0.89605000000000001</v>
      </c>
      <c r="AC165" s="1">
        <v>0.90678999999999998</v>
      </c>
      <c r="AD165" s="1">
        <v>1.0989899999999999</v>
      </c>
      <c r="AE165" s="1">
        <v>1.0867899999999999</v>
      </c>
      <c r="AF165" s="1">
        <v>1.1027400000000001</v>
      </c>
      <c r="AG165" s="1">
        <v>1.0464599999999999</v>
      </c>
      <c r="AH165" s="1">
        <v>1.09074</v>
      </c>
      <c r="AI165" s="1">
        <v>0.89605000000000001</v>
      </c>
      <c r="AJ165" s="1">
        <v>0.90678999999999998</v>
      </c>
      <c r="AL165" s="14" t="s">
        <v>130</v>
      </c>
      <c r="AM165" s="14"/>
      <c r="AN165" s="14"/>
      <c r="AO165" s="14"/>
      <c r="AP165" s="14"/>
      <c r="AQ165" s="14"/>
      <c r="AR165" s="14"/>
    </row>
    <row r="166" spans="1:44" ht="14.25" customHeight="1" x14ac:dyDescent="0.35">
      <c r="A166" s="1" t="s">
        <v>16</v>
      </c>
      <c r="B166" s="1" t="s">
        <v>14</v>
      </c>
      <c r="C166" s="1" t="s">
        <v>13</v>
      </c>
      <c r="D166" s="1" t="s">
        <v>16</v>
      </c>
      <c r="E166" s="1" t="s">
        <v>37</v>
      </c>
      <c r="F166" s="1">
        <v>1.0069699999999999</v>
      </c>
      <c r="G166" s="1">
        <v>0.95584999999999998</v>
      </c>
      <c r="H166" s="1">
        <v>0.94366000000000005</v>
      </c>
      <c r="I166" s="1">
        <v>1.00607</v>
      </c>
      <c r="J166" s="1">
        <v>1.00278</v>
      </c>
      <c r="K166" s="1">
        <v>1.0070600000000001</v>
      </c>
      <c r="L166" s="1">
        <v>0.95038999999999996</v>
      </c>
      <c r="M166" s="1">
        <v>0.98562000000000005</v>
      </c>
      <c r="N166" s="1">
        <v>0.95584999999999998</v>
      </c>
      <c r="O166" s="1">
        <v>0.94366000000000005</v>
      </c>
      <c r="P166" s="1">
        <v>1.00607</v>
      </c>
      <c r="Q166" s="1">
        <v>1.00278</v>
      </c>
      <c r="R166" s="1">
        <v>1.0070600000000001</v>
      </c>
      <c r="S166" s="1">
        <v>0.95038999999999996</v>
      </c>
      <c r="T166" s="1">
        <v>0.98562000000000005</v>
      </c>
      <c r="U166" s="1">
        <v>0.95584999999999998</v>
      </c>
      <c r="V166" s="1">
        <v>0.94366000000000005</v>
      </c>
      <c r="W166" s="1">
        <v>1.00607</v>
      </c>
      <c r="X166" s="1">
        <v>1.00278</v>
      </c>
      <c r="Y166" s="1">
        <v>1.0070600000000001</v>
      </c>
      <c r="Z166" s="1">
        <v>0.95038999999999996</v>
      </c>
      <c r="AA166" s="1">
        <v>0.98562000000000005</v>
      </c>
      <c r="AB166" s="1">
        <v>0.95584999999999998</v>
      </c>
      <c r="AC166" s="1">
        <v>0.94366000000000005</v>
      </c>
      <c r="AD166" s="1">
        <v>1.00607</v>
      </c>
      <c r="AE166" s="1">
        <v>1.00278</v>
      </c>
      <c r="AF166" s="1">
        <v>1.0070600000000001</v>
      </c>
      <c r="AG166" s="1">
        <v>0.95038999999999996</v>
      </c>
      <c r="AH166" s="1">
        <v>0.98562000000000005</v>
      </c>
      <c r="AI166" s="1">
        <v>0.95584999999999998</v>
      </c>
      <c r="AJ166" s="1">
        <v>0.94366000000000005</v>
      </c>
      <c r="AL166" s="4"/>
      <c r="AM166" s="4" t="s">
        <v>13</v>
      </c>
      <c r="AN166" s="4" t="s">
        <v>14</v>
      </c>
      <c r="AO166" s="4" t="s">
        <v>15</v>
      </c>
      <c r="AP166" s="4" t="s">
        <v>16</v>
      </c>
      <c r="AQ166" s="4" t="s">
        <v>17</v>
      </c>
      <c r="AR166" s="4" t="s">
        <v>7</v>
      </c>
    </row>
    <row r="167" spans="1:44" ht="14.25" customHeight="1" x14ac:dyDescent="0.35">
      <c r="A167" s="1" t="s">
        <v>16</v>
      </c>
      <c r="B167" s="1" t="s">
        <v>14</v>
      </c>
      <c r="C167" s="1" t="s">
        <v>13</v>
      </c>
      <c r="D167" s="1" t="s">
        <v>16</v>
      </c>
      <c r="E167" s="1" t="s">
        <v>38</v>
      </c>
      <c r="F167" s="1">
        <v>1.0323800000000001</v>
      </c>
      <c r="G167" s="1">
        <v>0.98119999999999996</v>
      </c>
      <c r="H167" s="1">
        <v>0.95445999999999998</v>
      </c>
      <c r="I167" s="1">
        <v>1.0036400000000001</v>
      </c>
      <c r="J167" s="1">
        <v>1.01149</v>
      </c>
      <c r="K167" s="1">
        <v>1.0051399999999999</v>
      </c>
      <c r="L167" s="1">
        <v>0.96596000000000004</v>
      </c>
      <c r="M167" s="1">
        <v>1.02033</v>
      </c>
      <c r="N167" s="1">
        <v>0.98119999999999996</v>
      </c>
      <c r="O167" s="1">
        <v>0.95445999999999998</v>
      </c>
      <c r="P167" s="1">
        <v>1.0036400000000001</v>
      </c>
      <c r="Q167" s="1">
        <v>1.01149</v>
      </c>
      <c r="R167" s="1">
        <v>1.0051399999999999</v>
      </c>
      <c r="S167" s="1">
        <v>0.96596000000000004</v>
      </c>
      <c r="T167" s="1">
        <v>1.02033</v>
      </c>
      <c r="U167" s="1">
        <v>0.98119999999999996</v>
      </c>
      <c r="V167" s="1">
        <v>0.95445999999999998</v>
      </c>
      <c r="W167" s="1">
        <v>1.0036400000000001</v>
      </c>
      <c r="X167" s="1">
        <v>1.01149</v>
      </c>
      <c r="Y167" s="1">
        <v>1.0051399999999999</v>
      </c>
      <c r="Z167" s="1">
        <v>0.96596000000000004</v>
      </c>
      <c r="AA167" s="1">
        <v>1.02033</v>
      </c>
      <c r="AB167" s="1">
        <v>0.98119999999999996</v>
      </c>
      <c r="AC167" s="1">
        <v>0.95445999999999998</v>
      </c>
      <c r="AD167" s="1">
        <v>1.0036400000000001</v>
      </c>
      <c r="AE167" s="1">
        <v>1.01149</v>
      </c>
      <c r="AF167" s="1">
        <v>1.0051399999999999</v>
      </c>
      <c r="AG167" s="1">
        <v>0.96596000000000004</v>
      </c>
      <c r="AH167" s="1">
        <v>1.02033</v>
      </c>
      <c r="AI167" s="1">
        <v>0.98119999999999996</v>
      </c>
      <c r="AJ167" s="1">
        <v>0.95445999999999998</v>
      </c>
      <c r="AL167" s="4" t="s">
        <v>19</v>
      </c>
      <c r="AM167" s="6" cm="1">
        <f t="array" ref="AM167">IFERROR((SUMPRODUCT(($C$148:$C$171=AM$146)*($F$144:$AJ$144="")*$F$148:$AJ$171)+IF(AM$146="P3",SUMPRODUCT(($F$144:$AJ$144="P3")*$F$148:$AJ$171),0))/(SUMPRODUCT(($C$148:$C$171=AM$146)*($F$144:$AJ$144=""))+IF(AM$146="P3",COUNTIF($F$144:$AJ$144,"P3")*ROWS($C$148:$C$171),0)),"")</f>
        <v>0.9299737499999996</v>
      </c>
      <c r="AN167" s="6" cm="1">
        <f t="array" ref="AN167">IFERROR((SUMPRODUCT(($C$148:$C$171=AN$146)*($F$144:$AJ$144="")*$F$148:$AJ$171)+IF(AN$146="P3",SUMPRODUCT(($F$144:$AJ$144="P3")*$F$148:$AJ$171),0))/(SUMPRODUCT(($C$148:$C$171=AN$146)*($F$144:$AJ$144=""))+IF(AN$146="P3",COUNTIF($F$144:$AJ$144,"P3")*ROWS($C$148:$C$171),0)),"")</f>
        <v>1.0644892499999996</v>
      </c>
      <c r="AO167" s="6" cm="1">
        <f t="array" ref="AO167">IFERROR((SUMPRODUCT(($C$148:$C$171=AO$146)*($F$144:$AJ$144="")*$F$148:$AJ$171)+IF(AO$146="P3",SUMPRODUCT(($F$144:$AJ$144="P3")*$F$148:$AJ$171),0))/(SUMPRODUCT(($C$148:$C$171=AO$146)*($F$144:$AJ$144=""))+IF(AO$146="P3",COUNTIF($F$144:$AJ$144,"P3")*ROWS($C$148:$C$171),0)),"")</f>
        <v>0.94429183962264174</v>
      </c>
      <c r="AP167" s="6" t="str" cm="1">
        <f t="array" ref="AP167">IFERROR((SUMPRODUCT(($C$148:$C$171=AP$146)*($F$144:$AJ$144="")*$F$148:$AJ$171)+IF(AP$146="P3",SUMPRODUCT(($F$144:$AJ$144="P3")*$F$148:$AJ$171),0))/(SUMPRODUCT(($C$148:$C$171=AP$146)*($F$144:$AJ$144=""))+IF(AP$146="P3",COUNTIF($F$144:$AJ$144,"P3")*ROWS($C$148:$C$171),0)),"")</f>
        <v/>
      </c>
      <c r="AQ167" s="6" t="str" cm="1">
        <f t="array" ref="AQ167">IFERROR((SUMPRODUCT(($C$148:$C$171=AQ$146)*($F$144:$AJ$144="")*$F$148:$AJ$171)+IF(AQ$146="P3",SUMPRODUCT(($F$144:$AJ$144="P3")*$F$148:$AJ$171),0))/(SUMPRODUCT(($C$148:$C$171=AQ$146)*($F$144:$AJ$144=""))+IF(AQ$146="P3",COUNTIF($F$144:$AJ$144,"P3")*ROWS($C$148:$C$171),0)),"")</f>
        <v/>
      </c>
      <c r="AR167" s="6" t="str" cm="1">
        <f t="array" ref="AR167">IFERROR((SUMPRODUCT(($C$148:$C$171=AR$146)*($F$144:$AJ$144="")*$F$148:$AJ$171)+IF(AR$146="P3",SUMPRODUCT(($F$144:$AJ$144="P3")*$F$148:$AJ$171),0))/(SUMPRODUCT(($C$148:$C$171=AR$146)*($F$144:$AJ$144=""))+IF(AR$146="P3",COUNTIF($F$144:$AJ$144,"P3")*ROWS($C$148:$C$171),0)),"")</f>
        <v/>
      </c>
    </row>
    <row r="168" spans="1:44" ht="14.25" customHeight="1" x14ac:dyDescent="0.35">
      <c r="A168" s="1" t="s">
        <v>16</v>
      </c>
      <c r="B168" s="1" t="s">
        <v>14</v>
      </c>
      <c r="C168" s="1" t="s">
        <v>13</v>
      </c>
      <c r="D168" s="1" t="s">
        <v>16</v>
      </c>
      <c r="E168" s="1" t="s">
        <v>39</v>
      </c>
      <c r="F168" s="1">
        <v>1.0193099999999999</v>
      </c>
      <c r="G168" s="1">
        <v>0.96303000000000005</v>
      </c>
      <c r="H168" s="1">
        <v>0.92374000000000001</v>
      </c>
      <c r="I168" s="1">
        <v>0.98736999999999997</v>
      </c>
      <c r="J168" s="1">
        <v>0.97901000000000005</v>
      </c>
      <c r="K168" s="1">
        <v>0.98562000000000005</v>
      </c>
      <c r="L168" s="1">
        <v>0.98009000000000002</v>
      </c>
      <c r="M168" s="1">
        <v>1.0135099999999999</v>
      </c>
      <c r="N168" s="1">
        <v>0.96303000000000005</v>
      </c>
      <c r="O168" s="1">
        <v>0.92374000000000001</v>
      </c>
      <c r="P168" s="1">
        <v>0.98736999999999997</v>
      </c>
      <c r="Q168" s="1">
        <v>0.97901000000000005</v>
      </c>
      <c r="R168" s="1">
        <v>0.98562000000000005</v>
      </c>
      <c r="S168" s="1">
        <v>0.98009000000000002</v>
      </c>
      <c r="T168" s="1">
        <v>1.0135099999999999</v>
      </c>
      <c r="U168" s="1">
        <v>0.96303000000000005</v>
      </c>
      <c r="V168" s="1">
        <v>0.92374000000000001</v>
      </c>
      <c r="W168" s="1">
        <v>0.98736999999999997</v>
      </c>
      <c r="X168" s="1">
        <v>0.97901000000000005</v>
      </c>
      <c r="Y168" s="1">
        <v>0.98562000000000005</v>
      </c>
      <c r="Z168" s="1">
        <v>0.98009000000000002</v>
      </c>
      <c r="AA168" s="1">
        <v>1.0135099999999999</v>
      </c>
      <c r="AB168" s="1">
        <v>0.96303000000000005</v>
      </c>
      <c r="AC168" s="1">
        <v>0.92374000000000001</v>
      </c>
      <c r="AD168" s="1">
        <v>0.98736999999999997</v>
      </c>
      <c r="AE168" s="1">
        <v>0.97901000000000005</v>
      </c>
      <c r="AF168" s="1">
        <v>0.98562000000000005</v>
      </c>
      <c r="AG168" s="1">
        <v>0.98009000000000002</v>
      </c>
      <c r="AH168" s="1">
        <v>1.0135099999999999</v>
      </c>
      <c r="AI168" s="1">
        <v>0.96303000000000005</v>
      </c>
      <c r="AJ168" s="1">
        <v>0.92374000000000001</v>
      </c>
      <c r="AL168" s="4" t="s">
        <v>21</v>
      </c>
      <c r="AM168" s="6" t="str" cm="1">
        <f t="array" ref="AM168">IFERROR((SUMPRODUCT(($B$148:$B$171=AM$146)*($F$145:$AJ$145="")*$F$148:$AJ$171)+IF(AM$146="P6",SUMPRODUCT(($F$145:$AJ$145="P6")*$F$148:$AJ$171),0))/(SUMPRODUCT(($B$148:$B$171=AM$146)*($F$145:$AJ$145=""))+IF(AM$146="P6",COUNTIF($F$145:$AJ$145,"P6")*ROWS($B$148:$B$171),0)),"")</f>
        <v/>
      </c>
      <c r="AN168" s="6" cm="1">
        <f t="array" ref="AN168">IFERROR((SUMPRODUCT(($B$148:$B$171=AN$146)*($F$145:$AJ$145="")*$F$148:$AJ$171)+IF(AN$146="P6",SUMPRODUCT(($F$145:$AJ$145="P6")*$F$148:$AJ$171),0))/(SUMPRODUCT(($B$148:$B$171=AN$146)*($F$145:$AJ$145=""))+IF(AN$146="P6",COUNTIF($F$145:$AJ$145,"P6")*ROWS($B$148:$B$171),0)),"")</f>
        <v>0.93467644444444375</v>
      </c>
      <c r="AO168" s="6" cm="1">
        <f t="array" ref="AO168">IFERROR((SUMPRODUCT(($B$148:$B$171=AO$146)*($F$145:$AJ$145="")*$F$148:$AJ$171)+IF(AO$146="P6",SUMPRODUCT(($F$145:$AJ$145="P6")*$F$148:$AJ$171),0))/(SUMPRODUCT(($B$148:$B$171=AO$146)*($F$145:$AJ$145=""))+IF(AO$146="P6",COUNTIF($F$145:$AJ$145,"P6")*ROWS($B$148:$B$171),0)),"")</f>
        <v>1.0776594285714285</v>
      </c>
      <c r="AP168" s="6" t="str" cm="1">
        <f t="array" ref="AP168">IFERROR((SUMPRODUCT(($B$148:$B$171=AP$146)*($F$145:$AJ$145="")*$F$148:$AJ$171)+IF(AP$146="P6",SUMPRODUCT(($F$145:$AJ$145="P6")*$F$148:$AJ$171),0))/(SUMPRODUCT(($B$148:$B$171=AP$146)*($F$145:$AJ$145=""))+IF(AP$146="P6",COUNTIF($F$145:$AJ$145,"P6")*ROWS($B$148:$B$171),0)),"")</f>
        <v/>
      </c>
      <c r="AQ168" s="6" t="str" cm="1">
        <f t="array" ref="AQ168">IFERROR((SUMPRODUCT(($B$148:$B$171=AQ$146)*($F$145:$AJ$145="")*$F$148:$AJ$171)+IF(AQ$146="P6",SUMPRODUCT(($F$145:$AJ$145="P6")*$F$148:$AJ$171),0))/(SUMPRODUCT(($B$148:$B$171=AQ$146)*($F$145:$AJ$145=""))+IF(AQ$146="P6",COUNTIF($F$145:$AJ$145,"P6")*ROWS($B$148:$B$171),0)),"")</f>
        <v/>
      </c>
      <c r="AR168" s="6" cm="1">
        <f t="array" ref="AR168">IFERROR((SUMPRODUCT(($B$148:$B$171=AR$146)*($F$145:$AJ$145="")*$F$148:$AJ$171)+IF(AR$146="P6",SUMPRODUCT(($F$145:$AJ$145="P6")*$F$148:$AJ$171),0))/(SUMPRODUCT(($B$148:$B$171=AR$146)*($F$145:$AJ$145=""))+IF(AR$146="P6",COUNTIF($F$145:$AJ$145,"P6")*ROWS($B$148:$B$171),0)),"")</f>
        <v>0.94429183962264174</v>
      </c>
    </row>
    <row r="169" spans="1:44" ht="14.25" customHeight="1" x14ac:dyDescent="0.35">
      <c r="A169" s="1" t="s">
        <v>16</v>
      </c>
      <c r="B169" s="1" t="s">
        <v>14</v>
      </c>
      <c r="C169" s="1" t="s">
        <v>13</v>
      </c>
      <c r="D169" s="1" t="s">
        <v>16</v>
      </c>
      <c r="E169" s="1" t="s">
        <v>40</v>
      </c>
      <c r="F169" s="1">
        <v>1.00484</v>
      </c>
      <c r="G169" s="1">
        <v>0.95526</v>
      </c>
      <c r="H169" s="1">
        <v>0.94159999999999999</v>
      </c>
      <c r="I169" s="1">
        <v>0.99892999999999998</v>
      </c>
      <c r="J169" s="1">
        <v>0.99263999999999997</v>
      </c>
      <c r="K169" s="1">
        <v>1.0021100000000001</v>
      </c>
      <c r="L169" s="1">
        <v>1.02081</v>
      </c>
      <c r="M169" s="1">
        <v>1.0339499999999999</v>
      </c>
      <c r="N169" s="1">
        <v>0.95526</v>
      </c>
      <c r="O169" s="1">
        <v>0.94159999999999999</v>
      </c>
      <c r="P169" s="1">
        <v>0.99892999999999998</v>
      </c>
      <c r="Q169" s="1">
        <v>0.99263999999999997</v>
      </c>
      <c r="R169" s="1">
        <v>1.0021100000000001</v>
      </c>
      <c r="S169" s="1">
        <v>1.02081</v>
      </c>
      <c r="T169" s="1">
        <v>1.0339499999999999</v>
      </c>
      <c r="U169" s="1">
        <v>0.95526</v>
      </c>
      <c r="V169" s="1">
        <v>0.94159999999999999</v>
      </c>
      <c r="W169" s="1">
        <v>0.99892999999999998</v>
      </c>
      <c r="X169" s="1">
        <v>0.99263999999999997</v>
      </c>
      <c r="Y169" s="1">
        <v>1.0021100000000001</v>
      </c>
      <c r="Z169" s="1">
        <v>1.02081</v>
      </c>
      <c r="AA169" s="1">
        <v>1.0339499999999999</v>
      </c>
      <c r="AB169" s="1">
        <v>0.95526</v>
      </c>
      <c r="AC169" s="1">
        <v>0.94159999999999999</v>
      </c>
      <c r="AD169" s="1">
        <v>0.99892999999999998</v>
      </c>
      <c r="AE169" s="1">
        <v>0.99263999999999997</v>
      </c>
      <c r="AF169" s="1">
        <v>1.0021100000000001</v>
      </c>
      <c r="AG169" s="1">
        <v>1.02081</v>
      </c>
      <c r="AH169" s="1">
        <v>1.0339499999999999</v>
      </c>
      <c r="AI169" s="1">
        <v>0.95526</v>
      </c>
      <c r="AJ169" s="1">
        <v>0.94159999999999999</v>
      </c>
      <c r="AL169" s="4" t="s">
        <v>23</v>
      </c>
      <c r="AM169" s="6" t="str" cm="1">
        <f t="array" ref="AM169">IFERROR((SUMPRODUCT(($B$148:$B$171=AM$146)*($F$145:$AJ$145="")*$F$148:$AJ$171)+IF(AM$146="P6",SUMPRODUCT(($F$145:$AJ$145="P6")*$F$148:$AJ$171),0))/(SUMPRODUCT(($B$148:$B$171=AM$146)*($F$145:$AJ$145=""))+IF(AM$146="P6",COUNTIF($F$145:$AJ$145,"P6")*ROWS($B$148:$B$171),0)),"")</f>
        <v/>
      </c>
      <c r="AN169" s="6" cm="1">
        <f t="array" ref="AN169">IFERROR((SUMPRODUCT(($B$148:$B$171=AN$146)*($F$145:$AJ$145="")*$F$148:$AJ$171)+IF(AN$146="P6",SUMPRODUCT(($F$145:$AJ$145="P6")*$F$148:$AJ$171),0))/(SUMPRODUCT(($B$148:$B$171=AN$146)*($F$145:$AJ$145=""))+IF(AN$146="P6",COUNTIF($F$145:$AJ$145,"P6")*ROWS($B$148:$B$171),0)),"")</f>
        <v>0.93467644444444375</v>
      </c>
      <c r="AO169" s="6" cm="1">
        <f t="array" ref="AO169">IFERROR((SUMPRODUCT(($B$148:$B$171=AO$146)*($F$145:$AJ$145="")*$F$148:$AJ$171)+IF(AO$146="P6",SUMPRODUCT(($F$145:$AJ$145="P6")*$F$148:$AJ$171),0))/(SUMPRODUCT(($B$148:$B$171=AO$146)*($F$145:$AJ$145=""))+IF(AO$146="P6",COUNTIF($F$145:$AJ$145,"P6")*ROWS($B$148:$B$171),0)),"")</f>
        <v>1.0776594285714285</v>
      </c>
      <c r="AP169" s="6" t="str" cm="1">
        <f t="array" ref="AP169">IFERROR((SUMPRODUCT(($B$148:$B$171=AP$146)*($F$145:$AJ$145="")*$F$148:$AJ$171)+IF(AP$146="P6",SUMPRODUCT(($F$145:$AJ$145="P6")*$F$148:$AJ$171),0))/(SUMPRODUCT(($B$148:$B$171=AP$146)*($F$145:$AJ$145=""))+IF(AP$146="P6",COUNTIF($F$145:$AJ$145,"P6")*ROWS($B$148:$B$171),0)),"")</f>
        <v/>
      </c>
      <c r="AQ169" s="6" t="str" cm="1">
        <f t="array" ref="AQ169">IFERROR((SUMPRODUCT(($B$148:$B$171=AQ$146)*($F$145:$AJ$145="")*$F$148:$AJ$171)+IF(AQ$146="P6",SUMPRODUCT(($F$145:$AJ$145="P6")*$F$148:$AJ$171),0))/(SUMPRODUCT(($B$148:$B$171=AQ$146)*($F$145:$AJ$145=""))+IF(AQ$146="P6",COUNTIF($F$145:$AJ$145,"P6")*ROWS($B$148:$B$171),0)),"")</f>
        <v/>
      </c>
      <c r="AR169" s="6" cm="1">
        <f t="array" ref="AR169">IFERROR((SUMPRODUCT(($B$148:$B$171=AR$146)*($F$145:$AJ$145="")*$F$148:$AJ$171)+IF(AR$146="P6",SUMPRODUCT(($F$145:$AJ$145="P6")*$F$148:$AJ$171),0))/(SUMPRODUCT(($B$148:$B$171=AR$146)*($F$145:$AJ$145=""))+IF(AR$146="P6",COUNTIF($F$145:$AJ$145,"P6")*ROWS($B$148:$B$171),0)),"")</f>
        <v>0.94429183962264174</v>
      </c>
    </row>
    <row r="170" spans="1:44" ht="14.25" customHeight="1" x14ac:dyDescent="0.35">
      <c r="A170" s="1" t="s">
        <v>17</v>
      </c>
      <c r="B170" s="1" t="s">
        <v>15</v>
      </c>
      <c r="C170" s="1" t="s">
        <v>14</v>
      </c>
      <c r="D170" s="1" t="s">
        <v>17</v>
      </c>
      <c r="E170" s="1" t="s">
        <v>41</v>
      </c>
      <c r="F170" s="1">
        <v>1.0413600000000001</v>
      </c>
      <c r="G170" s="1">
        <v>0.96057000000000003</v>
      </c>
      <c r="H170" s="1">
        <v>0.95838000000000001</v>
      </c>
      <c r="I170" s="1">
        <v>1.18777</v>
      </c>
      <c r="J170" s="1">
        <v>1.16798</v>
      </c>
      <c r="K170" s="1">
        <v>1.18007</v>
      </c>
      <c r="L170" s="1">
        <v>1.1994199999999999</v>
      </c>
      <c r="M170" s="1">
        <v>1.2075100000000001</v>
      </c>
      <c r="N170" s="1">
        <v>0.96057000000000003</v>
      </c>
      <c r="O170" s="1">
        <v>0.95838000000000001</v>
      </c>
      <c r="P170" s="1">
        <v>1.18777</v>
      </c>
      <c r="Q170" s="1">
        <v>1.16798</v>
      </c>
      <c r="R170" s="1">
        <v>1.18007</v>
      </c>
      <c r="S170" s="1">
        <v>1.1994199999999999</v>
      </c>
      <c r="T170" s="1">
        <v>1.2075100000000001</v>
      </c>
      <c r="U170" s="1">
        <v>0.96057000000000003</v>
      </c>
      <c r="V170" s="1">
        <v>0.95838000000000001</v>
      </c>
      <c r="W170" s="1">
        <v>1.18777</v>
      </c>
      <c r="X170" s="1">
        <v>1.16798</v>
      </c>
      <c r="Y170" s="1">
        <v>1.18007</v>
      </c>
      <c r="Z170" s="1">
        <v>1.1994199999999999</v>
      </c>
      <c r="AA170" s="1">
        <v>1.2075100000000001</v>
      </c>
      <c r="AB170" s="1">
        <v>0.96057000000000003</v>
      </c>
      <c r="AC170" s="1">
        <v>0.95838000000000001</v>
      </c>
      <c r="AD170" s="1">
        <v>1.18777</v>
      </c>
      <c r="AE170" s="1">
        <v>1.16798</v>
      </c>
      <c r="AF170" s="1">
        <v>1.18007</v>
      </c>
      <c r="AG170" s="1">
        <v>1.1994199999999999</v>
      </c>
      <c r="AH170" s="1">
        <v>1.2075100000000001</v>
      </c>
      <c r="AI170" s="1">
        <v>0.96057000000000003</v>
      </c>
      <c r="AJ170" s="1">
        <v>0.95838000000000001</v>
      </c>
      <c r="AL170" s="4" t="s">
        <v>25</v>
      </c>
      <c r="AM170" s="6" t="str" cm="1">
        <f t="array" ref="AM170">IFERROR((SUMPRODUCT(($B$148:$B$171=AM$146)*($F$145:$AJ$145="")*$F$148:$AJ$171)+IF(AM$146="P6",SUMPRODUCT(($F$145:$AJ$145="P6")*$F$148:$AJ$171),0))/(SUMPRODUCT(($B$148:$B$171=AM$146)*($F$145:$AJ$145=""))+IF(AM$146="P6",COUNTIF($F$145:$AJ$145,"P6")*ROWS($B$148:$B$171),0)),"")</f>
        <v/>
      </c>
      <c r="AN170" s="6" cm="1">
        <f t="array" ref="AN170">IFERROR((SUMPRODUCT(($B$148:$B$171=AN$146)*($F$145:$AJ$145="")*$F$148:$AJ$171)+IF(AN$146="P6",SUMPRODUCT(($F$145:$AJ$145="P6")*$F$148:$AJ$171),0))/(SUMPRODUCT(($B$148:$B$171=AN$146)*($F$145:$AJ$145=""))+IF(AN$146="P6",COUNTIF($F$145:$AJ$145,"P6")*ROWS($B$148:$B$171),0)),"")</f>
        <v>0.93467644444444375</v>
      </c>
      <c r="AO170" s="6" cm="1">
        <f t="array" ref="AO170">IFERROR((SUMPRODUCT(($B$148:$B$171=AO$146)*($F$145:$AJ$145="")*$F$148:$AJ$171)+IF(AO$146="P6",SUMPRODUCT(($F$145:$AJ$145="P6")*$F$148:$AJ$171),0))/(SUMPRODUCT(($B$148:$B$171=AO$146)*($F$145:$AJ$145=""))+IF(AO$146="P6",COUNTIF($F$145:$AJ$145,"P6")*ROWS($B$148:$B$171),0)),"")</f>
        <v>1.0776594285714285</v>
      </c>
      <c r="AP170" s="6" t="str" cm="1">
        <f t="array" ref="AP170">IFERROR((SUMPRODUCT(($B$148:$B$171=AP$146)*($F$145:$AJ$145="")*$F$148:$AJ$171)+IF(AP$146="P6",SUMPRODUCT(($F$145:$AJ$145="P6")*$F$148:$AJ$171),0))/(SUMPRODUCT(($B$148:$B$171=AP$146)*($F$145:$AJ$145=""))+IF(AP$146="P6",COUNTIF($F$145:$AJ$145,"P6")*ROWS($B$148:$B$171),0)),"")</f>
        <v/>
      </c>
      <c r="AQ170" s="6" t="str" cm="1">
        <f t="array" ref="AQ170">IFERROR((SUMPRODUCT(($B$148:$B$171=AQ$146)*($F$145:$AJ$145="")*$F$148:$AJ$171)+IF(AQ$146="P6",SUMPRODUCT(($F$145:$AJ$145="P6")*$F$148:$AJ$171),0))/(SUMPRODUCT(($B$148:$B$171=AQ$146)*($F$145:$AJ$145=""))+IF(AQ$146="P6",COUNTIF($F$145:$AJ$145,"P6")*ROWS($B$148:$B$171),0)),"")</f>
        <v/>
      </c>
      <c r="AR170" s="6" cm="1">
        <f t="array" ref="AR170">IFERROR((SUMPRODUCT(($B$148:$B$171=AR$146)*($F$145:$AJ$145="")*$F$148:$AJ$171)+IF(AR$146="P6",SUMPRODUCT(($F$145:$AJ$145="P6")*$F$148:$AJ$171),0))/(SUMPRODUCT(($B$148:$B$171=AR$146)*($F$145:$AJ$145=""))+IF(AR$146="P6",COUNTIF($F$145:$AJ$145,"P6")*ROWS($B$148:$B$171),0)),"")</f>
        <v>0.94429183962264174</v>
      </c>
    </row>
    <row r="171" spans="1:44" ht="14.25" customHeight="1" x14ac:dyDescent="0.35">
      <c r="A171" s="1" t="s">
        <v>17</v>
      </c>
      <c r="B171" s="1" t="s">
        <v>15</v>
      </c>
      <c r="C171" s="1" t="s">
        <v>14</v>
      </c>
      <c r="D171" s="1" t="s">
        <v>17</v>
      </c>
      <c r="E171" s="1" t="s">
        <v>42</v>
      </c>
      <c r="F171" s="1">
        <v>1.07148</v>
      </c>
      <c r="G171" s="1">
        <v>0.99056</v>
      </c>
      <c r="H171" s="1">
        <v>0.97275999999999996</v>
      </c>
      <c r="I171" s="1">
        <v>1.24678</v>
      </c>
      <c r="J171" s="1">
        <v>1.22804</v>
      </c>
      <c r="K171" s="1">
        <v>1.23828</v>
      </c>
      <c r="L171" s="1">
        <v>1.2334400000000001</v>
      </c>
      <c r="M171" s="1">
        <v>1.2394000000000001</v>
      </c>
      <c r="N171" s="1">
        <v>0.99056</v>
      </c>
      <c r="O171" s="1">
        <v>0.97275999999999996</v>
      </c>
      <c r="P171" s="1">
        <v>1.24678</v>
      </c>
      <c r="Q171" s="1">
        <v>1.22804</v>
      </c>
      <c r="R171" s="1">
        <v>1.23828</v>
      </c>
      <c r="S171" s="1">
        <v>1.2334400000000001</v>
      </c>
      <c r="T171" s="1">
        <v>1.2394000000000001</v>
      </c>
      <c r="U171" s="1">
        <v>0.99056</v>
      </c>
      <c r="V171" s="1">
        <v>0.97275999999999996</v>
      </c>
      <c r="W171" s="1">
        <v>1.24678</v>
      </c>
      <c r="X171" s="1">
        <v>1.22804</v>
      </c>
      <c r="Y171" s="1">
        <v>1.23828</v>
      </c>
      <c r="Z171" s="1">
        <v>1.2334400000000001</v>
      </c>
      <c r="AA171" s="1">
        <v>1.2394000000000001</v>
      </c>
      <c r="AB171" s="1">
        <v>0.99056</v>
      </c>
      <c r="AC171" s="1">
        <v>0.97275999999999996</v>
      </c>
      <c r="AD171" s="1">
        <v>1.24678</v>
      </c>
      <c r="AE171" s="1">
        <v>1.22804</v>
      </c>
      <c r="AF171" s="1">
        <v>1.23828</v>
      </c>
      <c r="AG171" s="1">
        <v>1.2334400000000001</v>
      </c>
      <c r="AH171" s="1">
        <v>1.2394000000000001</v>
      </c>
      <c r="AI171" s="1">
        <v>0.99056</v>
      </c>
      <c r="AJ171" s="1">
        <v>0.97275999999999996</v>
      </c>
      <c r="AL171" s="4" t="s">
        <v>27</v>
      </c>
      <c r="AM171" s="6" t="str" cm="1">
        <f t="array" ref="AM171">IFERROR((SUMPRODUCT(($B$148:$B$171=AM$146)*($F$145:$AJ$145="")*$F$148:$AJ$171)+IF(AM$146="P6",SUMPRODUCT(($F$145:$AJ$145="P6")*$F$148:$AJ$171),0))/(SUMPRODUCT(($B$148:$B$171=AM$146)*($F$145:$AJ$145=""))+IF(AM$146="P6",COUNTIF($F$145:$AJ$145,"P6")*ROWS($B$148:$B$171),0)),"")</f>
        <v/>
      </c>
      <c r="AN171" s="6" cm="1">
        <f t="array" ref="AN171">IFERROR((SUMPRODUCT(($B$148:$B$171=AN$146)*($F$145:$AJ$145="")*$F$148:$AJ$171)+IF(AN$146="P6",SUMPRODUCT(($F$145:$AJ$145="P6")*$F$148:$AJ$171),0))/(SUMPRODUCT(($B$148:$B$171=AN$146)*($F$145:$AJ$145=""))+IF(AN$146="P6",COUNTIF($F$145:$AJ$145,"P6")*ROWS($B$148:$B$171),0)),"")</f>
        <v>0.93467644444444375</v>
      </c>
      <c r="AO171" s="6" cm="1">
        <f t="array" ref="AO171">IFERROR((SUMPRODUCT(($B$148:$B$171=AO$146)*($F$145:$AJ$145="")*$F$148:$AJ$171)+IF(AO$146="P6",SUMPRODUCT(($F$145:$AJ$145="P6")*$F$148:$AJ$171),0))/(SUMPRODUCT(($B$148:$B$171=AO$146)*($F$145:$AJ$145=""))+IF(AO$146="P6",COUNTIF($F$145:$AJ$145,"P6")*ROWS($B$148:$B$171),0)),"")</f>
        <v>1.0776594285714285</v>
      </c>
      <c r="AP171" s="6" t="str" cm="1">
        <f t="array" ref="AP171">IFERROR((SUMPRODUCT(($B$148:$B$171=AP$146)*($F$145:$AJ$145="")*$F$148:$AJ$171)+IF(AP$146="P6",SUMPRODUCT(($F$145:$AJ$145="P6")*$F$148:$AJ$171),0))/(SUMPRODUCT(($B$148:$B$171=AP$146)*($F$145:$AJ$145=""))+IF(AP$146="P6",COUNTIF($F$145:$AJ$145,"P6")*ROWS($B$148:$B$171),0)),"")</f>
        <v/>
      </c>
      <c r="AQ171" s="6" t="str" cm="1">
        <f t="array" ref="AQ171">IFERROR((SUMPRODUCT(($B$148:$B$171=AQ$146)*($F$145:$AJ$145="")*$F$148:$AJ$171)+IF(AQ$146="P6",SUMPRODUCT(($F$145:$AJ$145="P6")*$F$148:$AJ$171),0))/(SUMPRODUCT(($B$148:$B$171=AQ$146)*($F$145:$AJ$145=""))+IF(AQ$146="P6",COUNTIF($F$145:$AJ$145,"P6")*ROWS($B$148:$B$171),0)),"")</f>
        <v/>
      </c>
      <c r="AR171" s="6" cm="1">
        <f t="array" ref="AR171">IFERROR((SUMPRODUCT(($B$148:$B$171=AR$146)*($F$145:$AJ$145="")*$F$148:$AJ$171)+IF(AR$146="P6",SUMPRODUCT(($F$145:$AJ$145="P6")*$F$148:$AJ$171),0))/(SUMPRODUCT(($B$148:$B$171=AR$146)*($F$145:$AJ$145=""))+IF(AR$146="P6",COUNTIF($F$145:$AJ$145,"P6")*ROWS($B$148:$B$171),0)),"")</f>
        <v>0.94429183962264174</v>
      </c>
    </row>
    <row r="172" spans="1:44" ht="14.25" customHeight="1" x14ac:dyDescent="0.35">
      <c r="AL172" s="4" t="s">
        <v>29</v>
      </c>
      <c r="AM172" s="6" t="str" cm="1">
        <f t="array" ref="AM172">IFERROR((SUMPRODUCT(($B$148:$B$171=AM$146)*($F$145:$AJ$145="")*$F$148:$AJ$171)+IF(AM$146="P6",SUMPRODUCT(($F$145:$AJ$145="P6")*$F$148:$AJ$171),0))/(SUMPRODUCT(($B$148:$B$171=AM$146)*($F$145:$AJ$145=""))+IF(AM$146="P6",COUNTIF($F$145:$AJ$145,"P6")*ROWS($B$148:$B$171),0)),"")</f>
        <v/>
      </c>
      <c r="AN172" s="6" cm="1">
        <f t="array" ref="AN172">IFERROR((SUMPRODUCT(($B$148:$B$171=AN$146)*($F$145:$AJ$145="")*$F$148:$AJ$171)+IF(AN$146="P6",SUMPRODUCT(($F$145:$AJ$145="P6")*$F$148:$AJ$171),0))/(SUMPRODUCT(($B$148:$B$171=AN$146)*($F$145:$AJ$145=""))+IF(AN$146="P6",COUNTIF($F$145:$AJ$145,"P6")*ROWS($B$148:$B$171),0)),"")</f>
        <v>0.93467644444444375</v>
      </c>
      <c r="AO172" s="6" cm="1">
        <f t="array" ref="AO172">IFERROR((SUMPRODUCT(($B$148:$B$171=AO$146)*($F$145:$AJ$145="")*$F$148:$AJ$171)+IF(AO$146="P6",SUMPRODUCT(($F$145:$AJ$145="P6")*$F$148:$AJ$171),0))/(SUMPRODUCT(($B$148:$B$171=AO$146)*($F$145:$AJ$145=""))+IF(AO$146="P6",COUNTIF($F$145:$AJ$145,"P6")*ROWS($B$148:$B$171),0)),"")</f>
        <v>1.0776594285714285</v>
      </c>
      <c r="AP172" s="6" t="str" cm="1">
        <f t="array" ref="AP172">IFERROR((SUMPRODUCT(($B$148:$B$171=AP$146)*($F$145:$AJ$145="")*$F$148:$AJ$171)+IF(AP$146="P6",SUMPRODUCT(($F$145:$AJ$145="P6")*$F$148:$AJ$171),0))/(SUMPRODUCT(($B$148:$B$171=AP$146)*($F$145:$AJ$145=""))+IF(AP$146="P6",COUNTIF($F$145:$AJ$145,"P6")*ROWS($B$148:$B$171),0)),"")</f>
        <v/>
      </c>
      <c r="AQ172" s="6" t="str" cm="1">
        <f t="array" ref="AQ172">IFERROR((SUMPRODUCT(($B$148:$B$171=AQ$146)*($F$145:$AJ$145="")*$F$148:$AJ$171)+IF(AQ$146="P6",SUMPRODUCT(($F$145:$AJ$145="P6")*$F$148:$AJ$171),0))/(SUMPRODUCT(($B$148:$B$171=AQ$146)*($F$145:$AJ$145=""))+IF(AQ$146="P6",COUNTIF($F$145:$AJ$145,"P6")*ROWS($B$148:$B$171),0)),"")</f>
        <v/>
      </c>
      <c r="AR172" s="6" cm="1">
        <f t="array" ref="AR172">IFERROR((SUMPRODUCT(($B$148:$B$171=AR$146)*($F$145:$AJ$145="")*$F$148:$AJ$171)+IF(AR$146="P6",SUMPRODUCT(($F$145:$AJ$145="P6")*$F$148:$AJ$171),0))/(SUMPRODUCT(($B$148:$B$171=AR$146)*($F$145:$AJ$145=""))+IF(AR$146="P6",COUNTIF($F$145:$AJ$145,"P6")*ROWS($B$148:$B$171),0)),"")</f>
        <v>0.94429183962264174</v>
      </c>
    </row>
    <row r="176" spans="1:44" ht="14.25" customHeight="1" x14ac:dyDescent="0.35">
      <c r="A176" s="15" t="s">
        <v>65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</row>
    <row r="177" spans="1:44" ht="14.25" customHeight="1" x14ac:dyDescent="0.3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</row>
    <row r="178" spans="1:44" ht="14.25" customHeight="1" x14ac:dyDescent="0.35">
      <c r="AL178" s="10"/>
      <c r="AM178" s="10"/>
      <c r="AN178" s="10"/>
      <c r="AO178" s="10"/>
      <c r="AP178" s="10"/>
      <c r="AQ178" s="10"/>
      <c r="AR178" s="10"/>
    </row>
    <row r="179" spans="1:44" ht="14.25" customHeight="1" x14ac:dyDescent="0.35">
      <c r="F179" s="1" t="str">
        <f>IF(OR(F181="S",F181="D"),"P3","")</f>
        <v/>
      </c>
      <c r="G179" s="1" t="str">
        <f t="shared" ref="G179:AI179" si="21">IF(OR(G181="S",G181="D"),"P3","")</f>
        <v/>
      </c>
      <c r="H179" s="1" t="str">
        <f t="shared" si="21"/>
        <v/>
      </c>
      <c r="I179" s="1" t="str">
        <f t="shared" si="21"/>
        <v/>
      </c>
      <c r="J179" s="1" t="str">
        <f t="shared" si="21"/>
        <v/>
      </c>
      <c r="K179" s="1" t="str">
        <f t="shared" si="21"/>
        <v>P3</v>
      </c>
      <c r="L179" s="1" t="str">
        <f t="shared" si="21"/>
        <v>P3</v>
      </c>
      <c r="M179" s="1" t="str">
        <f t="shared" si="21"/>
        <v/>
      </c>
      <c r="N179" s="1" t="str">
        <f t="shared" si="21"/>
        <v/>
      </c>
      <c r="O179" s="1" t="str">
        <f t="shared" si="21"/>
        <v/>
      </c>
      <c r="P179" s="1" t="str">
        <f t="shared" si="21"/>
        <v/>
      </c>
      <c r="Q179" s="1" t="str">
        <f t="shared" si="21"/>
        <v/>
      </c>
      <c r="R179" s="1" t="str">
        <f t="shared" si="21"/>
        <v>P3</v>
      </c>
      <c r="S179" s="1" t="str">
        <f t="shared" si="21"/>
        <v>P3</v>
      </c>
      <c r="T179" s="1" t="str">
        <f t="shared" si="21"/>
        <v/>
      </c>
      <c r="U179" s="1" t="str">
        <f t="shared" si="21"/>
        <v/>
      </c>
      <c r="V179" s="1" t="str">
        <f t="shared" si="21"/>
        <v/>
      </c>
      <c r="W179" s="1" t="str">
        <f t="shared" si="21"/>
        <v/>
      </c>
      <c r="X179" s="1" t="str">
        <f t="shared" si="21"/>
        <v/>
      </c>
      <c r="Y179" s="1" t="str">
        <f t="shared" si="21"/>
        <v>P3</v>
      </c>
      <c r="Z179" s="1" t="str">
        <f t="shared" si="21"/>
        <v>P3</v>
      </c>
      <c r="AA179" s="1" t="str">
        <f t="shared" si="21"/>
        <v/>
      </c>
      <c r="AB179" s="1" t="str">
        <f t="shared" si="21"/>
        <v/>
      </c>
      <c r="AC179" s="1" t="str">
        <f t="shared" si="21"/>
        <v/>
      </c>
      <c r="AD179" s="1" t="str">
        <f t="shared" si="21"/>
        <v/>
      </c>
      <c r="AE179" s="1" t="str">
        <f t="shared" si="21"/>
        <v/>
      </c>
      <c r="AF179" s="1" t="str">
        <f t="shared" si="21"/>
        <v>P3</v>
      </c>
      <c r="AG179" s="1" t="str">
        <f t="shared" si="21"/>
        <v>P3</v>
      </c>
      <c r="AH179" s="1" t="str">
        <f t="shared" si="21"/>
        <v/>
      </c>
      <c r="AI179" s="1" t="str">
        <f t="shared" si="21"/>
        <v/>
      </c>
      <c r="AL179" s="10"/>
      <c r="AM179" s="10"/>
      <c r="AN179" s="10"/>
      <c r="AO179" s="10"/>
      <c r="AP179" s="10"/>
      <c r="AQ179" s="10"/>
      <c r="AR179" s="10"/>
    </row>
    <row r="180" spans="1:44" ht="14.25" customHeight="1" x14ac:dyDescent="0.35">
      <c r="F180" s="1" t="str">
        <f>IF(OR(F181="S",F181="D"),"P6","")</f>
        <v/>
      </c>
      <c r="G180" s="1" t="str">
        <f t="shared" ref="G180:AI180" si="22">IF(OR(G181="S",G181="D"),"P6","")</f>
        <v/>
      </c>
      <c r="H180" s="1" t="str">
        <f t="shared" si="22"/>
        <v/>
      </c>
      <c r="I180" s="1" t="str">
        <f t="shared" si="22"/>
        <v/>
      </c>
      <c r="J180" s="1" t="str">
        <f t="shared" si="22"/>
        <v/>
      </c>
      <c r="K180" s="1" t="str">
        <f t="shared" si="22"/>
        <v>P6</v>
      </c>
      <c r="L180" s="1" t="str">
        <f t="shared" si="22"/>
        <v>P6</v>
      </c>
      <c r="M180" s="1" t="str">
        <f t="shared" si="22"/>
        <v/>
      </c>
      <c r="N180" s="1" t="str">
        <f t="shared" si="22"/>
        <v/>
      </c>
      <c r="O180" s="1" t="str">
        <f t="shared" si="22"/>
        <v/>
      </c>
      <c r="P180" s="1" t="str">
        <f t="shared" si="22"/>
        <v/>
      </c>
      <c r="Q180" s="1" t="str">
        <f t="shared" si="22"/>
        <v/>
      </c>
      <c r="R180" s="1" t="str">
        <f t="shared" si="22"/>
        <v>P6</v>
      </c>
      <c r="S180" s="1" t="str">
        <f t="shared" si="22"/>
        <v>P6</v>
      </c>
      <c r="T180" s="1" t="str">
        <f t="shared" si="22"/>
        <v/>
      </c>
      <c r="U180" s="1" t="str">
        <f t="shared" si="22"/>
        <v/>
      </c>
      <c r="V180" s="1" t="str">
        <f t="shared" si="22"/>
        <v/>
      </c>
      <c r="W180" s="1" t="str">
        <f t="shared" si="22"/>
        <v/>
      </c>
      <c r="X180" s="1" t="str">
        <f t="shared" si="22"/>
        <v/>
      </c>
      <c r="Y180" s="1" t="str">
        <f t="shared" si="22"/>
        <v>P6</v>
      </c>
      <c r="Z180" s="1" t="str">
        <f t="shared" si="22"/>
        <v>P6</v>
      </c>
      <c r="AA180" s="1" t="str">
        <f t="shared" si="22"/>
        <v/>
      </c>
      <c r="AB180" s="1" t="str">
        <f t="shared" si="22"/>
        <v/>
      </c>
      <c r="AC180" s="1" t="str">
        <f t="shared" si="22"/>
        <v/>
      </c>
      <c r="AD180" s="1" t="str">
        <f t="shared" si="22"/>
        <v/>
      </c>
      <c r="AE180" s="1" t="str">
        <f t="shared" si="22"/>
        <v/>
      </c>
      <c r="AF180" s="1" t="str">
        <f t="shared" si="22"/>
        <v>P6</v>
      </c>
      <c r="AG180" s="1" t="str">
        <f t="shared" si="22"/>
        <v>P6</v>
      </c>
      <c r="AH180" s="1" t="str">
        <f t="shared" si="22"/>
        <v/>
      </c>
      <c r="AI180" s="1" t="str">
        <f t="shared" si="22"/>
        <v/>
      </c>
      <c r="AL180" s="14" t="s">
        <v>131</v>
      </c>
      <c r="AM180" s="14"/>
      <c r="AN180" s="14"/>
      <c r="AO180" s="14"/>
      <c r="AP180" s="14"/>
      <c r="AQ180" s="14"/>
      <c r="AR180" s="14"/>
    </row>
    <row r="181" spans="1:44" ht="14.25" customHeight="1" x14ac:dyDescent="0.35">
      <c r="F181" s="1" t="str">
        <f>CHOOSE(WEEKDAY(F182,2),"L","M","X","J","V","S","D")</f>
        <v>L</v>
      </c>
      <c r="G181" s="1" t="str">
        <f t="shared" ref="G181:AI181" si="23">CHOOSE(WEEKDAY(G182,2),"L","M","X","J","V","S","D")</f>
        <v>M</v>
      </c>
      <c r="H181" s="1" t="str">
        <f t="shared" si="23"/>
        <v>X</v>
      </c>
      <c r="I181" s="1" t="str">
        <f t="shared" si="23"/>
        <v>J</v>
      </c>
      <c r="J181" s="1" t="str">
        <f t="shared" si="23"/>
        <v>V</v>
      </c>
      <c r="K181" s="1" t="str">
        <f t="shared" si="23"/>
        <v>S</v>
      </c>
      <c r="L181" s="1" t="str">
        <f t="shared" si="23"/>
        <v>D</v>
      </c>
      <c r="M181" s="1" t="str">
        <f t="shared" si="23"/>
        <v>L</v>
      </c>
      <c r="N181" s="1" t="str">
        <f t="shared" si="23"/>
        <v>M</v>
      </c>
      <c r="O181" s="1" t="str">
        <f t="shared" si="23"/>
        <v>X</v>
      </c>
      <c r="P181" s="1" t="str">
        <f t="shared" si="23"/>
        <v>J</v>
      </c>
      <c r="Q181" s="1" t="str">
        <f t="shared" si="23"/>
        <v>V</v>
      </c>
      <c r="R181" s="1" t="str">
        <f t="shared" si="23"/>
        <v>S</v>
      </c>
      <c r="S181" s="1" t="str">
        <f t="shared" si="23"/>
        <v>D</v>
      </c>
      <c r="T181" s="1" t="str">
        <f t="shared" si="23"/>
        <v>L</v>
      </c>
      <c r="U181" s="1" t="str">
        <f t="shared" si="23"/>
        <v>M</v>
      </c>
      <c r="V181" s="1" t="str">
        <f t="shared" si="23"/>
        <v>X</v>
      </c>
      <c r="W181" s="1" t="str">
        <f t="shared" si="23"/>
        <v>J</v>
      </c>
      <c r="X181" s="1" t="str">
        <f t="shared" si="23"/>
        <v>V</v>
      </c>
      <c r="Y181" s="1" t="str">
        <f t="shared" si="23"/>
        <v>S</v>
      </c>
      <c r="Z181" s="1" t="str">
        <f t="shared" si="23"/>
        <v>D</v>
      </c>
      <c r="AA181" s="1" t="str">
        <f t="shared" si="23"/>
        <v>L</v>
      </c>
      <c r="AB181" s="1" t="str">
        <f t="shared" si="23"/>
        <v>M</v>
      </c>
      <c r="AC181" s="1" t="str">
        <f t="shared" si="23"/>
        <v>X</v>
      </c>
      <c r="AD181" s="1" t="str">
        <f t="shared" si="23"/>
        <v>J</v>
      </c>
      <c r="AE181" s="1" t="str">
        <f t="shared" si="23"/>
        <v>V</v>
      </c>
      <c r="AF181" s="1" t="str">
        <f t="shared" si="23"/>
        <v>S</v>
      </c>
      <c r="AG181" s="1" t="str">
        <f t="shared" si="23"/>
        <v>D</v>
      </c>
      <c r="AH181" s="1" t="str">
        <f t="shared" si="23"/>
        <v>L</v>
      </c>
      <c r="AI181" s="1" t="str">
        <f t="shared" si="23"/>
        <v>M</v>
      </c>
      <c r="AL181" s="4"/>
      <c r="AM181" s="4" t="s">
        <v>13</v>
      </c>
      <c r="AN181" s="4" t="s">
        <v>14</v>
      </c>
      <c r="AO181" s="4" t="s">
        <v>15</v>
      </c>
      <c r="AP181" s="4" t="s">
        <v>16</v>
      </c>
      <c r="AQ181" s="4" t="s">
        <v>17</v>
      </c>
      <c r="AR181" s="4" t="s">
        <v>7</v>
      </c>
    </row>
    <row r="182" spans="1:44" ht="14.25" customHeight="1" x14ac:dyDescent="0.35">
      <c r="A182" s="3" t="s">
        <v>76</v>
      </c>
      <c r="B182" s="3" t="s">
        <v>77</v>
      </c>
      <c r="C182" s="3" t="s">
        <v>75</v>
      </c>
      <c r="D182" s="3" t="s">
        <v>74</v>
      </c>
      <c r="F182" s="8">
        <v>46174</v>
      </c>
      <c r="G182" s="8">
        <v>46175</v>
      </c>
      <c r="H182" s="8">
        <v>46176</v>
      </c>
      <c r="I182" s="8">
        <v>46177</v>
      </c>
      <c r="J182" s="8">
        <v>46178</v>
      </c>
      <c r="K182" s="8">
        <v>46179</v>
      </c>
      <c r="L182" s="8">
        <v>46180</v>
      </c>
      <c r="M182" s="8">
        <v>46181</v>
      </c>
      <c r="N182" s="8">
        <v>46182</v>
      </c>
      <c r="O182" s="8">
        <v>46183</v>
      </c>
      <c r="P182" s="8">
        <v>46184</v>
      </c>
      <c r="Q182" s="8">
        <v>46185</v>
      </c>
      <c r="R182" s="8">
        <v>46186</v>
      </c>
      <c r="S182" s="8">
        <v>46187</v>
      </c>
      <c r="T182" s="8">
        <v>46188</v>
      </c>
      <c r="U182" s="8">
        <v>46189</v>
      </c>
      <c r="V182" s="8">
        <v>46190</v>
      </c>
      <c r="W182" s="8">
        <v>46191</v>
      </c>
      <c r="X182" s="8">
        <v>46192</v>
      </c>
      <c r="Y182" s="8">
        <v>46193</v>
      </c>
      <c r="Z182" s="8">
        <v>46194</v>
      </c>
      <c r="AA182" s="8">
        <v>46195</v>
      </c>
      <c r="AB182" s="8">
        <v>46196</v>
      </c>
      <c r="AC182" s="8">
        <v>46197</v>
      </c>
      <c r="AD182" s="8">
        <v>46198</v>
      </c>
      <c r="AE182" s="8">
        <v>46199</v>
      </c>
      <c r="AF182" s="8">
        <v>46200</v>
      </c>
      <c r="AG182" s="8">
        <v>46201</v>
      </c>
      <c r="AH182" s="8">
        <v>46202</v>
      </c>
      <c r="AI182" s="8">
        <v>46203</v>
      </c>
      <c r="AL182" s="4" t="s">
        <v>19</v>
      </c>
      <c r="AM182" s="6" cm="1">
        <f t="array" ref="AM182">IFERROR((SUMPRODUCT(($C$183:$C$206=AM$181)*($F$179:$AI$179="")*$F$183:$AI$206)+IF(AM$181="P3",SUMPRODUCT(($F$179:$AI$179="P3")*$F$183:$AI$206),0))/(SUMPRODUCT(($C$183:$C$206=AM$181)*($F$179:$AI$179=""))+IF(AM$181="P3",COUNTIF($F$179:$AI$179,"P3")*ROWS($C$183:$C$206),0)),"")</f>
        <v>0.88337528409091026</v>
      </c>
      <c r="AN182" s="6" cm="1">
        <f t="array" ref="AN182">IFERROR((SUMPRODUCT(($C$183:$C$206=AN$181)*($F$179:$AI$179="")*$F$183:$AI$206)+IF(AN$181="P3",SUMPRODUCT(($F$179:$AI$179="P3")*$F$183:$AI$206),0))/(SUMPRODUCT(($C$183:$C$206=AN$181)*($F$179:$AI$179=""))+IF(AN$181="P3",COUNTIF($F$179:$AI$179,"P3")*ROWS($C$183:$C$206),0)),"")</f>
        <v>0.88538062500000059</v>
      </c>
      <c r="AO182" s="6" cm="1">
        <f t="array" ref="AO182">IFERROR((SUMPRODUCT(($C$183:$C$206=AO$181)*($F$179:$AI$179="")*$F$183:$AI$206)+IF(AO$181="P3",SUMPRODUCT(($F$179:$AI$179="P3")*$F$183:$AI$206),0))/(SUMPRODUCT(($C$183:$C$206=AO$181)*($F$179:$AI$179=""))+IF(AO$181="P3",COUNTIF($F$179:$AI$179,"P3")*ROWS($C$183:$C$206),0)),"")</f>
        <v>0.86660494565217294</v>
      </c>
      <c r="AP182" s="6" t="str" cm="1">
        <f t="array" ref="AP182">IFERROR((SUMPRODUCT(($C$183:$C$206=AP$181)*($F$179:$AI$179="")*$F$183:$AI$206)+IF(AP$181="P3",SUMPRODUCT(($F$179:$AI$179="P3")*$F$183:$AI$206),0))/(SUMPRODUCT(($C$183:$C$206=AP$181)*($F$179:$AI$179=""))+IF(AP$181="P3",COUNTIF($F$179:$AI$179,"P3")*ROWS($C$183:$C$206),0)),"")</f>
        <v/>
      </c>
      <c r="AQ182" s="6" t="str" cm="1">
        <f t="array" ref="AQ182">IFERROR((SUMPRODUCT(($C$183:$C$206=AQ$181)*($F$179:$AI$179="")*$F$183:$AI$206)+IF(AQ$181="P3",SUMPRODUCT(($F$179:$AI$179="P3")*$F$183:$AI$206),0))/(SUMPRODUCT(($C$183:$C$206=AQ$181)*($F$179:$AI$179=""))+IF(AQ$181="P3",COUNTIF($F$179:$AI$179,"P3")*ROWS($C$183:$C$206),0)),"")</f>
        <v/>
      </c>
      <c r="AR182" s="6" t="str" cm="1">
        <f t="array" ref="AR182">IFERROR((SUMPRODUCT(($C$183:$C$206=AR$181)*($F$179:$AI$179="")*$F$183:$AI$206)+IF(AR$181="P3",SUMPRODUCT(($F$179:$AI$179="P3")*$F$183:$AI$206),0))/(SUMPRODUCT(($C$183:$C$206=AR$181)*($F$179:$AI$179=""))+IF(AR$181="P3",COUNTIF($F$179:$AI$179,"P3")*ROWS($C$183:$C$206),0)),"")</f>
        <v/>
      </c>
    </row>
    <row r="183" spans="1:44" ht="14.25" customHeight="1" x14ac:dyDescent="0.35">
      <c r="A183" s="1" t="s">
        <v>7</v>
      </c>
      <c r="B183" s="1" t="s">
        <v>7</v>
      </c>
      <c r="C183" s="1" t="s">
        <v>15</v>
      </c>
      <c r="D183" s="1" t="s">
        <v>7</v>
      </c>
      <c r="E183" s="1" t="s">
        <v>8</v>
      </c>
      <c r="F183" s="1">
        <v>0.94033999999999995</v>
      </c>
      <c r="G183" s="1">
        <v>0.87304000000000004</v>
      </c>
      <c r="H183" s="1">
        <v>0.85601000000000005</v>
      </c>
      <c r="I183" s="1">
        <v>0.84913000000000005</v>
      </c>
      <c r="J183" s="1">
        <v>0.84721999999999997</v>
      </c>
      <c r="K183" s="1">
        <v>0.86516000000000004</v>
      </c>
      <c r="L183" s="1">
        <v>0.92752999999999997</v>
      </c>
      <c r="M183" s="1">
        <v>0.94033999999999995</v>
      </c>
      <c r="N183" s="1">
        <v>0.87304000000000004</v>
      </c>
      <c r="O183" s="1">
        <v>0.85601000000000005</v>
      </c>
      <c r="P183" s="1">
        <v>0.84913000000000005</v>
      </c>
      <c r="Q183" s="1">
        <v>0.84721999999999997</v>
      </c>
      <c r="R183" s="1">
        <v>0.86516000000000004</v>
      </c>
      <c r="S183" s="1">
        <v>0.92752999999999997</v>
      </c>
      <c r="T183" s="1">
        <v>0.94033999999999995</v>
      </c>
      <c r="U183" s="1">
        <v>0.87304000000000004</v>
      </c>
      <c r="V183" s="1">
        <v>0.85601000000000005</v>
      </c>
      <c r="W183" s="1">
        <v>0.84913000000000005</v>
      </c>
      <c r="X183" s="1">
        <v>0.84721999999999997</v>
      </c>
      <c r="Y183" s="1">
        <v>0.86516000000000004</v>
      </c>
      <c r="Z183" s="1">
        <v>0.92752999999999997</v>
      </c>
      <c r="AA183" s="1">
        <v>0.94033999999999995</v>
      </c>
      <c r="AB183" s="1">
        <v>0.87304000000000004</v>
      </c>
      <c r="AC183" s="1">
        <v>0.85601000000000005</v>
      </c>
      <c r="AD183" s="1">
        <v>0.84913000000000005</v>
      </c>
      <c r="AE183" s="1">
        <v>0.84721999999999997</v>
      </c>
      <c r="AF183" s="1">
        <v>0.86516000000000004</v>
      </c>
      <c r="AG183" s="1">
        <v>0.92752999999999997</v>
      </c>
      <c r="AH183" s="1">
        <v>0.94033999999999995</v>
      </c>
      <c r="AI183" s="1">
        <v>0.87304000000000004</v>
      </c>
      <c r="AL183" s="4" t="s">
        <v>21</v>
      </c>
      <c r="AM183" s="6" t="str" cm="1">
        <f t="array" ref="AM183">IFERROR((SUMPRODUCT(($D$183:$D$206=AM$181)*($F$180:$AI$180="")*$F$183:$AI$206)+IF(AM$181="P6",SUMPRODUCT(($F$180:$AI$180="P6")*$F$183:$AI$206),0))/(SUMPRODUCT(($D$183:$D$206=AM$181)*($F$180:$AI$180=""))+IF(AM$181="P6",COUNTIF($F$180:$AI$180,"P6")*ROWS($D$183:$D$206),0)),"")</f>
        <v/>
      </c>
      <c r="AN183" s="6" t="str" cm="1">
        <f t="array" ref="AN183">IFERROR((SUMPRODUCT(($D$183:$D$206=AN$181)*($F$180:$AI$180="")*$F$183:$AI$206)+IF(AN$181="P6",SUMPRODUCT(($F$180:$AI$180="P6")*$F$183:$AI$206),0))/(SUMPRODUCT(($D$183:$D$206=AN$181)*($F$180:$AI$180=""))+IF(AN$181="P6",COUNTIF($F$180:$AI$180,"P6")*ROWS($D$183:$D$206),0)),"")</f>
        <v/>
      </c>
      <c r="AO183" s="6" cm="1">
        <f t="array" ref="AO183">IFERROR((SUMPRODUCT(($D$183:$D$206=AO$181)*($F$180:$AI$180="")*$F$183:$AI$206)+IF(AO$181="P6",SUMPRODUCT(($F$180:$AI$180="P6")*$F$183:$AI$206),0))/(SUMPRODUCT(($D$183:$D$206=AO$181)*($F$180:$AI$180=""))+IF(AO$181="P6",COUNTIF($F$180:$AI$180,"P6")*ROWS($D$183:$D$206),0)),"")</f>
        <v>0.87623954545454619</v>
      </c>
      <c r="AP183" s="6" cm="1">
        <f t="array" ref="AP183">IFERROR((SUMPRODUCT(($D$183:$D$206=AP$181)*($F$180:$AI$180="")*$F$183:$AI$206)+IF(AP$181="P6",SUMPRODUCT(($F$180:$AI$180="P6")*$F$183:$AI$206),0))/(SUMPRODUCT(($D$183:$D$206=AP$181)*($F$180:$AI$180=""))+IF(AP$181="P6",COUNTIF($F$180:$AI$180,"P6")*ROWS($D$183:$D$206),0)),"")</f>
        <v>0.8948416233766241</v>
      </c>
      <c r="AQ183" s="6" t="str" cm="1">
        <f t="array" ref="AQ183">IFERROR((SUMPRODUCT(($D$183:$D$206=AQ$181)*($F$180:$AI$180="")*$F$183:$AI$206)+IF(AQ$181="P6",SUMPRODUCT(($F$180:$AI$180="P6")*$F$183:$AI$206),0))/(SUMPRODUCT(($D$183:$D$206=AQ$181)*($F$180:$AI$180=""))+IF(AQ$181="P6",COUNTIF($F$180:$AI$180,"P6")*ROWS($D$183:$D$206),0)),"")</f>
        <v/>
      </c>
      <c r="AR183" s="6" cm="1">
        <f t="array" ref="AR183">IFERROR((SUMPRODUCT(($D$183:$D$206=AR$181)*($F$180:$AI$180="")*$F$183:$AI$206)+IF(AR$181="P6",SUMPRODUCT(($F$180:$AI$180="P6")*$F$183:$AI$206),0))/(SUMPRODUCT(($D$183:$D$206=AR$181)*($F$180:$AI$180=""))+IF(AR$181="P6",COUNTIF($F$180:$AI$180,"P6")*ROWS($D$183:$D$206),0)),"")</f>
        <v>0.86660494565217294</v>
      </c>
    </row>
    <row r="184" spans="1:44" ht="14.25" customHeight="1" x14ac:dyDescent="0.35">
      <c r="A184" s="1" t="s">
        <v>7</v>
      </c>
      <c r="B184" s="1" t="s">
        <v>7</v>
      </c>
      <c r="C184" s="1" t="s">
        <v>15</v>
      </c>
      <c r="D184" s="1" t="s">
        <v>7</v>
      </c>
      <c r="E184" s="1" t="s">
        <v>9</v>
      </c>
      <c r="F184" s="1">
        <v>0.95799999999999996</v>
      </c>
      <c r="G184" s="1">
        <v>0.88170000000000004</v>
      </c>
      <c r="H184" s="1">
        <v>0.86350000000000005</v>
      </c>
      <c r="I184" s="1">
        <v>0.85973999999999995</v>
      </c>
      <c r="J184" s="1">
        <v>0.85975000000000001</v>
      </c>
      <c r="K184" s="1">
        <v>0.88329999999999997</v>
      </c>
      <c r="L184" s="1">
        <v>0.95294000000000001</v>
      </c>
      <c r="M184" s="1">
        <v>0.95799999999999996</v>
      </c>
      <c r="N184" s="1">
        <v>0.88170000000000004</v>
      </c>
      <c r="O184" s="1">
        <v>0.86350000000000005</v>
      </c>
      <c r="P184" s="1">
        <v>0.85973999999999995</v>
      </c>
      <c r="Q184" s="1">
        <v>0.85975000000000001</v>
      </c>
      <c r="R184" s="1">
        <v>0.88329999999999997</v>
      </c>
      <c r="S184" s="1">
        <v>0.95294000000000001</v>
      </c>
      <c r="T184" s="1">
        <v>0.95799999999999996</v>
      </c>
      <c r="U184" s="1">
        <v>0.88170000000000004</v>
      </c>
      <c r="V184" s="1">
        <v>0.86350000000000005</v>
      </c>
      <c r="W184" s="1">
        <v>0.85973999999999995</v>
      </c>
      <c r="X184" s="1">
        <v>0.85975000000000001</v>
      </c>
      <c r="Y184" s="1">
        <v>0.88329999999999997</v>
      </c>
      <c r="Z184" s="1">
        <v>0.95294000000000001</v>
      </c>
      <c r="AA184" s="1">
        <v>0.95799999999999996</v>
      </c>
      <c r="AB184" s="1">
        <v>0.88170000000000004</v>
      </c>
      <c r="AC184" s="1">
        <v>0.86350000000000005</v>
      </c>
      <c r="AD184" s="1">
        <v>0.85973999999999995</v>
      </c>
      <c r="AE184" s="1">
        <v>0.85975000000000001</v>
      </c>
      <c r="AF184" s="1">
        <v>0.88329999999999997</v>
      </c>
      <c r="AG184" s="1">
        <v>0.95294000000000001</v>
      </c>
      <c r="AH184" s="1">
        <v>0.95799999999999996</v>
      </c>
      <c r="AI184" s="1">
        <v>0.88170000000000004</v>
      </c>
      <c r="AL184" s="4" t="s">
        <v>23</v>
      </c>
      <c r="AM184" s="6" t="str" cm="1">
        <f t="array" ref="AM184">IFERROR((SUMPRODUCT(($D$183:$D$206=AM$181)*($F$180:$AI$180="")*$F$183:$AI$206)+IF(AM$181="P6",SUMPRODUCT(($F$180:$AI$180="P6")*$F$183:$AI$206),0))/(SUMPRODUCT(($D$183:$D$206=AM$181)*($F$180:$AI$180=""))+IF(AM$181="P6",COUNTIF($F$180:$AI$180,"P6")*ROWS($D$183:$D$206),0)),"")</f>
        <v/>
      </c>
      <c r="AN184" s="6" t="str" cm="1">
        <f t="array" ref="AN184">IFERROR((SUMPRODUCT(($D$183:$D$206=AN$181)*($F$180:$AI$180="")*$F$183:$AI$206)+IF(AN$181="P6",SUMPRODUCT(($F$180:$AI$180="P6")*$F$183:$AI$206),0))/(SUMPRODUCT(($D$183:$D$206=AN$181)*($F$180:$AI$180=""))+IF(AN$181="P6",COUNTIF($F$180:$AI$180,"P6")*ROWS($D$183:$D$206),0)),"")</f>
        <v/>
      </c>
      <c r="AO184" s="5" cm="1">
        <f t="array" ref="AO184">IFERROR((SUMPRODUCT(($D$183:$D$206=AO$181)*($F$180:$AI$180="")*$F$183:$AI$206)+IF(AO$181="P6",SUMPRODUCT(($F$180:$AI$180="P6")*$F$183:$AI$206),0))/(SUMPRODUCT(($D$183:$D$206=AO$181)*($F$180:$AI$180=""))+IF(AO$181="P6",COUNTIF($F$180:$AI$180,"P6")*ROWS($D$183:$D$206),0)),"")</f>
        <v>0.87623954545454619</v>
      </c>
      <c r="AP184" s="5" cm="1">
        <f t="array" ref="AP184">IFERROR((SUMPRODUCT(($D$183:$D$206=AP$181)*($F$180:$AI$180="")*$F$183:$AI$206)+IF(AP$181="P6",SUMPRODUCT(($F$180:$AI$180="P6")*$F$183:$AI$206),0))/(SUMPRODUCT(($D$183:$D$206=AP$181)*($F$180:$AI$180=""))+IF(AP$181="P6",COUNTIF($F$180:$AI$180,"P6")*ROWS($D$183:$D$206),0)),"")</f>
        <v>0.8948416233766241</v>
      </c>
      <c r="AQ184" s="5" t="str" cm="1">
        <f t="array" ref="AQ184">IFERROR((SUMPRODUCT(($D$183:$D$206=AQ$181)*($F$180:$AI$180="")*$F$183:$AI$206)+IF(AQ$181="P6",SUMPRODUCT(($F$180:$AI$180="P6")*$F$183:$AI$206),0))/(SUMPRODUCT(($D$183:$D$206=AQ$181)*($F$180:$AI$180=""))+IF(AQ$181="P6",COUNTIF($F$180:$AI$180,"P6")*ROWS($D$183:$D$206),0)),"")</f>
        <v/>
      </c>
      <c r="AR184" s="6" cm="1">
        <f t="array" ref="AR184">IFERROR((SUMPRODUCT(($D$183:$D$206=AR$181)*($F$180:$AI$180="")*$F$183:$AI$206)+IF(AR$181="P6",SUMPRODUCT(($F$180:$AI$180="P6")*$F$183:$AI$206),0))/(SUMPRODUCT(($D$183:$D$206=AR$181)*($F$180:$AI$180=""))+IF(AR$181="P6",COUNTIF($F$180:$AI$180,"P6")*ROWS($D$183:$D$206),0)),"")</f>
        <v>0.86660494565217294</v>
      </c>
    </row>
    <row r="185" spans="1:44" ht="14.25" customHeight="1" x14ac:dyDescent="0.35">
      <c r="A185" s="1" t="s">
        <v>7</v>
      </c>
      <c r="B185" s="1" t="s">
        <v>7</v>
      </c>
      <c r="C185" s="1" t="s">
        <v>15</v>
      </c>
      <c r="D185" s="1" t="s">
        <v>7</v>
      </c>
      <c r="E185" s="1" t="s">
        <v>10</v>
      </c>
      <c r="F185" s="1">
        <v>0.94838999999999996</v>
      </c>
      <c r="G185" s="1">
        <v>0.87939999999999996</v>
      </c>
      <c r="H185" s="1">
        <v>0.8609</v>
      </c>
      <c r="I185" s="1">
        <v>0.86775000000000002</v>
      </c>
      <c r="J185" s="1">
        <v>0.85716000000000003</v>
      </c>
      <c r="K185" s="1">
        <v>0.88614000000000004</v>
      </c>
      <c r="L185" s="1">
        <v>0.96257000000000004</v>
      </c>
      <c r="M185" s="1">
        <v>0.94838999999999996</v>
      </c>
      <c r="N185" s="1">
        <v>0.87939999999999996</v>
      </c>
      <c r="O185" s="1">
        <v>0.8609</v>
      </c>
      <c r="P185" s="1">
        <v>0.86775000000000002</v>
      </c>
      <c r="Q185" s="1">
        <v>0.85716000000000003</v>
      </c>
      <c r="R185" s="1">
        <v>0.88614000000000004</v>
      </c>
      <c r="S185" s="1">
        <v>0.96257000000000004</v>
      </c>
      <c r="T185" s="1">
        <v>0.94838999999999996</v>
      </c>
      <c r="U185" s="1">
        <v>0.87939999999999996</v>
      </c>
      <c r="V185" s="1">
        <v>0.8609</v>
      </c>
      <c r="W185" s="1">
        <v>0.86775000000000002</v>
      </c>
      <c r="X185" s="1">
        <v>0.85716000000000003</v>
      </c>
      <c r="Y185" s="1">
        <v>0.88614000000000004</v>
      </c>
      <c r="Z185" s="1">
        <v>0.96257000000000004</v>
      </c>
      <c r="AA185" s="1">
        <v>0.94838999999999996</v>
      </c>
      <c r="AB185" s="1">
        <v>0.87939999999999996</v>
      </c>
      <c r="AC185" s="1">
        <v>0.8609</v>
      </c>
      <c r="AD185" s="1">
        <v>0.86775000000000002</v>
      </c>
      <c r="AE185" s="1">
        <v>0.85716000000000003</v>
      </c>
      <c r="AF185" s="1">
        <v>0.88614000000000004</v>
      </c>
      <c r="AG185" s="1">
        <v>0.96257000000000004</v>
      </c>
      <c r="AH185" s="1">
        <v>0.94838999999999996</v>
      </c>
      <c r="AI185" s="1">
        <v>0.87939999999999996</v>
      </c>
      <c r="AL185" s="4" t="s">
        <v>25</v>
      </c>
      <c r="AM185" s="6" t="str" cm="1">
        <f t="array" ref="AM185">IFERROR((SUMPRODUCT(($D$183:$D$206=AM$181)*($F$180:$AI$180="")*$F$183:$AI$206)+IF(AM$181="P6",SUMPRODUCT(($F$180:$AI$180="P6")*$F$183:$AI$206),0))/(SUMPRODUCT(($D$183:$D$206=AM$181)*($F$180:$AI$180=""))+IF(AM$181="P6",COUNTIF($F$180:$AI$180,"P6")*ROWS($D$183:$D$206),0)),"")</f>
        <v/>
      </c>
      <c r="AN185" s="6" t="str" cm="1">
        <f t="array" ref="AN185">IFERROR((SUMPRODUCT(($D$183:$D$206=AN$181)*($F$180:$AI$180="")*$F$183:$AI$206)+IF(AN$181="P6",SUMPRODUCT(($F$180:$AI$180="P6")*$F$183:$AI$206),0))/(SUMPRODUCT(($D$183:$D$206=AN$181)*($F$180:$AI$180=""))+IF(AN$181="P6",COUNTIF($F$180:$AI$180,"P6")*ROWS($D$183:$D$206),0)),"")</f>
        <v/>
      </c>
      <c r="AO185" s="5" cm="1">
        <f t="array" ref="AO185">IFERROR((SUMPRODUCT(($D$183:$D$206=AO$181)*($F$180:$AI$180="")*$F$183:$AI$206)+IF(AO$181="P6",SUMPRODUCT(($F$180:$AI$180="P6")*$F$183:$AI$206),0))/(SUMPRODUCT(($D$183:$D$206=AO$181)*($F$180:$AI$180=""))+IF(AO$181="P6",COUNTIF($F$180:$AI$180,"P6")*ROWS($D$183:$D$206),0)),"")</f>
        <v>0.87623954545454619</v>
      </c>
      <c r="AP185" s="5" cm="1">
        <f t="array" ref="AP185">IFERROR((SUMPRODUCT(($D$183:$D$206=AP$181)*($F$180:$AI$180="")*$F$183:$AI$206)+IF(AP$181="P6",SUMPRODUCT(($F$180:$AI$180="P6")*$F$183:$AI$206),0))/(SUMPRODUCT(($D$183:$D$206=AP$181)*($F$180:$AI$180=""))+IF(AP$181="P6",COUNTIF($F$180:$AI$180,"P6")*ROWS($D$183:$D$206),0)),"")</f>
        <v>0.8948416233766241</v>
      </c>
      <c r="AQ185" s="5" t="str" cm="1">
        <f t="array" ref="AQ185">IFERROR((SUMPRODUCT(($D$183:$D$206=AQ$181)*($F$180:$AI$180="")*$F$183:$AI$206)+IF(AQ$181="P6",SUMPRODUCT(($F$180:$AI$180="P6")*$F$183:$AI$206),0))/(SUMPRODUCT(($D$183:$D$206=AQ$181)*($F$180:$AI$180=""))+IF(AQ$181="P6",COUNTIF($F$180:$AI$180,"P6")*ROWS($D$183:$D$206),0)),"")</f>
        <v/>
      </c>
      <c r="AR185" s="6" cm="1">
        <f t="array" ref="AR185">IFERROR((SUMPRODUCT(($D$183:$D$206=AR$181)*($F$180:$AI$180="")*$F$183:$AI$206)+IF(AR$181="P6",SUMPRODUCT(($F$180:$AI$180="P6")*$F$183:$AI$206),0))/(SUMPRODUCT(($D$183:$D$206=AR$181)*($F$180:$AI$180=""))+IF(AR$181="P6",COUNTIF($F$180:$AI$180,"P6")*ROWS($D$183:$D$206),0)),"")</f>
        <v>0.86660494565217294</v>
      </c>
    </row>
    <row r="186" spans="1:44" ht="14.25" customHeight="1" x14ac:dyDescent="0.35">
      <c r="A186" s="1" t="s">
        <v>7</v>
      </c>
      <c r="B186" s="1" t="s">
        <v>7</v>
      </c>
      <c r="C186" s="1" t="s">
        <v>15</v>
      </c>
      <c r="D186" s="1" t="s">
        <v>7</v>
      </c>
      <c r="E186" s="1" t="s">
        <v>11</v>
      </c>
      <c r="F186" s="1">
        <v>0.95804</v>
      </c>
      <c r="G186" s="1">
        <v>0.87634999999999996</v>
      </c>
      <c r="H186" s="1">
        <v>0.86353000000000002</v>
      </c>
      <c r="I186" s="1">
        <v>0.87234</v>
      </c>
      <c r="J186" s="1">
        <v>0.85757000000000005</v>
      </c>
      <c r="K186" s="1">
        <v>0.89207000000000003</v>
      </c>
      <c r="L186" s="1">
        <v>0.96443000000000001</v>
      </c>
      <c r="M186" s="1">
        <v>0.95804</v>
      </c>
      <c r="N186" s="1">
        <v>0.87634999999999996</v>
      </c>
      <c r="O186" s="1">
        <v>0.86353000000000002</v>
      </c>
      <c r="P186" s="1">
        <v>0.87234</v>
      </c>
      <c r="Q186" s="1">
        <v>0.85757000000000005</v>
      </c>
      <c r="R186" s="1">
        <v>0.89207000000000003</v>
      </c>
      <c r="S186" s="1">
        <v>0.96443000000000001</v>
      </c>
      <c r="T186" s="1">
        <v>0.95804</v>
      </c>
      <c r="U186" s="1">
        <v>0.87634999999999996</v>
      </c>
      <c r="V186" s="1">
        <v>0.86353000000000002</v>
      </c>
      <c r="W186" s="1">
        <v>0.87234</v>
      </c>
      <c r="X186" s="1">
        <v>0.85757000000000005</v>
      </c>
      <c r="Y186" s="1">
        <v>0.89207000000000003</v>
      </c>
      <c r="Z186" s="1">
        <v>0.96443000000000001</v>
      </c>
      <c r="AA186" s="1">
        <v>0.95804</v>
      </c>
      <c r="AB186" s="1">
        <v>0.87634999999999996</v>
      </c>
      <c r="AC186" s="1">
        <v>0.86353000000000002</v>
      </c>
      <c r="AD186" s="1">
        <v>0.87234</v>
      </c>
      <c r="AE186" s="1">
        <v>0.85757000000000005</v>
      </c>
      <c r="AF186" s="1">
        <v>0.89207000000000003</v>
      </c>
      <c r="AG186" s="1">
        <v>0.96443000000000001</v>
      </c>
      <c r="AH186" s="1">
        <v>0.95804</v>
      </c>
      <c r="AI186" s="1">
        <v>0.87634999999999996</v>
      </c>
      <c r="AL186" s="4" t="s">
        <v>27</v>
      </c>
      <c r="AM186" s="6" t="str" cm="1">
        <f t="array" ref="AM186">IFERROR((SUMPRODUCT(($D$183:$D$206=AM$181)*($F$180:$AI$180="")*$F$183:$AI$206)+IF(AM$181="P6",SUMPRODUCT(($F$180:$AI$180="P6")*$F$183:$AI$206),0))/(SUMPRODUCT(($D$183:$D$206=AM$181)*($F$180:$AI$180=""))+IF(AM$181="P6",COUNTIF($F$180:$AI$180,"P6")*ROWS($D$183:$D$206),0)),"")</f>
        <v/>
      </c>
      <c r="AN186" s="6" t="str" cm="1">
        <f t="array" ref="AN186">IFERROR((SUMPRODUCT(($D$183:$D$206=AN$181)*($F$180:$AI$180="")*$F$183:$AI$206)+IF(AN$181="P6",SUMPRODUCT(($F$180:$AI$180="P6")*$F$183:$AI$206),0))/(SUMPRODUCT(($D$183:$D$206=AN$181)*($F$180:$AI$180=""))+IF(AN$181="P6",COUNTIF($F$180:$AI$180,"P6")*ROWS($D$183:$D$206),0)),"")</f>
        <v/>
      </c>
      <c r="AO186" s="5" cm="1">
        <f t="array" ref="AO186">IFERROR((SUMPRODUCT(($D$183:$D$206=AO$181)*($F$180:$AI$180="")*$F$183:$AI$206)+IF(AO$181="P6",SUMPRODUCT(($F$180:$AI$180="P6")*$F$183:$AI$206),0))/(SUMPRODUCT(($D$183:$D$206=AO$181)*($F$180:$AI$180=""))+IF(AO$181="P6",COUNTIF($F$180:$AI$180,"P6")*ROWS($D$183:$D$206),0)),"")</f>
        <v>0.87623954545454619</v>
      </c>
      <c r="AP186" s="5" cm="1">
        <f t="array" ref="AP186">IFERROR((SUMPRODUCT(($D$183:$D$206=AP$181)*($F$180:$AI$180="")*$F$183:$AI$206)+IF(AP$181="P6",SUMPRODUCT(($F$180:$AI$180="P6")*$F$183:$AI$206),0))/(SUMPRODUCT(($D$183:$D$206=AP$181)*($F$180:$AI$180=""))+IF(AP$181="P6",COUNTIF($F$180:$AI$180,"P6")*ROWS($D$183:$D$206),0)),"")</f>
        <v>0.8948416233766241</v>
      </c>
      <c r="AQ186" s="5" t="str" cm="1">
        <f t="array" ref="AQ186">IFERROR((SUMPRODUCT(($D$183:$D$206=AQ$181)*($F$180:$AI$180="")*$F$183:$AI$206)+IF(AQ$181="P6",SUMPRODUCT(($F$180:$AI$180="P6")*$F$183:$AI$206),0))/(SUMPRODUCT(($D$183:$D$206=AQ$181)*($F$180:$AI$180=""))+IF(AQ$181="P6",COUNTIF($F$180:$AI$180,"P6")*ROWS($D$183:$D$206),0)),"")</f>
        <v/>
      </c>
      <c r="AR186" s="6" cm="1">
        <f t="array" ref="AR186">IFERROR((SUMPRODUCT(($D$183:$D$206=AR$181)*($F$180:$AI$180="")*$F$183:$AI$206)+IF(AR$181="P6",SUMPRODUCT(($F$180:$AI$180="P6")*$F$183:$AI$206),0))/(SUMPRODUCT(($D$183:$D$206=AR$181)*($F$180:$AI$180=""))+IF(AR$181="P6",COUNTIF($F$180:$AI$180,"P6")*ROWS($D$183:$D$206),0)),"")</f>
        <v>0.86660494565217294</v>
      </c>
    </row>
    <row r="187" spans="1:44" ht="14.25" customHeight="1" x14ac:dyDescent="0.35">
      <c r="A187" s="1" t="s">
        <v>7</v>
      </c>
      <c r="B187" s="1" t="s">
        <v>7</v>
      </c>
      <c r="C187" s="1" t="s">
        <v>15</v>
      </c>
      <c r="D187" s="1" t="s">
        <v>7</v>
      </c>
      <c r="E187" s="1" t="s">
        <v>12</v>
      </c>
      <c r="F187" s="1">
        <v>0.92903000000000002</v>
      </c>
      <c r="G187" s="1">
        <v>0.87783</v>
      </c>
      <c r="H187" s="1">
        <v>0.86316000000000004</v>
      </c>
      <c r="I187" s="1">
        <v>0.86924000000000001</v>
      </c>
      <c r="J187" s="1">
        <v>0.85150000000000003</v>
      </c>
      <c r="K187" s="1">
        <v>0.89009000000000005</v>
      </c>
      <c r="L187" s="1">
        <v>0.96497999999999995</v>
      </c>
      <c r="M187" s="1">
        <v>0.92903000000000002</v>
      </c>
      <c r="N187" s="1">
        <v>0.87783</v>
      </c>
      <c r="O187" s="1">
        <v>0.86316000000000004</v>
      </c>
      <c r="P187" s="1">
        <v>0.86924000000000001</v>
      </c>
      <c r="Q187" s="1">
        <v>0.85150000000000003</v>
      </c>
      <c r="R187" s="1">
        <v>0.89009000000000005</v>
      </c>
      <c r="S187" s="1">
        <v>0.96497999999999995</v>
      </c>
      <c r="T187" s="1">
        <v>0.92903000000000002</v>
      </c>
      <c r="U187" s="1">
        <v>0.87783</v>
      </c>
      <c r="V187" s="1">
        <v>0.86316000000000004</v>
      </c>
      <c r="W187" s="1">
        <v>0.86924000000000001</v>
      </c>
      <c r="X187" s="1">
        <v>0.85150000000000003</v>
      </c>
      <c r="Y187" s="1">
        <v>0.89009000000000005</v>
      </c>
      <c r="Z187" s="1">
        <v>0.96497999999999995</v>
      </c>
      <c r="AA187" s="1">
        <v>0.92903000000000002</v>
      </c>
      <c r="AB187" s="1">
        <v>0.87783</v>
      </c>
      <c r="AC187" s="1">
        <v>0.86316000000000004</v>
      </c>
      <c r="AD187" s="1">
        <v>0.86924000000000001</v>
      </c>
      <c r="AE187" s="1">
        <v>0.85150000000000003</v>
      </c>
      <c r="AF187" s="1">
        <v>0.89009000000000005</v>
      </c>
      <c r="AG187" s="1">
        <v>0.96497999999999995</v>
      </c>
      <c r="AH187" s="1">
        <v>0.92903000000000002</v>
      </c>
      <c r="AI187" s="1">
        <v>0.87783</v>
      </c>
      <c r="AL187" s="4" t="s">
        <v>29</v>
      </c>
      <c r="AM187" s="6" t="str" cm="1">
        <f t="array" ref="AM187">IFERROR((SUMPRODUCT(($D$183:$D$206=AM$181)*($F$180:$AI$180="")*$F$183:$AI$206)+IF(AM$181="P6",SUMPRODUCT(($F$180:$AI$180="P6")*$F$183:$AI$206),0))/(SUMPRODUCT(($D$183:$D$206=AM$181)*($F$180:$AI$180=""))+IF(AM$181="P6",COUNTIF($F$180:$AI$180,"P6")*ROWS($D$183:$D$206),0)),"")</f>
        <v/>
      </c>
      <c r="AN187" s="6" t="str" cm="1">
        <f t="array" ref="AN187">IFERROR((SUMPRODUCT(($D$183:$D$206=AN$181)*($F$180:$AI$180="")*$F$183:$AI$206)+IF(AN$181="P6",SUMPRODUCT(($F$180:$AI$180="P6")*$F$183:$AI$206),0))/(SUMPRODUCT(($D$183:$D$206=AN$181)*($F$180:$AI$180=""))+IF(AN$181="P6",COUNTIF($F$180:$AI$180,"P6")*ROWS($D$183:$D$206),0)),"")</f>
        <v/>
      </c>
      <c r="AO187" s="5" cm="1">
        <f t="array" ref="AO187">IFERROR((SUMPRODUCT(($D$183:$D$206=AO$181)*($F$180:$AI$180="")*$F$183:$AI$206)+IF(AO$181="P6",SUMPRODUCT(($F$180:$AI$180="P6")*$F$183:$AI$206),0))/(SUMPRODUCT(($D$183:$D$206=AO$181)*($F$180:$AI$180=""))+IF(AO$181="P6",COUNTIF($F$180:$AI$180,"P6")*ROWS($D$183:$D$206),0)),"")</f>
        <v>0.87623954545454619</v>
      </c>
      <c r="AP187" s="5" cm="1">
        <f t="array" ref="AP187">IFERROR((SUMPRODUCT(($D$183:$D$206=AP$181)*($F$180:$AI$180="")*$F$183:$AI$206)+IF(AP$181="P6",SUMPRODUCT(($F$180:$AI$180="P6")*$F$183:$AI$206),0))/(SUMPRODUCT(($D$183:$D$206=AP$181)*($F$180:$AI$180=""))+IF(AP$181="P6",COUNTIF($F$180:$AI$180,"P6")*ROWS($D$183:$D$206),0)),"")</f>
        <v>0.8948416233766241</v>
      </c>
      <c r="AQ187" s="5" t="str" cm="1">
        <f t="array" ref="AQ187">IFERROR((SUMPRODUCT(($D$183:$D$206=AQ$181)*($F$180:$AI$180="")*$F$183:$AI$206)+IF(AQ$181="P6",SUMPRODUCT(($F$180:$AI$180="P6")*$F$183:$AI$206),0))/(SUMPRODUCT(($D$183:$D$206=AQ$181)*($F$180:$AI$180=""))+IF(AQ$181="P6",COUNTIF($F$180:$AI$180,"P6")*ROWS($D$183:$D$206),0)),"")</f>
        <v/>
      </c>
      <c r="AR187" s="6" cm="1">
        <f t="array" ref="AR187">IFERROR((SUMPRODUCT(($D$183:$D$206=AR$181)*($F$180:$AI$180="")*$F$183:$AI$206)+IF(AR$181="P6",SUMPRODUCT(($F$180:$AI$180="P6")*$F$183:$AI$206),0))/(SUMPRODUCT(($D$183:$D$206=AR$181)*($F$180:$AI$180=""))+IF(AR$181="P6",COUNTIF($F$180:$AI$180,"P6")*ROWS($D$183:$D$206),0)),"")</f>
        <v>0.86660494565217294</v>
      </c>
    </row>
    <row r="188" spans="1:44" ht="14.25" customHeight="1" x14ac:dyDescent="0.35">
      <c r="A188" s="1" t="s">
        <v>7</v>
      </c>
      <c r="B188" s="1" t="s">
        <v>7</v>
      </c>
      <c r="C188" s="1" t="s">
        <v>15</v>
      </c>
      <c r="D188" s="1" t="s">
        <v>7</v>
      </c>
      <c r="E188" s="1" t="s">
        <v>18</v>
      </c>
      <c r="F188" s="1">
        <v>0.90432000000000001</v>
      </c>
      <c r="G188" s="1">
        <v>0.86736999999999997</v>
      </c>
      <c r="H188" s="1">
        <v>0.84711999999999998</v>
      </c>
      <c r="I188" s="1">
        <v>0.85374000000000005</v>
      </c>
      <c r="J188" s="1">
        <v>0.83996999999999999</v>
      </c>
      <c r="K188" s="1">
        <v>0.88599000000000006</v>
      </c>
      <c r="L188" s="1">
        <v>0.96074000000000004</v>
      </c>
      <c r="M188" s="1">
        <v>0.90432000000000001</v>
      </c>
      <c r="N188" s="1">
        <v>0.86736999999999997</v>
      </c>
      <c r="O188" s="1">
        <v>0.84711999999999998</v>
      </c>
      <c r="P188" s="1">
        <v>0.85374000000000005</v>
      </c>
      <c r="Q188" s="1">
        <v>0.83996999999999999</v>
      </c>
      <c r="R188" s="1">
        <v>0.88599000000000006</v>
      </c>
      <c r="S188" s="1">
        <v>0.96074000000000004</v>
      </c>
      <c r="T188" s="1">
        <v>0.90432000000000001</v>
      </c>
      <c r="U188" s="1">
        <v>0.86736999999999997</v>
      </c>
      <c r="V188" s="1">
        <v>0.84711999999999998</v>
      </c>
      <c r="W188" s="1">
        <v>0.85374000000000005</v>
      </c>
      <c r="X188" s="1">
        <v>0.83996999999999999</v>
      </c>
      <c r="Y188" s="1">
        <v>0.88599000000000006</v>
      </c>
      <c r="Z188" s="1">
        <v>0.96074000000000004</v>
      </c>
      <c r="AA188" s="1">
        <v>0.90432000000000001</v>
      </c>
      <c r="AB188" s="1">
        <v>0.86736999999999997</v>
      </c>
      <c r="AC188" s="1">
        <v>0.84711999999999998</v>
      </c>
      <c r="AD188" s="1">
        <v>0.85374000000000005</v>
      </c>
      <c r="AE188" s="1">
        <v>0.83996999999999999</v>
      </c>
      <c r="AF188" s="1">
        <v>0.88599000000000006</v>
      </c>
      <c r="AG188" s="1">
        <v>0.96074000000000004</v>
      </c>
      <c r="AH188" s="1">
        <v>0.90432000000000001</v>
      </c>
      <c r="AI188" s="1">
        <v>0.86736999999999997</v>
      </c>
      <c r="AL188" s="10"/>
      <c r="AM188" s="10"/>
      <c r="AN188" s="10"/>
      <c r="AO188" s="10"/>
      <c r="AP188" s="10"/>
      <c r="AQ188" s="10"/>
      <c r="AR188" s="10"/>
    </row>
    <row r="189" spans="1:44" ht="14.25" customHeight="1" x14ac:dyDescent="0.35">
      <c r="A189" s="1" t="s">
        <v>7</v>
      </c>
      <c r="B189" s="1" t="s">
        <v>7</v>
      </c>
      <c r="C189" s="1" t="s">
        <v>15</v>
      </c>
      <c r="D189" s="1" t="s">
        <v>7</v>
      </c>
      <c r="E189" s="1" t="s">
        <v>20</v>
      </c>
      <c r="F189" s="1">
        <v>0.85248999999999997</v>
      </c>
      <c r="G189" s="1">
        <v>0.83586000000000005</v>
      </c>
      <c r="H189" s="1">
        <v>0.81711</v>
      </c>
      <c r="I189" s="1">
        <v>0.83155999999999997</v>
      </c>
      <c r="J189" s="1">
        <v>0.81372</v>
      </c>
      <c r="K189" s="1">
        <v>0.88063999999999998</v>
      </c>
      <c r="L189" s="1">
        <v>0.96304999999999996</v>
      </c>
      <c r="M189" s="1">
        <v>0.85248999999999997</v>
      </c>
      <c r="N189" s="1">
        <v>0.83586000000000005</v>
      </c>
      <c r="O189" s="1">
        <v>0.81711</v>
      </c>
      <c r="P189" s="1">
        <v>0.83155999999999997</v>
      </c>
      <c r="Q189" s="1">
        <v>0.81372</v>
      </c>
      <c r="R189" s="1">
        <v>0.88063999999999998</v>
      </c>
      <c r="S189" s="1">
        <v>0.96304999999999996</v>
      </c>
      <c r="T189" s="1">
        <v>0.85248999999999997</v>
      </c>
      <c r="U189" s="1">
        <v>0.83586000000000005</v>
      </c>
      <c r="V189" s="1">
        <v>0.81711</v>
      </c>
      <c r="W189" s="1">
        <v>0.83155999999999997</v>
      </c>
      <c r="X189" s="1">
        <v>0.81372</v>
      </c>
      <c r="Y189" s="1">
        <v>0.88063999999999998</v>
      </c>
      <c r="Z189" s="1">
        <v>0.96304999999999996</v>
      </c>
      <c r="AA189" s="1">
        <v>0.85248999999999997</v>
      </c>
      <c r="AB189" s="1">
        <v>0.83586000000000005</v>
      </c>
      <c r="AC189" s="1">
        <v>0.81711</v>
      </c>
      <c r="AD189" s="1">
        <v>0.83155999999999997</v>
      </c>
      <c r="AE189" s="1">
        <v>0.81372</v>
      </c>
      <c r="AF189" s="1">
        <v>0.88063999999999998</v>
      </c>
      <c r="AG189" s="1">
        <v>0.96304999999999996</v>
      </c>
      <c r="AH189" s="1">
        <v>0.85248999999999997</v>
      </c>
      <c r="AI189" s="1">
        <v>0.83586000000000005</v>
      </c>
      <c r="AL189" s="10"/>
      <c r="AM189" s="10"/>
      <c r="AN189" s="10"/>
      <c r="AO189" s="10"/>
      <c r="AP189" s="10"/>
      <c r="AQ189" s="10"/>
      <c r="AR189" s="10"/>
    </row>
    <row r="190" spans="1:44" ht="14.25" customHeight="1" x14ac:dyDescent="0.35">
      <c r="A190" s="1" t="s">
        <v>7</v>
      </c>
      <c r="B190" s="1" t="s">
        <v>7</v>
      </c>
      <c r="C190" s="1" t="s">
        <v>15</v>
      </c>
      <c r="D190" s="1" t="s">
        <v>7</v>
      </c>
      <c r="E190" s="1" t="s">
        <v>22</v>
      </c>
      <c r="F190" s="1">
        <v>0.78544000000000003</v>
      </c>
      <c r="G190" s="1">
        <v>0.78322000000000003</v>
      </c>
      <c r="H190" s="1">
        <v>0.76985000000000003</v>
      </c>
      <c r="I190" s="1">
        <v>0.76719999999999999</v>
      </c>
      <c r="J190" s="1">
        <v>0.76339999999999997</v>
      </c>
      <c r="K190" s="1">
        <v>0.86143999999999998</v>
      </c>
      <c r="L190" s="1">
        <v>0.94574000000000003</v>
      </c>
      <c r="M190" s="1">
        <v>0.78544000000000003</v>
      </c>
      <c r="N190" s="1">
        <v>0.78322000000000003</v>
      </c>
      <c r="O190" s="1">
        <v>0.76985000000000003</v>
      </c>
      <c r="P190" s="1">
        <v>0.76719999999999999</v>
      </c>
      <c r="Q190" s="1">
        <v>0.76339999999999997</v>
      </c>
      <c r="R190" s="1">
        <v>0.86143999999999998</v>
      </c>
      <c r="S190" s="1">
        <v>0.94574000000000003</v>
      </c>
      <c r="T190" s="1">
        <v>0.78544000000000003</v>
      </c>
      <c r="U190" s="1">
        <v>0.78322000000000003</v>
      </c>
      <c r="V190" s="1">
        <v>0.76985000000000003</v>
      </c>
      <c r="W190" s="1">
        <v>0.76719999999999999</v>
      </c>
      <c r="X190" s="1">
        <v>0.76339999999999997</v>
      </c>
      <c r="Y190" s="1">
        <v>0.86143999999999998</v>
      </c>
      <c r="Z190" s="1">
        <v>0.94574000000000003</v>
      </c>
      <c r="AA190" s="1">
        <v>0.78544000000000003</v>
      </c>
      <c r="AB190" s="1">
        <v>0.78322000000000003</v>
      </c>
      <c r="AC190" s="1">
        <v>0.76985000000000003</v>
      </c>
      <c r="AD190" s="1">
        <v>0.76719999999999999</v>
      </c>
      <c r="AE190" s="1">
        <v>0.76339999999999997</v>
      </c>
      <c r="AF190" s="1">
        <v>0.86143999999999998</v>
      </c>
      <c r="AG190" s="1">
        <v>0.94574000000000003</v>
      </c>
      <c r="AH190" s="1">
        <v>0.78544000000000003</v>
      </c>
      <c r="AI190" s="1">
        <v>0.78322000000000003</v>
      </c>
      <c r="AL190" s="14" t="s">
        <v>132</v>
      </c>
      <c r="AM190" s="14"/>
      <c r="AN190" s="14"/>
      <c r="AO190" s="14"/>
      <c r="AP190" s="14"/>
      <c r="AQ190" s="14"/>
      <c r="AR190" s="14"/>
    </row>
    <row r="191" spans="1:44" ht="14.25" customHeight="1" x14ac:dyDescent="0.35">
      <c r="A191" s="1" t="s">
        <v>17</v>
      </c>
      <c r="B191" s="1" t="s">
        <v>14</v>
      </c>
      <c r="C191" s="1" t="s">
        <v>14</v>
      </c>
      <c r="D191" s="1" t="s">
        <v>16</v>
      </c>
      <c r="E191" s="1" t="s">
        <v>24</v>
      </c>
      <c r="F191" s="1">
        <v>0.82552000000000003</v>
      </c>
      <c r="G191" s="1">
        <v>0.81516</v>
      </c>
      <c r="H191" s="1">
        <v>0.80464000000000002</v>
      </c>
      <c r="I191" s="1">
        <v>0.81916</v>
      </c>
      <c r="J191" s="1">
        <v>0.81945999999999997</v>
      </c>
      <c r="K191" s="1">
        <v>0.81074000000000002</v>
      </c>
      <c r="L191" s="1">
        <v>0.87580999999999998</v>
      </c>
      <c r="M191" s="1">
        <v>0.82552000000000003</v>
      </c>
      <c r="N191" s="1">
        <v>0.81516</v>
      </c>
      <c r="O191" s="1">
        <v>0.80464000000000002</v>
      </c>
      <c r="P191" s="1">
        <v>0.81916</v>
      </c>
      <c r="Q191" s="1">
        <v>0.81945999999999997</v>
      </c>
      <c r="R191" s="1">
        <v>0.81074000000000002</v>
      </c>
      <c r="S191" s="1">
        <v>0.87580999999999998</v>
      </c>
      <c r="T191" s="1">
        <v>0.82552000000000003</v>
      </c>
      <c r="U191" s="1">
        <v>0.81516</v>
      </c>
      <c r="V191" s="1">
        <v>0.80464000000000002</v>
      </c>
      <c r="W191" s="1">
        <v>0.81916</v>
      </c>
      <c r="X191" s="1">
        <v>0.81945999999999997</v>
      </c>
      <c r="Y191" s="1">
        <v>0.81074000000000002</v>
      </c>
      <c r="Z191" s="1">
        <v>0.87580999999999998</v>
      </c>
      <c r="AA191" s="1">
        <v>0.82552000000000003</v>
      </c>
      <c r="AB191" s="1">
        <v>0.81516</v>
      </c>
      <c r="AC191" s="1">
        <v>0.80464000000000002</v>
      </c>
      <c r="AD191" s="1">
        <v>0.81916</v>
      </c>
      <c r="AE191" s="1">
        <v>0.81945999999999997</v>
      </c>
      <c r="AF191" s="1">
        <v>0.81074000000000002</v>
      </c>
      <c r="AG191" s="1">
        <v>0.87580999999999998</v>
      </c>
      <c r="AH191" s="1">
        <v>0.82552000000000003</v>
      </c>
      <c r="AI191" s="1">
        <v>0.81516</v>
      </c>
      <c r="AL191" s="4"/>
      <c r="AM191" s="4" t="s">
        <v>13</v>
      </c>
      <c r="AN191" s="4" t="s">
        <v>14</v>
      </c>
      <c r="AO191" s="4" t="s">
        <v>15</v>
      </c>
      <c r="AP191" s="4" t="s">
        <v>16</v>
      </c>
      <c r="AQ191" s="4" t="s">
        <v>17</v>
      </c>
      <c r="AR191" s="4" t="s">
        <v>7</v>
      </c>
    </row>
    <row r="192" spans="1:44" ht="14.25" customHeight="1" x14ac:dyDescent="0.35">
      <c r="A192" s="1" t="s">
        <v>17</v>
      </c>
      <c r="B192" s="1" t="s">
        <v>14</v>
      </c>
      <c r="C192" s="1" t="s">
        <v>14</v>
      </c>
      <c r="D192" s="1" t="s">
        <v>15</v>
      </c>
      <c r="E192" s="1" t="s">
        <v>26</v>
      </c>
      <c r="F192" s="1">
        <v>0.82557000000000003</v>
      </c>
      <c r="G192" s="1">
        <v>0.78396999999999994</v>
      </c>
      <c r="H192" s="1">
        <v>0.80069000000000001</v>
      </c>
      <c r="I192" s="1">
        <v>0.84250000000000003</v>
      </c>
      <c r="J192" s="1">
        <v>0.85023000000000004</v>
      </c>
      <c r="K192" s="1">
        <v>0.82194</v>
      </c>
      <c r="L192" s="1">
        <v>0.84548999999999996</v>
      </c>
      <c r="M192" s="1">
        <v>0.82557000000000003</v>
      </c>
      <c r="N192" s="1">
        <v>0.78396999999999994</v>
      </c>
      <c r="O192" s="1">
        <v>0.80069000000000001</v>
      </c>
      <c r="P192" s="1">
        <v>0.84250000000000003</v>
      </c>
      <c r="Q192" s="1">
        <v>0.85023000000000004</v>
      </c>
      <c r="R192" s="1">
        <v>0.82194</v>
      </c>
      <c r="S192" s="1">
        <v>0.84548999999999996</v>
      </c>
      <c r="T192" s="1">
        <v>0.82557000000000003</v>
      </c>
      <c r="U192" s="1">
        <v>0.78396999999999994</v>
      </c>
      <c r="V192" s="1">
        <v>0.80069000000000001</v>
      </c>
      <c r="W192" s="1">
        <v>0.84250000000000003</v>
      </c>
      <c r="X192" s="1">
        <v>0.85023000000000004</v>
      </c>
      <c r="Y192" s="1">
        <v>0.82194</v>
      </c>
      <c r="Z192" s="1">
        <v>0.84548999999999996</v>
      </c>
      <c r="AA192" s="1">
        <v>0.82557000000000003</v>
      </c>
      <c r="AB192" s="1">
        <v>0.78396999999999994</v>
      </c>
      <c r="AC192" s="1">
        <v>0.80069000000000001</v>
      </c>
      <c r="AD192" s="1">
        <v>0.84250000000000003</v>
      </c>
      <c r="AE192" s="1">
        <v>0.85023000000000004</v>
      </c>
      <c r="AF192" s="1">
        <v>0.82194</v>
      </c>
      <c r="AG192" s="1">
        <v>0.84548999999999996</v>
      </c>
      <c r="AH192" s="1">
        <v>0.82557000000000003</v>
      </c>
      <c r="AI192" s="1">
        <v>0.78396999999999994</v>
      </c>
      <c r="AL192" s="4" t="s">
        <v>19</v>
      </c>
      <c r="AM192" s="6" cm="1">
        <f t="array" ref="AM192">IFERROR((SUMPRODUCT(($C$183:$C$206=AM$181)*($F$179:$AI$179="")*$F$183:$AI$206)+IF(AM$181="P3",SUMPRODUCT(($F$179:$AI$179="P3")*$F$183:$AI$206),0))/(SUMPRODUCT(($C$183:$C$206=AM$181)*($F$179:$AI$179=""))+IF(AM$181="P3",COUNTIF($F$179:$AI$179,"P3")*ROWS($C$183:$C$206),0)),"")</f>
        <v>0.88337528409091026</v>
      </c>
      <c r="AN192" s="6" cm="1">
        <f t="array" ref="AN192">IFERROR((SUMPRODUCT(($C$183:$C$206=AN$181)*($F$179:$AI$179="")*$F$183:$AI$206)+IF(AN$181="P3",SUMPRODUCT(($F$179:$AI$179="P3")*$F$183:$AI$206),0))/(SUMPRODUCT(($C$183:$C$206=AN$181)*($F$179:$AI$179=""))+IF(AN$181="P3",COUNTIF($F$179:$AI$179,"P3")*ROWS($C$183:$C$206),0)),"")</f>
        <v>0.88538062500000059</v>
      </c>
      <c r="AO192" s="6" cm="1">
        <f t="array" ref="AO192">IFERROR((SUMPRODUCT(($C$183:$C$206=AO$181)*($F$179:$AI$179="")*$F$183:$AI$206)+IF(AO$181="P3",SUMPRODUCT(($F$179:$AI$179="P3")*$F$183:$AI$206),0))/(SUMPRODUCT(($C$183:$C$206=AO$181)*($F$179:$AI$179=""))+IF(AO$181="P3",COUNTIF($F$179:$AI$179,"P3")*ROWS($C$183:$C$206),0)),"")</f>
        <v>0.86660494565217294</v>
      </c>
      <c r="AP192" s="6" t="str" cm="1">
        <f t="array" ref="AP192">IFERROR((SUMPRODUCT(($C$183:$C$206=AP$181)*($F$179:$AI$179="")*$F$183:$AI$206)+IF(AP$181="P3",SUMPRODUCT(($F$179:$AI$179="P3")*$F$183:$AI$206),0))/(SUMPRODUCT(($C$183:$C$206=AP$181)*($F$179:$AI$179=""))+IF(AP$181="P3",COUNTIF($F$179:$AI$179,"P3")*ROWS($C$183:$C$206),0)),"")</f>
        <v/>
      </c>
      <c r="AQ192" s="6" t="str" cm="1">
        <f t="array" ref="AQ192">IFERROR((SUMPRODUCT(($C$183:$C$206=AQ$181)*($F$179:$AI$179="")*$F$183:$AI$206)+IF(AQ$181="P3",SUMPRODUCT(($F$179:$AI$179="P3")*$F$183:$AI$206),0))/(SUMPRODUCT(($C$183:$C$206=AQ$181)*($F$179:$AI$179=""))+IF(AQ$181="P3",COUNTIF($F$179:$AI$179,"P3")*ROWS($C$183:$C$206),0)),"")</f>
        <v/>
      </c>
      <c r="AR192" s="6" t="str" cm="1">
        <f t="array" ref="AR192">IFERROR((SUMPRODUCT(($C$183:$C$206=AR$181)*($F$179:$AI$179="")*$F$183:$AI$206)+IF(AR$181="P3",SUMPRODUCT(($F$179:$AI$179="P3")*$F$183:$AI$206),0))/(SUMPRODUCT(($C$183:$C$206=AR$181)*($F$179:$AI$179=""))+IF(AR$181="P3",COUNTIF($F$179:$AI$179,"P3")*ROWS($C$183:$C$206),0)),"")</f>
        <v/>
      </c>
    </row>
    <row r="193" spans="1:44" ht="14.25" customHeight="1" x14ac:dyDescent="0.35">
      <c r="A193" s="1" t="s">
        <v>16</v>
      </c>
      <c r="B193" s="1" t="s">
        <v>13</v>
      </c>
      <c r="C193" s="1" t="s">
        <v>13</v>
      </c>
      <c r="D193" s="1" t="s">
        <v>15</v>
      </c>
      <c r="E193" s="1" t="s">
        <v>28</v>
      </c>
      <c r="F193" s="1">
        <v>0.84184999999999999</v>
      </c>
      <c r="G193" s="1">
        <v>0.78766000000000003</v>
      </c>
      <c r="H193" s="1">
        <v>0.82806000000000002</v>
      </c>
      <c r="I193" s="1">
        <v>0.84963</v>
      </c>
      <c r="J193" s="1">
        <v>0.87680999999999998</v>
      </c>
      <c r="K193" s="1">
        <v>0.84167000000000003</v>
      </c>
      <c r="L193" s="1">
        <v>0.83655999999999997</v>
      </c>
      <c r="M193" s="1">
        <v>0.84184999999999999</v>
      </c>
      <c r="N193" s="1">
        <v>0.78766000000000003</v>
      </c>
      <c r="O193" s="1">
        <v>0.82806000000000002</v>
      </c>
      <c r="P193" s="1">
        <v>0.84963</v>
      </c>
      <c r="Q193" s="1">
        <v>0.87680999999999998</v>
      </c>
      <c r="R193" s="1">
        <v>0.84167000000000003</v>
      </c>
      <c r="S193" s="1">
        <v>0.83655999999999997</v>
      </c>
      <c r="T193" s="1">
        <v>0.84184999999999999</v>
      </c>
      <c r="U193" s="1">
        <v>0.78766000000000003</v>
      </c>
      <c r="V193" s="1">
        <v>0.82806000000000002</v>
      </c>
      <c r="W193" s="1">
        <v>0.84963</v>
      </c>
      <c r="X193" s="1">
        <v>0.87680999999999998</v>
      </c>
      <c r="Y193" s="1">
        <v>0.84167000000000003</v>
      </c>
      <c r="Z193" s="1">
        <v>0.83655999999999997</v>
      </c>
      <c r="AA193" s="1">
        <v>0.84184999999999999</v>
      </c>
      <c r="AB193" s="1">
        <v>0.78766000000000003</v>
      </c>
      <c r="AC193" s="1">
        <v>0.82806000000000002</v>
      </c>
      <c r="AD193" s="1">
        <v>0.84963</v>
      </c>
      <c r="AE193" s="1">
        <v>0.87680999999999998</v>
      </c>
      <c r="AF193" s="1">
        <v>0.84167000000000003</v>
      </c>
      <c r="AG193" s="1">
        <v>0.83655999999999997</v>
      </c>
      <c r="AH193" s="1">
        <v>0.84184999999999999</v>
      </c>
      <c r="AI193" s="1">
        <v>0.78766000000000003</v>
      </c>
      <c r="AL193" s="4" t="s">
        <v>21</v>
      </c>
      <c r="AM193" s="6" t="str" cm="1">
        <f t="array" ref="AM193">IFERROR((SUMPRODUCT(($A$183:$A$206=AM$181)*($F$180:$AI$180="")*$F$183:$AI$206)+IF(AM$181="P6",SUMPRODUCT(($F$180:$AI$180="P6")*$F$183:$AI$206),0))/(SUMPRODUCT(($A$183:$A$206=AM$181)*($F$180:$AI$180=""))+IF(AM$181="P6",COUNTIF($F$180:$AI$180,"P6")*ROWS($A$183:$A$206),0)),"")</f>
        <v/>
      </c>
      <c r="AN193" s="6" t="str" cm="1">
        <f t="array" ref="AN193">IFERROR((SUMPRODUCT(($A$183:$A$206=AN$181)*($F$180:$AI$180="")*$F$183:$AI$206)+IF(AN$181="P6",SUMPRODUCT(($F$180:$AI$180="P6")*$F$183:$AI$206),0))/(SUMPRODUCT(($A$183:$A$206=AN$181)*($F$180:$AI$180=""))+IF(AN$181="P6",COUNTIF($F$180:$AI$180,"P6")*ROWS($A$183:$A$206),0)),"")</f>
        <v/>
      </c>
      <c r="AO193" s="6" t="str" cm="1">
        <f t="array" ref="AO193">IFERROR((SUMPRODUCT(($A$183:$A$206=AO$181)*($F$180:$AI$180="")*$F$183:$AI$206)+IF(AO$181="P6",SUMPRODUCT(($F$180:$AI$180="P6")*$F$183:$AI$206),0))/(SUMPRODUCT(($A$183:$A$206=AO$181)*($F$180:$AI$180=""))+IF(AO$181="P6",COUNTIF($F$180:$AI$180,"P6")*ROWS($A$183:$A$206),0)),"")</f>
        <v/>
      </c>
      <c r="AP193" s="6" cm="1">
        <f t="array" ref="AP193">IFERROR((SUMPRODUCT(($A$183:$A$206=AP$181)*($F$180:$AI$180="")*$F$183:$AI$206)+IF(AP$181="P6",SUMPRODUCT(($F$180:$AI$180="P6")*$F$183:$AI$206),0))/(SUMPRODUCT(($A$183:$A$206=AP$181)*($F$180:$AI$180=""))+IF(AP$181="P6",COUNTIF($F$180:$AI$180,"P6")*ROWS($A$183:$A$206),0)),"")</f>
        <v>0.88059752525252577</v>
      </c>
      <c r="AQ193" s="6" cm="1">
        <f t="array" ref="AQ193">IFERROR((SUMPRODUCT(($A$183:$A$206=AQ$181)*($F$180:$AI$180="")*$F$183:$AI$206)+IF(AQ$181="P6",SUMPRODUCT(($F$180:$AI$180="P6")*$F$183:$AI$206),0))/(SUMPRODUCT(($A$183:$A$206=AQ$181)*($F$180:$AI$180=""))+IF(AQ$181="P6",COUNTIF($F$180:$AI$180,"P6")*ROWS($A$183:$A$206),0)),"")</f>
        <v>0.88923850649350711</v>
      </c>
      <c r="AR193" s="6" cm="1">
        <f t="array" ref="AR193">IFERROR((SUMPRODUCT(($A$183:$A$206=AR$181)*($F$180:$AI$180="")*$F$183:$AI$206)+IF(AR$181="P6",SUMPRODUCT(($F$180:$AI$180="P6")*$F$183:$AI$206),0))/(SUMPRODUCT(($A$183:$A$206=AR$181)*($F$180:$AI$180=""))+IF(AR$181="P6",COUNTIF($F$180:$AI$180,"P6")*ROWS($A$183:$A$206),0)),"")</f>
        <v>0.86660494565217294</v>
      </c>
    </row>
    <row r="194" spans="1:44" ht="14.25" customHeight="1" x14ac:dyDescent="0.35">
      <c r="A194" s="1" t="s">
        <v>16</v>
      </c>
      <c r="B194" s="1" t="s">
        <v>13</v>
      </c>
      <c r="C194" s="1" t="s">
        <v>13</v>
      </c>
      <c r="D194" s="1" t="s">
        <v>15</v>
      </c>
      <c r="E194" s="1" t="s">
        <v>30</v>
      </c>
      <c r="F194" s="1">
        <v>0.85204999999999997</v>
      </c>
      <c r="G194" s="1">
        <v>0.81176000000000004</v>
      </c>
      <c r="H194" s="1">
        <v>0.84079999999999999</v>
      </c>
      <c r="I194" s="1">
        <v>0.86326999999999998</v>
      </c>
      <c r="J194" s="1">
        <v>0.89151999999999998</v>
      </c>
      <c r="K194" s="1">
        <v>0.82440999999999998</v>
      </c>
      <c r="L194" s="1">
        <v>0.81642999999999999</v>
      </c>
      <c r="M194" s="1">
        <v>0.85204999999999997</v>
      </c>
      <c r="N194" s="1">
        <v>0.81176000000000004</v>
      </c>
      <c r="O194" s="1">
        <v>0.84079999999999999</v>
      </c>
      <c r="P194" s="1">
        <v>0.86326999999999998</v>
      </c>
      <c r="Q194" s="1">
        <v>0.89151999999999998</v>
      </c>
      <c r="R194" s="1">
        <v>0.82440999999999998</v>
      </c>
      <c r="S194" s="1">
        <v>0.81642999999999999</v>
      </c>
      <c r="T194" s="1">
        <v>0.85204999999999997</v>
      </c>
      <c r="U194" s="1">
        <v>0.81176000000000004</v>
      </c>
      <c r="V194" s="1">
        <v>0.84079999999999999</v>
      </c>
      <c r="W194" s="1">
        <v>0.86326999999999998</v>
      </c>
      <c r="X194" s="1">
        <v>0.89151999999999998</v>
      </c>
      <c r="Y194" s="1">
        <v>0.82440999999999998</v>
      </c>
      <c r="Z194" s="1">
        <v>0.81642999999999999</v>
      </c>
      <c r="AA194" s="1">
        <v>0.85204999999999997</v>
      </c>
      <c r="AB194" s="1">
        <v>0.81176000000000004</v>
      </c>
      <c r="AC194" s="1">
        <v>0.84079999999999999</v>
      </c>
      <c r="AD194" s="1">
        <v>0.86326999999999998</v>
      </c>
      <c r="AE194" s="1">
        <v>0.89151999999999998</v>
      </c>
      <c r="AF194" s="1">
        <v>0.82440999999999998</v>
      </c>
      <c r="AG194" s="1">
        <v>0.81642999999999999</v>
      </c>
      <c r="AH194" s="1">
        <v>0.85204999999999997</v>
      </c>
      <c r="AI194" s="1">
        <v>0.81176000000000004</v>
      </c>
      <c r="AL194" s="4" t="s">
        <v>23</v>
      </c>
      <c r="AM194" s="6" t="str" cm="1">
        <f t="array" ref="AM194">IFERROR((SUMPRODUCT(($A$183:$A$206=AM$181)*($F$180:$AI$180="")*$F$183:$AI$206)+IF(AM$181="P6",SUMPRODUCT(($F$180:$AI$180="P6")*$F$183:$AI$206),0))/(SUMPRODUCT(($A$183:$A$206=AM$181)*($F$180:$AI$180=""))+IF(AM$181="P6",COUNTIF($F$180:$AI$180,"P6")*ROWS($A$183:$A$206),0)),"")</f>
        <v/>
      </c>
      <c r="AN194" s="6" t="str" cm="1">
        <f t="array" ref="AN194">IFERROR((SUMPRODUCT(($A$183:$A$206=AN$181)*($F$180:$AI$180="")*$F$183:$AI$206)+IF(AN$181="P6",SUMPRODUCT(($F$180:$AI$180="P6")*$F$183:$AI$206),0))/(SUMPRODUCT(($A$183:$A$206=AN$181)*($F$180:$AI$180=""))+IF(AN$181="P6",COUNTIF($F$180:$AI$180,"P6")*ROWS($A$183:$A$206),0)),"")</f>
        <v/>
      </c>
      <c r="AO194" s="6" t="str" cm="1">
        <f t="array" ref="AO194">IFERROR((SUMPRODUCT(($A$183:$A$206=AO$181)*($F$180:$AI$180="")*$F$183:$AI$206)+IF(AO$181="P6",SUMPRODUCT(($F$180:$AI$180="P6")*$F$183:$AI$206),0))/(SUMPRODUCT(($A$183:$A$206=AO$181)*($F$180:$AI$180=""))+IF(AO$181="P6",COUNTIF($F$180:$AI$180,"P6")*ROWS($A$183:$A$206),0)),"")</f>
        <v/>
      </c>
      <c r="AP194" s="6" cm="1">
        <f t="array" ref="AP194">IFERROR((SUMPRODUCT(($A$183:$A$206=AP$181)*($F$180:$AI$180="")*$F$183:$AI$206)+IF(AP$181="P6",SUMPRODUCT(($F$180:$AI$180="P6")*$F$183:$AI$206),0))/(SUMPRODUCT(($A$183:$A$206=AP$181)*($F$180:$AI$180=""))+IF(AP$181="P6",COUNTIF($F$180:$AI$180,"P6")*ROWS($A$183:$A$206),0)),"")</f>
        <v>0.88059752525252577</v>
      </c>
      <c r="AQ194" s="6" cm="1">
        <f t="array" ref="AQ194">IFERROR((SUMPRODUCT(($A$183:$A$206=AQ$181)*($F$180:$AI$180="")*$F$183:$AI$206)+IF(AQ$181="P6",SUMPRODUCT(($F$180:$AI$180="P6")*$F$183:$AI$206),0))/(SUMPRODUCT(($A$183:$A$206=AQ$181)*($F$180:$AI$180=""))+IF(AQ$181="P6",COUNTIF($F$180:$AI$180,"P6")*ROWS($A$183:$A$206),0)),"")</f>
        <v>0.88923850649350711</v>
      </c>
      <c r="AR194" s="6" cm="1">
        <f t="array" ref="AR194">IFERROR((SUMPRODUCT(($A$183:$A$206=AR$181)*($F$180:$AI$180="")*$F$183:$AI$206)+IF(AR$181="P6",SUMPRODUCT(($F$180:$AI$180="P6")*$F$183:$AI$206),0))/(SUMPRODUCT(($A$183:$A$206=AR$181)*($F$180:$AI$180=""))+IF(AR$181="P6",COUNTIF($F$180:$AI$180,"P6")*ROWS($A$183:$A$206),0)),"")</f>
        <v>0.86660494565217294</v>
      </c>
    </row>
    <row r="195" spans="1:44" ht="14.25" customHeight="1" x14ac:dyDescent="0.35">
      <c r="A195" s="1" t="s">
        <v>16</v>
      </c>
      <c r="B195" s="1" t="s">
        <v>13</v>
      </c>
      <c r="C195" s="1" t="s">
        <v>13</v>
      </c>
      <c r="D195" s="1" t="s">
        <v>15</v>
      </c>
      <c r="E195" s="1" t="s">
        <v>31</v>
      </c>
      <c r="F195" s="1">
        <v>0.84850000000000003</v>
      </c>
      <c r="G195" s="1">
        <v>0.81649000000000005</v>
      </c>
      <c r="H195" s="1">
        <v>0.87009000000000003</v>
      </c>
      <c r="I195" s="1">
        <v>0.85487000000000002</v>
      </c>
      <c r="J195" s="1">
        <v>0.87804000000000004</v>
      </c>
      <c r="K195" s="1">
        <v>0.79745999999999995</v>
      </c>
      <c r="L195" s="1">
        <v>0.79701999999999995</v>
      </c>
      <c r="M195" s="1">
        <v>0.84850000000000003</v>
      </c>
      <c r="N195" s="1">
        <v>0.81649000000000005</v>
      </c>
      <c r="O195" s="1">
        <v>0.87009000000000003</v>
      </c>
      <c r="P195" s="1">
        <v>0.85487000000000002</v>
      </c>
      <c r="Q195" s="1">
        <v>0.87804000000000004</v>
      </c>
      <c r="R195" s="1">
        <v>0.79745999999999995</v>
      </c>
      <c r="S195" s="1">
        <v>0.79701999999999995</v>
      </c>
      <c r="T195" s="1">
        <v>0.84850000000000003</v>
      </c>
      <c r="U195" s="1">
        <v>0.81649000000000005</v>
      </c>
      <c r="V195" s="1">
        <v>0.87009000000000003</v>
      </c>
      <c r="W195" s="1">
        <v>0.85487000000000002</v>
      </c>
      <c r="X195" s="1">
        <v>0.87804000000000004</v>
      </c>
      <c r="Y195" s="1">
        <v>0.79745999999999995</v>
      </c>
      <c r="Z195" s="1">
        <v>0.79701999999999995</v>
      </c>
      <c r="AA195" s="1">
        <v>0.84850000000000003</v>
      </c>
      <c r="AB195" s="1">
        <v>0.81649000000000005</v>
      </c>
      <c r="AC195" s="1">
        <v>0.87009000000000003</v>
      </c>
      <c r="AD195" s="1">
        <v>0.85487000000000002</v>
      </c>
      <c r="AE195" s="1">
        <v>0.87804000000000004</v>
      </c>
      <c r="AF195" s="1">
        <v>0.79745999999999995</v>
      </c>
      <c r="AG195" s="1">
        <v>0.79701999999999995</v>
      </c>
      <c r="AH195" s="1">
        <v>0.84850000000000003</v>
      </c>
      <c r="AI195" s="1">
        <v>0.81649000000000005</v>
      </c>
      <c r="AL195" s="4" t="s">
        <v>25</v>
      </c>
      <c r="AM195" s="6" t="str" cm="1">
        <f t="array" ref="AM195">IFERROR((SUMPRODUCT(($A$183:$A$206=AM$181)*($F$180:$AI$180="")*$F$183:$AI$206)+IF(AM$181="P6",SUMPRODUCT(($F$180:$AI$180="P6")*$F$183:$AI$206),0))/(SUMPRODUCT(($A$183:$A$206=AM$181)*($F$180:$AI$180=""))+IF(AM$181="P6",COUNTIF($F$180:$AI$180,"P6")*ROWS($A$183:$A$206),0)),"")</f>
        <v/>
      </c>
      <c r="AN195" s="6" t="str" cm="1">
        <f t="array" ref="AN195">IFERROR((SUMPRODUCT(($A$183:$A$206=AN$181)*($F$180:$AI$180="")*$F$183:$AI$206)+IF(AN$181="P6",SUMPRODUCT(($F$180:$AI$180="P6")*$F$183:$AI$206),0))/(SUMPRODUCT(($A$183:$A$206=AN$181)*($F$180:$AI$180=""))+IF(AN$181="P6",COUNTIF($F$180:$AI$180,"P6")*ROWS($A$183:$A$206),0)),"")</f>
        <v/>
      </c>
      <c r="AO195" s="6" t="str" cm="1">
        <f t="array" ref="AO195">IFERROR((SUMPRODUCT(($A$183:$A$206=AO$181)*($F$180:$AI$180="")*$F$183:$AI$206)+IF(AO$181="P6",SUMPRODUCT(($F$180:$AI$180="P6")*$F$183:$AI$206),0))/(SUMPRODUCT(($A$183:$A$206=AO$181)*($F$180:$AI$180=""))+IF(AO$181="P6",COUNTIF($F$180:$AI$180,"P6")*ROWS($A$183:$A$206),0)),"")</f>
        <v/>
      </c>
      <c r="AP195" s="6" cm="1">
        <f t="array" ref="AP195">IFERROR((SUMPRODUCT(($A$183:$A$206=AP$181)*($F$180:$AI$180="")*$F$183:$AI$206)+IF(AP$181="P6",SUMPRODUCT(($F$180:$AI$180="P6")*$F$183:$AI$206),0))/(SUMPRODUCT(($A$183:$A$206=AP$181)*($F$180:$AI$180=""))+IF(AP$181="P6",COUNTIF($F$180:$AI$180,"P6")*ROWS($A$183:$A$206),0)),"")</f>
        <v>0.88059752525252577</v>
      </c>
      <c r="AQ195" s="6" cm="1">
        <f t="array" ref="AQ195">IFERROR((SUMPRODUCT(($A$183:$A$206=AQ$181)*($F$180:$AI$180="")*$F$183:$AI$206)+IF(AQ$181="P6",SUMPRODUCT(($F$180:$AI$180="P6")*$F$183:$AI$206),0))/(SUMPRODUCT(($A$183:$A$206=AQ$181)*($F$180:$AI$180=""))+IF(AQ$181="P6",COUNTIF($F$180:$AI$180,"P6")*ROWS($A$183:$A$206),0)),"")</f>
        <v>0.88923850649350711</v>
      </c>
      <c r="AR195" s="6" cm="1">
        <f t="array" ref="AR195">IFERROR((SUMPRODUCT(($A$183:$A$206=AR$181)*($F$180:$AI$180="")*$F$183:$AI$206)+IF(AR$181="P6",SUMPRODUCT(($F$180:$AI$180="P6")*$F$183:$AI$206),0))/(SUMPRODUCT(($A$183:$A$206=AR$181)*($F$180:$AI$180=""))+IF(AR$181="P6",COUNTIF($F$180:$AI$180,"P6")*ROWS($A$183:$A$206),0)),"")</f>
        <v>0.86660494565217294</v>
      </c>
    </row>
    <row r="196" spans="1:44" ht="14.25" customHeight="1" x14ac:dyDescent="0.35">
      <c r="A196" s="1" t="s">
        <v>16</v>
      </c>
      <c r="B196" s="1" t="s">
        <v>13</v>
      </c>
      <c r="C196" s="1" t="s">
        <v>13</v>
      </c>
      <c r="D196" s="1" t="s">
        <v>15</v>
      </c>
      <c r="E196" s="1" t="s">
        <v>32</v>
      </c>
      <c r="F196" s="1">
        <v>0.84540999999999999</v>
      </c>
      <c r="G196" s="1">
        <v>0.81662999999999997</v>
      </c>
      <c r="H196" s="1">
        <v>0.85963000000000001</v>
      </c>
      <c r="I196" s="1">
        <v>0.84426000000000001</v>
      </c>
      <c r="J196" s="1">
        <v>0.86838000000000004</v>
      </c>
      <c r="K196" s="1">
        <v>0.78856999999999999</v>
      </c>
      <c r="L196" s="1">
        <v>0.77686999999999995</v>
      </c>
      <c r="M196" s="1">
        <v>0.84540999999999999</v>
      </c>
      <c r="N196" s="1">
        <v>0.81662999999999997</v>
      </c>
      <c r="O196" s="1">
        <v>0.85963000000000001</v>
      </c>
      <c r="P196" s="1">
        <v>0.84426000000000001</v>
      </c>
      <c r="Q196" s="1">
        <v>0.86838000000000004</v>
      </c>
      <c r="R196" s="1">
        <v>0.78856999999999999</v>
      </c>
      <c r="S196" s="1">
        <v>0.77686999999999995</v>
      </c>
      <c r="T196" s="1">
        <v>0.84540999999999999</v>
      </c>
      <c r="U196" s="1">
        <v>0.81662999999999997</v>
      </c>
      <c r="V196" s="1">
        <v>0.85963000000000001</v>
      </c>
      <c r="W196" s="1">
        <v>0.84426000000000001</v>
      </c>
      <c r="X196" s="1">
        <v>0.86838000000000004</v>
      </c>
      <c r="Y196" s="1">
        <v>0.78856999999999999</v>
      </c>
      <c r="Z196" s="1">
        <v>0.77686999999999995</v>
      </c>
      <c r="AA196" s="1">
        <v>0.84540999999999999</v>
      </c>
      <c r="AB196" s="1">
        <v>0.81662999999999997</v>
      </c>
      <c r="AC196" s="1">
        <v>0.85963000000000001</v>
      </c>
      <c r="AD196" s="1">
        <v>0.84426000000000001</v>
      </c>
      <c r="AE196" s="1">
        <v>0.86838000000000004</v>
      </c>
      <c r="AF196" s="1">
        <v>0.78856999999999999</v>
      </c>
      <c r="AG196" s="1">
        <v>0.77686999999999995</v>
      </c>
      <c r="AH196" s="1">
        <v>0.84540999999999999</v>
      </c>
      <c r="AI196" s="1">
        <v>0.81662999999999997</v>
      </c>
      <c r="AL196" s="4" t="s">
        <v>27</v>
      </c>
      <c r="AM196" s="6" t="str" cm="1">
        <f t="array" ref="AM196">IFERROR((SUMPRODUCT(($A$183:$A$206=AM$181)*($F$180:$AI$180="")*$F$183:$AI$206)+IF(AM$181="P6",SUMPRODUCT(($F$180:$AI$180="P6")*$F$183:$AI$206),0))/(SUMPRODUCT(($A$183:$A$206=AM$181)*($F$180:$AI$180=""))+IF(AM$181="P6",COUNTIF($F$180:$AI$180,"P6")*ROWS($A$183:$A$206),0)),"")</f>
        <v/>
      </c>
      <c r="AN196" s="6" t="str" cm="1">
        <f t="array" ref="AN196">IFERROR((SUMPRODUCT(($A$183:$A$206=AN$181)*($F$180:$AI$180="")*$F$183:$AI$206)+IF(AN$181="P6",SUMPRODUCT(($F$180:$AI$180="P6")*$F$183:$AI$206),0))/(SUMPRODUCT(($A$183:$A$206=AN$181)*($F$180:$AI$180=""))+IF(AN$181="P6",COUNTIF($F$180:$AI$180,"P6")*ROWS($A$183:$A$206),0)),"")</f>
        <v/>
      </c>
      <c r="AO196" s="6" t="str" cm="1">
        <f t="array" ref="AO196">IFERROR((SUMPRODUCT(($A$183:$A$206=AO$181)*($F$180:$AI$180="")*$F$183:$AI$206)+IF(AO$181="P6",SUMPRODUCT(($F$180:$AI$180="P6")*$F$183:$AI$206),0))/(SUMPRODUCT(($A$183:$A$206=AO$181)*($F$180:$AI$180=""))+IF(AO$181="P6",COUNTIF($F$180:$AI$180,"P6")*ROWS($A$183:$A$206),0)),"")</f>
        <v/>
      </c>
      <c r="AP196" s="6" cm="1">
        <f t="array" ref="AP196">IFERROR((SUMPRODUCT(($A$183:$A$206=AP$181)*($F$180:$AI$180="")*$F$183:$AI$206)+IF(AP$181="P6",SUMPRODUCT(($F$180:$AI$180="P6")*$F$183:$AI$206),0))/(SUMPRODUCT(($A$183:$A$206=AP$181)*($F$180:$AI$180=""))+IF(AP$181="P6",COUNTIF($F$180:$AI$180,"P6")*ROWS($A$183:$A$206),0)),"")</f>
        <v>0.88059752525252577</v>
      </c>
      <c r="AQ196" s="6" cm="1">
        <f t="array" ref="AQ196">IFERROR((SUMPRODUCT(($A$183:$A$206=AQ$181)*($F$180:$AI$180="")*$F$183:$AI$206)+IF(AQ$181="P6",SUMPRODUCT(($F$180:$AI$180="P6")*$F$183:$AI$206),0))/(SUMPRODUCT(($A$183:$A$206=AQ$181)*($F$180:$AI$180=""))+IF(AQ$181="P6",COUNTIF($F$180:$AI$180,"P6")*ROWS($A$183:$A$206),0)),"")</f>
        <v>0.88923850649350711</v>
      </c>
      <c r="AR196" s="6" cm="1">
        <f t="array" ref="AR196">IFERROR((SUMPRODUCT(($A$183:$A$206=AR$181)*($F$180:$AI$180="")*$F$183:$AI$206)+IF(AR$181="P6",SUMPRODUCT(($F$180:$AI$180="P6")*$F$183:$AI$206),0))/(SUMPRODUCT(($A$183:$A$206=AR$181)*($F$180:$AI$180=""))+IF(AR$181="P6",COUNTIF($F$180:$AI$180,"P6")*ROWS($A$183:$A$206),0)),"")</f>
        <v>0.86660494565217294</v>
      </c>
    </row>
    <row r="197" spans="1:44" ht="14.25" customHeight="1" x14ac:dyDescent="0.35">
      <c r="A197" s="1" t="s">
        <v>16</v>
      </c>
      <c r="B197" s="1" t="s">
        <v>13</v>
      </c>
      <c r="C197" s="1" t="s">
        <v>14</v>
      </c>
      <c r="D197" s="1" t="s">
        <v>16</v>
      </c>
      <c r="E197" s="1" t="s">
        <v>33</v>
      </c>
      <c r="F197" s="1">
        <v>0.86704000000000003</v>
      </c>
      <c r="G197" s="1">
        <v>0.83182</v>
      </c>
      <c r="H197" s="1">
        <v>0.86658999999999997</v>
      </c>
      <c r="I197" s="1">
        <v>0.85397000000000001</v>
      </c>
      <c r="J197" s="1">
        <v>0.87692999999999999</v>
      </c>
      <c r="K197" s="1">
        <v>0.78032000000000001</v>
      </c>
      <c r="L197" s="1">
        <v>0.76734000000000002</v>
      </c>
      <c r="M197" s="1">
        <v>0.86704000000000003</v>
      </c>
      <c r="N197" s="1">
        <v>0.83182</v>
      </c>
      <c r="O197" s="1">
        <v>0.86658999999999997</v>
      </c>
      <c r="P197" s="1">
        <v>0.85397000000000001</v>
      </c>
      <c r="Q197" s="1">
        <v>0.87692999999999999</v>
      </c>
      <c r="R197" s="1">
        <v>0.78032000000000001</v>
      </c>
      <c r="S197" s="1">
        <v>0.76734000000000002</v>
      </c>
      <c r="T197" s="1">
        <v>0.86704000000000003</v>
      </c>
      <c r="U197" s="1">
        <v>0.83182</v>
      </c>
      <c r="V197" s="1">
        <v>0.86658999999999997</v>
      </c>
      <c r="W197" s="1">
        <v>0.85397000000000001</v>
      </c>
      <c r="X197" s="1">
        <v>0.87692999999999999</v>
      </c>
      <c r="Y197" s="1">
        <v>0.78032000000000001</v>
      </c>
      <c r="Z197" s="1">
        <v>0.76734000000000002</v>
      </c>
      <c r="AA197" s="1">
        <v>0.86704000000000003</v>
      </c>
      <c r="AB197" s="1">
        <v>0.83182</v>
      </c>
      <c r="AC197" s="1">
        <v>0.86658999999999997</v>
      </c>
      <c r="AD197" s="1">
        <v>0.85397000000000001</v>
      </c>
      <c r="AE197" s="1">
        <v>0.87692999999999999</v>
      </c>
      <c r="AF197" s="1">
        <v>0.78032000000000001</v>
      </c>
      <c r="AG197" s="1">
        <v>0.76734000000000002</v>
      </c>
      <c r="AH197" s="1">
        <v>0.86704000000000003</v>
      </c>
      <c r="AI197" s="1">
        <v>0.83182</v>
      </c>
      <c r="AL197" s="4" t="s">
        <v>29</v>
      </c>
      <c r="AM197" s="6" t="str" cm="1">
        <f t="array" ref="AM197">IFERROR((SUMPRODUCT(($A$183:$A$206=AM$181)*($F$180:$AI$180="")*$F$183:$AI$206)+IF(AM$181="P6",SUMPRODUCT(($F$180:$AI$180="P6")*$F$183:$AI$206),0))/(SUMPRODUCT(($A$183:$A$206=AM$181)*($F$180:$AI$180=""))+IF(AM$181="P6",COUNTIF($F$180:$AI$180,"P6")*ROWS($A$183:$A$206),0)),"")</f>
        <v/>
      </c>
      <c r="AN197" s="6" t="str" cm="1">
        <f t="array" ref="AN197">IFERROR((SUMPRODUCT(($A$183:$A$206=AN$181)*($F$180:$AI$180="")*$F$183:$AI$206)+IF(AN$181="P6",SUMPRODUCT(($F$180:$AI$180="P6")*$F$183:$AI$206),0))/(SUMPRODUCT(($A$183:$A$206=AN$181)*($F$180:$AI$180=""))+IF(AN$181="P6",COUNTIF($F$180:$AI$180,"P6")*ROWS($A$183:$A$206),0)),"")</f>
        <v/>
      </c>
      <c r="AO197" s="6" t="str" cm="1">
        <f t="array" ref="AO197">IFERROR((SUMPRODUCT(($A$183:$A$206=AO$181)*($F$180:$AI$180="")*$F$183:$AI$206)+IF(AO$181="P6",SUMPRODUCT(($F$180:$AI$180="P6")*$F$183:$AI$206),0))/(SUMPRODUCT(($A$183:$A$206=AO$181)*($F$180:$AI$180=""))+IF(AO$181="P6",COUNTIF($F$180:$AI$180,"P6")*ROWS($A$183:$A$206),0)),"")</f>
        <v/>
      </c>
      <c r="AP197" s="6" cm="1">
        <f t="array" ref="AP197">IFERROR((SUMPRODUCT(($A$183:$A$206=AP$181)*($F$180:$AI$180="")*$F$183:$AI$206)+IF(AP$181="P6",SUMPRODUCT(($F$180:$AI$180="P6")*$F$183:$AI$206),0))/(SUMPRODUCT(($A$183:$A$206=AP$181)*($F$180:$AI$180=""))+IF(AP$181="P6",COUNTIF($F$180:$AI$180,"P6")*ROWS($A$183:$A$206),0)),"")</f>
        <v>0.88059752525252577</v>
      </c>
      <c r="AQ197" s="6" cm="1">
        <f t="array" ref="AQ197">IFERROR((SUMPRODUCT(($A$183:$A$206=AQ$181)*($F$180:$AI$180="")*$F$183:$AI$206)+IF(AQ$181="P6",SUMPRODUCT(($F$180:$AI$180="P6")*$F$183:$AI$206),0))/(SUMPRODUCT(($A$183:$A$206=AQ$181)*($F$180:$AI$180=""))+IF(AQ$181="P6",COUNTIF($F$180:$AI$180,"P6")*ROWS($A$183:$A$206),0)),"")</f>
        <v>0.88923850649350711</v>
      </c>
      <c r="AR197" s="6" cm="1">
        <f t="array" ref="AR197">IFERROR((SUMPRODUCT(($A$183:$A$206=AR$181)*($F$180:$AI$180="")*$F$183:$AI$206)+IF(AR$181="P6",SUMPRODUCT(($F$180:$AI$180="P6")*$F$183:$AI$206),0))/(SUMPRODUCT(($A$183:$A$206=AR$181)*($F$180:$AI$180=""))+IF(AR$181="P6",COUNTIF($F$180:$AI$180,"P6")*ROWS($A$183:$A$206),0)),"")</f>
        <v>0.86660494565217294</v>
      </c>
    </row>
    <row r="198" spans="1:44" ht="14.25" customHeight="1" x14ac:dyDescent="0.35">
      <c r="A198" s="1" t="s">
        <v>17</v>
      </c>
      <c r="B198" s="1" t="s">
        <v>14</v>
      </c>
      <c r="C198" s="1" t="s">
        <v>14</v>
      </c>
      <c r="D198" s="1" t="s">
        <v>16</v>
      </c>
      <c r="E198" s="1" t="s">
        <v>34</v>
      </c>
      <c r="F198" s="1">
        <v>0.88212999999999997</v>
      </c>
      <c r="G198" s="1">
        <v>0.86094999999999999</v>
      </c>
      <c r="H198" s="1">
        <v>0.79056000000000004</v>
      </c>
      <c r="I198" s="1">
        <v>0.88488</v>
      </c>
      <c r="J198" s="1">
        <v>0.90546000000000004</v>
      </c>
      <c r="K198" s="1">
        <v>0.79825999999999997</v>
      </c>
      <c r="L198" s="1">
        <v>0.78210000000000002</v>
      </c>
      <c r="M198" s="1">
        <v>0.88212999999999997</v>
      </c>
      <c r="N198" s="1">
        <v>0.86094999999999999</v>
      </c>
      <c r="O198" s="1">
        <v>0.79056000000000004</v>
      </c>
      <c r="P198" s="1">
        <v>0.88488</v>
      </c>
      <c r="Q198" s="1">
        <v>0.90546000000000004</v>
      </c>
      <c r="R198" s="1">
        <v>0.79825999999999997</v>
      </c>
      <c r="S198" s="1">
        <v>0.78210000000000002</v>
      </c>
      <c r="T198" s="1">
        <v>0.88212999999999997</v>
      </c>
      <c r="U198" s="1">
        <v>0.86094999999999999</v>
      </c>
      <c r="V198" s="1">
        <v>0.79056000000000004</v>
      </c>
      <c r="W198" s="1">
        <v>0.88488</v>
      </c>
      <c r="X198" s="1">
        <v>0.90546000000000004</v>
      </c>
      <c r="Y198" s="1">
        <v>0.79825999999999997</v>
      </c>
      <c r="Z198" s="1">
        <v>0.78210000000000002</v>
      </c>
      <c r="AA198" s="1">
        <v>0.88212999999999997</v>
      </c>
      <c r="AB198" s="1">
        <v>0.86094999999999999</v>
      </c>
      <c r="AC198" s="1">
        <v>0.79056000000000004</v>
      </c>
      <c r="AD198" s="1">
        <v>0.88488</v>
      </c>
      <c r="AE198" s="1">
        <v>0.90546000000000004</v>
      </c>
      <c r="AF198" s="1">
        <v>0.79825999999999997</v>
      </c>
      <c r="AG198" s="1">
        <v>0.78210000000000002</v>
      </c>
      <c r="AH198" s="1">
        <v>0.88212999999999997</v>
      </c>
      <c r="AI198" s="1">
        <v>0.86094999999999999</v>
      </c>
      <c r="AL198" s="10"/>
      <c r="AM198" s="10"/>
      <c r="AN198" s="10"/>
      <c r="AO198" s="10"/>
      <c r="AP198" s="10"/>
      <c r="AQ198" s="10"/>
      <c r="AR198" s="10"/>
    </row>
    <row r="199" spans="1:44" ht="14.25" customHeight="1" x14ac:dyDescent="0.35">
      <c r="A199" s="1" t="s">
        <v>17</v>
      </c>
      <c r="B199" s="1" t="s">
        <v>14</v>
      </c>
      <c r="C199" s="1" t="s">
        <v>14</v>
      </c>
      <c r="D199" s="1" t="s">
        <v>16</v>
      </c>
      <c r="E199" s="1" t="s">
        <v>35</v>
      </c>
      <c r="F199" s="1">
        <v>0.89102999999999999</v>
      </c>
      <c r="G199" s="1">
        <v>0.87080000000000002</v>
      </c>
      <c r="H199" s="1">
        <v>0.86917</v>
      </c>
      <c r="I199" s="1">
        <v>0.90142</v>
      </c>
      <c r="J199" s="1">
        <v>0.92208999999999997</v>
      </c>
      <c r="K199" s="1">
        <v>0.83460000000000001</v>
      </c>
      <c r="L199" s="1">
        <v>0.80425000000000002</v>
      </c>
      <c r="M199" s="1">
        <v>0.89102999999999999</v>
      </c>
      <c r="N199" s="1">
        <v>0.87080000000000002</v>
      </c>
      <c r="O199" s="1">
        <v>0.86917</v>
      </c>
      <c r="P199" s="1">
        <v>0.90142</v>
      </c>
      <c r="Q199" s="1">
        <v>0.92208999999999997</v>
      </c>
      <c r="R199" s="1">
        <v>0.83460000000000001</v>
      </c>
      <c r="S199" s="1">
        <v>0.80425000000000002</v>
      </c>
      <c r="T199" s="1">
        <v>0.89102999999999999</v>
      </c>
      <c r="U199" s="1">
        <v>0.87080000000000002</v>
      </c>
      <c r="V199" s="1">
        <v>0.86917</v>
      </c>
      <c r="W199" s="1">
        <v>0.90142</v>
      </c>
      <c r="X199" s="1">
        <v>0.92208999999999997</v>
      </c>
      <c r="Y199" s="1">
        <v>0.83460000000000001</v>
      </c>
      <c r="Z199" s="1">
        <v>0.80425000000000002</v>
      </c>
      <c r="AA199" s="1">
        <v>0.89102999999999999</v>
      </c>
      <c r="AB199" s="1">
        <v>0.87080000000000002</v>
      </c>
      <c r="AC199" s="1">
        <v>0.86917</v>
      </c>
      <c r="AD199" s="1">
        <v>0.90142</v>
      </c>
      <c r="AE199" s="1">
        <v>0.92208999999999997</v>
      </c>
      <c r="AF199" s="1">
        <v>0.83460000000000001</v>
      </c>
      <c r="AG199" s="1">
        <v>0.80425000000000002</v>
      </c>
      <c r="AH199" s="1">
        <v>0.89102999999999999</v>
      </c>
      <c r="AI199" s="1">
        <v>0.87080000000000002</v>
      </c>
      <c r="AL199" s="10"/>
      <c r="AM199" s="10"/>
      <c r="AN199" s="10"/>
      <c r="AO199" s="10"/>
      <c r="AP199" s="10"/>
      <c r="AQ199" s="10"/>
      <c r="AR199" s="10"/>
    </row>
    <row r="200" spans="1:44" ht="14.25" customHeight="1" x14ac:dyDescent="0.35">
      <c r="A200" s="1" t="s">
        <v>17</v>
      </c>
      <c r="B200" s="1" t="s">
        <v>14</v>
      </c>
      <c r="C200" s="1" t="s">
        <v>14</v>
      </c>
      <c r="D200" s="1" t="s">
        <v>16</v>
      </c>
      <c r="E200" s="1" t="s">
        <v>36</v>
      </c>
      <c r="F200" s="1">
        <v>0.88521000000000005</v>
      </c>
      <c r="G200" s="1">
        <v>0.88017000000000001</v>
      </c>
      <c r="H200" s="1">
        <v>0.87483999999999995</v>
      </c>
      <c r="I200" s="1">
        <v>0.91113</v>
      </c>
      <c r="J200" s="1">
        <v>0.92908999999999997</v>
      </c>
      <c r="K200" s="1">
        <v>0.87880000000000003</v>
      </c>
      <c r="L200" s="1">
        <v>0.86487000000000003</v>
      </c>
      <c r="M200" s="1">
        <v>0.88521000000000005</v>
      </c>
      <c r="N200" s="1">
        <v>0.88017000000000001</v>
      </c>
      <c r="O200" s="1">
        <v>0.87483999999999995</v>
      </c>
      <c r="P200" s="1">
        <v>0.91113</v>
      </c>
      <c r="Q200" s="1">
        <v>0.92908999999999997</v>
      </c>
      <c r="R200" s="1">
        <v>0.87880000000000003</v>
      </c>
      <c r="S200" s="1">
        <v>0.86487000000000003</v>
      </c>
      <c r="T200" s="1">
        <v>0.88521000000000005</v>
      </c>
      <c r="U200" s="1">
        <v>0.88017000000000001</v>
      </c>
      <c r="V200" s="1">
        <v>0.87483999999999995</v>
      </c>
      <c r="W200" s="1">
        <v>0.91113</v>
      </c>
      <c r="X200" s="1">
        <v>0.92908999999999997</v>
      </c>
      <c r="Y200" s="1">
        <v>0.87880000000000003</v>
      </c>
      <c r="Z200" s="1">
        <v>0.86487000000000003</v>
      </c>
      <c r="AA200" s="1">
        <v>0.88521000000000005</v>
      </c>
      <c r="AB200" s="1">
        <v>0.88017000000000001</v>
      </c>
      <c r="AC200" s="1">
        <v>0.87483999999999995</v>
      </c>
      <c r="AD200" s="1">
        <v>0.91113</v>
      </c>
      <c r="AE200" s="1">
        <v>0.92908999999999997</v>
      </c>
      <c r="AF200" s="1">
        <v>0.87880000000000003</v>
      </c>
      <c r="AG200" s="1">
        <v>0.86487000000000003</v>
      </c>
      <c r="AH200" s="1">
        <v>0.88521000000000005</v>
      </c>
      <c r="AI200" s="1">
        <v>0.88017000000000001</v>
      </c>
      <c r="AL200" s="14" t="s">
        <v>133</v>
      </c>
      <c r="AM200" s="14"/>
      <c r="AN200" s="14"/>
      <c r="AO200" s="14"/>
      <c r="AP200" s="14"/>
      <c r="AQ200" s="14"/>
      <c r="AR200" s="14"/>
    </row>
    <row r="201" spans="1:44" ht="14.25" customHeight="1" x14ac:dyDescent="0.35">
      <c r="A201" s="1" t="s">
        <v>16</v>
      </c>
      <c r="B201" s="1" t="s">
        <v>13</v>
      </c>
      <c r="C201" s="1" t="s">
        <v>13</v>
      </c>
      <c r="D201" s="1" t="s">
        <v>15</v>
      </c>
      <c r="E201" s="1" t="s">
        <v>37</v>
      </c>
      <c r="F201" s="1">
        <v>0.89468999999999999</v>
      </c>
      <c r="G201" s="1">
        <v>0.87139</v>
      </c>
      <c r="H201" s="1">
        <v>0.87773999999999996</v>
      </c>
      <c r="I201" s="1">
        <v>0.90669999999999995</v>
      </c>
      <c r="J201" s="1">
        <v>0.94264999999999999</v>
      </c>
      <c r="K201" s="1">
        <v>0.91481000000000001</v>
      </c>
      <c r="L201" s="1">
        <v>0.90517000000000003</v>
      </c>
      <c r="M201" s="1">
        <v>0.89468999999999999</v>
      </c>
      <c r="N201" s="1">
        <v>0.87139</v>
      </c>
      <c r="O201" s="1">
        <v>0.87773999999999996</v>
      </c>
      <c r="P201" s="1">
        <v>0.90669999999999995</v>
      </c>
      <c r="Q201" s="1">
        <v>0.94264999999999999</v>
      </c>
      <c r="R201" s="1">
        <v>0.91481000000000001</v>
      </c>
      <c r="S201" s="1">
        <v>0.90517000000000003</v>
      </c>
      <c r="T201" s="1">
        <v>0.89468999999999999</v>
      </c>
      <c r="U201" s="1">
        <v>0.87139</v>
      </c>
      <c r="V201" s="1">
        <v>0.87773999999999996</v>
      </c>
      <c r="W201" s="1">
        <v>0.90669999999999995</v>
      </c>
      <c r="X201" s="1">
        <v>0.94264999999999999</v>
      </c>
      <c r="Y201" s="1">
        <v>0.91481000000000001</v>
      </c>
      <c r="Z201" s="1">
        <v>0.90517000000000003</v>
      </c>
      <c r="AA201" s="1">
        <v>0.89468999999999999</v>
      </c>
      <c r="AB201" s="1">
        <v>0.87139</v>
      </c>
      <c r="AC201" s="1">
        <v>0.87773999999999996</v>
      </c>
      <c r="AD201" s="1">
        <v>0.90669999999999995</v>
      </c>
      <c r="AE201" s="1">
        <v>0.94264999999999999</v>
      </c>
      <c r="AF201" s="1">
        <v>0.91481000000000001</v>
      </c>
      <c r="AG201" s="1">
        <v>0.90517000000000003</v>
      </c>
      <c r="AH201" s="1">
        <v>0.89468999999999999</v>
      </c>
      <c r="AI201" s="1">
        <v>0.87139</v>
      </c>
      <c r="AL201" s="4"/>
      <c r="AM201" s="4" t="s">
        <v>13</v>
      </c>
      <c r="AN201" s="4" t="s">
        <v>14</v>
      </c>
      <c r="AO201" s="4" t="s">
        <v>15</v>
      </c>
      <c r="AP201" s="4" t="s">
        <v>16</v>
      </c>
      <c r="AQ201" s="4" t="s">
        <v>17</v>
      </c>
      <c r="AR201" s="4" t="s">
        <v>7</v>
      </c>
    </row>
    <row r="202" spans="1:44" ht="14.25" customHeight="1" x14ac:dyDescent="0.35">
      <c r="A202" s="1" t="s">
        <v>16</v>
      </c>
      <c r="B202" s="1" t="s">
        <v>13</v>
      </c>
      <c r="C202" s="1" t="s">
        <v>13</v>
      </c>
      <c r="D202" s="1" t="s">
        <v>15</v>
      </c>
      <c r="E202" s="1" t="s">
        <v>38</v>
      </c>
      <c r="F202" s="1">
        <v>0.92201</v>
      </c>
      <c r="G202" s="1">
        <v>0.89573000000000003</v>
      </c>
      <c r="H202" s="1">
        <v>0.88829999999999998</v>
      </c>
      <c r="I202" s="1">
        <v>0.91695000000000004</v>
      </c>
      <c r="J202" s="1">
        <v>0.93508999999999998</v>
      </c>
      <c r="K202" s="1">
        <v>0.90281999999999996</v>
      </c>
      <c r="L202" s="1">
        <v>0.89593999999999996</v>
      </c>
      <c r="M202" s="1">
        <v>0.92201</v>
      </c>
      <c r="N202" s="1">
        <v>0.89573000000000003</v>
      </c>
      <c r="O202" s="1">
        <v>0.88829999999999998</v>
      </c>
      <c r="P202" s="1">
        <v>0.91695000000000004</v>
      </c>
      <c r="Q202" s="1">
        <v>0.93508999999999998</v>
      </c>
      <c r="R202" s="1">
        <v>0.90281999999999996</v>
      </c>
      <c r="S202" s="1">
        <v>0.89593999999999996</v>
      </c>
      <c r="T202" s="1">
        <v>0.92201</v>
      </c>
      <c r="U202" s="1">
        <v>0.89573000000000003</v>
      </c>
      <c r="V202" s="1">
        <v>0.88829999999999998</v>
      </c>
      <c r="W202" s="1">
        <v>0.91695000000000004</v>
      </c>
      <c r="X202" s="1">
        <v>0.93508999999999998</v>
      </c>
      <c r="Y202" s="1">
        <v>0.90281999999999996</v>
      </c>
      <c r="Z202" s="1">
        <v>0.89593999999999996</v>
      </c>
      <c r="AA202" s="1">
        <v>0.92201</v>
      </c>
      <c r="AB202" s="1">
        <v>0.89573000000000003</v>
      </c>
      <c r="AC202" s="1">
        <v>0.88829999999999998</v>
      </c>
      <c r="AD202" s="1">
        <v>0.91695000000000004</v>
      </c>
      <c r="AE202" s="1">
        <v>0.93508999999999998</v>
      </c>
      <c r="AF202" s="1">
        <v>0.90281999999999996</v>
      </c>
      <c r="AG202" s="1">
        <v>0.89593999999999996</v>
      </c>
      <c r="AH202" s="1">
        <v>0.92201</v>
      </c>
      <c r="AI202" s="1">
        <v>0.89573000000000003</v>
      </c>
      <c r="AL202" s="4" t="s">
        <v>19</v>
      </c>
      <c r="AM202" s="6" cm="1">
        <f t="array" ref="AM202">IFERROR((SUMPRODUCT(($C$183:$C$206=AM$181)*($F$179:$AI$179="")*$F$183:$AI$206)+IF(AM$181="P3",SUMPRODUCT(($F$179:$AI$179="P3")*$F$183:$AI$206),0))/(SUMPRODUCT(($C$183:$C$206=AM$181)*($F$179:$AI$179=""))+IF(AM$181="P3",COUNTIF($F$179:$AI$179,"P3")*ROWS($C$183:$C$206),0)),"")</f>
        <v>0.88337528409091026</v>
      </c>
      <c r="AN202" s="6" cm="1">
        <f t="array" ref="AN202">IFERROR((SUMPRODUCT(($C$183:$C$206=AN$181)*($F$179:$AI$179="")*$F$183:$AI$206)+IF(AN$181="P3",SUMPRODUCT(($F$179:$AI$179="P3")*$F$183:$AI$206),0))/(SUMPRODUCT(($C$183:$C$206=AN$181)*($F$179:$AI$179=""))+IF(AN$181="P3",COUNTIF($F$179:$AI$179,"P3")*ROWS($C$183:$C$206),0)),"")</f>
        <v>0.88538062500000059</v>
      </c>
      <c r="AO202" s="6" cm="1">
        <f t="array" ref="AO202">IFERROR((SUMPRODUCT(($C$183:$C$206=AO$181)*($F$179:$AI$179="")*$F$183:$AI$206)+IF(AO$181="P3",SUMPRODUCT(($F$179:$AI$179="P3")*$F$183:$AI$206),0))/(SUMPRODUCT(($C$183:$C$206=AO$181)*($F$179:$AI$179=""))+IF(AO$181="P3",COUNTIF($F$179:$AI$179,"P3")*ROWS($C$183:$C$206),0)),"")</f>
        <v>0.86660494565217294</v>
      </c>
      <c r="AP202" s="6" t="str" cm="1">
        <f t="array" ref="AP202">IFERROR((SUMPRODUCT(($C$183:$C$206=AP$181)*($F$179:$AI$179="")*$F$183:$AI$206)+IF(AP$181="P3",SUMPRODUCT(($F$179:$AI$179="P3")*$F$183:$AI$206),0))/(SUMPRODUCT(($C$183:$C$206=AP$181)*($F$179:$AI$179=""))+IF(AP$181="P3",COUNTIF($F$179:$AI$179,"P3")*ROWS($C$183:$C$206),0)),"")</f>
        <v/>
      </c>
      <c r="AQ202" s="6" t="str" cm="1">
        <f t="array" ref="AQ202">IFERROR((SUMPRODUCT(($C$183:$C$206=AQ$181)*($F$179:$AI$179="")*$F$183:$AI$206)+IF(AQ$181="P3",SUMPRODUCT(($F$179:$AI$179="P3")*$F$183:$AI$206),0))/(SUMPRODUCT(($C$183:$C$206=AQ$181)*($F$179:$AI$179=""))+IF(AQ$181="P3",COUNTIF($F$179:$AI$179,"P3")*ROWS($C$183:$C$206),0)),"")</f>
        <v/>
      </c>
      <c r="AR202" s="6" t="str" cm="1">
        <f t="array" ref="AR202">IFERROR((SUMPRODUCT(($C$183:$C$206=AR$181)*($F$179:$AI$179="")*$F$183:$AI$206)+IF(AR$181="P3",SUMPRODUCT(($F$179:$AI$179="P3")*$F$183:$AI$206),0))/(SUMPRODUCT(($C$183:$C$206=AR$181)*($F$179:$AI$179=""))+IF(AR$181="P3",COUNTIF($F$179:$AI$179,"P3")*ROWS($C$183:$C$206),0)),"")</f>
        <v/>
      </c>
    </row>
    <row r="203" spans="1:44" ht="14.25" customHeight="1" x14ac:dyDescent="0.35">
      <c r="A203" s="1" t="s">
        <v>16</v>
      </c>
      <c r="B203" s="1" t="s">
        <v>13</v>
      </c>
      <c r="C203" s="1" t="s">
        <v>13</v>
      </c>
      <c r="D203" s="1" t="s">
        <v>15</v>
      </c>
      <c r="E203" s="1" t="s">
        <v>39</v>
      </c>
      <c r="F203" s="1">
        <v>0.95037000000000005</v>
      </c>
      <c r="G203" s="1">
        <v>0.90734000000000004</v>
      </c>
      <c r="H203" s="1">
        <v>0.89166999999999996</v>
      </c>
      <c r="I203" s="1">
        <v>0.92471000000000003</v>
      </c>
      <c r="J203" s="1">
        <v>0.92878000000000005</v>
      </c>
      <c r="K203" s="1">
        <v>0.87512999999999996</v>
      </c>
      <c r="L203" s="1">
        <v>0.88753000000000004</v>
      </c>
      <c r="M203" s="1">
        <v>0.95037000000000005</v>
      </c>
      <c r="N203" s="1">
        <v>0.90734000000000004</v>
      </c>
      <c r="O203" s="1">
        <v>0.89166999999999996</v>
      </c>
      <c r="P203" s="1">
        <v>0.92471000000000003</v>
      </c>
      <c r="Q203" s="1">
        <v>0.92878000000000005</v>
      </c>
      <c r="R203" s="1">
        <v>0.87512999999999996</v>
      </c>
      <c r="S203" s="1">
        <v>0.88753000000000004</v>
      </c>
      <c r="T203" s="1">
        <v>0.95037000000000005</v>
      </c>
      <c r="U203" s="1">
        <v>0.90734000000000004</v>
      </c>
      <c r="V203" s="1">
        <v>0.89166999999999996</v>
      </c>
      <c r="W203" s="1">
        <v>0.92471000000000003</v>
      </c>
      <c r="X203" s="1">
        <v>0.92878000000000005</v>
      </c>
      <c r="Y203" s="1">
        <v>0.87512999999999996</v>
      </c>
      <c r="Z203" s="1">
        <v>0.88753000000000004</v>
      </c>
      <c r="AA203" s="1">
        <v>0.95037000000000005</v>
      </c>
      <c r="AB203" s="1">
        <v>0.90734000000000004</v>
      </c>
      <c r="AC203" s="1">
        <v>0.89166999999999996</v>
      </c>
      <c r="AD203" s="1">
        <v>0.92471000000000003</v>
      </c>
      <c r="AE203" s="1">
        <v>0.92878000000000005</v>
      </c>
      <c r="AF203" s="1">
        <v>0.87512999999999996</v>
      </c>
      <c r="AG203" s="1">
        <v>0.88753000000000004</v>
      </c>
      <c r="AH203" s="1">
        <v>0.95037000000000005</v>
      </c>
      <c r="AI203" s="1">
        <v>0.90734000000000004</v>
      </c>
      <c r="AL203" s="4" t="s">
        <v>21</v>
      </c>
      <c r="AM203" s="6" cm="1">
        <f t="array" ref="AM203">IFERROR((SUMPRODUCT(($B$183:$B$206=AM$181)*($F$180:$AI$180="")*$F$183:$AI$206)+IF(AM$181="P6",SUMPRODUCT(($F$180:$AI$180="P6")*$F$183:$AI$206),0))/(SUMPRODUCT(($B$183:$B$206=AM$181)*($F$180:$AI$180=""))+IF(AM$181="P6",COUNTIF($F$180:$AI$180,"P6")*ROWS($B$183:$B$206),0)),"")</f>
        <v>0.88059752525252577</v>
      </c>
      <c r="AN203" s="6" cm="1">
        <f t="array" ref="AN203">IFERROR((SUMPRODUCT(($B$183:$B$206=AN$181)*($F$180:$AI$180="")*$F$183:$AI$206)+IF(AN$181="P6",SUMPRODUCT(($F$180:$AI$180="P6")*$F$183:$AI$206),0))/(SUMPRODUCT(($B$183:$B$206=AN$181)*($F$180:$AI$180=""))+IF(AN$181="P6",COUNTIF($F$180:$AI$180,"P6")*ROWS($B$183:$B$206),0)),"")</f>
        <v>0.88923850649350711</v>
      </c>
      <c r="AO203" s="6" t="str" cm="1">
        <f t="array" ref="AO203">IFERROR((SUMPRODUCT(($B$183:$B$206=AO$181)*($F$180:$AI$180="")*$F$183:$AI$206)+IF(AO$181="P6",SUMPRODUCT(($F$180:$AI$180="P6")*$F$183:$AI$206),0))/(SUMPRODUCT(($B$183:$B$206=AO$181)*($F$180:$AI$180=""))+IF(AO$181="P6",COUNTIF($F$180:$AI$180,"P6")*ROWS($B$183:$B$206),0)),"")</f>
        <v/>
      </c>
      <c r="AP203" s="6" t="str" cm="1">
        <f t="array" ref="AP203">IFERROR((SUMPRODUCT(($B$183:$B$206=AP$181)*($F$180:$AI$180="")*$F$183:$AI$206)+IF(AP$181="P6",SUMPRODUCT(($F$180:$AI$180="P6")*$F$183:$AI$206),0))/(SUMPRODUCT(($B$183:$B$206=AP$181)*($F$180:$AI$180=""))+IF(AP$181="P6",COUNTIF($F$180:$AI$180,"P6")*ROWS($B$183:$B$206),0)),"")</f>
        <v/>
      </c>
      <c r="AQ203" s="6" t="str" cm="1">
        <f t="array" ref="AQ203">IFERROR((SUMPRODUCT(($B$183:$B$206=AQ$181)*($F$180:$AI$180="")*$F$183:$AI$206)+IF(AQ$181="P6",SUMPRODUCT(($F$180:$AI$180="P6")*$F$183:$AI$206),0))/(SUMPRODUCT(($B$183:$B$206=AQ$181)*($F$180:$AI$180=""))+IF(AQ$181="P6",COUNTIF($F$180:$AI$180,"P6")*ROWS($B$183:$B$206),0)),"")</f>
        <v/>
      </c>
      <c r="AR203" s="6" cm="1">
        <f t="array" ref="AR203">IFERROR((SUMPRODUCT(($B$183:$B$206=AR$181)*($F$180:$AI$180="")*$F$183:$AI$206)+IF(AR$181="P6",SUMPRODUCT(($F$180:$AI$180="P6")*$F$183:$AI$206),0))/(SUMPRODUCT(($B$183:$B$206=AR$181)*($F$180:$AI$180=""))+IF(AR$181="P6",COUNTIF($F$180:$AI$180,"P6")*ROWS($B$183:$B$206),0)),"")</f>
        <v>0.86660494565217294</v>
      </c>
    </row>
    <row r="204" spans="1:44" ht="14.25" customHeight="1" x14ac:dyDescent="0.35">
      <c r="A204" s="1" t="s">
        <v>16</v>
      </c>
      <c r="B204" s="1" t="s">
        <v>13</v>
      </c>
      <c r="C204" s="1" t="s">
        <v>13</v>
      </c>
      <c r="D204" s="1" t="s">
        <v>15</v>
      </c>
      <c r="E204" s="1" t="s">
        <v>40</v>
      </c>
      <c r="F204" s="1">
        <v>0.97043999999999997</v>
      </c>
      <c r="G204" s="1">
        <v>0.94477</v>
      </c>
      <c r="H204" s="1">
        <v>0.93386999999999998</v>
      </c>
      <c r="I204" s="1">
        <v>0.96509</v>
      </c>
      <c r="J204" s="1">
        <v>0.96023999999999998</v>
      </c>
      <c r="K204" s="1">
        <v>0.89380999999999999</v>
      </c>
      <c r="L204" s="1">
        <v>0.91561999999999999</v>
      </c>
      <c r="M204" s="1">
        <v>0.97043999999999997</v>
      </c>
      <c r="N204" s="1">
        <v>0.94477</v>
      </c>
      <c r="O204" s="1">
        <v>0.93386999999999998</v>
      </c>
      <c r="P204" s="1">
        <v>0.96509</v>
      </c>
      <c r="Q204" s="1">
        <v>0.96023999999999998</v>
      </c>
      <c r="R204" s="1">
        <v>0.89380999999999999</v>
      </c>
      <c r="S204" s="1">
        <v>0.91561999999999999</v>
      </c>
      <c r="T204" s="1">
        <v>0.97043999999999997</v>
      </c>
      <c r="U204" s="1">
        <v>0.94477</v>
      </c>
      <c r="V204" s="1">
        <v>0.93386999999999998</v>
      </c>
      <c r="W204" s="1">
        <v>0.96509</v>
      </c>
      <c r="X204" s="1">
        <v>0.96023999999999998</v>
      </c>
      <c r="Y204" s="1">
        <v>0.89380999999999999</v>
      </c>
      <c r="Z204" s="1">
        <v>0.91561999999999999</v>
      </c>
      <c r="AA204" s="1">
        <v>0.97043999999999997</v>
      </c>
      <c r="AB204" s="1">
        <v>0.94477</v>
      </c>
      <c r="AC204" s="1">
        <v>0.93386999999999998</v>
      </c>
      <c r="AD204" s="1">
        <v>0.96509</v>
      </c>
      <c r="AE204" s="1">
        <v>0.96023999999999998</v>
      </c>
      <c r="AF204" s="1">
        <v>0.89380999999999999</v>
      </c>
      <c r="AG204" s="1">
        <v>0.91561999999999999</v>
      </c>
      <c r="AH204" s="1">
        <v>0.97043999999999997</v>
      </c>
      <c r="AI204" s="1">
        <v>0.94477</v>
      </c>
      <c r="AL204" s="4" t="s">
        <v>23</v>
      </c>
      <c r="AM204" s="6" cm="1">
        <f t="array" ref="AM204">IFERROR((SUMPRODUCT(($B$183:$B$206=AM$181)*($F$180:$AI$180="")*$F$183:$AI$206)+IF(AM$181="P6",SUMPRODUCT(($F$180:$AI$180="P6")*$F$183:$AI$206),0))/(SUMPRODUCT(($B$183:$B$206=AM$181)*($F$180:$AI$180=""))+IF(AM$181="P6",COUNTIF($F$180:$AI$180,"P6")*ROWS($B$183:$B$206),0)),"")</f>
        <v>0.88059752525252577</v>
      </c>
      <c r="AN204" s="6" cm="1">
        <f t="array" ref="AN204">IFERROR((SUMPRODUCT(($B$183:$B$206=AN$181)*($F$180:$AI$180="")*$F$183:$AI$206)+IF(AN$181="P6",SUMPRODUCT(($F$180:$AI$180="P6")*$F$183:$AI$206),0))/(SUMPRODUCT(($B$183:$B$206=AN$181)*($F$180:$AI$180=""))+IF(AN$181="P6",COUNTIF($F$180:$AI$180,"P6")*ROWS($B$183:$B$206),0)),"")</f>
        <v>0.88923850649350711</v>
      </c>
      <c r="AO204" s="6" t="str" cm="1">
        <f t="array" ref="AO204">IFERROR((SUMPRODUCT(($B$183:$B$206=AO$181)*($F$180:$AI$180="")*$F$183:$AI$206)+IF(AO$181="P6",SUMPRODUCT(($F$180:$AI$180="P6")*$F$183:$AI$206),0))/(SUMPRODUCT(($B$183:$B$206=AO$181)*($F$180:$AI$180=""))+IF(AO$181="P6",COUNTIF($F$180:$AI$180,"P6")*ROWS($B$183:$B$206),0)),"")</f>
        <v/>
      </c>
      <c r="AP204" s="6" t="str" cm="1">
        <f t="array" ref="AP204">IFERROR((SUMPRODUCT(($B$183:$B$206=AP$181)*($F$180:$AI$180="")*$F$183:$AI$206)+IF(AP$181="P6",SUMPRODUCT(($F$180:$AI$180="P6")*$F$183:$AI$206),0))/(SUMPRODUCT(($B$183:$B$206=AP$181)*($F$180:$AI$180=""))+IF(AP$181="P6",COUNTIF($F$180:$AI$180,"P6")*ROWS($B$183:$B$206),0)),"")</f>
        <v/>
      </c>
      <c r="AQ204" s="6" t="str" cm="1">
        <f t="array" ref="AQ204">IFERROR((SUMPRODUCT(($B$183:$B$206=AQ$181)*($F$180:$AI$180="")*$F$183:$AI$206)+IF(AQ$181="P6",SUMPRODUCT(($F$180:$AI$180="P6")*$F$183:$AI$206),0))/(SUMPRODUCT(($B$183:$B$206=AQ$181)*($F$180:$AI$180=""))+IF(AQ$181="P6",COUNTIF($F$180:$AI$180,"P6")*ROWS($B$183:$B$206),0)),"")</f>
        <v/>
      </c>
      <c r="AR204" s="6" cm="1">
        <f t="array" ref="AR204">IFERROR((SUMPRODUCT(($B$183:$B$206=AR$181)*($F$180:$AI$180="")*$F$183:$AI$206)+IF(AR$181="P6",SUMPRODUCT(($F$180:$AI$180="P6")*$F$183:$AI$206),0))/(SUMPRODUCT(($B$183:$B$206=AR$181)*($F$180:$AI$180=""))+IF(AR$181="P6",COUNTIF($F$180:$AI$180,"P6")*ROWS($B$183:$B$206),0)),"")</f>
        <v>0.86660494565217294</v>
      </c>
    </row>
    <row r="205" spans="1:44" ht="14.25" customHeight="1" x14ac:dyDescent="0.35">
      <c r="A205" s="1" t="s">
        <v>17</v>
      </c>
      <c r="B205" s="1" t="s">
        <v>14</v>
      </c>
      <c r="C205" s="1" t="s">
        <v>14</v>
      </c>
      <c r="D205" s="1" t="s">
        <v>16</v>
      </c>
      <c r="E205" s="1" t="s">
        <v>41</v>
      </c>
      <c r="F205" s="1">
        <v>0.99636000000000002</v>
      </c>
      <c r="G205" s="1">
        <v>0.95752999999999999</v>
      </c>
      <c r="H205" s="1">
        <v>0.95399999999999996</v>
      </c>
      <c r="I205" s="1">
        <v>0.97372999999999998</v>
      </c>
      <c r="J205" s="1">
        <v>0.96687000000000001</v>
      </c>
      <c r="K205" s="1">
        <v>0.88463999999999998</v>
      </c>
      <c r="L205" s="1">
        <v>0.90942000000000001</v>
      </c>
      <c r="M205" s="1">
        <v>0.99636000000000002</v>
      </c>
      <c r="N205" s="1">
        <v>0.95752999999999999</v>
      </c>
      <c r="O205" s="1">
        <v>0.95399999999999996</v>
      </c>
      <c r="P205" s="1">
        <v>0.97372999999999998</v>
      </c>
      <c r="Q205" s="1">
        <v>0.96687000000000001</v>
      </c>
      <c r="R205" s="1">
        <v>0.88463999999999998</v>
      </c>
      <c r="S205" s="1">
        <v>0.90942000000000001</v>
      </c>
      <c r="T205" s="1">
        <v>0.99636000000000002</v>
      </c>
      <c r="U205" s="1">
        <v>0.95752999999999999</v>
      </c>
      <c r="V205" s="1">
        <v>0.95399999999999996</v>
      </c>
      <c r="W205" s="1">
        <v>0.97372999999999998</v>
      </c>
      <c r="X205" s="1">
        <v>0.96687000000000001</v>
      </c>
      <c r="Y205" s="1">
        <v>0.88463999999999998</v>
      </c>
      <c r="Z205" s="1">
        <v>0.90942000000000001</v>
      </c>
      <c r="AA205" s="1">
        <v>0.99636000000000002</v>
      </c>
      <c r="AB205" s="1">
        <v>0.95752999999999999</v>
      </c>
      <c r="AC205" s="1">
        <v>0.95399999999999996</v>
      </c>
      <c r="AD205" s="1">
        <v>0.97372999999999998</v>
      </c>
      <c r="AE205" s="1">
        <v>0.96687000000000001</v>
      </c>
      <c r="AF205" s="1">
        <v>0.88463999999999998</v>
      </c>
      <c r="AG205" s="1">
        <v>0.90942000000000001</v>
      </c>
      <c r="AH205" s="1">
        <v>0.99636000000000002</v>
      </c>
      <c r="AI205" s="1">
        <v>0.95752999999999999</v>
      </c>
      <c r="AL205" s="4" t="s">
        <v>25</v>
      </c>
      <c r="AM205" s="6" cm="1">
        <f t="array" ref="AM205">IFERROR((SUMPRODUCT(($B$183:$B$206=AM$181)*($F$180:$AI$180="")*$F$183:$AI$206)+IF(AM$181="P6",SUMPRODUCT(($F$180:$AI$180="P6")*$F$183:$AI$206),0))/(SUMPRODUCT(($B$183:$B$206=AM$181)*($F$180:$AI$180=""))+IF(AM$181="P6",COUNTIF($F$180:$AI$180,"P6")*ROWS($B$183:$B$206),0)),"")</f>
        <v>0.88059752525252577</v>
      </c>
      <c r="AN205" s="6" cm="1">
        <f t="array" ref="AN205">IFERROR((SUMPRODUCT(($B$183:$B$206=AN$181)*($F$180:$AI$180="")*$F$183:$AI$206)+IF(AN$181="P6",SUMPRODUCT(($F$180:$AI$180="P6")*$F$183:$AI$206),0))/(SUMPRODUCT(($B$183:$B$206=AN$181)*($F$180:$AI$180=""))+IF(AN$181="P6",COUNTIF($F$180:$AI$180,"P6")*ROWS($B$183:$B$206),0)),"")</f>
        <v>0.88923850649350711</v>
      </c>
      <c r="AO205" s="6" t="str" cm="1">
        <f t="array" ref="AO205">IFERROR((SUMPRODUCT(($B$183:$B$206=AO$181)*($F$180:$AI$180="")*$F$183:$AI$206)+IF(AO$181="P6",SUMPRODUCT(($F$180:$AI$180="P6")*$F$183:$AI$206),0))/(SUMPRODUCT(($B$183:$B$206=AO$181)*($F$180:$AI$180=""))+IF(AO$181="P6",COUNTIF($F$180:$AI$180,"P6")*ROWS($B$183:$B$206),0)),"")</f>
        <v/>
      </c>
      <c r="AP205" s="6" t="str" cm="1">
        <f t="array" ref="AP205">IFERROR((SUMPRODUCT(($B$183:$B$206=AP$181)*($F$180:$AI$180="")*$F$183:$AI$206)+IF(AP$181="P6",SUMPRODUCT(($F$180:$AI$180="P6")*$F$183:$AI$206),0))/(SUMPRODUCT(($B$183:$B$206=AP$181)*($F$180:$AI$180=""))+IF(AP$181="P6",COUNTIF($F$180:$AI$180,"P6")*ROWS($B$183:$B$206),0)),"")</f>
        <v/>
      </c>
      <c r="AQ205" s="6" t="str" cm="1">
        <f t="array" ref="AQ205">IFERROR((SUMPRODUCT(($B$183:$B$206=AQ$181)*($F$180:$AI$180="")*$F$183:$AI$206)+IF(AQ$181="P6",SUMPRODUCT(($F$180:$AI$180="P6")*$F$183:$AI$206),0))/(SUMPRODUCT(($B$183:$B$206=AQ$181)*($F$180:$AI$180=""))+IF(AQ$181="P6",COUNTIF($F$180:$AI$180,"P6")*ROWS($B$183:$B$206),0)),"")</f>
        <v/>
      </c>
      <c r="AR205" s="6" cm="1">
        <f t="array" ref="AR205">IFERROR((SUMPRODUCT(($B$183:$B$206=AR$181)*($F$180:$AI$180="")*$F$183:$AI$206)+IF(AR$181="P6",SUMPRODUCT(($F$180:$AI$180="P6")*$F$183:$AI$206),0))/(SUMPRODUCT(($B$183:$B$206=AR$181)*($F$180:$AI$180=""))+IF(AR$181="P6",COUNTIF($F$180:$AI$180,"P6")*ROWS($B$183:$B$206),0)),"")</f>
        <v>0.86660494565217294</v>
      </c>
    </row>
    <row r="206" spans="1:44" ht="14.25" customHeight="1" x14ac:dyDescent="0.35">
      <c r="A206" s="1" t="s">
        <v>17</v>
      </c>
      <c r="B206" s="1" t="s">
        <v>14</v>
      </c>
      <c r="C206" s="1" t="s">
        <v>14</v>
      </c>
      <c r="D206" s="1" t="s">
        <v>16</v>
      </c>
      <c r="E206" s="1" t="s">
        <v>42</v>
      </c>
      <c r="F206" s="1">
        <v>0.98077000000000003</v>
      </c>
      <c r="G206" s="1">
        <v>0.96643999999999997</v>
      </c>
      <c r="H206" s="1">
        <v>0.94982999999999995</v>
      </c>
      <c r="I206" s="1">
        <v>0.96811000000000003</v>
      </c>
      <c r="J206" s="1">
        <v>0.97080999999999995</v>
      </c>
      <c r="K206" s="1">
        <v>0.89798</v>
      </c>
      <c r="L206" s="1">
        <v>0.92376999999999998</v>
      </c>
      <c r="M206" s="1">
        <v>0.98077000000000003</v>
      </c>
      <c r="N206" s="1">
        <v>0.96643999999999997</v>
      </c>
      <c r="O206" s="1">
        <v>0.94982999999999995</v>
      </c>
      <c r="P206" s="1">
        <v>0.96811000000000003</v>
      </c>
      <c r="Q206" s="1">
        <v>0.97080999999999995</v>
      </c>
      <c r="R206" s="1">
        <v>0.89798</v>
      </c>
      <c r="S206" s="1">
        <v>0.92376999999999998</v>
      </c>
      <c r="T206" s="1">
        <v>0.98077000000000003</v>
      </c>
      <c r="U206" s="1">
        <v>0.96643999999999997</v>
      </c>
      <c r="V206" s="1">
        <v>0.94982999999999995</v>
      </c>
      <c r="W206" s="1">
        <v>0.96811000000000003</v>
      </c>
      <c r="X206" s="1">
        <v>0.97080999999999995</v>
      </c>
      <c r="Y206" s="1">
        <v>0.89798</v>
      </c>
      <c r="Z206" s="1">
        <v>0.92376999999999998</v>
      </c>
      <c r="AA206" s="1">
        <v>0.98077000000000003</v>
      </c>
      <c r="AB206" s="1">
        <v>0.96643999999999997</v>
      </c>
      <c r="AC206" s="1">
        <v>0.94982999999999995</v>
      </c>
      <c r="AD206" s="1">
        <v>0.96811000000000003</v>
      </c>
      <c r="AE206" s="1">
        <v>0.97080999999999995</v>
      </c>
      <c r="AF206" s="1">
        <v>0.89798</v>
      </c>
      <c r="AG206" s="1">
        <v>0.92376999999999998</v>
      </c>
      <c r="AH206" s="1">
        <v>0.98077000000000003</v>
      </c>
      <c r="AI206" s="1">
        <v>0.96643999999999997</v>
      </c>
      <c r="AL206" s="4" t="s">
        <v>27</v>
      </c>
      <c r="AM206" s="6" cm="1">
        <f t="array" ref="AM206">IFERROR((SUMPRODUCT(($B$183:$B$206=AM$181)*($F$180:$AI$180="")*$F$183:$AI$206)+IF(AM$181="P6",SUMPRODUCT(($F$180:$AI$180="P6")*$F$183:$AI$206),0))/(SUMPRODUCT(($B$183:$B$206=AM$181)*($F$180:$AI$180=""))+IF(AM$181="P6",COUNTIF($F$180:$AI$180,"P6")*ROWS($B$183:$B$206),0)),"")</f>
        <v>0.88059752525252577</v>
      </c>
      <c r="AN206" s="6" cm="1">
        <f t="array" ref="AN206">IFERROR((SUMPRODUCT(($B$183:$B$206=AN$181)*($F$180:$AI$180="")*$F$183:$AI$206)+IF(AN$181="P6",SUMPRODUCT(($F$180:$AI$180="P6")*$F$183:$AI$206),0))/(SUMPRODUCT(($B$183:$B$206=AN$181)*($F$180:$AI$180=""))+IF(AN$181="P6",COUNTIF($F$180:$AI$180,"P6")*ROWS($B$183:$B$206),0)),"")</f>
        <v>0.88923850649350711</v>
      </c>
      <c r="AO206" s="6" t="str" cm="1">
        <f t="array" ref="AO206">IFERROR((SUMPRODUCT(($B$183:$B$206=AO$181)*($F$180:$AI$180="")*$F$183:$AI$206)+IF(AO$181="P6",SUMPRODUCT(($F$180:$AI$180="P6")*$F$183:$AI$206),0))/(SUMPRODUCT(($B$183:$B$206=AO$181)*($F$180:$AI$180=""))+IF(AO$181="P6",COUNTIF($F$180:$AI$180,"P6")*ROWS($B$183:$B$206),0)),"")</f>
        <v/>
      </c>
      <c r="AP206" s="6" t="str" cm="1">
        <f t="array" ref="AP206">IFERROR((SUMPRODUCT(($B$183:$B$206=AP$181)*($F$180:$AI$180="")*$F$183:$AI$206)+IF(AP$181="P6",SUMPRODUCT(($F$180:$AI$180="P6")*$F$183:$AI$206),0))/(SUMPRODUCT(($B$183:$B$206=AP$181)*($F$180:$AI$180=""))+IF(AP$181="P6",COUNTIF($F$180:$AI$180,"P6")*ROWS($B$183:$B$206),0)),"")</f>
        <v/>
      </c>
      <c r="AQ206" s="6" t="str" cm="1">
        <f t="array" ref="AQ206">IFERROR((SUMPRODUCT(($B$183:$B$206=AQ$181)*($F$180:$AI$180="")*$F$183:$AI$206)+IF(AQ$181="P6",SUMPRODUCT(($F$180:$AI$180="P6")*$F$183:$AI$206),0))/(SUMPRODUCT(($B$183:$B$206=AQ$181)*($F$180:$AI$180=""))+IF(AQ$181="P6",COUNTIF($F$180:$AI$180,"P6")*ROWS($B$183:$B$206),0)),"")</f>
        <v/>
      </c>
      <c r="AR206" s="6" cm="1">
        <f t="array" ref="AR206">IFERROR((SUMPRODUCT(($B$183:$B$206=AR$181)*($F$180:$AI$180="")*$F$183:$AI$206)+IF(AR$181="P6",SUMPRODUCT(($F$180:$AI$180="P6")*$F$183:$AI$206),0))/(SUMPRODUCT(($B$183:$B$206=AR$181)*($F$180:$AI$180=""))+IF(AR$181="P6",COUNTIF($F$180:$AI$180,"P6")*ROWS($B$183:$B$206),0)),"")</f>
        <v>0.86660494565217294</v>
      </c>
    </row>
    <row r="207" spans="1:44" ht="14.25" customHeight="1" x14ac:dyDescent="0.35">
      <c r="AL207" s="4" t="s">
        <v>29</v>
      </c>
      <c r="AM207" s="6" cm="1">
        <f t="array" ref="AM207">IFERROR((SUMPRODUCT(($B$183:$B$206=AM$181)*($F$180:$AI$180="")*$F$183:$AI$206)+IF(AM$181="P6",SUMPRODUCT(($F$180:$AI$180="P6")*$F$183:$AI$206),0))/(SUMPRODUCT(($B$183:$B$206=AM$181)*($F$180:$AI$180=""))+IF(AM$181="P6",COUNTIF($F$180:$AI$180,"P6")*ROWS($B$183:$B$206),0)),"")</f>
        <v>0.88059752525252577</v>
      </c>
      <c r="AN207" s="6" cm="1">
        <f t="array" ref="AN207">IFERROR((SUMPRODUCT(($B$183:$B$206=AN$181)*($F$180:$AI$180="")*$F$183:$AI$206)+IF(AN$181="P6",SUMPRODUCT(($F$180:$AI$180="P6")*$F$183:$AI$206),0))/(SUMPRODUCT(($B$183:$B$206=AN$181)*($F$180:$AI$180=""))+IF(AN$181="P6",COUNTIF($F$180:$AI$180,"P6")*ROWS($B$183:$B$206),0)),"")</f>
        <v>0.88923850649350711</v>
      </c>
      <c r="AO207" s="6" t="str" cm="1">
        <f t="array" ref="AO207">IFERROR((SUMPRODUCT(($B$183:$B$206=AO$181)*($F$180:$AI$180="")*$F$183:$AI$206)+IF(AO$181="P6",SUMPRODUCT(($F$180:$AI$180="P6")*$F$183:$AI$206),0))/(SUMPRODUCT(($B$183:$B$206=AO$181)*($F$180:$AI$180=""))+IF(AO$181="P6",COUNTIF($F$180:$AI$180,"P6")*ROWS($B$183:$B$206),0)),"")</f>
        <v/>
      </c>
      <c r="AP207" s="6" t="str" cm="1">
        <f t="array" ref="AP207">IFERROR((SUMPRODUCT(($B$183:$B$206=AP$181)*($F$180:$AI$180="")*$F$183:$AI$206)+IF(AP$181="P6",SUMPRODUCT(($F$180:$AI$180="P6")*$F$183:$AI$206),0))/(SUMPRODUCT(($B$183:$B$206=AP$181)*($F$180:$AI$180=""))+IF(AP$181="P6",COUNTIF($F$180:$AI$180,"P6")*ROWS($B$183:$B$206),0)),"")</f>
        <v/>
      </c>
      <c r="AQ207" s="6" t="str" cm="1">
        <f t="array" ref="AQ207">IFERROR((SUMPRODUCT(($B$183:$B$206=AQ$181)*($F$180:$AI$180="")*$F$183:$AI$206)+IF(AQ$181="P6",SUMPRODUCT(($F$180:$AI$180="P6")*$F$183:$AI$206),0))/(SUMPRODUCT(($B$183:$B$206=AQ$181)*($F$180:$AI$180=""))+IF(AQ$181="P6",COUNTIF($F$180:$AI$180,"P6")*ROWS($B$183:$B$206),0)),"")</f>
        <v/>
      </c>
      <c r="AR207" s="6" cm="1">
        <f t="array" ref="AR207">IFERROR((SUMPRODUCT(($B$183:$B$206=AR$181)*($F$180:$AI$180="")*$F$183:$AI$206)+IF(AR$181="P6",SUMPRODUCT(($F$180:$AI$180="P6")*$F$183:$AI$206),0))/(SUMPRODUCT(($B$183:$B$206=AR$181)*($F$180:$AI$180=""))+IF(AR$181="P6",COUNTIF($F$180:$AI$180,"P6")*ROWS($B$183:$B$206),0)),"")</f>
        <v>0.86660494565217294</v>
      </c>
    </row>
    <row r="211" spans="1:44" ht="14.25" customHeight="1" x14ac:dyDescent="0.35">
      <c r="A211" s="15" t="s">
        <v>66</v>
      </c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</row>
    <row r="212" spans="1:44" ht="14.25" customHeight="1" x14ac:dyDescent="0.3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</row>
    <row r="213" spans="1:44" ht="14.25" customHeight="1" x14ac:dyDescent="0.35">
      <c r="AL213" s="10"/>
      <c r="AM213" s="10"/>
      <c r="AN213" s="10"/>
      <c r="AO213" s="10"/>
      <c r="AP213" s="10"/>
      <c r="AQ213" s="10"/>
      <c r="AR213" s="10"/>
    </row>
    <row r="214" spans="1:44" ht="14.25" customHeight="1" x14ac:dyDescent="0.35">
      <c r="F214" s="1" t="str">
        <f>IF(OR(F216="S",F216="D"),"P3","")</f>
        <v/>
      </c>
      <c r="G214" s="1" t="str">
        <f t="shared" ref="G214:AJ214" si="24">IF(OR(G216="S",G216="D"),"P3","")</f>
        <v/>
      </c>
      <c r="H214" s="1" t="str">
        <f t="shared" si="24"/>
        <v/>
      </c>
      <c r="I214" s="1" t="str">
        <f t="shared" si="24"/>
        <v>P3</v>
      </c>
      <c r="J214" s="1" t="str">
        <f t="shared" si="24"/>
        <v>P3</v>
      </c>
      <c r="K214" s="1" t="str">
        <f t="shared" si="24"/>
        <v/>
      </c>
      <c r="L214" s="1" t="str">
        <f t="shared" si="24"/>
        <v/>
      </c>
      <c r="M214" s="1" t="str">
        <f t="shared" si="24"/>
        <v/>
      </c>
      <c r="N214" s="1" t="str">
        <f t="shared" si="24"/>
        <v/>
      </c>
      <c r="O214" s="1" t="str">
        <f t="shared" si="24"/>
        <v/>
      </c>
      <c r="P214" s="1" t="str">
        <f t="shared" si="24"/>
        <v>P3</v>
      </c>
      <c r="Q214" s="1" t="str">
        <f t="shared" si="24"/>
        <v>P3</v>
      </c>
      <c r="R214" s="1" t="str">
        <f t="shared" si="24"/>
        <v/>
      </c>
      <c r="S214" s="1" t="str">
        <f t="shared" si="24"/>
        <v/>
      </c>
      <c r="T214" s="1" t="str">
        <f t="shared" si="24"/>
        <v/>
      </c>
      <c r="U214" s="1" t="str">
        <f t="shared" si="24"/>
        <v/>
      </c>
      <c r="V214" s="1" t="str">
        <f t="shared" si="24"/>
        <v/>
      </c>
      <c r="W214" s="1" t="str">
        <f t="shared" si="24"/>
        <v>P3</v>
      </c>
      <c r="X214" s="1" t="str">
        <f t="shared" si="24"/>
        <v>P3</v>
      </c>
      <c r="Y214" s="1" t="str">
        <f t="shared" si="24"/>
        <v/>
      </c>
      <c r="Z214" s="1" t="str">
        <f t="shared" si="24"/>
        <v/>
      </c>
      <c r="AA214" s="1" t="str">
        <f t="shared" si="24"/>
        <v/>
      </c>
      <c r="AB214" s="1" t="str">
        <f t="shared" si="24"/>
        <v/>
      </c>
      <c r="AC214" s="1" t="str">
        <f t="shared" si="24"/>
        <v/>
      </c>
      <c r="AD214" s="1" t="str">
        <f t="shared" si="24"/>
        <v>P3</v>
      </c>
      <c r="AE214" s="1" t="str">
        <f t="shared" si="24"/>
        <v>P3</v>
      </c>
      <c r="AF214" s="1" t="str">
        <f t="shared" si="24"/>
        <v/>
      </c>
      <c r="AG214" s="1" t="str">
        <f t="shared" si="24"/>
        <v/>
      </c>
      <c r="AH214" s="1" t="str">
        <f t="shared" si="24"/>
        <v/>
      </c>
      <c r="AI214" s="1" t="str">
        <f t="shared" si="24"/>
        <v/>
      </c>
      <c r="AJ214" s="1" t="str">
        <f t="shared" si="24"/>
        <v/>
      </c>
      <c r="AL214" s="10"/>
      <c r="AM214" s="10"/>
      <c r="AN214" s="10"/>
      <c r="AO214" s="10"/>
      <c r="AP214" s="10"/>
      <c r="AQ214" s="10"/>
      <c r="AR214" s="10"/>
    </row>
    <row r="215" spans="1:44" ht="14.25" customHeight="1" x14ac:dyDescent="0.35">
      <c r="F215" s="1" t="str">
        <f>IF(OR(F216="S",F216="D"),"P6","")</f>
        <v/>
      </c>
      <c r="G215" s="1" t="str">
        <f t="shared" ref="G215:AJ215" si="25">IF(OR(G216="S",G216="D"),"P6","")</f>
        <v/>
      </c>
      <c r="H215" s="1" t="str">
        <f t="shared" si="25"/>
        <v/>
      </c>
      <c r="I215" s="1" t="str">
        <f t="shared" si="25"/>
        <v>P6</v>
      </c>
      <c r="J215" s="1" t="str">
        <f t="shared" si="25"/>
        <v>P6</v>
      </c>
      <c r="K215" s="1" t="str">
        <f t="shared" si="25"/>
        <v/>
      </c>
      <c r="L215" s="1" t="str">
        <f t="shared" si="25"/>
        <v/>
      </c>
      <c r="M215" s="1" t="str">
        <f t="shared" si="25"/>
        <v/>
      </c>
      <c r="N215" s="1" t="str">
        <f t="shared" si="25"/>
        <v/>
      </c>
      <c r="O215" s="1" t="str">
        <f t="shared" si="25"/>
        <v/>
      </c>
      <c r="P215" s="1" t="str">
        <f t="shared" si="25"/>
        <v>P6</v>
      </c>
      <c r="Q215" s="1" t="str">
        <f t="shared" si="25"/>
        <v>P6</v>
      </c>
      <c r="R215" s="1" t="str">
        <f t="shared" si="25"/>
        <v/>
      </c>
      <c r="S215" s="1" t="str">
        <f t="shared" si="25"/>
        <v/>
      </c>
      <c r="T215" s="1" t="str">
        <f t="shared" si="25"/>
        <v/>
      </c>
      <c r="U215" s="1" t="str">
        <f t="shared" si="25"/>
        <v/>
      </c>
      <c r="V215" s="1" t="str">
        <f t="shared" si="25"/>
        <v/>
      </c>
      <c r="W215" s="1" t="str">
        <f t="shared" si="25"/>
        <v>P6</v>
      </c>
      <c r="X215" s="1" t="str">
        <f t="shared" si="25"/>
        <v>P6</v>
      </c>
      <c r="Y215" s="1" t="str">
        <f t="shared" si="25"/>
        <v/>
      </c>
      <c r="Z215" s="1" t="str">
        <f t="shared" si="25"/>
        <v/>
      </c>
      <c r="AA215" s="1" t="str">
        <f t="shared" si="25"/>
        <v/>
      </c>
      <c r="AB215" s="1" t="str">
        <f t="shared" si="25"/>
        <v/>
      </c>
      <c r="AC215" s="1" t="str">
        <f t="shared" si="25"/>
        <v/>
      </c>
      <c r="AD215" s="1" t="str">
        <f t="shared" si="25"/>
        <v>P6</v>
      </c>
      <c r="AE215" s="1" t="str">
        <f t="shared" si="25"/>
        <v>P6</v>
      </c>
      <c r="AF215" s="1" t="str">
        <f t="shared" si="25"/>
        <v/>
      </c>
      <c r="AG215" s="1" t="str">
        <f t="shared" si="25"/>
        <v/>
      </c>
      <c r="AH215" s="1" t="str">
        <f t="shared" si="25"/>
        <v/>
      </c>
      <c r="AI215" s="1" t="str">
        <f t="shared" si="25"/>
        <v/>
      </c>
      <c r="AJ215" s="1" t="str">
        <f t="shared" si="25"/>
        <v/>
      </c>
      <c r="AL215" s="14" t="s">
        <v>134</v>
      </c>
      <c r="AM215" s="14"/>
      <c r="AN215" s="14"/>
      <c r="AO215" s="14"/>
      <c r="AP215" s="14"/>
      <c r="AQ215" s="14"/>
      <c r="AR215" s="14"/>
    </row>
    <row r="216" spans="1:44" ht="14.25" customHeight="1" x14ac:dyDescent="0.35">
      <c r="F216" s="1" t="str">
        <f>CHOOSE(WEEKDAY(F217,2),"L","M","X","J","V","S","D")</f>
        <v>X</v>
      </c>
      <c r="G216" s="1" t="str">
        <f t="shared" ref="G216:AJ216" si="26">CHOOSE(WEEKDAY(G217,2),"L","M","X","J","V","S","D")</f>
        <v>J</v>
      </c>
      <c r="H216" s="1" t="str">
        <f t="shared" si="26"/>
        <v>V</v>
      </c>
      <c r="I216" s="1" t="str">
        <f t="shared" si="26"/>
        <v>S</v>
      </c>
      <c r="J216" s="1" t="str">
        <f t="shared" si="26"/>
        <v>D</v>
      </c>
      <c r="K216" s="1" t="str">
        <f t="shared" si="26"/>
        <v>L</v>
      </c>
      <c r="L216" s="1" t="str">
        <f t="shared" si="26"/>
        <v>M</v>
      </c>
      <c r="M216" s="1" t="str">
        <f t="shared" si="26"/>
        <v>X</v>
      </c>
      <c r="N216" s="1" t="str">
        <f t="shared" si="26"/>
        <v>J</v>
      </c>
      <c r="O216" s="1" t="str">
        <f t="shared" si="26"/>
        <v>V</v>
      </c>
      <c r="P216" s="1" t="str">
        <f t="shared" si="26"/>
        <v>S</v>
      </c>
      <c r="Q216" s="1" t="str">
        <f t="shared" si="26"/>
        <v>D</v>
      </c>
      <c r="R216" s="1" t="str">
        <f t="shared" si="26"/>
        <v>L</v>
      </c>
      <c r="S216" s="1" t="str">
        <f t="shared" si="26"/>
        <v>M</v>
      </c>
      <c r="T216" s="1" t="str">
        <f t="shared" si="26"/>
        <v>X</v>
      </c>
      <c r="U216" s="1" t="str">
        <f t="shared" si="26"/>
        <v>J</v>
      </c>
      <c r="V216" s="1" t="str">
        <f t="shared" si="26"/>
        <v>V</v>
      </c>
      <c r="W216" s="1" t="str">
        <f t="shared" si="26"/>
        <v>S</v>
      </c>
      <c r="X216" s="1" t="str">
        <f t="shared" si="26"/>
        <v>D</v>
      </c>
      <c r="Y216" s="1" t="str">
        <f t="shared" si="26"/>
        <v>L</v>
      </c>
      <c r="Z216" s="1" t="str">
        <f t="shared" si="26"/>
        <v>M</v>
      </c>
      <c r="AA216" s="1" t="str">
        <f t="shared" si="26"/>
        <v>X</v>
      </c>
      <c r="AB216" s="1" t="str">
        <f t="shared" si="26"/>
        <v>J</v>
      </c>
      <c r="AC216" s="1" t="str">
        <f t="shared" si="26"/>
        <v>V</v>
      </c>
      <c r="AD216" s="1" t="str">
        <f t="shared" si="26"/>
        <v>S</v>
      </c>
      <c r="AE216" s="1" t="str">
        <f t="shared" si="26"/>
        <v>D</v>
      </c>
      <c r="AF216" s="1" t="str">
        <f t="shared" si="26"/>
        <v>L</v>
      </c>
      <c r="AG216" s="1" t="str">
        <f t="shared" si="26"/>
        <v>M</v>
      </c>
      <c r="AH216" s="1" t="str">
        <f t="shared" si="26"/>
        <v>X</v>
      </c>
      <c r="AI216" s="1" t="str">
        <f t="shared" si="26"/>
        <v>J</v>
      </c>
      <c r="AJ216" s="1" t="str">
        <f t="shared" si="26"/>
        <v>V</v>
      </c>
      <c r="AL216" s="4"/>
      <c r="AM216" s="4" t="s">
        <v>13</v>
      </c>
      <c r="AN216" s="4" t="s">
        <v>14</v>
      </c>
      <c r="AO216" s="4" t="s">
        <v>15</v>
      </c>
      <c r="AP216" s="4" t="s">
        <v>16</v>
      </c>
      <c r="AQ216" s="4" t="s">
        <v>17</v>
      </c>
      <c r="AR216" s="4" t="s">
        <v>7</v>
      </c>
    </row>
    <row r="217" spans="1:44" ht="14.25" customHeight="1" x14ac:dyDescent="0.35">
      <c r="A217" s="3" t="s">
        <v>76</v>
      </c>
      <c r="B217" s="3" t="s">
        <v>77</v>
      </c>
      <c r="C217" s="3" t="s">
        <v>75</v>
      </c>
      <c r="D217" s="3" t="s">
        <v>74</v>
      </c>
      <c r="F217" s="8">
        <v>46204</v>
      </c>
      <c r="G217" s="8">
        <v>46205</v>
      </c>
      <c r="H217" s="8">
        <v>46206</v>
      </c>
      <c r="I217" s="8">
        <v>46207</v>
      </c>
      <c r="J217" s="8">
        <v>46208</v>
      </c>
      <c r="K217" s="8">
        <v>46209</v>
      </c>
      <c r="L217" s="8">
        <v>46210</v>
      </c>
      <c r="M217" s="8">
        <v>46211</v>
      </c>
      <c r="N217" s="8">
        <v>46212</v>
      </c>
      <c r="O217" s="8">
        <v>46213</v>
      </c>
      <c r="P217" s="8">
        <v>46214</v>
      </c>
      <c r="Q217" s="8">
        <v>46215</v>
      </c>
      <c r="R217" s="8">
        <v>46216</v>
      </c>
      <c r="S217" s="8">
        <v>46217</v>
      </c>
      <c r="T217" s="8">
        <v>46218</v>
      </c>
      <c r="U217" s="8">
        <v>46219</v>
      </c>
      <c r="V217" s="8">
        <v>46220</v>
      </c>
      <c r="W217" s="8">
        <v>46221</v>
      </c>
      <c r="X217" s="8">
        <v>46222</v>
      </c>
      <c r="Y217" s="8">
        <v>46223</v>
      </c>
      <c r="Z217" s="8">
        <v>46224</v>
      </c>
      <c r="AA217" s="8">
        <v>46225</v>
      </c>
      <c r="AB217" s="8">
        <v>46226</v>
      </c>
      <c r="AC217" s="8">
        <v>46227</v>
      </c>
      <c r="AD217" s="8">
        <v>46228</v>
      </c>
      <c r="AE217" s="8">
        <v>46229</v>
      </c>
      <c r="AF217" s="8">
        <v>46230</v>
      </c>
      <c r="AG217" s="8">
        <v>46231</v>
      </c>
      <c r="AH217" s="8">
        <v>46232</v>
      </c>
      <c r="AI217" s="8">
        <v>46233</v>
      </c>
      <c r="AJ217" s="8">
        <v>46234</v>
      </c>
      <c r="AL217" s="4" t="s">
        <v>19</v>
      </c>
      <c r="AM217" s="6" cm="1">
        <f t="array" ref="AM217">IFERROR((SUMPRODUCT(($C$218:$C$241=AM$216)*($F$214:$AJ$214="")*$F$218:$AJ$241)+IF(AM$216="P3",SUMPRODUCT(($F$214:$AJ$214="P3")*$F$218:$AJ$241),0))/(SUMPRODUCT(($C$218:$C$241=AM$216)*($F$214:$AJ$214=""))+IF(AM$216="P3",COUNTIF($F$214:$AJ$214,"P3")*ROWS($C$218:$C$241),0)),"")</f>
        <v>0.86196233695652236</v>
      </c>
      <c r="AN217" s="6" cm="1">
        <f t="array" ref="AN217">IFERROR((SUMPRODUCT(($C$218:$C$241=AN$216)*($F$214:$AJ$214="")*$F$218:$AJ$241)+IF(AN$216="P3",SUMPRODUCT(($F$214:$AJ$214="P3")*$F$218:$AJ$241),0))/(SUMPRODUCT(($C$218:$C$241=AN$216)*($F$214:$AJ$214=""))+IF(AN$216="P3",COUNTIF($F$214:$AJ$214,"P3")*ROWS($C$218:$C$241),0)),"")</f>
        <v>0.85229396739130447</v>
      </c>
      <c r="AO217" s="6" cm="1">
        <f t="array" ref="AO217">IFERROR((SUMPRODUCT(($C$218:$C$241=AO$216)*($F$214:$AJ$214="")*$F$218:$AJ$241)+IF(AO$216="P3",SUMPRODUCT(($F$214:$AJ$214="P3")*$F$218:$AJ$241),0))/(SUMPRODUCT(($C$218:$C$241=AO$216)*($F$214:$AJ$214=""))+IF(AO$216="P3",COUNTIF($F$214:$AJ$214,"P3")*ROWS($C$218:$C$241),0)),"")</f>
        <v>0.86327978723404197</v>
      </c>
      <c r="AP217" s="6" t="str" cm="1">
        <f t="array" ref="AP217">IFERROR((SUMPRODUCT(($C$218:$C$241=AP$216)*($F$214:$AJ$214="")*$F$218:$AJ$241)+IF(AP$216="P3",SUMPRODUCT(($F$214:$AJ$214="P3")*$F$218:$AJ$241),0))/(SUMPRODUCT(($C$218:$C$241=AP$216)*($F$214:$AJ$214=""))+IF(AP$216="P3",COUNTIF($F$214:$AJ$214,"P3")*ROWS($C$218:$C$241),0)),"")</f>
        <v/>
      </c>
      <c r="AQ217" s="6" t="str" cm="1">
        <f t="array" ref="AQ217">IFERROR((SUMPRODUCT(($C$218:$C$241=AQ$216)*($F$214:$AJ$214="")*$F$218:$AJ$241)+IF(AQ$216="P3",SUMPRODUCT(($F$214:$AJ$214="P3")*$F$218:$AJ$241),0))/(SUMPRODUCT(($C$218:$C$241=AQ$216)*($F$214:$AJ$214=""))+IF(AQ$216="P3",COUNTIF($F$214:$AJ$214,"P3")*ROWS($C$218:$C$241),0)),"")</f>
        <v/>
      </c>
      <c r="AR217" s="6" t="str" cm="1">
        <f t="array" ref="AR217">IFERROR((SUMPRODUCT(($C$218:$C$241=AR$216)*($F$214:$AJ$214="")*$F$218:$AJ$241)+IF(AR$216="P3",SUMPRODUCT(($F$214:$AJ$214="P3")*$F$218:$AJ$241),0))/(SUMPRODUCT(($C$218:$C$241=AR$216)*($F$214:$AJ$214=""))+IF(AR$216="P3",COUNTIF($F$214:$AJ$214,"P3")*ROWS($C$218:$C$241),0)),"")</f>
        <v/>
      </c>
    </row>
    <row r="218" spans="1:44" ht="14.25" customHeight="1" x14ac:dyDescent="0.35">
      <c r="A218" s="1" t="s">
        <v>7</v>
      </c>
      <c r="B218" s="1" t="s">
        <v>7</v>
      </c>
      <c r="C218" s="1" t="s">
        <v>15</v>
      </c>
      <c r="D218" s="1" t="s">
        <v>7</v>
      </c>
      <c r="E218" s="1" t="s">
        <v>8</v>
      </c>
      <c r="F218" s="1">
        <v>0.87673000000000001</v>
      </c>
      <c r="G218" s="1">
        <v>0.88275999999999999</v>
      </c>
      <c r="H218" s="1">
        <v>0.87895000000000001</v>
      </c>
      <c r="I218" s="1">
        <v>0.89265000000000005</v>
      </c>
      <c r="J218" s="1">
        <v>0.90364</v>
      </c>
      <c r="K218" s="1">
        <v>0.89119000000000004</v>
      </c>
      <c r="L218" s="1">
        <v>0.89034999999999997</v>
      </c>
      <c r="M218" s="1">
        <v>0.87673000000000001</v>
      </c>
      <c r="N218" s="1">
        <v>0.88275999999999999</v>
      </c>
      <c r="O218" s="1">
        <v>0.87895000000000001</v>
      </c>
      <c r="P218" s="1">
        <v>0.89265000000000005</v>
      </c>
      <c r="Q218" s="1">
        <v>0.90364</v>
      </c>
      <c r="R218" s="1">
        <v>0.89119000000000004</v>
      </c>
      <c r="S218" s="1">
        <v>0.89034999999999997</v>
      </c>
      <c r="T218" s="1">
        <v>0.87673000000000001</v>
      </c>
      <c r="U218" s="1">
        <v>0.88275999999999999</v>
      </c>
      <c r="V218" s="1">
        <v>0.87895000000000001</v>
      </c>
      <c r="W218" s="1">
        <v>0.89265000000000005</v>
      </c>
      <c r="X218" s="1">
        <v>0.90364</v>
      </c>
      <c r="Y218" s="1">
        <v>0.89119000000000004</v>
      </c>
      <c r="Z218" s="1">
        <v>0.89034999999999997</v>
      </c>
      <c r="AA218" s="1">
        <v>0.87673000000000001</v>
      </c>
      <c r="AB218" s="1">
        <v>0.88275999999999999</v>
      </c>
      <c r="AC218" s="1">
        <v>0.87895000000000001</v>
      </c>
      <c r="AD218" s="1">
        <v>0.89265000000000005</v>
      </c>
      <c r="AE218" s="1">
        <v>0.90364</v>
      </c>
      <c r="AF218" s="1">
        <v>0.89119000000000004</v>
      </c>
      <c r="AG218" s="1">
        <v>0.89034999999999997</v>
      </c>
      <c r="AH218" s="1">
        <v>0.87673000000000001</v>
      </c>
      <c r="AI218" s="1">
        <v>0.88275999999999999</v>
      </c>
      <c r="AJ218" s="1">
        <v>0.87895000000000001</v>
      </c>
      <c r="AL218" s="4" t="s">
        <v>21</v>
      </c>
      <c r="AM218" s="6" cm="1">
        <f t="array" ref="AM218">IFERROR((SUMPRODUCT(($D$218:$D$241=AM$216)*($F$215:$AJ$215="")*$F$218:$AJ$241)+IF(AM$216="P6",SUMPRODUCT(($F$215:$AJ$215="P6")*$F$218:$AJ$241),0))/(SUMPRODUCT(($D$218:$D$241=AM$216)*($F$215:$AJ$215=""))+IF(AM$216="P6",COUNTIF($F$215:$AJ$215,"P6")*ROWS($D$218:$D$241),0)),"")</f>
        <v>0.85813454106280196</v>
      </c>
      <c r="AN218" s="6" cm="1">
        <f t="array" ref="AN218">IFERROR((SUMPRODUCT(($D$218:$D$241=AN$216)*($F$215:$AJ$215="")*$F$218:$AJ$241)+IF(AN$216="P6",SUMPRODUCT(($F$215:$AJ$215="P6")*$F$218:$AJ$241),0))/(SUMPRODUCT(($D$218:$D$241=AN$216)*($F$215:$AJ$215=""))+IF(AN$216="P6",COUNTIF($F$215:$AJ$215,"P6")*ROWS($D$218:$D$241),0)),"")</f>
        <v>0.85583422360248484</v>
      </c>
      <c r="AO218" s="6" t="str" cm="1">
        <f t="array" ref="AO218">IFERROR((SUMPRODUCT(($D$218:$D$241=AO$216)*($F$215:$AJ$215="")*$F$218:$AJ$241)+IF(AO$216="P6",SUMPRODUCT(($F$215:$AJ$215="P6")*$F$218:$AJ$241),0))/(SUMPRODUCT(($D$218:$D$241=AO$216)*($F$215:$AJ$215=""))+IF(AO$216="P6",COUNTIF($F$215:$AJ$215,"P6")*ROWS($D$218:$D$241),0)),"")</f>
        <v/>
      </c>
      <c r="AP218" s="6" t="str" cm="1">
        <f t="array" ref="AP218">IFERROR((SUMPRODUCT(($D$218:$D$241=AP$216)*($F$215:$AJ$215="")*$F$218:$AJ$241)+IF(AP$216="P6",SUMPRODUCT(($F$215:$AJ$215="P6")*$F$218:$AJ$241),0))/(SUMPRODUCT(($D$218:$D$241=AP$216)*($F$215:$AJ$215=""))+IF(AP$216="P6",COUNTIF($F$215:$AJ$215,"P6")*ROWS($D$218:$D$241),0)),"")</f>
        <v/>
      </c>
      <c r="AQ218" s="6" t="str" cm="1">
        <f t="array" ref="AQ218">IFERROR((SUMPRODUCT(($D$218:$D$241=AQ$216)*($F$215:$AJ$215="")*$F$218:$AJ$241)+IF(AQ$216="P6",SUMPRODUCT(($F$215:$AJ$215="P6")*$F$218:$AJ$241),0))/(SUMPRODUCT(($D$218:$D$241=AQ$216)*($F$215:$AJ$215=""))+IF(AQ$216="P6",COUNTIF($F$215:$AJ$215,"P6")*ROWS($D$218:$D$241),0)),"")</f>
        <v/>
      </c>
      <c r="AR218" s="6" cm="1">
        <f t="array" ref="AR218">IFERROR((SUMPRODUCT(($D$218:$D$241=AR$216)*($F$215:$AJ$215="")*$F$218:$AJ$241)+IF(AR$216="P6",SUMPRODUCT(($F$215:$AJ$215="P6")*$F$218:$AJ$241),0))/(SUMPRODUCT(($D$218:$D$241=AR$216)*($F$215:$AJ$215=""))+IF(AR$216="P6",COUNTIF($F$215:$AJ$215,"P6")*ROWS($D$218:$D$241),0)),"")</f>
        <v>0.86327978723404197</v>
      </c>
    </row>
    <row r="219" spans="1:44" ht="14.25" customHeight="1" x14ac:dyDescent="0.35">
      <c r="A219" s="1" t="s">
        <v>7</v>
      </c>
      <c r="B219" s="1" t="s">
        <v>7</v>
      </c>
      <c r="C219" s="1" t="s">
        <v>15</v>
      </c>
      <c r="D219" s="1" t="s">
        <v>7</v>
      </c>
      <c r="E219" s="1" t="s">
        <v>9</v>
      </c>
      <c r="F219" s="1">
        <v>0.89307000000000003</v>
      </c>
      <c r="G219" s="1">
        <v>0.90232999999999997</v>
      </c>
      <c r="H219" s="1">
        <v>0.88309000000000004</v>
      </c>
      <c r="I219" s="1">
        <v>0.90922000000000003</v>
      </c>
      <c r="J219" s="1">
        <v>0.91813999999999996</v>
      </c>
      <c r="K219" s="1">
        <v>0.90164999999999995</v>
      </c>
      <c r="L219" s="1">
        <v>0.90166999999999997</v>
      </c>
      <c r="M219" s="1">
        <v>0.89307000000000003</v>
      </c>
      <c r="N219" s="1">
        <v>0.90232999999999997</v>
      </c>
      <c r="O219" s="1">
        <v>0.88309000000000004</v>
      </c>
      <c r="P219" s="1">
        <v>0.90922000000000003</v>
      </c>
      <c r="Q219" s="1">
        <v>0.91813999999999996</v>
      </c>
      <c r="R219" s="1">
        <v>0.90164999999999995</v>
      </c>
      <c r="S219" s="1">
        <v>0.90166999999999997</v>
      </c>
      <c r="T219" s="1">
        <v>0.89307000000000003</v>
      </c>
      <c r="U219" s="1">
        <v>0.90232999999999997</v>
      </c>
      <c r="V219" s="1">
        <v>0.88309000000000004</v>
      </c>
      <c r="W219" s="1">
        <v>0.90922000000000003</v>
      </c>
      <c r="X219" s="1">
        <v>0.91813999999999996</v>
      </c>
      <c r="Y219" s="1">
        <v>0.90164999999999995</v>
      </c>
      <c r="Z219" s="1">
        <v>0.90166999999999997</v>
      </c>
      <c r="AA219" s="1">
        <v>0.89307000000000003</v>
      </c>
      <c r="AB219" s="1">
        <v>0.90232999999999997</v>
      </c>
      <c r="AC219" s="1">
        <v>0.88309000000000004</v>
      </c>
      <c r="AD219" s="1">
        <v>0.90922000000000003</v>
      </c>
      <c r="AE219" s="1">
        <v>0.91813999999999996</v>
      </c>
      <c r="AF219" s="1">
        <v>0.90164999999999995</v>
      </c>
      <c r="AG219" s="1">
        <v>0.90166999999999997</v>
      </c>
      <c r="AH219" s="1">
        <v>0.89307000000000003</v>
      </c>
      <c r="AI219" s="1">
        <v>0.90232999999999997</v>
      </c>
      <c r="AJ219" s="1">
        <v>0.88309000000000004</v>
      </c>
      <c r="AL219" s="4" t="s">
        <v>23</v>
      </c>
      <c r="AM219" s="6" cm="1">
        <f t="array" ref="AM219">IFERROR((SUMPRODUCT(($D$218:$D$241=AM$216)*($F$215:$AJ$215="")*$F$218:$AJ$241)+IF(AM$216="P6",SUMPRODUCT(($F$215:$AJ$215="P6")*$F$218:$AJ$241),0))/(SUMPRODUCT(($D$218:$D$241=AM$216)*($F$215:$AJ$215=""))+IF(AM$216="P6",COUNTIF($F$215:$AJ$215,"P6")*ROWS($D$218:$D$241),0)),"")</f>
        <v>0.85813454106280196</v>
      </c>
      <c r="AN219" s="6" cm="1">
        <f t="array" ref="AN219">IFERROR((SUMPRODUCT(($D$218:$D$241=AN$216)*($F$215:$AJ$215="")*$F$218:$AJ$241)+IF(AN$216="P6",SUMPRODUCT(($F$215:$AJ$215="P6")*$F$218:$AJ$241),0))/(SUMPRODUCT(($D$218:$D$241=AN$216)*($F$215:$AJ$215=""))+IF(AN$216="P6",COUNTIF($F$215:$AJ$215,"P6")*ROWS($D$218:$D$241),0)),"")</f>
        <v>0.85583422360248484</v>
      </c>
      <c r="AO219" s="5" t="str" cm="1">
        <f t="array" ref="AO219">IFERROR((SUMPRODUCT(($D$218:$D$241=AO$216)*($F$215:$AJ$215="")*$F$218:$AJ$241)+IF(AO$216="P6",SUMPRODUCT(($F$215:$AJ$215="P6")*$F$218:$AJ$241),0))/(SUMPRODUCT(($D$218:$D$241=AO$216)*($F$215:$AJ$215=""))+IF(AO$216="P6",COUNTIF($F$215:$AJ$215,"P6")*ROWS($D$218:$D$241),0)),"")</f>
        <v/>
      </c>
      <c r="AP219" s="5" t="str" cm="1">
        <f t="array" ref="AP219">IFERROR((SUMPRODUCT(($D$218:$D$241=AP$216)*($F$215:$AJ$215="")*$F$218:$AJ$241)+IF(AP$216="P6",SUMPRODUCT(($F$215:$AJ$215="P6")*$F$218:$AJ$241),0))/(SUMPRODUCT(($D$218:$D$241=AP$216)*($F$215:$AJ$215=""))+IF(AP$216="P6",COUNTIF($F$215:$AJ$215,"P6")*ROWS($D$218:$D$241),0)),"")</f>
        <v/>
      </c>
      <c r="AQ219" s="5" t="str" cm="1">
        <f t="array" ref="AQ219">IFERROR((SUMPRODUCT(($D$218:$D$241=AQ$216)*($F$215:$AJ$215="")*$F$218:$AJ$241)+IF(AQ$216="P6",SUMPRODUCT(($F$215:$AJ$215="P6")*$F$218:$AJ$241),0))/(SUMPRODUCT(($D$218:$D$241=AQ$216)*($F$215:$AJ$215=""))+IF(AQ$216="P6",COUNTIF($F$215:$AJ$215,"P6")*ROWS($D$218:$D$241),0)),"")</f>
        <v/>
      </c>
      <c r="AR219" s="6" cm="1">
        <f t="array" ref="AR219">IFERROR((SUMPRODUCT(($D$218:$D$241=AR$216)*($F$215:$AJ$215="")*$F$218:$AJ$241)+IF(AR$216="P6",SUMPRODUCT(($F$215:$AJ$215="P6")*$F$218:$AJ$241),0))/(SUMPRODUCT(($D$218:$D$241=AR$216)*($F$215:$AJ$215=""))+IF(AR$216="P6",COUNTIF($F$215:$AJ$215,"P6")*ROWS($D$218:$D$241),0)),"")</f>
        <v>0.86327978723404197</v>
      </c>
    </row>
    <row r="220" spans="1:44" ht="14.25" customHeight="1" x14ac:dyDescent="0.35">
      <c r="A220" s="1" t="s">
        <v>7</v>
      </c>
      <c r="B220" s="1" t="s">
        <v>7</v>
      </c>
      <c r="C220" s="1" t="s">
        <v>15</v>
      </c>
      <c r="D220" s="1" t="s">
        <v>7</v>
      </c>
      <c r="E220" s="1" t="s">
        <v>10</v>
      </c>
      <c r="F220" s="1">
        <v>0.88466</v>
      </c>
      <c r="G220" s="1">
        <v>0.90364</v>
      </c>
      <c r="H220" s="1">
        <v>0.88727</v>
      </c>
      <c r="I220" s="1">
        <v>0.92361000000000004</v>
      </c>
      <c r="J220" s="1">
        <v>0.92418999999999996</v>
      </c>
      <c r="K220" s="1">
        <v>0.90808999999999995</v>
      </c>
      <c r="L220" s="1">
        <v>0.90590999999999999</v>
      </c>
      <c r="M220" s="1">
        <v>0.88466</v>
      </c>
      <c r="N220" s="1">
        <v>0.90364</v>
      </c>
      <c r="O220" s="1">
        <v>0.88727</v>
      </c>
      <c r="P220" s="1">
        <v>0.92361000000000004</v>
      </c>
      <c r="Q220" s="1">
        <v>0.92418999999999996</v>
      </c>
      <c r="R220" s="1">
        <v>0.90808999999999995</v>
      </c>
      <c r="S220" s="1">
        <v>0.90590999999999999</v>
      </c>
      <c r="T220" s="1">
        <v>0.88466</v>
      </c>
      <c r="U220" s="1">
        <v>0.90364</v>
      </c>
      <c r="V220" s="1">
        <v>0.88727</v>
      </c>
      <c r="W220" s="1">
        <v>0.92361000000000004</v>
      </c>
      <c r="X220" s="1">
        <v>0.92418999999999996</v>
      </c>
      <c r="Y220" s="1">
        <v>0.90808999999999995</v>
      </c>
      <c r="Z220" s="1">
        <v>0.90590999999999999</v>
      </c>
      <c r="AA220" s="1">
        <v>0.88466</v>
      </c>
      <c r="AB220" s="1">
        <v>0.90364</v>
      </c>
      <c r="AC220" s="1">
        <v>0.88727</v>
      </c>
      <c r="AD220" s="1">
        <v>0.92361000000000004</v>
      </c>
      <c r="AE220" s="1">
        <v>0.92418999999999996</v>
      </c>
      <c r="AF220" s="1">
        <v>0.90808999999999995</v>
      </c>
      <c r="AG220" s="1">
        <v>0.90590999999999999</v>
      </c>
      <c r="AH220" s="1">
        <v>0.88466</v>
      </c>
      <c r="AI220" s="1">
        <v>0.90364</v>
      </c>
      <c r="AJ220" s="1">
        <v>0.88727</v>
      </c>
      <c r="AL220" s="4" t="s">
        <v>25</v>
      </c>
      <c r="AM220" s="6" cm="1">
        <f t="array" ref="AM220">IFERROR((SUMPRODUCT(($D$218:$D$241=AM$216)*($F$215:$AJ$215="")*$F$218:$AJ$241)+IF(AM$216="P6",SUMPRODUCT(($F$215:$AJ$215="P6")*$F$218:$AJ$241),0))/(SUMPRODUCT(($D$218:$D$241=AM$216)*($F$215:$AJ$215=""))+IF(AM$216="P6",COUNTIF($F$215:$AJ$215,"P6")*ROWS($D$218:$D$241),0)),"")</f>
        <v>0.85813454106280196</v>
      </c>
      <c r="AN220" s="6" cm="1">
        <f t="array" ref="AN220">IFERROR((SUMPRODUCT(($D$218:$D$241=AN$216)*($F$215:$AJ$215="")*$F$218:$AJ$241)+IF(AN$216="P6",SUMPRODUCT(($F$215:$AJ$215="P6")*$F$218:$AJ$241),0))/(SUMPRODUCT(($D$218:$D$241=AN$216)*($F$215:$AJ$215=""))+IF(AN$216="P6",COUNTIF($F$215:$AJ$215,"P6")*ROWS($D$218:$D$241),0)),"")</f>
        <v>0.85583422360248484</v>
      </c>
      <c r="AO220" s="5" t="str" cm="1">
        <f t="array" ref="AO220">IFERROR((SUMPRODUCT(($D$218:$D$241=AO$216)*($F$215:$AJ$215="")*$F$218:$AJ$241)+IF(AO$216="P6",SUMPRODUCT(($F$215:$AJ$215="P6")*$F$218:$AJ$241),0))/(SUMPRODUCT(($D$218:$D$241=AO$216)*($F$215:$AJ$215=""))+IF(AO$216="P6",COUNTIF($F$215:$AJ$215,"P6")*ROWS($D$218:$D$241),0)),"")</f>
        <v/>
      </c>
      <c r="AP220" s="5" t="str" cm="1">
        <f t="array" ref="AP220">IFERROR((SUMPRODUCT(($D$218:$D$241=AP$216)*($F$215:$AJ$215="")*$F$218:$AJ$241)+IF(AP$216="P6",SUMPRODUCT(($F$215:$AJ$215="P6")*$F$218:$AJ$241),0))/(SUMPRODUCT(($D$218:$D$241=AP$216)*($F$215:$AJ$215=""))+IF(AP$216="P6",COUNTIF($F$215:$AJ$215,"P6")*ROWS($D$218:$D$241),0)),"")</f>
        <v/>
      </c>
      <c r="AQ220" s="5" t="str" cm="1">
        <f t="array" ref="AQ220">IFERROR((SUMPRODUCT(($D$218:$D$241=AQ$216)*($F$215:$AJ$215="")*$F$218:$AJ$241)+IF(AQ$216="P6",SUMPRODUCT(($F$215:$AJ$215="P6")*$F$218:$AJ$241),0))/(SUMPRODUCT(($D$218:$D$241=AQ$216)*($F$215:$AJ$215=""))+IF(AQ$216="P6",COUNTIF($F$215:$AJ$215,"P6")*ROWS($D$218:$D$241),0)),"")</f>
        <v/>
      </c>
      <c r="AR220" s="6" cm="1">
        <f t="array" ref="AR220">IFERROR((SUMPRODUCT(($D$218:$D$241=AR$216)*($F$215:$AJ$215="")*$F$218:$AJ$241)+IF(AR$216="P6",SUMPRODUCT(($F$215:$AJ$215="P6")*$F$218:$AJ$241),0))/(SUMPRODUCT(($D$218:$D$241=AR$216)*($F$215:$AJ$215=""))+IF(AR$216="P6",COUNTIF($F$215:$AJ$215,"P6")*ROWS($D$218:$D$241),0)),"")</f>
        <v>0.86327978723404197</v>
      </c>
    </row>
    <row r="221" spans="1:44" ht="14.25" customHeight="1" x14ac:dyDescent="0.35">
      <c r="A221" s="1" t="s">
        <v>7</v>
      </c>
      <c r="B221" s="1" t="s">
        <v>7</v>
      </c>
      <c r="C221" s="1" t="s">
        <v>15</v>
      </c>
      <c r="D221" s="1" t="s">
        <v>7</v>
      </c>
      <c r="E221" s="1" t="s">
        <v>11</v>
      </c>
      <c r="F221" s="1">
        <v>0.88234000000000001</v>
      </c>
      <c r="G221" s="1">
        <v>0.89993000000000001</v>
      </c>
      <c r="H221" s="1">
        <v>0.88641999999999999</v>
      </c>
      <c r="I221" s="1">
        <v>0.94176000000000004</v>
      </c>
      <c r="J221" s="1">
        <v>0.93461000000000005</v>
      </c>
      <c r="K221" s="1">
        <v>0.91823999999999995</v>
      </c>
      <c r="L221" s="1">
        <v>0.91196999999999995</v>
      </c>
      <c r="M221" s="1">
        <v>0.88234000000000001</v>
      </c>
      <c r="N221" s="1">
        <v>0.89993000000000001</v>
      </c>
      <c r="O221" s="1">
        <v>0.88641999999999999</v>
      </c>
      <c r="P221" s="1">
        <v>0.94176000000000004</v>
      </c>
      <c r="Q221" s="1">
        <v>0.93461000000000005</v>
      </c>
      <c r="R221" s="1">
        <v>0.91823999999999995</v>
      </c>
      <c r="S221" s="1">
        <v>0.91196999999999995</v>
      </c>
      <c r="T221" s="1">
        <v>0.88234000000000001</v>
      </c>
      <c r="U221" s="1">
        <v>0.89993000000000001</v>
      </c>
      <c r="V221" s="1">
        <v>0.88641999999999999</v>
      </c>
      <c r="W221" s="1">
        <v>0.94176000000000004</v>
      </c>
      <c r="X221" s="1">
        <v>0.93461000000000005</v>
      </c>
      <c r="Y221" s="1">
        <v>0.91823999999999995</v>
      </c>
      <c r="Z221" s="1">
        <v>0.91196999999999995</v>
      </c>
      <c r="AA221" s="1">
        <v>0.88234000000000001</v>
      </c>
      <c r="AB221" s="1">
        <v>0.89993000000000001</v>
      </c>
      <c r="AC221" s="1">
        <v>0.88641999999999999</v>
      </c>
      <c r="AD221" s="1">
        <v>0.94176000000000004</v>
      </c>
      <c r="AE221" s="1">
        <v>0.93461000000000005</v>
      </c>
      <c r="AF221" s="1">
        <v>0.91823999999999995</v>
      </c>
      <c r="AG221" s="1">
        <v>0.91196999999999995</v>
      </c>
      <c r="AH221" s="1">
        <v>0.88234000000000001</v>
      </c>
      <c r="AI221" s="1">
        <v>0.89993000000000001</v>
      </c>
      <c r="AJ221" s="1">
        <v>0.88641999999999999</v>
      </c>
      <c r="AL221" s="4" t="s">
        <v>27</v>
      </c>
      <c r="AM221" s="6" cm="1">
        <f t="array" ref="AM221">IFERROR((SUMPRODUCT(($D$218:$D$241=AM$216)*($F$215:$AJ$215="")*$F$218:$AJ$241)+IF(AM$216="P6",SUMPRODUCT(($F$215:$AJ$215="P6")*$F$218:$AJ$241),0))/(SUMPRODUCT(($D$218:$D$241=AM$216)*($F$215:$AJ$215=""))+IF(AM$216="P6",COUNTIF($F$215:$AJ$215,"P6")*ROWS($D$218:$D$241),0)),"")</f>
        <v>0.85813454106280196</v>
      </c>
      <c r="AN221" s="6" cm="1">
        <f t="array" ref="AN221">IFERROR((SUMPRODUCT(($D$218:$D$241=AN$216)*($F$215:$AJ$215="")*$F$218:$AJ$241)+IF(AN$216="P6",SUMPRODUCT(($F$215:$AJ$215="P6")*$F$218:$AJ$241),0))/(SUMPRODUCT(($D$218:$D$241=AN$216)*($F$215:$AJ$215=""))+IF(AN$216="P6",COUNTIF($F$215:$AJ$215,"P6")*ROWS($D$218:$D$241),0)),"")</f>
        <v>0.85583422360248484</v>
      </c>
      <c r="AO221" s="5" t="str" cm="1">
        <f t="array" ref="AO221">IFERROR((SUMPRODUCT(($D$218:$D$241=AO$216)*($F$215:$AJ$215="")*$F$218:$AJ$241)+IF(AO$216="P6",SUMPRODUCT(($F$215:$AJ$215="P6")*$F$218:$AJ$241),0))/(SUMPRODUCT(($D$218:$D$241=AO$216)*($F$215:$AJ$215=""))+IF(AO$216="P6",COUNTIF($F$215:$AJ$215,"P6")*ROWS($D$218:$D$241),0)),"")</f>
        <v/>
      </c>
      <c r="AP221" s="5" t="str" cm="1">
        <f t="array" ref="AP221">IFERROR((SUMPRODUCT(($D$218:$D$241=AP$216)*($F$215:$AJ$215="")*$F$218:$AJ$241)+IF(AP$216="P6",SUMPRODUCT(($F$215:$AJ$215="P6")*$F$218:$AJ$241),0))/(SUMPRODUCT(($D$218:$D$241=AP$216)*($F$215:$AJ$215=""))+IF(AP$216="P6",COUNTIF($F$215:$AJ$215,"P6")*ROWS($D$218:$D$241),0)),"")</f>
        <v/>
      </c>
      <c r="AQ221" s="5" t="str" cm="1">
        <f t="array" ref="AQ221">IFERROR((SUMPRODUCT(($D$218:$D$241=AQ$216)*($F$215:$AJ$215="")*$F$218:$AJ$241)+IF(AQ$216="P6",SUMPRODUCT(($F$215:$AJ$215="P6")*$F$218:$AJ$241),0))/(SUMPRODUCT(($D$218:$D$241=AQ$216)*($F$215:$AJ$215=""))+IF(AQ$216="P6",COUNTIF($F$215:$AJ$215,"P6")*ROWS($D$218:$D$241),0)),"")</f>
        <v/>
      </c>
      <c r="AR221" s="6" cm="1">
        <f t="array" ref="AR221">IFERROR((SUMPRODUCT(($D$218:$D$241=AR$216)*($F$215:$AJ$215="")*$F$218:$AJ$241)+IF(AR$216="P6",SUMPRODUCT(($F$215:$AJ$215="P6")*$F$218:$AJ$241),0))/(SUMPRODUCT(($D$218:$D$241=AR$216)*($F$215:$AJ$215=""))+IF(AR$216="P6",COUNTIF($F$215:$AJ$215,"P6")*ROWS($D$218:$D$241),0)),"")</f>
        <v>0.86327978723404197</v>
      </c>
    </row>
    <row r="222" spans="1:44" ht="14.25" customHeight="1" x14ac:dyDescent="0.35">
      <c r="A222" s="1" t="s">
        <v>7</v>
      </c>
      <c r="B222" s="1" t="s">
        <v>7</v>
      </c>
      <c r="C222" s="1" t="s">
        <v>15</v>
      </c>
      <c r="D222" s="1" t="s">
        <v>7</v>
      </c>
      <c r="E222" s="1" t="s">
        <v>12</v>
      </c>
      <c r="F222" s="1">
        <v>0.88105999999999995</v>
      </c>
      <c r="G222" s="1">
        <v>0.89705999999999997</v>
      </c>
      <c r="H222" s="1">
        <v>0.88383</v>
      </c>
      <c r="I222" s="1">
        <v>0.94203000000000003</v>
      </c>
      <c r="J222" s="1">
        <v>0.93815999999999999</v>
      </c>
      <c r="K222" s="1">
        <v>0.90532000000000001</v>
      </c>
      <c r="L222" s="1">
        <v>0.9093</v>
      </c>
      <c r="M222" s="1">
        <v>0.88105999999999995</v>
      </c>
      <c r="N222" s="1">
        <v>0.89705999999999997</v>
      </c>
      <c r="O222" s="1">
        <v>0.88383</v>
      </c>
      <c r="P222" s="1">
        <v>0.94203000000000003</v>
      </c>
      <c r="Q222" s="1">
        <v>0.93815999999999999</v>
      </c>
      <c r="R222" s="1">
        <v>0.90532000000000001</v>
      </c>
      <c r="S222" s="1">
        <v>0.9093</v>
      </c>
      <c r="T222" s="1">
        <v>0.88105999999999995</v>
      </c>
      <c r="U222" s="1">
        <v>0.89705999999999997</v>
      </c>
      <c r="V222" s="1">
        <v>0.88383</v>
      </c>
      <c r="W222" s="1">
        <v>0.94203000000000003</v>
      </c>
      <c r="X222" s="1">
        <v>0.93815999999999999</v>
      </c>
      <c r="Y222" s="1">
        <v>0.90532000000000001</v>
      </c>
      <c r="Z222" s="1">
        <v>0.9093</v>
      </c>
      <c r="AA222" s="1">
        <v>0.88105999999999995</v>
      </c>
      <c r="AB222" s="1">
        <v>0.89705999999999997</v>
      </c>
      <c r="AC222" s="1">
        <v>0.88383</v>
      </c>
      <c r="AD222" s="1">
        <v>0.94203000000000003</v>
      </c>
      <c r="AE222" s="1">
        <v>0.93815999999999999</v>
      </c>
      <c r="AF222" s="1">
        <v>0.90532000000000001</v>
      </c>
      <c r="AG222" s="1">
        <v>0.9093</v>
      </c>
      <c r="AH222" s="1">
        <v>0.88105999999999995</v>
      </c>
      <c r="AI222" s="1">
        <v>0.89705999999999997</v>
      </c>
      <c r="AJ222" s="1">
        <v>0.88383</v>
      </c>
      <c r="AL222" s="4" t="s">
        <v>29</v>
      </c>
      <c r="AM222" s="6" cm="1">
        <f t="array" ref="AM222">IFERROR((SUMPRODUCT(($D$218:$D$241=AM$216)*($F$215:$AJ$215="")*$F$218:$AJ$241)+IF(AM$216="P6",SUMPRODUCT(($F$215:$AJ$215="P6")*$F$218:$AJ$241),0))/(SUMPRODUCT(($D$218:$D$241=AM$216)*($F$215:$AJ$215=""))+IF(AM$216="P6",COUNTIF($F$215:$AJ$215,"P6")*ROWS($D$218:$D$241),0)),"")</f>
        <v>0.85813454106280196</v>
      </c>
      <c r="AN222" s="6" cm="1">
        <f t="array" ref="AN222">IFERROR((SUMPRODUCT(($D$218:$D$241=AN$216)*($F$215:$AJ$215="")*$F$218:$AJ$241)+IF(AN$216="P6",SUMPRODUCT(($F$215:$AJ$215="P6")*$F$218:$AJ$241),0))/(SUMPRODUCT(($D$218:$D$241=AN$216)*($F$215:$AJ$215=""))+IF(AN$216="P6",COUNTIF($F$215:$AJ$215,"P6")*ROWS($D$218:$D$241),0)),"")</f>
        <v>0.85583422360248484</v>
      </c>
      <c r="AO222" s="5" t="str" cm="1">
        <f t="array" ref="AO222">IFERROR((SUMPRODUCT(($D$218:$D$241=AO$216)*($F$215:$AJ$215="")*$F$218:$AJ$241)+IF(AO$216="P6",SUMPRODUCT(($F$215:$AJ$215="P6")*$F$218:$AJ$241),0))/(SUMPRODUCT(($D$218:$D$241=AO$216)*($F$215:$AJ$215=""))+IF(AO$216="P6",COUNTIF($F$215:$AJ$215,"P6")*ROWS($D$218:$D$241),0)),"")</f>
        <v/>
      </c>
      <c r="AP222" s="5" t="str" cm="1">
        <f t="array" ref="AP222">IFERROR((SUMPRODUCT(($D$218:$D$241=AP$216)*($F$215:$AJ$215="")*$F$218:$AJ$241)+IF(AP$216="P6",SUMPRODUCT(($F$215:$AJ$215="P6")*$F$218:$AJ$241),0))/(SUMPRODUCT(($D$218:$D$241=AP$216)*($F$215:$AJ$215=""))+IF(AP$216="P6",COUNTIF($F$215:$AJ$215,"P6")*ROWS($D$218:$D$241),0)),"")</f>
        <v/>
      </c>
      <c r="AQ222" s="5" t="str" cm="1">
        <f t="array" ref="AQ222">IFERROR((SUMPRODUCT(($D$218:$D$241=AQ$216)*($F$215:$AJ$215="")*$F$218:$AJ$241)+IF(AQ$216="P6",SUMPRODUCT(($F$215:$AJ$215="P6")*$F$218:$AJ$241),0))/(SUMPRODUCT(($D$218:$D$241=AQ$216)*($F$215:$AJ$215=""))+IF(AQ$216="P6",COUNTIF($F$215:$AJ$215,"P6")*ROWS($D$218:$D$241),0)),"")</f>
        <v/>
      </c>
      <c r="AR222" s="6" cm="1">
        <f t="array" ref="AR222">IFERROR((SUMPRODUCT(($D$218:$D$241=AR$216)*($F$215:$AJ$215="")*$F$218:$AJ$241)+IF(AR$216="P6",SUMPRODUCT(($F$215:$AJ$215="P6")*$F$218:$AJ$241),0))/(SUMPRODUCT(($D$218:$D$241=AR$216)*($F$215:$AJ$215=""))+IF(AR$216="P6",COUNTIF($F$215:$AJ$215,"P6")*ROWS($D$218:$D$241),0)),"")</f>
        <v>0.86327978723404197</v>
      </c>
    </row>
    <row r="223" spans="1:44" ht="14.25" customHeight="1" x14ac:dyDescent="0.35">
      <c r="A223" s="1" t="s">
        <v>7</v>
      </c>
      <c r="B223" s="1" t="s">
        <v>7</v>
      </c>
      <c r="C223" s="1" t="s">
        <v>15</v>
      </c>
      <c r="D223" s="1" t="s">
        <v>7</v>
      </c>
      <c r="E223" s="1" t="s">
        <v>18</v>
      </c>
      <c r="F223" s="1">
        <v>0.86697000000000002</v>
      </c>
      <c r="G223" s="1">
        <v>0.88549</v>
      </c>
      <c r="H223" s="1">
        <v>0.87436999999999998</v>
      </c>
      <c r="I223" s="1">
        <v>0.94105000000000005</v>
      </c>
      <c r="J223" s="1">
        <v>0.92954000000000003</v>
      </c>
      <c r="K223" s="1">
        <v>0.88444999999999996</v>
      </c>
      <c r="L223" s="1">
        <v>0.89524000000000004</v>
      </c>
      <c r="M223" s="1">
        <v>0.86697000000000002</v>
      </c>
      <c r="N223" s="1">
        <v>0.88549</v>
      </c>
      <c r="O223" s="1">
        <v>0.87436999999999998</v>
      </c>
      <c r="P223" s="1">
        <v>0.94105000000000005</v>
      </c>
      <c r="Q223" s="1">
        <v>0.92954000000000003</v>
      </c>
      <c r="R223" s="1">
        <v>0.88444999999999996</v>
      </c>
      <c r="S223" s="1">
        <v>0.89524000000000004</v>
      </c>
      <c r="T223" s="1">
        <v>0.86697000000000002</v>
      </c>
      <c r="U223" s="1">
        <v>0.88549</v>
      </c>
      <c r="V223" s="1">
        <v>0.87436999999999998</v>
      </c>
      <c r="W223" s="1">
        <v>0.94105000000000005</v>
      </c>
      <c r="X223" s="1">
        <v>0.92954000000000003</v>
      </c>
      <c r="Y223" s="1">
        <v>0.88444999999999996</v>
      </c>
      <c r="Z223" s="1">
        <v>0.89524000000000004</v>
      </c>
      <c r="AA223" s="1">
        <v>0.86697000000000002</v>
      </c>
      <c r="AB223" s="1">
        <v>0.88549</v>
      </c>
      <c r="AC223" s="1">
        <v>0.87436999999999998</v>
      </c>
      <c r="AD223" s="1">
        <v>0.94105000000000005</v>
      </c>
      <c r="AE223" s="1">
        <v>0.92954000000000003</v>
      </c>
      <c r="AF223" s="1">
        <v>0.88444999999999996</v>
      </c>
      <c r="AG223" s="1">
        <v>0.89524000000000004</v>
      </c>
      <c r="AH223" s="1">
        <v>0.86697000000000002</v>
      </c>
      <c r="AI223" s="1">
        <v>0.88549</v>
      </c>
      <c r="AJ223" s="1">
        <v>0.87436999999999998</v>
      </c>
      <c r="AL223" s="10"/>
      <c r="AM223" s="10"/>
      <c r="AN223" s="10"/>
      <c r="AO223" s="10"/>
      <c r="AP223" s="10"/>
      <c r="AQ223" s="10"/>
      <c r="AR223" s="10"/>
    </row>
    <row r="224" spans="1:44" ht="14.25" customHeight="1" x14ac:dyDescent="0.35">
      <c r="A224" s="1" t="s">
        <v>7</v>
      </c>
      <c r="B224" s="1" t="s">
        <v>7</v>
      </c>
      <c r="C224" s="1" t="s">
        <v>15</v>
      </c>
      <c r="D224" s="1" t="s">
        <v>7</v>
      </c>
      <c r="E224" s="1" t="s">
        <v>20</v>
      </c>
      <c r="F224" s="1">
        <v>0.83606000000000003</v>
      </c>
      <c r="G224" s="1">
        <v>0.85150000000000003</v>
      </c>
      <c r="H224" s="1">
        <v>0.85535000000000005</v>
      </c>
      <c r="I224" s="1">
        <v>0.93059999999999998</v>
      </c>
      <c r="J224" s="1">
        <v>0.91934000000000005</v>
      </c>
      <c r="K224" s="1">
        <v>0.83781000000000005</v>
      </c>
      <c r="L224" s="1">
        <v>0.85499999999999998</v>
      </c>
      <c r="M224" s="1">
        <v>0.83606000000000003</v>
      </c>
      <c r="N224" s="1">
        <v>0.85150000000000003</v>
      </c>
      <c r="O224" s="1">
        <v>0.85535000000000005</v>
      </c>
      <c r="P224" s="1">
        <v>0.93059999999999998</v>
      </c>
      <c r="Q224" s="1">
        <v>0.91934000000000005</v>
      </c>
      <c r="R224" s="1">
        <v>0.83781000000000005</v>
      </c>
      <c r="S224" s="1">
        <v>0.85499999999999998</v>
      </c>
      <c r="T224" s="1">
        <v>0.83606000000000003</v>
      </c>
      <c r="U224" s="1">
        <v>0.85150000000000003</v>
      </c>
      <c r="V224" s="1">
        <v>0.85535000000000005</v>
      </c>
      <c r="W224" s="1">
        <v>0.93059999999999998</v>
      </c>
      <c r="X224" s="1">
        <v>0.91934000000000005</v>
      </c>
      <c r="Y224" s="1">
        <v>0.83781000000000005</v>
      </c>
      <c r="Z224" s="1">
        <v>0.85499999999999998</v>
      </c>
      <c r="AA224" s="1">
        <v>0.83606000000000003</v>
      </c>
      <c r="AB224" s="1">
        <v>0.85150000000000003</v>
      </c>
      <c r="AC224" s="1">
        <v>0.85535000000000005</v>
      </c>
      <c r="AD224" s="1">
        <v>0.93059999999999998</v>
      </c>
      <c r="AE224" s="1">
        <v>0.91934000000000005</v>
      </c>
      <c r="AF224" s="1">
        <v>0.83781000000000005</v>
      </c>
      <c r="AG224" s="1">
        <v>0.85499999999999998</v>
      </c>
      <c r="AH224" s="1">
        <v>0.83606000000000003</v>
      </c>
      <c r="AI224" s="1">
        <v>0.85150000000000003</v>
      </c>
      <c r="AJ224" s="1">
        <v>0.85535000000000005</v>
      </c>
      <c r="AL224" s="10"/>
      <c r="AM224" s="10"/>
      <c r="AN224" s="10"/>
      <c r="AO224" s="10"/>
      <c r="AP224" s="10"/>
      <c r="AQ224" s="10"/>
      <c r="AR224" s="10"/>
    </row>
    <row r="225" spans="1:44" ht="14.25" customHeight="1" x14ac:dyDescent="0.35">
      <c r="A225" s="1" t="s">
        <v>7</v>
      </c>
      <c r="B225" s="1" t="s">
        <v>7</v>
      </c>
      <c r="C225" s="1" t="s">
        <v>15</v>
      </c>
      <c r="D225" s="1" t="s">
        <v>7</v>
      </c>
      <c r="E225" s="1" t="s">
        <v>22</v>
      </c>
      <c r="F225" s="1">
        <v>0.80359999999999998</v>
      </c>
      <c r="G225" s="1">
        <v>0.81816</v>
      </c>
      <c r="H225" s="1">
        <v>0.82672000000000001</v>
      </c>
      <c r="I225" s="1">
        <v>0.92113999999999996</v>
      </c>
      <c r="J225" s="1">
        <v>0.91859999999999997</v>
      </c>
      <c r="K225" s="1">
        <v>0.79091999999999996</v>
      </c>
      <c r="L225" s="1">
        <v>0.81730999999999998</v>
      </c>
      <c r="M225" s="1">
        <v>0.80359999999999998</v>
      </c>
      <c r="N225" s="1">
        <v>0.81816</v>
      </c>
      <c r="O225" s="1">
        <v>0.82672000000000001</v>
      </c>
      <c r="P225" s="1">
        <v>0.92113999999999996</v>
      </c>
      <c r="Q225" s="1">
        <v>0.91859999999999997</v>
      </c>
      <c r="R225" s="1">
        <v>0.79091999999999996</v>
      </c>
      <c r="S225" s="1">
        <v>0.81730999999999998</v>
      </c>
      <c r="T225" s="1">
        <v>0.80359999999999998</v>
      </c>
      <c r="U225" s="1">
        <v>0.81816</v>
      </c>
      <c r="V225" s="1">
        <v>0.82672000000000001</v>
      </c>
      <c r="W225" s="1">
        <v>0.92113999999999996</v>
      </c>
      <c r="X225" s="1">
        <v>0.91859999999999997</v>
      </c>
      <c r="Y225" s="1">
        <v>0.79091999999999996</v>
      </c>
      <c r="Z225" s="1">
        <v>0.81730999999999998</v>
      </c>
      <c r="AA225" s="1">
        <v>0.80359999999999998</v>
      </c>
      <c r="AB225" s="1">
        <v>0.81816</v>
      </c>
      <c r="AC225" s="1">
        <v>0.82672000000000001</v>
      </c>
      <c r="AD225" s="1">
        <v>0.92113999999999996</v>
      </c>
      <c r="AE225" s="1">
        <v>0.91859999999999997</v>
      </c>
      <c r="AF225" s="1">
        <v>0.79091999999999996</v>
      </c>
      <c r="AG225" s="1">
        <v>0.81730999999999998</v>
      </c>
      <c r="AH225" s="1">
        <v>0.80359999999999998</v>
      </c>
      <c r="AI225" s="1">
        <v>0.81816</v>
      </c>
      <c r="AJ225" s="1">
        <v>0.82672000000000001</v>
      </c>
      <c r="AL225" s="14" t="s">
        <v>135</v>
      </c>
      <c r="AM225" s="14"/>
      <c r="AN225" s="14"/>
      <c r="AO225" s="14"/>
      <c r="AP225" s="14"/>
      <c r="AQ225" s="14"/>
      <c r="AR225" s="14"/>
    </row>
    <row r="226" spans="1:44" ht="14.25" customHeight="1" x14ac:dyDescent="0.35">
      <c r="A226" s="1" t="s">
        <v>15</v>
      </c>
      <c r="B226" s="1" t="s">
        <v>14</v>
      </c>
      <c r="C226" s="1" t="s">
        <v>14</v>
      </c>
      <c r="D226" s="1" t="s">
        <v>14</v>
      </c>
      <c r="E226" s="1" t="s">
        <v>24</v>
      </c>
      <c r="F226" s="1">
        <v>0.81076000000000004</v>
      </c>
      <c r="G226" s="1">
        <v>0.83099000000000001</v>
      </c>
      <c r="H226" s="1">
        <v>0.83150999999999997</v>
      </c>
      <c r="I226" s="1">
        <v>0.85058999999999996</v>
      </c>
      <c r="J226" s="1">
        <v>0.82284000000000002</v>
      </c>
      <c r="K226" s="1">
        <v>0.78200000000000003</v>
      </c>
      <c r="L226" s="1">
        <v>0.81406000000000001</v>
      </c>
      <c r="M226" s="1">
        <v>0.81076000000000004</v>
      </c>
      <c r="N226" s="1">
        <v>0.83099000000000001</v>
      </c>
      <c r="O226" s="1">
        <v>0.83150999999999997</v>
      </c>
      <c r="P226" s="1">
        <v>0.85058999999999996</v>
      </c>
      <c r="Q226" s="1">
        <v>0.82284000000000002</v>
      </c>
      <c r="R226" s="1">
        <v>0.78200000000000003</v>
      </c>
      <c r="S226" s="1">
        <v>0.81406000000000001</v>
      </c>
      <c r="T226" s="1">
        <v>0.81076000000000004</v>
      </c>
      <c r="U226" s="1">
        <v>0.83099000000000001</v>
      </c>
      <c r="V226" s="1">
        <v>0.83150999999999997</v>
      </c>
      <c r="W226" s="1">
        <v>0.85058999999999996</v>
      </c>
      <c r="X226" s="1">
        <v>0.82284000000000002</v>
      </c>
      <c r="Y226" s="1">
        <v>0.78200000000000003</v>
      </c>
      <c r="Z226" s="1">
        <v>0.81406000000000001</v>
      </c>
      <c r="AA226" s="1">
        <v>0.81076000000000004</v>
      </c>
      <c r="AB226" s="1">
        <v>0.83099000000000001</v>
      </c>
      <c r="AC226" s="1">
        <v>0.83150999999999997</v>
      </c>
      <c r="AD226" s="1">
        <v>0.85058999999999996</v>
      </c>
      <c r="AE226" s="1">
        <v>0.82284000000000002</v>
      </c>
      <c r="AF226" s="1">
        <v>0.78200000000000003</v>
      </c>
      <c r="AG226" s="1">
        <v>0.81406000000000001</v>
      </c>
      <c r="AH226" s="1">
        <v>0.81076000000000004</v>
      </c>
      <c r="AI226" s="1">
        <v>0.83099000000000001</v>
      </c>
      <c r="AJ226" s="1">
        <v>0.83150999999999997</v>
      </c>
      <c r="AL226" s="4"/>
      <c r="AM226" s="4" t="s">
        <v>13</v>
      </c>
      <c r="AN226" s="4" t="s">
        <v>14</v>
      </c>
      <c r="AO226" s="4" t="s">
        <v>15</v>
      </c>
      <c r="AP226" s="4" t="s">
        <v>16</v>
      </c>
      <c r="AQ226" s="4" t="s">
        <v>17</v>
      </c>
      <c r="AR226" s="4" t="s">
        <v>7</v>
      </c>
    </row>
    <row r="227" spans="1:44" ht="14.25" customHeight="1" x14ac:dyDescent="0.35">
      <c r="A227" s="1" t="s">
        <v>15</v>
      </c>
      <c r="B227" s="1" t="s">
        <v>14</v>
      </c>
      <c r="C227" s="1" t="s">
        <v>14</v>
      </c>
      <c r="D227" s="1" t="s">
        <v>13</v>
      </c>
      <c r="E227" s="1" t="s">
        <v>26</v>
      </c>
      <c r="F227" s="1">
        <v>0.82113999999999998</v>
      </c>
      <c r="G227" s="1">
        <v>0.83247000000000004</v>
      </c>
      <c r="H227" s="1">
        <v>0.85265000000000002</v>
      </c>
      <c r="I227" s="1">
        <v>0.83342000000000005</v>
      </c>
      <c r="J227" s="1">
        <v>0.80557000000000001</v>
      </c>
      <c r="K227" s="1">
        <v>0.80820000000000003</v>
      </c>
      <c r="L227" s="1">
        <v>0.81716999999999995</v>
      </c>
      <c r="M227" s="1">
        <v>0.82113999999999998</v>
      </c>
      <c r="N227" s="1">
        <v>0.83247000000000004</v>
      </c>
      <c r="O227" s="1">
        <v>0.85265000000000002</v>
      </c>
      <c r="P227" s="1">
        <v>0.83342000000000005</v>
      </c>
      <c r="Q227" s="1">
        <v>0.80557000000000001</v>
      </c>
      <c r="R227" s="1">
        <v>0.80820000000000003</v>
      </c>
      <c r="S227" s="1">
        <v>0.81716999999999995</v>
      </c>
      <c r="T227" s="1">
        <v>0.82113999999999998</v>
      </c>
      <c r="U227" s="1">
        <v>0.83247000000000004</v>
      </c>
      <c r="V227" s="1">
        <v>0.85265000000000002</v>
      </c>
      <c r="W227" s="1">
        <v>0.83342000000000005</v>
      </c>
      <c r="X227" s="1">
        <v>0.80557000000000001</v>
      </c>
      <c r="Y227" s="1">
        <v>0.80820000000000003</v>
      </c>
      <c r="Z227" s="1">
        <v>0.81716999999999995</v>
      </c>
      <c r="AA227" s="1">
        <v>0.82113999999999998</v>
      </c>
      <c r="AB227" s="1">
        <v>0.83247000000000004</v>
      </c>
      <c r="AC227" s="1">
        <v>0.85265000000000002</v>
      </c>
      <c r="AD227" s="1">
        <v>0.83342000000000005</v>
      </c>
      <c r="AE227" s="1">
        <v>0.80557000000000001</v>
      </c>
      <c r="AF227" s="1">
        <v>0.80820000000000003</v>
      </c>
      <c r="AG227" s="1">
        <v>0.81716999999999995</v>
      </c>
      <c r="AH227" s="1">
        <v>0.82113999999999998</v>
      </c>
      <c r="AI227" s="1">
        <v>0.83247000000000004</v>
      </c>
      <c r="AJ227" s="1">
        <v>0.85265000000000002</v>
      </c>
      <c r="AL227" s="4" t="s">
        <v>19</v>
      </c>
      <c r="AM227" s="6" cm="1">
        <f t="array" ref="AM227">IFERROR((SUMPRODUCT(($C$218:$C$241=AM$216)*($F$214:$AJ$214="")*$F$218:$AJ$241)+IF(AM$216="P3",SUMPRODUCT(($F$214:$AJ$214="P3")*$F$218:$AJ$241),0))/(SUMPRODUCT(($C$218:$C$241=AM$216)*($F$214:$AJ$214=""))+IF(AM$216="P3",COUNTIF($F$214:$AJ$214,"P3")*ROWS($C$218:$C$241),0)),"")</f>
        <v>0.86196233695652236</v>
      </c>
      <c r="AN227" s="6" cm="1">
        <f t="array" ref="AN227">IFERROR((SUMPRODUCT(($C$218:$C$241=AN$216)*($F$214:$AJ$214="")*$F$218:$AJ$241)+IF(AN$216="P3",SUMPRODUCT(($F$214:$AJ$214="P3")*$F$218:$AJ$241),0))/(SUMPRODUCT(($C$218:$C$241=AN$216)*($F$214:$AJ$214=""))+IF(AN$216="P3",COUNTIF($F$214:$AJ$214,"P3")*ROWS($C$218:$C$241),0)),"")</f>
        <v>0.85229396739130447</v>
      </c>
      <c r="AO227" s="6" cm="1">
        <f t="array" ref="AO227">IFERROR((SUMPRODUCT(($C$218:$C$241=AO$216)*($F$214:$AJ$214="")*$F$218:$AJ$241)+IF(AO$216="P3",SUMPRODUCT(($F$214:$AJ$214="P3")*$F$218:$AJ$241),0))/(SUMPRODUCT(($C$218:$C$241=AO$216)*($F$214:$AJ$214=""))+IF(AO$216="P3",COUNTIF($F$214:$AJ$214,"P3")*ROWS($C$218:$C$241),0)),"")</f>
        <v>0.86327978723404197</v>
      </c>
      <c r="AP227" s="6" t="str" cm="1">
        <f t="array" ref="AP227">IFERROR((SUMPRODUCT(($C$218:$C$241=AP$216)*($F$214:$AJ$214="")*$F$218:$AJ$241)+IF(AP$216="P3",SUMPRODUCT(($F$214:$AJ$214="P3")*$F$218:$AJ$241),0))/(SUMPRODUCT(($C$218:$C$241=AP$216)*($F$214:$AJ$214=""))+IF(AP$216="P3",COUNTIF($F$214:$AJ$214,"P3")*ROWS($C$218:$C$241),0)),"")</f>
        <v/>
      </c>
      <c r="AQ227" s="6" t="str" cm="1">
        <f t="array" ref="AQ227">IFERROR((SUMPRODUCT(($C$218:$C$241=AQ$216)*($F$214:$AJ$214="")*$F$218:$AJ$241)+IF(AQ$216="P3",SUMPRODUCT(($F$214:$AJ$214="P3")*$F$218:$AJ$241),0))/(SUMPRODUCT(($C$218:$C$241=AQ$216)*($F$214:$AJ$214=""))+IF(AQ$216="P3",COUNTIF($F$214:$AJ$214,"P3")*ROWS($C$218:$C$241),0)),"")</f>
        <v/>
      </c>
      <c r="AR227" s="6" t="str" cm="1">
        <f t="array" ref="AR227">IFERROR((SUMPRODUCT(($C$218:$C$241=AR$216)*($F$214:$AJ$214="")*$F$218:$AJ$241)+IF(AR$216="P3",SUMPRODUCT(($F$214:$AJ$214="P3")*$F$218:$AJ$241),0))/(SUMPRODUCT(($C$218:$C$241=AR$216)*($F$214:$AJ$214=""))+IF(AR$216="P3",COUNTIF($F$214:$AJ$214,"P3")*ROWS($C$218:$C$241),0)),"")</f>
        <v/>
      </c>
    </row>
    <row r="228" spans="1:44" ht="14.25" customHeight="1" x14ac:dyDescent="0.35">
      <c r="A228" s="1" t="s">
        <v>13</v>
      </c>
      <c r="B228" s="1" t="s">
        <v>13</v>
      </c>
      <c r="C228" s="1" t="s">
        <v>13</v>
      </c>
      <c r="D228" s="1" t="s">
        <v>13</v>
      </c>
      <c r="E228" s="1" t="s">
        <v>28</v>
      </c>
      <c r="F228" s="1">
        <v>0.84733999999999998</v>
      </c>
      <c r="G228" s="1">
        <v>0.82442000000000004</v>
      </c>
      <c r="H228" s="1">
        <v>0.83921000000000001</v>
      </c>
      <c r="I228" s="1">
        <v>0.81847000000000003</v>
      </c>
      <c r="J228" s="1">
        <v>0.79625999999999997</v>
      </c>
      <c r="K228" s="1">
        <v>0.83374000000000004</v>
      </c>
      <c r="L228" s="1">
        <v>0.82684999999999997</v>
      </c>
      <c r="M228" s="1">
        <v>0.84733999999999998</v>
      </c>
      <c r="N228" s="1">
        <v>0.82442000000000004</v>
      </c>
      <c r="O228" s="1">
        <v>0.83921000000000001</v>
      </c>
      <c r="P228" s="1">
        <v>0.81847000000000003</v>
      </c>
      <c r="Q228" s="1">
        <v>0.79625999999999997</v>
      </c>
      <c r="R228" s="1">
        <v>0.83374000000000004</v>
      </c>
      <c r="S228" s="1">
        <v>0.82684999999999997</v>
      </c>
      <c r="T228" s="1">
        <v>0.84733999999999998</v>
      </c>
      <c r="U228" s="1">
        <v>0.82442000000000004</v>
      </c>
      <c r="V228" s="1">
        <v>0.83921000000000001</v>
      </c>
      <c r="W228" s="1">
        <v>0.81847000000000003</v>
      </c>
      <c r="X228" s="1">
        <v>0.79625999999999997</v>
      </c>
      <c r="Y228" s="1">
        <v>0.83374000000000004</v>
      </c>
      <c r="Z228" s="1">
        <v>0.82684999999999997</v>
      </c>
      <c r="AA228" s="1">
        <v>0.84733999999999998</v>
      </c>
      <c r="AB228" s="1">
        <v>0.82442000000000004</v>
      </c>
      <c r="AC228" s="1">
        <v>0.83921000000000001</v>
      </c>
      <c r="AD228" s="1">
        <v>0.81847000000000003</v>
      </c>
      <c r="AE228" s="1">
        <v>0.79625999999999997</v>
      </c>
      <c r="AF228" s="1">
        <v>0.83374000000000004</v>
      </c>
      <c r="AG228" s="1">
        <v>0.82684999999999997</v>
      </c>
      <c r="AH228" s="1">
        <v>0.84733999999999998</v>
      </c>
      <c r="AI228" s="1">
        <v>0.82442000000000004</v>
      </c>
      <c r="AJ228" s="1">
        <v>0.83921000000000001</v>
      </c>
      <c r="AL228" s="4" t="s">
        <v>21</v>
      </c>
      <c r="AM228" s="6" cm="1">
        <f t="array" ref="AM228">IFERROR((SUMPRODUCT(($A$218:$A$241=AM$216)*($F$215:$AJ$215="")*$F$218:$AJ$241)+IF(AM$216="P6",SUMPRODUCT(($F$215:$AJ$215="P6")*$F$218:$AJ$241),0))/(SUMPRODUCT(($A$218:$A$241=AM$216)*($F$215:$AJ$215=""))+IF(AM$216="P6",COUNTIF($F$215:$AJ$215,"P6")*ROWS($A$218:$A$241),0)),"")</f>
        <v>0.85492106280193303</v>
      </c>
      <c r="AN228" s="6" t="str" cm="1">
        <f t="array" ref="AN228">IFERROR((SUMPRODUCT(($A$218:$A$241=AN$216)*($F$215:$AJ$215="")*$F$218:$AJ$241)+IF(AN$216="P6",SUMPRODUCT(($F$215:$AJ$215="P6")*$F$218:$AJ$241),0))/(SUMPRODUCT(($A$218:$A$241=AN$216)*($F$215:$AJ$215=""))+IF(AN$216="P6",COUNTIF($F$215:$AJ$215,"P6")*ROWS($A$218:$A$241),0)),"")</f>
        <v/>
      </c>
      <c r="AO228" s="6" cm="1">
        <f t="array" ref="AO228">IFERROR((SUMPRODUCT(($A$218:$A$241=AO$216)*($F$215:$AJ$215="")*$F$218:$AJ$241)+IF(AO$216="P6",SUMPRODUCT(($F$215:$AJ$215="P6")*$F$218:$AJ$241),0))/(SUMPRODUCT(($A$218:$A$241=AO$216)*($F$215:$AJ$215=""))+IF(AO$216="P6",COUNTIF($F$215:$AJ$215,"P6")*ROWS($A$218:$A$241),0)),"")</f>
        <v>0.85996583850931696</v>
      </c>
      <c r="AP228" s="6" t="str" cm="1">
        <f t="array" ref="AP228">IFERROR((SUMPRODUCT(($A$218:$A$241=AP$216)*($F$215:$AJ$215="")*$F$218:$AJ$241)+IF(AP$216="P6",SUMPRODUCT(($F$215:$AJ$215="P6")*$F$218:$AJ$241),0))/(SUMPRODUCT(($A$218:$A$241=AP$216)*($F$215:$AJ$215=""))+IF(AP$216="P6",COUNTIF($F$215:$AJ$215,"P6")*ROWS($A$218:$A$241),0)),"")</f>
        <v/>
      </c>
      <c r="AQ228" s="6" t="str" cm="1">
        <f t="array" ref="AQ228">IFERROR((SUMPRODUCT(($A$218:$A$241=AQ$216)*($F$215:$AJ$215="")*$F$218:$AJ$241)+IF(AQ$216="P6",SUMPRODUCT(($F$215:$AJ$215="P6")*$F$218:$AJ$241),0))/(SUMPRODUCT(($A$218:$A$241=AQ$216)*($F$215:$AJ$215=""))+IF(AQ$216="P6",COUNTIF($F$215:$AJ$215,"P6")*ROWS($A$218:$A$241),0)),"")</f>
        <v/>
      </c>
      <c r="AR228" s="6" cm="1">
        <f t="array" ref="AR228">IFERROR((SUMPRODUCT(($A$218:$A$241=AR$216)*($F$215:$AJ$215="")*$F$218:$AJ$241)+IF(AR$216="P6",SUMPRODUCT(($F$215:$AJ$215="P6")*$F$218:$AJ$241),0))/(SUMPRODUCT(($A$218:$A$241=AR$216)*($F$215:$AJ$215=""))+IF(AR$216="P6",COUNTIF($F$215:$AJ$215,"P6")*ROWS($A$218:$A$241),0)),"")</f>
        <v>0.86327978723404197</v>
      </c>
    </row>
    <row r="229" spans="1:44" ht="14.25" customHeight="1" x14ac:dyDescent="0.35">
      <c r="A229" s="1" t="s">
        <v>13</v>
      </c>
      <c r="B229" s="1" t="s">
        <v>13</v>
      </c>
      <c r="C229" s="1" t="s">
        <v>13</v>
      </c>
      <c r="D229" s="1" t="s">
        <v>13</v>
      </c>
      <c r="E229" s="1" t="s">
        <v>30</v>
      </c>
      <c r="F229" s="1">
        <v>0.84231999999999996</v>
      </c>
      <c r="G229" s="1">
        <v>0.82364000000000004</v>
      </c>
      <c r="H229" s="1">
        <v>0.83714</v>
      </c>
      <c r="I229" s="1">
        <v>0.79100999999999999</v>
      </c>
      <c r="J229" s="1">
        <v>0.75985000000000003</v>
      </c>
      <c r="K229" s="1">
        <v>0.83223999999999998</v>
      </c>
      <c r="L229" s="1">
        <v>0.81425999999999998</v>
      </c>
      <c r="M229" s="1">
        <v>0.84231999999999996</v>
      </c>
      <c r="N229" s="1">
        <v>0.82364000000000004</v>
      </c>
      <c r="O229" s="1">
        <v>0.83714</v>
      </c>
      <c r="P229" s="1">
        <v>0.79100999999999999</v>
      </c>
      <c r="Q229" s="1">
        <v>0.75985000000000003</v>
      </c>
      <c r="R229" s="1">
        <v>0.83223999999999998</v>
      </c>
      <c r="S229" s="1">
        <v>0.81425999999999998</v>
      </c>
      <c r="T229" s="1">
        <v>0.84231999999999996</v>
      </c>
      <c r="U229" s="1">
        <v>0.82364000000000004</v>
      </c>
      <c r="V229" s="1">
        <v>0.83714</v>
      </c>
      <c r="W229" s="1">
        <v>0.79100999999999999</v>
      </c>
      <c r="X229" s="1">
        <v>0.75985000000000003</v>
      </c>
      <c r="Y229" s="1">
        <v>0.83223999999999998</v>
      </c>
      <c r="Z229" s="1">
        <v>0.81425999999999998</v>
      </c>
      <c r="AA229" s="1">
        <v>0.84231999999999996</v>
      </c>
      <c r="AB229" s="1">
        <v>0.82364000000000004</v>
      </c>
      <c r="AC229" s="1">
        <v>0.83714</v>
      </c>
      <c r="AD229" s="1">
        <v>0.79100999999999999</v>
      </c>
      <c r="AE229" s="1">
        <v>0.75985000000000003</v>
      </c>
      <c r="AF229" s="1">
        <v>0.83223999999999998</v>
      </c>
      <c r="AG229" s="1">
        <v>0.81425999999999998</v>
      </c>
      <c r="AH229" s="1">
        <v>0.84231999999999996</v>
      </c>
      <c r="AI229" s="1">
        <v>0.82364000000000004</v>
      </c>
      <c r="AJ229" s="1">
        <v>0.83714</v>
      </c>
      <c r="AL229" s="4" t="s">
        <v>23</v>
      </c>
      <c r="AM229" s="6" cm="1">
        <f t="array" ref="AM229">IFERROR((SUMPRODUCT(($A$218:$A$241=AM$216)*($F$215:$AJ$215="")*$F$218:$AJ$241)+IF(AM$216="P6",SUMPRODUCT(($F$215:$AJ$215="P6")*$F$218:$AJ$241),0))/(SUMPRODUCT(($A$218:$A$241=AM$216)*($F$215:$AJ$215=""))+IF(AM$216="P6",COUNTIF($F$215:$AJ$215,"P6")*ROWS($A$218:$A$241),0)),"")</f>
        <v>0.85492106280193303</v>
      </c>
      <c r="AN229" s="6" t="str" cm="1">
        <f t="array" ref="AN229">IFERROR((SUMPRODUCT(($A$218:$A$241=AN$216)*($F$215:$AJ$215="")*$F$218:$AJ$241)+IF(AN$216="P6",SUMPRODUCT(($F$215:$AJ$215="P6")*$F$218:$AJ$241),0))/(SUMPRODUCT(($A$218:$A$241=AN$216)*($F$215:$AJ$215=""))+IF(AN$216="P6",COUNTIF($F$215:$AJ$215,"P6")*ROWS($A$218:$A$241),0)),"")</f>
        <v/>
      </c>
      <c r="AO229" s="6" cm="1">
        <f t="array" ref="AO229">IFERROR((SUMPRODUCT(($A$218:$A$241=AO$216)*($F$215:$AJ$215="")*$F$218:$AJ$241)+IF(AO$216="P6",SUMPRODUCT(($F$215:$AJ$215="P6")*$F$218:$AJ$241),0))/(SUMPRODUCT(($A$218:$A$241=AO$216)*($F$215:$AJ$215=""))+IF(AO$216="P6",COUNTIF($F$215:$AJ$215,"P6")*ROWS($A$218:$A$241),0)),"")</f>
        <v>0.85996583850931696</v>
      </c>
      <c r="AP229" s="6" t="str" cm="1">
        <f t="array" ref="AP229">IFERROR((SUMPRODUCT(($A$218:$A$241=AP$216)*($F$215:$AJ$215="")*$F$218:$AJ$241)+IF(AP$216="P6",SUMPRODUCT(($F$215:$AJ$215="P6")*$F$218:$AJ$241),0))/(SUMPRODUCT(($A$218:$A$241=AP$216)*($F$215:$AJ$215=""))+IF(AP$216="P6",COUNTIF($F$215:$AJ$215,"P6")*ROWS($A$218:$A$241),0)),"")</f>
        <v/>
      </c>
      <c r="AQ229" s="6" t="str" cm="1">
        <f t="array" ref="AQ229">IFERROR((SUMPRODUCT(($A$218:$A$241=AQ$216)*($F$215:$AJ$215="")*$F$218:$AJ$241)+IF(AQ$216="P6",SUMPRODUCT(($F$215:$AJ$215="P6")*$F$218:$AJ$241),0))/(SUMPRODUCT(($A$218:$A$241=AQ$216)*($F$215:$AJ$215=""))+IF(AQ$216="P6",COUNTIF($F$215:$AJ$215,"P6")*ROWS($A$218:$A$241),0)),"")</f>
        <v/>
      </c>
      <c r="AR229" s="6" cm="1">
        <f t="array" ref="AR229">IFERROR((SUMPRODUCT(($A$218:$A$241=AR$216)*($F$215:$AJ$215="")*$F$218:$AJ$241)+IF(AR$216="P6",SUMPRODUCT(($F$215:$AJ$215="P6")*$F$218:$AJ$241),0))/(SUMPRODUCT(($A$218:$A$241=AR$216)*($F$215:$AJ$215=""))+IF(AR$216="P6",COUNTIF($F$215:$AJ$215,"P6")*ROWS($A$218:$A$241),0)),"")</f>
        <v>0.86327978723404197</v>
      </c>
    </row>
    <row r="230" spans="1:44" ht="14.25" customHeight="1" x14ac:dyDescent="0.35">
      <c r="A230" s="1" t="s">
        <v>13</v>
      </c>
      <c r="B230" s="1" t="s">
        <v>13</v>
      </c>
      <c r="C230" s="1" t="s">
        <v>13</v>
      </c>
      <c r="D230" s="1" t="s">
        <v>13</v>
      </c>
      <c r="E230" s="1" t="s">
        <v>31</v>
      </c>
      <c r="F230" s="1">
        <v>0.82062999999999997</v>
      </c>
      <c r="G230" s="1">
        <v>0.80618999999999996</v>
      </c>
      <c r="H230" s="1">
        <v>0.82781000000000005</v>
      </c>
      <c r="I230" s="1">
        <v>0.76692000000000005</v>
      </c>
      <c r="J230" s="1">
        <v>0.72675000000000001</v>
      </c>
      <c r="K230" s="1">
        <v>0.82726</v>
      </c>
      <c r="L230" s="1">
        <v>0.79556000000000004</v>
      </c>
      <c r="M230" s="1">
        <v>0.82062999999999997</v>
      </c>
      <c r="N230" s="1">
        <v>0.80618999999999996</v>
      </c>
      <c r="O230" s="1">
        <v>0.82781000000000005</v>
      </c>
      <c r="P230" s="1">
        <v>0.76692000000000005</v>
      </c>
      <c r="Q230" s="1">
        <v>0.72675000000000001</v>
      </c>
      <c r="R230" s="1">
        <v>0.82726</v>
      </c>
      <c r="S230" s="1">
        <v>0.79556000000000004</v>
      </c>
      <c r="T230" s="1">
        <v>0.82062999999999997</v>
      </c>
      <c r="U230" s="1">
        <v>0.80618999999999996</v>
      </c>
      <c r="V230" s="1">
        <v>0.82781000000000005</v>
      </c>
      <c r="W230" s="1">
        <v>0.76692000000000005</v>
      </c>
      <c r="X230" s="1">
        <v>0.72675000000000001</v>
      </c>
      <c r="Y230" s="1">
        <v>0.82726</v>
      </c>
      <c r="Z230" s="1">
        <v>0.79556000000000004</v>
      </c>
      <c r="AA230" s="1">
        <v>0.82062999999999997</v>
      </c>
      <c r="AB230" s="1">
        <v>0.80618999999999996</v>
      </c>
      <c r="AC230" s="1">
        <v>0.82781000000000005</v>
      </c>
      <c r="AD230" s="1">
        <v>0.76692000000000005</v>
      </c>
      <c r="AE230" s="1">
        <v>0.72675000000000001</v>
      </c>
      <c r="AF230" s="1">
        <v>0.82726</v>
      </c>
      <c r="AG230" s="1">
        <v>0.79556000000000004</v>
      </c>
      <c r="AH230" s="1">
        <v>0.82062999999999997</v>
      </c>
      <c r="AI230" s="1">
        <v>0.80618999999999996</v>
      </c>
      <c r="AJ230" s="1">
        <v>0.82781000000000005</v>
      </c>
      <c r="AL230" s="4" t="s">
        <v>25</v>
      </c>
      <c r="AM230" s="6" cm="1">
        <f t="array" ref="AM230">IFERROR((SUMPRODUCT(($A$218:$A$241=AM$216)*($F$215:$AJ$215="")*$F$218:$AJ$241)+IF(AM$216="P6",SUMPRODUCT(($F$215:$AJ$215="P6")*$F$218:$AJ$241),0))/(SUMPRODUCT(($A$218:$A$241=AM$216)*($F$215:$AJ$215=""))+IF(AM$216="P6",COUNTIF($F$215:$AJ$215,"P6")*ROWS($A$218:$A$241),0)),"")</f>
        <v>0.85492106280193303</v>
      </c>
      <c r="AN230" s="6" t="str" cm="1">
        <f t="array" ref="AN230">IFERROR((SUMPRODUCT(($A$218:$A$241=AN$216)*($F$215:$AJ$215="")*$F$218:$AJ$241)+IF(AN$216="P6",SUMPRODUCT(($F$215:$AJ$215="P6")*$F$218:$AJ$241),0))/(SUMPRODUCT(($A$218:$A$241=AN$216)*($F$215:$AJ$215=""))+IF(AN$216="P6",COUNTIF($F$215:$AJ$215,"P6")*ROWS($A$218:$A$241),0)),"")</f>
        <v/>
      </c>
      <c r="AO230" s="6" cm="1">
        <f t="array" ref="AO230">IFERROR((SUMPRODUCT(($A$218:$A$241=AO$216)*($F$215:$AJ$215="")*$F$218:$AJ$241)+IF(AO$216="P6",SUMPRODUCT(($F$215:$AJ$215="P6")*$F$218:$AJ$241),0))/(SUMPRODUCT(($A$218:$A$241=AO$216)*($F$215:$AJ$215=""))+IF(AO$216="P6",COUNTIF($F$215:$AJ$215,"P6")*ROWS($A$218:$A$241),0)),"")</f>
        <v>0.85996583850931696</v>
      </c>
      <c r="AP230" s="6" t="str" cm="1">
        <f t="array" ref="AP230">IFERROR((SUMPRODUCT(($A$218:$A$241=AP$216)*($F$215:$AJ$215="")*$F$218:$AJ$241)+IF(AP$216="P6",SUMPRODUCT(($F$215:$AJ$215="P6")*$F$218:$AJ$241),0))/(SUMPRODUCT(($A$218:$A$241=AP$216)*($F$215:$AJ$215=""))+IF(AP$216="P6",COUNTIF($F$215:$AJ$215,"P6")*ROWS($A$218:$A$241),0)),"")</f>
        <v/>
      </c>
      <c r="AQ230" s="6" t="str" cm="1">
        <f t="array" ref="AQ230">IFERROR((SUMPRODUCT(($A$218:$A$241=AQ$216)*($F$215:$AJ$215="")*$F$218:$AJ$241)+IF(AQ$216="P6",SUMPRODUCT(($F$215:$AJ$215="P6")*$F$218:$AJ$241),0))/(SUMPRODUCT(($A$218:$A$241=AQ$216)*($F$215:$AJ$215=""))+IF(AQ$216="P6",COUNTIF($F$215:$AJ$215,"P6")*ROWS($A$218:$A$241),0)),"")</f>
        <v/>
      </c>
      <c r="AR230" s="6" cm="1">
        <f t="array" ref="AR230">IFERROR((SUMPRODUCT(($A$218:$A$241=AR$216)*($F$215:$AJ$215="")*$F$218:$AJ$241)+IF(AR$216="P6",SUMPRODUCT(($F$215:$AJ$215="P6")*$F$218:$AJ$241),0))/(SUMPRODUCT(($A$218:$A$241=AR$216)*($F$215:$AJ$215=""))+IF(AR$216="P6",COUNTIF($F$215:$AJ$215,"P6")*ROWS($A$218:$A$241),0)),"")</f>
        <v>0.86327978723404197</v>
      </c>
    </row>
    <row r="231" spans="1:44" ht="14.25" customHeight="1" x14ac:dyDescent="0.35">
      <c r="A231" s="1" t="s">
        <v>13</v>
      </c>
      <c r="B231" s="1" t="s">
        <v>13</v>
      </c>
      <c r="C231" s="1" t="s">
        <v>13</v>
      </c>
      <c r="D231" s="1" t="s">
        <v>13</v>
      </c>
      <c r="E231" s="1" t="s">
        <v>32</v>
      </c>
      <c r="F231" s="1">
        <v>0.79579</v>
      </c>
      <c r="G231" s="1">
        <v>0.79188999999999998</v>
      </c>
      <c r="H231" s="1">
        <v>0.82008999999999999</v>
      </c>
      <c r="I231" s="1">
        <v>0.76365000000000005</v>
      </c>
      <c r="J231" s="1">
        <v>0.72063999999999995</v>
      </c>
      <c r="K231" s="1">
        <v>0.80801000000000001</v>
      </c>
      <c r="L231" s="1">
        <v>0.78817999999999999</v>
      </c>
      <c r="M231" s="1">
        <v>0.79579</v>
      </c>
      <c r="N231" s="1">
        <v>0.79188999999999998</v>
      </c>
      <c r="O231" s="1">
        <v>0.82008999999999999</v>
      </c>
      <c r="P231" s="1">
        <v>0.76365000000000005</v>
      </c>
      <c r="Q231" s="1">
        <v>0.72063999999999995</v>
      </c>
      <c r="R231" s="1">
        <v>0.80801000000000001</v>
      </c>
      <c r="S231" s="1">
        <v>0.78817999999999999</v>
      </c>
      <c r="T231" s="1">
        <v>0.79579</v>
      </c>
      <c r="U231" s="1">
        <v>0.79188999999999998</v>
      </c>
      <c r="V231" s="1">
        <v>0.82008999999999999</v>
      </c>
      <c r="W231" s="1">
        <v>0.76365000000000005</v>
      </c>
      <c r="X231" s="1">
        <v>0.72063999999999995</v>
      </c>
      <c r="Y231" s="1">
        <v>0.80801000000000001</v>
      </c>
      <c r="Z231" s="1">
        <v>0.78817999999999999</v>
      </c>
      <c r="AA231" s="1">
        <v>0.79579</v>
      </c>
      <c r="AB231" s="1">
        <v>0.79188999999999998</v>
      </c>
      <c r="AC231" s="1">
        <v>0.82008999999999999</v>
      </c>
      <c r="AD231" s="1">
        <v>0.76365000000000005</v>
      </c>
      <c r="AE231" s="1">
        <v>0.72063999999999995</v>
      </c>
      <c r="AF231" s="1">
        <v>0.80801000000000001</v>
      </c>
      <c r="AG231" s="1">
        <v>0.78817999999999999</v>
      </c>
      <c r="AH231" s="1">
        <v>0.79579</v>
      </c>
      <c r="AI231" s="1">
        <v>0.79188999999999998</v>
      </c>
      <c r="AJ231" s="1">
        <v>0.82008999999999999</v>
      </c>
      <c r="AL231" s="4" t="s">
        <v>27</v>
      </c>
      <c r="AM231" s="6" cm="1">
        <f t="array" ref="AM231">IFERROR((SUMPRODUCT(($A$218:$A$241=AM$216)*($F$215:$AJ$215="")*$F$218:$AJ$241)+IF(AM$216="P6",SUMPRODUCT(($F$215:$AJ$215="P6")*$F$218:$AJ$241),0))/(SUMPRODUCT(($A$218:$A$241=AM$216)*($F$215:$AJ$215=""))+IF(AM$216="P6",COUNTIF($F$215:$AJ$215,"P6")*ROWS($A$218:$A$241),0)),"")</f>
        <v>0.85492106280193303</v>
      </c>
      <c r="AN231" s="6" t="str" cm="1">
        <f t="array" ref="AN231">IFERROR((SUMPRODUCT(($A$218:$A$241=AN$216)*($F$215:$AJ$215="")*$F$218:$AJ$241)+IF(AN$216="P6",SUMPRODUCT(($F$215:$AJ$215="P6")*$F$218:$AJ$241),0))/(SUMPRODUCT(($A$218:$A$241=AN$216)*($F$215:$AJ$215=""))+IF(AN$216="P6",COUNTIF($F$215:$AJ$215,"P6")*ROWS($A$218:$A$241),0)),"")</f>
        <v/>
      </c>
      <c r="AO231" s="6" cm="1">
        <f t="array" ref="AO231">IFERROR((SUMPRODUCT(($A$218:$A$241=AO$216)*($F$215:$AJ$215="")*$F$218:$AJ$241)+IF(AO$216="P6",SUMPRODUCT(($F$215:$AJ$215="P6")*$F$218:$AJ$241),0))/(SUMPRODUCT(($A$218:$A$241=AO$216)*($F$215:$AJ$215=""))+IF(AO$216="P6",COUNTIF($F$215:$AJ$215,"P6")*ROWS($A$218:$A$241),0)),"")</f>
        <v>0.85996583850931696</v>
      </c>
      <c r="AP231" s="6" t="str" cm="1">
        <f t="array" ref="AP231">IFERROR((SUMPRODUCT(($A$218:$A$241=AP$216)*($F$215:$AJ$215="")*$F$218:$AJ$241)+IF(AP$216="P6",SUMPRODUCT(($F$215:$AJ$215="P6")*$F$218:$AJ$241),0))/(SUMPRODUCT(($A$218:$A$241=AP$216)*($F$215:$AJ$215=""))+IF(AP$216="P6",COUNTIF($F$215:$AJ$215,"P6")*ROWS($A$218:$A$241),0)),"")</f>
        <v/>
      </c>
      <c r="AQ231" s="6" t="str" cm="1">
        <f t="array" ref="AQ231">IFERROR((SUMPRODUCT(($A$218:$A$241=AQ$216)*($F$215:$AJ$215="")*$F$218:$AJ$241)+IF(AQ$216="P6",SUMPRODUCT(($F$215:$AJ$215="P6")*$F$218:$AJ$241),0))/(SUMPRODUCT(($A$218:$A$241=AQ$216)*($F$215:$AJ$215=""))+IF(AQ$216="P6",COUNTIF($F$215:$AJ$215,"P6")*ROWS($A$218:$A$241),0)),"")</f>
        <v/>
      </c>
      <c r="AR231" s="6" cm="1">
        <f t="array" ref="AR231">IFERROR((SUMPRODUCT(($A$218:$A$241=AR$216)*($F$215:$AJ$215="")*$F$218:$AJ$241)+IF(AR$216="P6",SUMPRODUCT(($F$215:$AJ$215="P6")*$F$218:$AJ$241),0))/(SUMPRODUCT(($A$218:$A$241=AR$216)*($F$215:$AJ$215=""))+IF(AR$216="P6",COUNTIF($F$215:$AJ$215,"P6")*ROWS($A$218:$A$241),0)),"")</f>
        <v>0.86327978723404197</v>
      </c>
    </row>
    <row r="232" spans="1:44" ht="14.25" customHeight="1" x14ac:dyDescent="0.35">
      <c r="A232" s="1" t="s">
        <v>13</v>
      </c>
      <c r="B232" s="1" t="s">
        <v>13</v>
      </c>
      <c r="C232" s="1" t="s">
        <v>14</v>
      </c>
      <c r="D232" s="1" t="s">
        <v>14</v>
      </c>
      <c r="E232" s="1" t="s">
        <v>33</v>
      </c>
      <c r="F232" s="1">
        <v>0.79612000000000005</v>
      </c>
      <c r="G232" s="1">
        <v>0.78856000000000004</v>
      </c>
      <c r="H232" s="1">
        <v>0.81903000000000004</v>
      </c>
      <c r="I232" s="1">
        <v>0.76122999999999996</v>
      </c>
      <c r="J232" s="1">
        <v>0.71270999999999995</v>
      </c>
      <c r="K232" s="1">
        <v>0.80162999999999995</v>
      </c>
      <c r="L232" s="1">
        <v>0.78563000000000005</v>
      </c>
      <c r="M232" s="1">
        <v>0.79612000000000005</v>
      </c>
      <c r="N232" s="1">
        <v>0.78856000000000004</v>
      </c>
      <c r="O232" s="1">
        <v>0.81903000000000004</v>
      </c>
      <c r="P232" s="1">
        <v>0.76122999999999996</v>
      </c>
      <c r="Q232" s="1">
        <v>0.71270999999999995</v>
      </c>
      <c r="R232" s="1">
        <v>0.80162999999999995</v>
      </c>
      <c r="S232" s="1">
        <v>0.78563000000000005</v>
      </c>
      <c r="T232" s="1">
        <v>0.79612000000000005</v>
      </c>
      <c r="U232" s="1">
        <v>0.78856000000000004</v>
      </c>
      <c r="V232" s="1">
        <v>0.81903000000000004</v>
      </c>
      <c r="W232" s="1">
        <v>0.76122999999999996</v>
      </c>
      <c r="X232" s="1">
        <v>0.71270999999999995</v>
      </c>
      <c r="Y232" s="1">
        <v>0.80162999999999995</v>
      </c>
      <c r="Z232" s="1">
        <v>0.78563000000000005</v>
      </c>
      <c r="AA232" s="1">
        <v>0.79612000000000005</v>
      </c>
      <c r="AB232" s="1">
        <v>0.78856000000000004</v>
      </c>
      <c r="AC232" s="1">
        <v>0.81903000000000004</v>
      </c>
      <c r="AD232" s="1">
        <v>0.76122999999999996</v>
      </c>
      <c r="AE232" s="1">
        <v>0.71270999999999995</v>
      </c>
      <c r="AF232" s="1">
        <v>0.80162999999999995</v>
      </c>
      <c r="AG232" s="1">
        <v>0.78563000000000005</v>
      </c>
      <c r="AH232" s="1">
        <v>0.79612000000000005</v>
      </c>
      <c r="AI232" s="1">
        <v>0.78856000000000004</v>
      </c>
      <c r="AJ232" s="1">
        <v>0.81903000000000004</v>
      </c>
      <c r="AL232" s="4" t="s">
        <v>29</v>
      </c>
      <c r="AM232" s="6" cm="1">
        <f t="array" ref="AM232">IFERROR((SUMPRODUCT(($A$218:$A$241=AM$216)*($F$215:$AJ$215="")*$F$218:$AJ$241)+IF(AM$216="P6",SUMPRODUCT(($F$215:$AJ$215="P6")*$F$218:$AJ$241),0))/(SUMPRODUCT(($A$218:$A$241=AM$216)*($F$215:$AJ$215=""))+IF(AM$216="P6",COUNTIF($F$215:$AJ$215,"P6")*ROWS($A$218:$A$241),0)),"")</f>
        <v>0.85492106280193303</v>
      </c>
      <c r="AN232" s="6" t="str" cm="1">
        <f t="array" ref="AN232">IFERROR((SUMPRODUCT(($A$218:$A$241=AN$216)*($F$215:$AJ$215="")*$F$218:$AJ$241)+IF(AN$216="P6",SUMPRODUCT(($F$215:$AJ$215="P6")*$F$218:$AJ$241),0))/(SUMPRODUCT(($A$218:$A$241=AN$216)*($F$215:$AJ$215=""))+IF(AN$216="P6",COUNTIF($F$215:$AJ$215,"P6")*ROWS($A$218:$A$241),0)),"")</f>
        <v/>
      </c>
      <c r="AO232" s="6" cm="1">
        <f t="array" ref="AO232">IFERROR((SUMPRODUCT(($A$218:$A$241=AO$216)*($F$215:$AJ$215="")*$F$218:$AJ$241)+IF(AO$216="P6",SUMPRODUCT(($F$215:$AJ$215="P6")*$F$218:$AJ$241),0))/(SUMPRODUCT(($A$218:$A$241=AO$216)*($F$215:$AJ$215=""))+IF(AO$216="P6",COUNTIF($F$215:$AJ$215,"P6")*ROWS($A$218:$A$241),0)),"")</f>
        <v>0.85996583850931696</v>
      </c>
      <c r="AP232" s="6" t="str" cm="1">
        <f t="array" ref="AP232">IFERROR((SUMPRODUCT(($A$218:$A$241=AP$216)*($F$215:$AJ$215="")*$F$218:$AJ$241)+IF(AP$216="P6",SUMPRODUCT(($F$215:$AJ$215="P6")*$F$218:$AJ$241),0))/(SUMPRODUCT(($A$218:$A$241=AP$216)*($F$215:$AJ$215=""))+IF(AP$216="P6",COUNTIF($F$215:$AJ$215,"P6")*ROWS($A$218:$A$241),0)),"")</f>
        <v/>
      </c>
      <c r="AQ232" s="6" t="str" cm="1">
        <f t="array" ref="AQ232">IFERROR((SUMPRODUCT(($A$218:$A$241=AQ$216)*($F$215:$AJ$215="")*$F$218:$AJ$241)+IF(AQ$216="P6",SUMPRODUCT(($F$215:$AJ$215="P6")*$F$218:$AJ$241),0))/(SUMPRODUCT(($A$218:$A$241=AQ$216)*($F$215:$AJ$215=""))+IF(AQ$216="P6",COUNTIF($F$215:$AJ$215,"P6")*ROWS($A$218:$A$241),0)),"")</f>
        <v/>
      </c>
      <c r="AR232" s="6" cm="1">
        <f t="array" ref="AR232">IFERROR((SUMPRODUCT(($A$218:$A$241=AR$216)*($F$215:$AJ$215="")*$F$218:$AJ$241)+IF(AR$216="P6",SUMPRODUCT(($F$215:$AJ$215="P6")*$F$218:$AJ$241),0))/(SUMPRODUCT(($A$218:$A$241=AR$216)*($F$215:$AJ$215=""))+IF(AR$216="P6",COUNTIF($F$215:$AJ$215,"P6")*ROWS($A$218:$A$241),0)),"")</f>
        <v>0.86327978723404197</v>
      </c>
    </row>
    <row r="233" spans="1:44" ht="14.25" customHeight="1" x14ac:dyDescent="0.35">
      <c r="A233" s="1" t="s">
        <v>15</v>
      </c>
      <c r="B233" s="1" t="s">
        <v>14</v>
      </c>
      <c r="C233" s="1" t="s">
        <v>14</v>
      </c>
      <c r="D233" s="1" t="s">
        <v>14</v>
      </c>
      <c r="E233" s="1" t="s">
        <v>34</v>
      </c>
      <c r="F233" s="1">
        <v>0.80723999999999996</v>
      </c>
      <c r="G233" s="1">
        <v>0.79732999999999998</v>
      </c>
      <c r="H233" s="1">
        <v>0.82410000000000005</v>
      </c>
      <c r="I233" s="1">
        <v>0.77803</v>
      </c>
      <c r="J233" s="1">
        <v>0.71943999999999997</v>
      </c>
      <c r="K233" s="1">
        <v>0.81391000000000002</v>
      </c>
      <c r="L233" s="1">
        <v>0.79552</v>
      </c>
      <c r="M233" s="1">
        <v>0.80723999999999996</v>
      </c>
      <c r="N233" s="1">
        <v>0.79732999999999998</v>
      </c>
      <c r="O233" s="1">
        <v>0.82410000000000005</v>
      </c>
      <c r="P233" s="1">
        <v>0.77803</v>
      </c>
      <c r="Q233" s="1">
        <v>0.71943999999999997</v>
      </c>
      <c r="R233" s="1">
        <v>0.81391000000000002</v>
      </c>
      <c r="S233" s="1">
        <v>0.79552</v>
      </c>
      <c r="T233" s="1">
        <v>0.80723999999999996</v>
      </c>
      <c r="U233" s="1">
        <v>0.79732999999999998</v>
      </c>
      <c r="V233" s="1">
        <v>0.82410000000000005</v>
      </c>
      <c r="W233" s="1">
        <v>0.77803</v>
      </c>
      <c r="X233" s="1">
        <v>0.71943999999999997</v>
      </c>
      <c r="Y233" s="1">
        <v>0.81391000000000002</v>
      </c>
      <c r="Z233" s="1">
        <v>0.79552</v>
      </c>
      <c r="AA233" s="1">
        <v>0.80723999999999996</v>
      </c>
      <c r="AB233" s="1">
        <v>0.79732999999999998</v>
      </c>
      <c r="AC233" s="1">
        <v>0.82410000000000005</v>
      </c>
      <c r="AD233" s="1">
        <v>0.77803</v>
      </c>
      <c r="AE233" s="1">
        <v>0.71943999999999997</v>
      </c>
      <c r="AF233" s="1">
        <v>0.81391000000000002</v>
      </c>
      <c r="AG233" s="1">
        <v>0.79552</v>
      </c>
      <c r="AH233" s="1">
        <v>0.80723999999999996</v>
      </c>
      <c r="AI233" s="1">
        <v>0.79732999999999998</v>
      </c>
      <c r="AJ233" s="1">
        <v>0.82410000000000005</v>
      </c>
      <c r="AL233" s="10"/>
      <c r="AM233" s="10"/>
      <c r="AN233" s="10"/>
      <c r="AO233" s="10"/>
      <c r="AP233" s="10"/>
      <c r="AQ233" s="10"/>
      <c r="AR233" s="10"/>
    </row>
    <row r="234" spans="1:44" ht="14.25" customHeight="1" x14ac:dyDescent="0.35">
      <c r="A234" s="1" t="s">
        <v>15</v>
      </c>
      <c r="B234" s="1" t="s">
        <v>14</v>
      </c>
      <c r="C234" s="1" t="s">
        <v>14</v>
      </c>
      <c r="D234" s="1" t="s">
        <v>14</v>
      </c>
      <c r="E234" s="1" t="s">
        <v>35</v>
      </c>
      <c r="F234" s="1">
        <v>0.80864000000000003</v>
      </c>
      <c r="G234" s="1">
        <v>0.81359000000000004</v>
      </c>
      <c r="H234" s="1">
        <v>0.85075000000000001</v>
      </c>
      <c r="I234" s="1">
        <v>0.78798000000000001</v>
      </c>
      <c r="J234" s="1">
        <v>0.74912999999999996</v>
      </c>
      <c r="K234" s="1">
        <v>0.80517000000000005</v>
      </c>
      <c r="L234" s="1">
        <v>0.80715999999999999</v>
      </c>
      <c r="M234" s="1">
        <v>0.80864000000000003</v>
      </c>
      <c r="N234" s="1">
        <v>0.81359000000000004</v>
      </c>
      <c r="O234" s="1">
        <v>0.85075000000000001</v>
      </c>
      <c r="P234" s="1">
        <v>0.78798000000000001</v>
      </c>
      <c r="Q234" s="1">
        <v>0.74912999999999996</v>
      </c>
      <c r="R234" s="1">
        <v>0.80517000000000005</v>
      </c>
      <c r="S234" s="1">
        <v>0.80715999999999999</v>
      </c>
      <c r="T234" s="1">
        <v>0.80864000000000003</v>
      </c>
      <c r="U234" s="1">
        <v>0.81359000000000004</v>
      </c>
      <c r="V234" s="1">
        <v>0.85075000000000001</v>
      </c>
      <c r="W234" s="1">
        <v>0.78798000000000001</v>
      </c>
      <c r="X234" s="1">
        <v>0.74912999999999996</v>
      </c>
      <c r="Y234" s="1">
        <v>0.80517000000000005</v>
      </c>
      <c r="Z234" s="1">
        <v>0.80715999999999999</v>
      </c>
      <c r="AA234" s="1">
        <v>0.80864000000000003</v>
      </c>
      <c r="AB234" s="1">
        <v>0.81359000000000004</v>
      </c>
      <c r="AC234" s="1">
        <v>0.85075000000000001</v>
      </c>
      <c r="AD234" s="1">
        <v>0.78798000000000001</v>
      </c>
      <c r="AE234" s="1">
        <v>0.74912999999999996</v>
      </c>
      <c r="AF234" s="1">
        <v>0.80517000000000005</v>
      </c>
      <c r="AG234" s="1">
        <v>0.80715999999999999</v>
      </c>
      <c r="AH234" s="1">
        <v>0.80864000000000003</v>
      </c>
      <c r="AI234" s="1">
        <v>0.81359000000000004</v>
      </c>
      <c r="AJ234" s="1">
        <v>0.85075000000000001</v>
      </c>
      <c r="AL234" s="10"/>
      <c r="AM234" s="10"/>
      <c r="AN234" s="10"/>
      <c r="AO234" s="10"/>
      <c r="AP234" s="10"/>
      <c r="AQ234" s="10"/>
      <c r="AR234" s="10"/>
    </row>
    <row r="235" spans="1:44" ht="14.25" customHeight="1" x14ac:dyDescent="0.35">
      <c r="A235" s="1" t="s">
        <v>15</v>
      </c>
      <c r="B235" s="1" t="s">
        <v>14</v>
      </c>
      <c r="C235" s="1" t="s">
        <v>14</v>
      </c>
      <c r="D235" s="1" t="s">
        <v>14</v>
      </c>
      <c r="E235" s="1" t="s">
        <v>36</v>
      </c>
      <c r="F235" s="1">
        <v>0.81003999999999998</v>
      </c>
      <c r="G235" s="1">
        <v>0.83838000000000001</v>
      </c>
      <c r="H235" s="1">
        <v>0.86594000000000004</v>
      </c>
      <c r="I235" s="1">
        <v>0.81718999999999997</v>
      </c>
      <c r="J235" s="1">
        <v>0.76619000000000004</v>
      </c>
      <c r="K235" s="1">
        <v>0.81484999999999996</v>
      </c>
      <c r="L235" s="1">
        <v>0.83026</v>
      </c>
      <c r="M235" s="1">
        <v>0.81003999999999998</v>
      </c>
      <c r="N235" s="1">
        <v>0.83838000000000001</v>
      </c>
      <c r="O235" s="1">
        <v>0.86594000000000004</v>
      </c>
      <c r="P235" s="1">
        <v>0.81718999999999997</v>
      </c>
      <c r="Q235" s="1">
        <v>0.76619000000000004</v>
      </c>
      <c r="R235" s="1">
        <v>0.81484999999999996</v>
      </c>
      <c r="S235" s="1">
        <v>0.83026</v>
      </c>
      <c r="T235" s="1">
        <v>0.81003999999999998</v>
      </c>
      <c r="U235" s="1">
        <v>0.83838000000000001</v>
      </c>
      <c r="V235" s="1">
        <v>0.86594000000000004</v>
      </c>
      <c r="W235" s="1">
        <v>0.81718999999999997</v>
      </c>
      <c r="X235" s="1">
        <v>0.76619000000000004</v>
      </c>
      <c r="Y235" s="1">
        <v>0.81484999999999996</v>
      </c>
      <c r="Z235" s="1">
        <v>0.83026</v>
      </c>
      <c r="AA235" s="1">
        <v>0.81003999999999998</v>
      </c>
      <c r="AB235" s="1">
        <v>0.83838000000000001</v>
      </c>
      <c r="AC235" s="1">
        <v>0.86594000000000004</v>
      </c>
      <c r="AD235" s="1">
        <v>0.81718999999999997</v>
      </c>
      <c r="AE235" s="1">
        <v>0.76619000000000004</v>
      </c>
      <c r="AF235" s="1">
        <v>0.81484999999999996</v>
      </c>
      <c r="AG235" s="1">
        <v>0.83026</v>
      </c>
      <c r="AH235" s="1">
        <v>0.81003999999999998</v>
      </c>
      <c r="AI235" s="1">
        <v>0.83838000000000001</v>
      </c>
      <c r="AJ235" s="1">
        <v>0.86594000000000004</v>
      </c>
      <c r="AL235" s="14" t="s">
        <v>136</v>
      </c>
      <c r="AM235" s="14"/>
      <c r="AN235" s="14"/>
      <c r="AO235" s="14"/>
      <c r="AP235" s="14"/>
      <c r="AQ235" s="14"/>
      <c r="AR235" s="14"/>
    </row>
    <row r="236" spans="1:44" ht="14.25" customHeight="1" x14ac:dyDescent="0.35">
      <c r="A236" s="1" t="s">
        <v>13</v>
      </c>
      <c r="B236" s="1" t="s">
        <v>13</v>
      </c>
      <c r="C236" s="1" t="s">
        <v>13</v>
      </c>
      <c r="D236" s="1" t="s">
        <v>13</v>
      </c>
      <c r="E236" s="1" t="s">
        <v>37</v>
      </c>
      <c r="F236" s="1">
        <v>0.83043999999999996</v>
      </c>
      <c r="G236" s="1">
        <v>0.87033000000000005</v>
      </c>
      <c r="H236" s="1">
        <v>0.90339000000000003</v>
      </c>
      <c r="I236" s="1">
        <v>0.86190999999999995</v>
      </c>
      <c r="J236" s="1">
        <v>0.84606999999999999</v>
      </c>
      <c r="K236" s="1">
        <v>0.85355999999999999</v>
      </c>
      <c r="L236" s="1">
        <v>0.87012999999999996</v>
      </c>
      <c r="M236" s="1">
        <v>0.83043999999999996</v>
      </c>
      <c r="N236" s="1">
        <v>0.87033000000000005</v>
      </c>
      <c r="O236" s="1">
        <v>0.90339000000000003</v>
      </c>
      <c r="P236" s="1">
        <v>0.86190999999999995</v>
      </c>
      <c r="Q236" s="1">
        <v>0.84606999999999999</v>
      </c>
      <c r="R236" s="1">
        <v>0.85355999999999999</v>
      </c>
      <c r="S236" s="1">
        <v>0.87012999999999996</v>
      </c>
      <c r="T236" s="1">
        <v>0.83043999999999996</v>
      </c>
      <c r="U236" s="1">
        <v>0.87033000000000005</v>
      </c>
      <c r="V236" s="1">
        <v>0.90339000000000003</v>
      </c>
      <c r="W236" s="1">
        <v>0.86190999999999995</v>
      </c>
      <c r="X236" s="1">
        <v>0.84606999999999999</v>
      </c>
      <c r="Y236" s="1">
        <v>0.85355999999999999</v>
      </c>
      <c r="Z236" s="1">
        <v>0.87012999999999996</v>
      </c>
      <c r="AA236" s="1">
        <v>0.83043999999999996</v>
      </c>
      <c r="AB236" s="1">
        <v>0.87033000000000005</v>
      </c>
      <c r="AC236" s="1">
        <v>0.90339000000000003</v>
      </c>
      <c r="AD236" s="1">
        <v>0.86190999999999995</v>
      </c>
      <c r="AE236" s="1">
        <v>0.84606999999999999</v>
      </c>
      <c r="AF236" s="1">
        <v>0.85355999999999999</v>
      </c>
      <c r="AG236" s="1">
        <v>0.87012999999999996</v>
      </c>
      <c r="AH236" s="1">
        <v>0.83043999999999996</v>
      </c>
      <c r="AI236" s="1">
        <v>0.87033000000000005</v>
      </c>
      <c r="AJ236" s="1">
        <v>0.90339000000000003</v>
      </c>
      <c r="AL236" s="4"/>
      <c r="AM236" s="4" t="s">
        <v>13</v>
      </c>
      <c r="AN236" s="4" t="s">
        <v>14</v>
      </c>
      <c r="AO236" s="4" t="s">
        <v>15</v>
      </c>
      <c r="AP236" s="4" t="s">
        <v>16</v>
      </c>
      <c r="AQ236" s="4" t="s">
        <v>17</v>
      </c>
      <c r="AR236" s="4" t="s">
        <v>7</v>
      </c>
    </row>
    <row r="237" spans="1:44" ht="14.25" customHeight="1" x14ac:dyDescent="0.35">
      <c r="A237" s="1" t="s">
        <v>13</v>
      </c>
      <c r="B237" s="1" t="s">
        <v>13</v>
      </c>
      <c r="C237" s="1" t="s">
        <v>13</v>
      </c>
      <c r="D237" s="1" t="s">
        <v>13</v>
      </c>
      <c r="E237" s="1" t="s">
        <v>38</v>
      </c>
      <c r="F237" s="1">
        <v>0.86585000000000001</v>
      </c>
      <c r="G237" s="1">
        <v>0.89603999999999995</v>
      </c>
      <c r="H237" s="1">
        <v>0.92627999999999999</v>
      </c>
      <c r="I237" s="1">
        <v>0.87697999999999998</v>
      </c>
      <c r="J237" s="1">
        <v>0.86043000000000003</v>
      </c>
      <c r="K237" s="1">
        <v>0.87551000000000001</v>
      </c>
      <c r="L237" s="1">
        <v>0.87653000000000003</v>
      </c>
      <c r="M237" s="1">
        <v>0.86585000000000001</v>
      </c>
      <c r="N237" s="1">
        <v>0.89603999999999995</v>
      </c>
      <c r="O237" s="1">
        <v>0.92627999999999999</v>
      </c>
      <c r="P237" s="1">
        <v>0.87697999999999998</v>
      </c>
      <c r="Q237" s="1">
        <v>0.86043000000000003</v>
      </c>
      <c r="R237" s="1">
        <v>0.87551000000000001</v>
      </c>
      <c r="S237" s="1">
        <v>0.87653000000000003</v>
      </c>
      <c r="T237" s="1">
        <v>0.86585000000000001</v>
      </c>
      <c r="U237" s="1">
        <v>0.89603999999999995</v>
      </c>
      <c r="V237" s="1">
        <v>0.92627999999999999</v>
      </c>
      <c r="W237" s="1">
        <v>0.87697999999999998</v>
      </c>
      <c r="X237" s="1">
        <v>0.86043000000000003</v>
      </c>
      <c r="Y237" s="1">
        <v>0.87551000000000001</v>
      </c>
      <c r="Z237" s="1">
        <v>0.87653000000000003</v>
      </c>
      <c r="AA237" s="1">
        <v>0.86585000000000001</v>
      </c>
      <c r="AB237" s="1">
        <v>0.89603999999999995</v>
      </c>
      <c r="AC237" s="1">
        <v>0.92627999999999999</v>
      </c>
      <c r="AD237" s="1">
        <v>0.87697999999999998</v>
      </c>
      <c r="AE237" s="1">
        <v>0.86043000000000003</v>
      </c>
      <c r="AF237" s="1">
        <v>0.87551000000000001</v>
      </c>
      <c r="AG237" s="1">
        <v>0.87653000000000003</v>
      </c>
      <c r="AH237" s="1">
        <v>0.86585000000000001</v>
      </c>
      <c r="AI237" s="1">
        <v>0.89603999999999995</v>
      </c>
      <c r="AJ237" s="1">
        <v>0.92627999999999999</v>
      </c>
      <c r="AL237" s="4" t="s">
        <v>19</v>
      </c>
      <c r="AM237" s="6" cm="1">
        <f t="array" ref="AM237">IFERROR((SUMPRODUCT(($C$218:$C$241=AM$216)*($F$214:$AJ$214="")*$F$218:$AJ$241)+IF(AM$216="P3",SUMPRODUCT(($F$214:$AJ$214="P3")*$F$218:$AJ$241),0))/(SUMPRODUCT(($C$218:$C$241=AM$216)*($F$214:$AJ$214=""))+IF(AM$216="P3",COUNTIF($F$214:$AJ$214,"P3")*ROWS($C$218:$C$241),0)),"")</f>
        <v>0.86196233695652236</v>
      </c>
      <c r="AN237" s="6" cm="1">
        <f t="array" ref="AN237">IFERROR((SUMPRODUCT(($C$218:$C$241=AN$216)*($F$214:$AJ$214="")*$F$218:$AJ$241)+IF(AN$216="P3",SUMPRODUCT(($F$214:$AJ$214="P3")*$F$218:$AJ$241),0))/(SUMPRODUCT(($C$218:$C$241=AN$216)*($F$214:$AJ$214=""))+IF(AN$216="P3",COUNTIF($F$214:$AJ$214,"P3")*ROWS($C$218:$C$241),0)),"")</f>
        <v>0.85229396739130447</v>
      </c>
      <c r="AO237" s="6" cm="1">
        <f t="array" ref="AO237">IFERROR((SUMPRODUCT(($C$218:$C$241=AO$216)*($F$214:$AJ$214="")*$F$218:$AJ$241)+IF(AO$216="P3",SUMPRODUCT(($F$214:$AJ$214="P3")*$F$218:$AJ$241),0))/(SUMPRODUCT(($C$218:$C$241=AO$216)*($F$214:$AJ$214=""))+IF(AO$216="P3",COUNTIF($F$214:$AJ$214,"P3")*ROWS($C$218:$C$241),0)),"")</f>
        <v>0.86327978723404197</v>
      </c>
      <c r="AP237" s="6" t="str" cm="1">
        <f t="array" ref="AP237">IFERROR((SUMPRODUCT(($C$218:$C$241=AP$216)*($F$214:$AJ$214="")*$F$218:$AJ$241)+IF(AP$216="P3",SUMPRODUCT(($F$214:$AJ$214="P3")*$F$218:$AJ$241),0))/(SUMPRODUCT(($C$218:$C$241=AP$216)*($F$214:$AJ$214=""))+IF(AP$216="P3",COUNTIF($F$214:$AJ$214,"P3")*ROWS($C$218:$C$241),0)),"")</f>
        <v/>
      </c>
      <c r="AQ237" s="6" t="str" cm="1">
        <f t="array" ref="AQ237">IFERROR((SUMPRODUCT(($C$218:$C$241=AQ$216)*($F$214:$AJ$214="")*$F$218:$AJ$241)+IF(AQ$216="P3",SUMPRODUCT(($F$214:$AJ$214="P3")*$F$218:$AJ$241),0))/(SUMPRODUCT(($C$218:$C$241=AQ$216)*($F$214:$AJ$214=""))+IF(AQ$216="P3",COUNTIF($F$214:$AJ$214,"P3")*ROWS($C$218:$C$241),0)),"")</f>
        <v/>
      </c>
      <c r="AR237" s="6" t="str" cm="1">
        <f t="array" ref="AR237">IFERROR((SUMPRODUCT(($C$218:$C$241=AR$216)*($F$214:$AJ$214="")*$F$218:$AJ$241)+IF(AR$216="P3",SUMPRODUCT(($F$214:$AJ$214="P3")*$F$218:$AJ$241),0))/(SUMPRODUCT(($C$218:$C$241=AR$216)*($F$214:$AJ$214=""))+IF(AR$216="P3",COUNTIF($F$214:$AJ$214,"P3")*ROWS($C$218:$C$241),0)),"")</f>
        <v/>
      </c>
    </row>
    <row r="238" spans="1:44" ht="14.25" customHeight="1" x14ac:dyDescent="0.35">
      <c r="A238" s="1" t="s">
        <v>13</v>
      </c>
      <c r="B238" s="1" t="s">
        <v>13</v>
      </c>
      <c r="C238" s="1" t="s">
        <v>13</v>
      </c>
      <c r="D238" s="1" t="s">
        <v>13</v>
      </c>
      <c r="E238" s="1" t="s">
        <v>39</v>
      </c>
      <c r="F238" s="1">
        <v>0.90276999999999996</v>
      </c>
      <c r="G238" s="1">
        <v>0.90522000000000002</v>
      </c>
      <c r="H238" s="1">
        <v>0.92934000000000005</v>
      </c>
      <c r="I238" s="1">
        <v>0.86812</v>
      </c>
      <c r="J238" s="1">
        <v>0.83989000000000003</v>
      </c>
      <c r="K238" s="1">
        <v>0.89924999999999999</v>
      </c>
      <c r="L238" s="1">
        <v>0.89293</v>
      </c>
      <c r="M238" s="1">
        <v>0.90276999999999996</v>
      </c>
      <c r="N238" s="1">
        <v>0.90522000000000002</v>
      </c>
      <c r="O238" s="1">
        <v>0.92934000000000005</v>
      </c>
      <c r="P238" s="1">
        <v>0.86812</v>
      </c>
      <c r="Q238" s="1">
        <v>0.83989000000000003</v>
      </c>
      <c r="R238" s="1">
        <v>0.89924999999999999</v>
      </c>
      <c r="S238" s="1">
        <v>0.89293</v>
      </c>
      <c r="T238" s="1">
        <v>0.90276999999999996</v>
      </c>
      <c r="U238" s="1">
        <v>0.90522000000000002</v>
      </c>
      <c r="V238" s="1">
        <v>0.92934000000000005</v>
      </c>
      <c r="W238" s="1">
        <v>0.86812</v>
      </c>
      <c r="X238" s="1">
        <v>0.83989000000000003</v>
      </c>
      <c r="Y238" s="1">
        <v>0.89924999999999999</v>
      </c>
      <c r="Z238" s="1">
        <v>0.89293</v>
      </c>
      <c r="AA238" s="1">
        <v>0.90276999999999996</v>
      </c>
      <c r="AB238" s="1">
        <v>0.90522000000000002</v>
      </c>
      <c r="AC238" s="1">
        <v>0.92934000000000005</v>
      </c>
      <c r="AD238" s="1">
        <v>0.86812</v>
      </c>
      <c r="AE238" s="1">
        <v>0.83989000000000003</v>
      </c>
      <c r="AF238" s="1">
        <v>0.89924999999999999</v>
      </c>
      <c r="AG238" s="1">
        <v>0.89293</v>
      </c>
      <c r="AH238" s="1">
        <v>0.90276999999999996</v>
      </c>
      <c r="AI238" s="1">
        <v>0.90522000000000002</v>
      </c>
      <c r="AJ238" s="1">
        <v>0.92934000000000005</v>
      </c>
      <c r="AL238" s="4" t="s">
        <v>21</v>
      </c>
      <c r="AM238" s="6" cm="1">
        <f t="array" ref="AM238">IFERROR((SUMPRODUCT(($B$218:$B$241=AM$216)*($F$215:$AJ$215="")*$F$218:$AJ$241)+IF(AM$216="P6",SUMPRODUCT(($F$215:$AJ$215="P6")*$F$218:$AJ$241),0))/(SUMPRODUCT(($B$218:$B$241=AM$216)*($F$215:$AJ$215=""))+IF(AM$216="P6",COUNTIF($F$215:$AJ$215,"P6")*ROWS($B$218:$B$241),0)),"")</f>
        <v>0.85492106280193303</v>
      </c>
      <c r="AN238" s="6" cm="1">
        <f t="array" ref="AN238">IFERROR((SUMPRODUCT(($B$218:$B$241=AN$216)*($F$215:$AJ$215="")*$F$218:$AJ$241)+IF(AN$216="P6",SUMPRODUCT(($F$215:$AJ$215="P6")*$F$218:$AJ$241),0))/(SUMPRODUCT(($B$218:$B$241=AN$216)*($F$215:$AJ$215=""))+IF(AN$216="P6",COUNTIF($F$215:$AJ$215,"P6")*ROWS($B$218:$B$241),0)),"")</f>
        <v>0.85996583850931696</v>
      </c>
      <c r="AO238" s="6" t="str" cm="1">
        <f t="array" ref="AO238">IFERROR((SUMPRODUCT(($B$218:$B$241=AO$216)*($F$215:$AJ$215="")*$F$218:$AJ$241)+IF(AO$216="P6",SUMPRODUCT(($F$215:$AJ$215="P6")*$F$218:$AJ$241),0))/(SUMPRODUCT(($B$218:$B$241=AO$216)*($F$215:$AJ$215=""))+IF(AO$216="P6",COUNTIF($F$215:$AJ$215,"P6")*ROWS($B$218:$B$241),0)),"")</f>
        <v/>
      </c>
      <c r="AP238" s="6" t="str" cm="1">
        <f t="array" ref="AP238">IFERROR((SUMPRODUCT(($B$218:$B$241=AP$216)*($F$215:$AJ$215="")*$F$218:$AJ$241)+IF(AP$216="P6",SUMPRODUCT(($F$215:$AJ$215="P6")*$F$218:$AJ$241),0))/(SUMPRODUCT(($B$218:$B$241=AP$216)*($F$215:$AJ$215=""))+IF(AP$216="P6",COUNTIF($F$215:$AJ$215,"P6")*ROWS($B$218:$B$241),0)),"")</f>
        <v/>
      </c>
      <c r="AQ238" s="6" t="str" cm="1">
        <f t="array" ref="AQ238">IFERROR((SUMPRODUCT(($B$218:$B$241=AQ$216)*($F$215:$AJ$215="")*$F$218:$AJ$241)+IF(AQ$216="P6",SUMPRODUCT(($F$215:$AJ$215="P6")*$F$218:$AJ$241),0))/(SUMPRODUCT(($B$218:$B$241=AQ$216)*($F$215:$AJ$215=""))+IF(AQ$216="P6",COUNTIF($F$215:$AJ$215,"P6")*ROWS($B$218:$B$241),0)),"")</f>
        <v/>
      </c>
      <c r="AR238" s="6" cm="1">
        <f t="array" ref="AR238">IFERROR((SUMPRODUCT(($B$218:$B$241=AR$216)*($F$215:$AJ$215="")*$F$218:$AJ$241)+IF(AR$216="P6",SUMPRODUCT(($F$215:$AJ$215="P6")*$F$218:$AJ$241),0))/(SUMPRODUCT(($B$218:$B$241=AR$216)*($F$215:$AJ$215=""))+IF(AR$216="P6",COUNTIF($F$215:$AJ$215,"P6")*ROWS($B$218:$B$241),0)),"")</f>
        <v>0.86327978723404197</v>
      </c>
    </row>
    <row r="239" spans="1:44" ht="14.25" customHeight="1" x14ac:dyDescent="0.35">
      <c r="A239" s="1" t="s">
        <v>13</v>
      </c>
      <c r="B239" s="1" t="s">
        <v>13</v>
      </c>
      <c r="C239" s="1" t="s">
        <v>13</v>
      </c>
      <c r="D239" s="1" t="s">
        <v>13</v>
      </c>
      <c r="E239" s="1" t="s">
        <v>40</v>
      </c>
      <c r="F239" s="1">
        <v>0.95262000000000002</v>
      </c>
      <c r="G239" s="1">
        <v>0.94718000000000002</v>
      </c>
      <c r="H239" s="1">
        <v>0.95777999999999996</v>
      </c>
      <c r="I239" s="1">
        <v>0.92632999999999999</v>
      </c>
      <c r="J239" s="1">
        <v>0.86770999999999998</v>
      </c>
      <c r="K239" s="1">
        <v>0.95774999999999999</v>
      </c>
      <c r="L239" s="1">
        <v>0.94386999999999999</v>
      </c>
      <c r="M239" s="1">
        <v>0.95262000000000002</v>
      </c>
      <c r="N239" s="1">
        <v>0.94718000000000002</v>
      </c>
      <c r="O239" s="1">
        <v>0.95777999999999996</v>
      </c>
      <c r="P239" s="1">
        <v>0.92632999999999999</v>
      </c>
      <c r="Q239" s="1">
        <v>0.86770999999999998</v>
      </c>
      <c r="R239" s="1">
        <v>0.95774999999999999</v>
      </c>
      <c r="S239" s="1">
        <v>0.94386999999999999</v>
      </c>
      <c r="T239" s="1">
        <v>0.95262000000000002</v>
      </c>
      <c r="U239" s="1">
        <v>0.94718000000000002</v>
      </c>
      <c r="V239" s="1">
        <v>0.95777999999999996</v>
      </c>
      <c r="W239" s="1">
        <v>0.92632999999999999</v>
      </c>
      <c r="X239" s="1">
        <v>0.86770999999999998</v>
      </c>
      <c r="Y239" s="1">
        <v>0.95774999999999999</v>
      </c>
      <c r="Z239" s="1">
        <v>0.94386999999999999</v>
      </c>
      <c r="AA239" s="1">
        <v>0.95262000000000002</v>
      </c>
      <c r="AB239" s="1">
        <v>0.94718000000000002</v>
      </c>
      <c r="AC239" s="1">
        <v>0.95777999999999996</v>
      </c>
      <c r="AD239" s="1">
        <v>0.92632999999999999</v>
      </c>
      <c r="AE239" s="1">
        <v>0.86770999999999998</v>
      </c>
      <c r="AF239" s="1">
        <v>0.95774999999999999</v>
      </c>
      <c r="AG239" s="1">
        <v>0.94386999999999999</v>
      </c>
      <c r="AH239" s="1">
        <v>0.95262000000000002</v>
      </c>
      <c r="AI239" s="1">
        <v>0.94718000000000002</v>
      </c>
      <c r="AJ239" s="1">
        <v>0.95777999999999996</v>
      </c>
      <c r="AL239" s="4" t="s">
        <v>23</v>
      </c>
      <c r="AM239" s="6" cm="1">
        <f t="array" ref="AM239">IFERROR((SUMPRODUCT(($B$218:$B$241=AM$216)*($F$215:$AJ$215="")*$F$218:$AJ$241)+IF(AM$216="P6",SUMPRODUCT(($F$215:$AJ$215="P6")*$F$218:$AJ$241),0))/(SUMPRODUCT(($B$218:$B$241=AM$216)*($F$215:$AJ$215=""))+IF(AM$216="P6",COUNTIF($F$215:$AJ$215,"P6")*ROWS($B$218:$B$241),0)),"")</f>
        <v>0.85492106280193303</v>
      </c>
      <c r="AN239" s="6" cm="1">
        <f t="array" ref="AN239">IFERROR((SUMPRODUCT(($B$218:$B$241=AN$216)*($F$215:$AJ$215="")*$F$218:$AJ$241)+IF(AN$216="P6",SUMPRODUCT(($F$215:$AJ$215="P6")*$F$218:$AJ$241),0))/(SUMPRODUCT(($B$218:$B$241=AN$216)*($F$215:$AJ$215=""))+IF(AN$216="P6",COUNTIF($F$215:$AJ$215,"P6")*ROWS($B$218:$B$241),0)),"")</f>
        <v>0.85996583850931696</v>
      </c>
      <c r="AO239" s="6" t="str" cm="1">
        <f t="array" ref="AO239">IFERROR((SUMPRODUCT(($B$218:$B$241=AO$216)*($F$215:$AJ$215="")*$F$218:$AJ$241)+IF(AO$216="P6",SUMPRODUCT(($F$215:$AJ$215="P6")*$F$218:$AJ$241),0))/(SUMPRODUCT(($B$218:$B$241=AO$216)*($F$215:$AJ$215=""))+IF(AO$216="P6",COUNTIF($F$215:$AJ$215,"P6")*ROWS($B$218:$B$241),0)),"")</f>
        <v/>
      </c>
      <c r="AP239" s="6" t="str" cm="1">
        <f t="array" ref="AP239">IFERROR((SUMPRODUCT(($B$218:$B$241=AP$216)*($F$215:$AJ$215="")*$F$218:$AJ$241)+IF(AP$216="P6",SUMPRODUCT(($F$215:$AJ$215="P6")*$F$218:$AJ$241),0))/(SUMPRODUCT(($B$218:$B$241=AP$216)*($F$215:$AJ$215=""))+IF(AP$216="P6",COUNTIF($F$215:$AJ$215,"P6")*ROWS($B$218:$B$241),0)),"")</f>
        <v/>
      </c>
      <c r="AQ239" s="6" t="str" cm="1">
        <f t="array" ref="AQ239">IFERROR((SUMPRODUCT(($B$218:$B$241=AQ$216)*($F$215:$AJ$215="")*$F$218:$AJ$241)+IF(AQ$216="P6",SUMPRODUCT(($F$215:$AJ$215="P6")*$F$218:$AJ$241),0))/(SUMPRODUCT(($B$218:$B$241=AQ$216)*($F$215:$AJ$215=""))+IF(AQ$216="P6",COUNTIF($F$215:$AJ$215,"P6")*ROWS($B$218:$B$241),0)),"")</f>
        <v/>
      </c>
      <c r="AR239" s="6" cm="1">
        <f t="array" ref="AR239">IFERROR((SUMPRODUCT(($B$218:$B$241=AR$216)*($F$215:$AJ$215="")*$F$218:$AJ$241)+IF(AR$216="P6",SUMPRODUCT(($F$215:$AJ$215="P6")*$F$218:$AJ$241),0))/(SUMPRODUCT(($B$218:$B$241=AR$216)*($F$215:$AJ$215=""))+IF(AR$216="P6",COUNTIF($F$215:$AJ$215,"P6")*ROWS($B$218:$B$241),0)),"")</f>
        <v>0.86327978723404197</v>
      </c>
    </row>
    <row r="240" spans="1:44" ht="14.25" customHeight="1" x14ac:dyDescent="0.35">
      <c r="A240" s="1" t="s">
        <v>15</v>
      </c>
      <c r="B240" s="1" t="s">
        <v>14</v>
      </c>
      <c r="C240" s="1" t="s">
        <v>14</v>
      </c>
      <c r="D240" s="1" t="s">
        <v>14</v>
      </c>
      <c r="E240" s="1" t="s">
        <v>41</v>
      </c>
      <c r="F240" s="1">
        <v>0.95538000000000001</v>
      </c>
      <c r="G240" s="1">
        <v>0.95406999999999997</v>
      </c>
      <c r="H240" s="1">
        <v>0.95911999999999997</v>
      </c>
      <c r="I240" s="1">
        <v>0.91756000000000004</v>
      </c>
      <c r="J240" s="1">
        <v>0.86219999999999997</v>
      </c>
      <c r="K240" s="1">
        <v>0.96887999999999996</v>
      </c>
      <c r="L240" s="1">
        <v>0.95814999999999995</v>
      </c>
      <c r="M240" s="1">
        <v>0.95538000000000001</v>
      </c>
      <c r="N240" s="1">
        <v>0.95406999999999997</v>
      </c>
      <c r="O240" s="1">
        <v>0.95911999999999997</v>
      </c>
      <c r="P240" s="1">
        <v>0.91756000000000004</v>
      </c>
      <c r="Q240" s="1">
        <v>0.86219999999999997</v>
      </c>
      <c r="R240" s="1">
        <v>0.96887999999999996</v>
      </c>
      <c r="S240" s="1">
        <v>0.95814999999999995</v>
      </c>
      <c r="T240" s="1">
        <v>0.95538000000000001</v>
      </c>
      <c r="U240" s="1">
        <v>0.95406999999999997</v>
      </c>
      <c r="V240" s="1">
        <v>0.95911999999999997</v>
      </c>
      <c r="W240" s="1">
        <v>0.91756000000000004</v>
      </c>
      <c r="X240" s="1">
        <v>0.86219999999999997</v>
      </c>
      <c r="Y240" s="1">
        <v>0.96887999999999996</v>
      </c>
      <c r="Z240" s="1">
        <v>0.95814999999999995</v>
      </c>
      <c r="AA240" s="1">
        <v>0.95538000000000001</v>
      </c>
      <c r="AB240" s="1">
        <v>0.95406999999999997</v>
      </c>
      <c r="AC240" s="1">
        <v>0.95911999999999997</v>
      </c>
      <c r="AD240" s="1">
        <v>0.91756000000000004</v>
      </c>
      <c r="AE240" s="1">
        <v>0.86219999999999997</v>
      </c>
      <c r="AF240" s="1">
        <v>0.96887999999999996</v>
      </c>
      <c r="AG240" s="1">
        <v>0.95814999999999995</v>
      </c>
      <c r="AH240" s="1">
        <v>0.95538000000000001</v>
      </c>
      <c r="AI240" s="1">
        <v>0.95406999999999997</v>
      </c>
      <c r="AJ240" s="1">
        <v>0.95911999999999997</v>
      </c>
      <c r="AL240" s="4" t="s">
        <v>25</v>
      </c>
      <c r="AM240" s="6" cm="1">
        <f t="array" ref="AM240">IFERROR((SUMPRODUCT(($B$218:$B$241=AM$216)*($F$215:$AJ$215="")*$F$218:$AJ$241)+IF(AM$216="P6",SUMPRODUCT(($F$215:$AJ$215="P6")*$F$218:$AJ$241),0))/(SUMPRODUCT(($B$218:$B$241=AM$216)*($F$215:$AJ$215=""))+IF(AM$216="P6",COUNTIF($F$215:$AJ$215,"P6")*ROWS($B$218:$B$241),0)),"")</f>
        <v>0.85492106280193303</v>
      </c>
      <c r="AN240" s="6" cm="1">
        <f t="array" ref="AN240">IFERROR((SUMPRODUCT(($B$218:$B$241=AN$216)*($F$215:$AJ$215="")*$F$218:$AJ$241)+IF(AN$216="P6",SUMPRODUCT(($F$215:$AJ$215="P6")*$F$218:$AJ$241),0))/(SUMPRODUCT(($B$218:$B$241=AN$216)*($F$215:$AJ$215=""))+IF(AN$216="P6",COUNTIF($F$215:$AJ$215,"P6")*ROWS($B$218:$B$241),0)),"")</f>
        <v>0.85996583850931696</v>
      </c>
      <c r="AO240" s="6" t="str" cm="1">
        <f t="array" ref="AO240">IFERROR((SUMPRODUCT(($B$218:$B$241=AO$216)*($F$215:$AJ$215="")*$F$218:$AJ$241)+IF(AO$216="P6",SUMPRODUCT(($F$215:$AJ$215="P6")*$F$218:$AJ$241),0))/(SUMPRODUCT(($B$218:$B$241=AO$216)*($F$215:$AJ$215=""))+IF(AO$216="P6",COUNTIF($F$215:$AJ$215,"P6")*ROWS($B$218:$B$241),0)),"")</f>
        <v/>
      </c>
      <c r="AP240" s="6" t="str" cm="1">
        <f t="array" ref="AP240">IFERROR((SUMPRODUCT(($B$218:$B$241=AP$216)*($F$215:$AJ$215="")*$F$218:$AJ$241)+IF(AP$216="P6",SUMPRODUCT(($F$215:$AJ$215="P6")*$F$218:$AJ$241),0))/(SUMPRODUCT(($B$218:$B$241=AP$216)*($F$215:$AJ$215=""))+IF(AP$216="P6",COUNTIF($F$215:$AJ$215,"P6")*ROWS($B$218:$B$241),0)),"")</f>
        <v/>
      </c>
      <c r="AQ240" s="6" t="str" cm="1">
        <f t="array" ref="AQ240">IFERROR((SUMPRODUCT(($B$218:$B$241=AQ$216)*($F$215:$AJ$215="")*$F$218:$AJ$241)+IF(AQ$216="P6",SUMPRODUCT(($F$215:$AJ$215="P6")*$F$218:$AJ$241),0))/(SUMPRODUCT(($B$218:$B$241=AQ$216)*($F$215:$AJ$215=""))+IF(AQ$216="P6",COUNTIF($F$215:$AJ$215,"P6")*ROWS($B$218:$B$241),0)),"")</f>
        <v/>
      </c>
      <c r="AR240" s="6" cm="1">
        <f t="array" ref="AR240">IFERROR((SUMPRODUCT(($B$218:$B$241=AR$216)*($F$215:$AJ$215="")*$F$218:$AJ$241)+IF(AR$216="P6",SUMPRODUCT(($F$215:$AJ$215="P6")*$F$218:$AJ$241),0))/(SUMPRODUCT(($B$218:$B$241=AR$216)*($F$215:$AJ$215=""))+IF(AR$216="P6",COUNTIF($F$215:$AJ$215,"P6")*ROWS($B$218:$B$241),0)),"")</f>
        <v>0.86327978723404197</v>
      </c>
    </row>
    <row r="241" spans="1:44" ht="14.25" customHeight="1" x14ac:dyDescent="0.35">
      <c r="A241" s="1" t="s">
        <v>15</v>
      </c>
      <c r="B241" s="1" t="s">
        <v>14</v>
      </c>
      <c r="C241" s="1" t="s">
        <v>14</v>
      </c>
      <c r="D241" s="1" t="s">
        <v>14</v>
      </c>
      <c r="E241" s="1" t="s">
        <v>42</v>
      </c>
      <c r="F241" s="1">
        <v>0.94704999999999995</v>
      </c>
      <c r="G241" s="1">
        <v>0.95548</v>
      </c>
      <c r="H241" s="1">
        <v>0.96167000000000002</v>
      </c>
      <c r="I241" s="1">
        <v>0.91027999999999998</v>
      </c>
      <c r="J241" s="1">
        <v>0.87355000000000005</v>
      </c>
      <c r="K241" s="1">
        <v>0.97935000000000005</v>
      </c>
      <c r="L241" s="1">
        <v>0.95857000000000003</v>
      </c>
      <c r="M241" s="1">
        <v>0.94704999999999995</v>
      </c>
      <c r="N241" s="1">
        <v>0.95548</v>
      </c>
      <c r="O241" s="1">
        <v>0.96167000000000002</v>
      </c>
      <c r="P241" s="1">
        <v>0.91027999999999998</v>
      </c>
      <c r="Q241" s="1">
        <v>0.87355000000000005</v>
      </c>
      <c r="R241" s="1">
        <v>0.97935000000000005</v>
      </c>
      <c r="S241" s="1">
        <v>0.95857000000000003</v>
      </c>
      <c r="T241" s="1">
        <v>0.94704999999999995</v>
      </c>
      <c r="U241" s="1">
        <v>0.95548</v>
      </c>
      <c r="V241" s="1">
        <v>0.96167000000000002</v>
      </c>
      <c r="W241" s="1">
        <v>0.91027999999999998</v>
      </c>
      <c r="X241" s="1">
        <v>0.87355000000000005</v>
      </c>
      <c r="Y241" s="1">
        <v>0.97935000000000005</v>
      </c>
      <c r="Z241" s="1">
        <v>0.95857000000000003</v>
      </c>
      <c r="AA241" s="1">
        <v>0.94704999999999995</v>
      </c>
      <c r="AB241" s="1">
        <v>0.95548</v>
      </c>
      <c r="AC241" s="1">
        <v>0.96167000000000002</v>
      </c>
      <c r="AD241" s="1">
        <v>0.91027999999999998</v>
      </c>
      <c r="AE241" s="1">
        <v>0.87355000000000005</v>
      </c>
      <c r="AF241" s="1">
        <v>0.97935000000000005</v>
      </c>
      <c r="AG241" s="1">
        <v>0.95857000000000003</v>
      </c>
      <c r="AH241" s="1">
        <v>0.94704999999999995</v>
      </c>
      <c r="AI241" s="1">
        <v>0.95548</v>
      </c>
      <c r="AJ241" s="1">
        <v>0.96167000000000002</v>
      </c>
      <c r="AL241" s="4" t="s">
        <v>27</v>
      </c>
      <c r="AM241" s="6" cm="1">
        <f t="array" ref="AM241">IFERROR((SUMPRODUCT(($B$218:$B$241=AM$216)*($F$215:$AJ$215="")*$F$218:$AJ$241)+IF(AM$216="P6",SUMPRODUCT(($F$215:$AJ$215="P6")*$F$218:$AJ$241),0))/(SUMPRODUCT(($B$218:$B$241=AM$216)*($F$215:$AJ$215=""))+IF(AM$216="P6",COUNTIF($F$215:$AJ$215,"P6")*ROWS($B$218:$B$241),0)),"")</f>
        <v>0.85492106280193303</v>
      </c>
      <c r="AN241" s="6" cm="1">
        <f t="array" ref="AN241">IFERROR((SUMPRODUCT(($B$218:$B$241=AN$216)*($F$215:$AJ$215="")*$F$218:$AJ$241)+IF(AN$216="P6",SUMPRODUCT(($F$215:$AJ$215="P6")*$F$218:$AJ$241),0))/(SUMPRODUCT(($B$218:$B$241=AN$216)*($F$215:$AJ$215=""))+IF(AN$216="P6",COUNTIF($F$215:$AJ$215,"P6")*ROWS($B$218:$B$241),0)),"")</f>
        <v>0.85996583850931696</v>
      </c>
      <c r="AO241" s="6" t="str" cm="1">
        <f t="array" ref="AO241">IFERROR((SUMPRODUCT(($B$218:$B$241=AO$216)*($F$215:$AJ$215="")*$F$218:$AJ$241)+IF(AO$216="P6",SUMPRODUCT(($F$215:$AJ$215="P6")*$F$218:$AJ$241),0))/(SUMPRODUCT(($B$218:$B$241=AO$216)*($F$215:$AJ$215=""))+IF(AO$216="P6",COUNTIF($F$215:$AJ$215,"P6")*ROWS($B$218:$B$241),0)),"")</f>
        <v/>
      </c>
      <c r="AP241" s="6" t="str" cm="1">
        <f t="array" ref="AP241">IFERROR((SUMPRODUCT(($B$218:$B$241=AP$216)*($F$215:$AJ$215="")*$F$218:$AJ$241)+IF(AP$216="P6",SUMPRODUCT(($F$215:$AJ$215="P6")*$F$218:$AJ$241),0))/(SUMPRODUCT(($B$218:$B$241=AP$216)*($F$215:$AJ$215=""))+IF(AP$216="P6",COUNTIF($F$215:$AJ$215,"P6")*ROWS($B$218:$B$241),0)),"")</f>
        <v/>
      </c>
      <c r="AQ241" s="6" t="str" cm="1">
        <f t="array" ref="AQ241">IFERROR((SUMPRODUCT(($B$218:$B$241=AQ$216)*($F$215:$AJ$215="")*$F$218:$AJ$241)+IF(AQ$216="P6",SUMPRODUCT(($F$215:$AJ$215="P6")*$F$218:$AJ$241),0))/(SUMPRODUCT(($B$218:$B$241=AQ$216)*($F$215:$AJ$215=""))+IF(AQ$216="P6",COUNTIF($F$215:$AJ$215,"P6")*ROWS($B$218:$B$241),0)),"")</f>
        <v/>
      </c>
      <c r="AR241" s="6" cm="1">
        <f t="array" ref="AR241">IFERROR((SUMPRODUCT(($B$218:$B$241=AR$216)*($F$215:$AJ$215="")*$F$218:$AJ$241)+IF(AR$216="P6",SUMPRODUCT(($F$215:$AJ$215="P6")*$F$218:$AJ$241),0))/(SUMPRODUCT(($B$218:$B$241=AR$216)*($F$215:$AJ$215=""))+IF(AR$216="P6",COUNTIF($F$215:$AJ$215,"P6")*ROWS($B$218:$B$241),0)),"")</f>
        <v>0.86327978723404197</v>
      </c>
    </row>
    <row r="242" spans="1:44" ht="14.25" customHeight="1" x14ac:dyDescent="0.35">
      <c r="AL242" s="4" t="s">
        <v>29</v>
      </c>
      <c r="AM242" s="6" cm="1">
        <f t="array" ref="AM242">IFERROR((SUMPRODUCT(($B$218:$B$241=AM$216)*($F$215:$AJ$215="")*$F$218:$AJ$241)+IF(AM$216="P6",SUMPRODUCT(($F$215:$AJ$215="P6")*$F$218:$AJ$241),0))/(SUMPRODUCT(($B$218:$B$241=AM$216)*($F$215:$AJ$215=""))+IF(AM$216="P6",COUNTIF($F$215:$AJ$215,"P6")*ROWS($B$218:$B$241),0)),"")</f>
        <v>0.85492106280193303</v>
      </c>
      <c r="AN242" s="6" cm="1">
        <f t="array" ref="AN242">IFERROR((SUMPRODUCT(($B$218:$B$241=AN$216)*($F$215:$AJ$215="")*$F$218:$AJ$241)+IF(AN$216="P6",SUMPRODUCT(($F$215:$AJ$215="P6")*$F$218:$AJ$241),0))/(SUMPRODUCT(($B$218:$B$241=AN$216)*($F$215:$AJ$215=""))+IF(AN$216="P6",COUNTIF($F$215:$AJ$215,"P6")*ROWS($B$218:$B$241),0)),"")</f>
        <v>0.85996583850931696</v>
      </c>
      <c r="AO242" s="6" t="str" cm="1">
        <f t="array" ref="AO242">IFERROR((SUMPRODUCT(($B$218:$B$241=AO$216)*($F$215:$AJ$215="")*$F$218:$AJ$241)+IF(AO$216="P6",SUMPRODUCT(($F$215:$AJ$215="P6")*$F$218:$AJ$241),0))/(SUMPRODUCT(($B$218:$B$241=AO$216)*($F$215:$AJ$215=""))+IF(AO$216="P6",COUNTIF($F$215:$AJ$215,"P6")*ROWS($B$218:$B$241),0)),"")</f>
        <v/>
      </c>
      <c r="AP242" s="6" t="str" cm="1">
        <f t="array" ref="AP242">IFERROR((SUMPRODUCT(($B$218:$B$241=AP$216)*($F$215:$AJ$215="")*$F$218:$AJ$241)+IF(AP$216="P6",SUMPRODUCT(($F$215:$AJ$215="P6")*$F$218:$AJ$241),0))/(SUMPRODUCT(($B$218:$B$241=AP$216)*($F$215:$AJ$215=""))+IF(AP$216="P6",COUNTIF($F$215:$AJ$215,"P6")*ROWS($B$218:$B$241),0)),"")</f>
        <v/>
      </c>
      <c r="AQ242" s="6" t="str" cm="1">
        <f t="array" ref="AQ242">IFERROR((SUMPRODUCT(($B$218:$B$241=AQ$216)*($F$215:$AJ$215="")*$F$218:$AJ$241)+IF(AQ$216="P6",SUMPRODUCT(($F$215:$AJ$215="P6")*$F$218:$AJ$241),0))/(SUMPRODUCT(($B$218:$B$241=AQ$216)*($F$215:$AJ$215=""))+IF(AQ$216="P6",COUNTIF($F$215:$AJ$215,"P6")*ROWS($B$218:$B$241),0)),"")</f>
        <v/>
      </c>
      <c r="AR242" s="6" cm="1">
        <f t="array" ref="AR242">IFERROR((SUMPRODUCT(($B$218:$B$241=AR$216)*($F$215:$AJ$215="")*$F$218:$AJ$241)+IF(AR$216="P6",SUMPRODUCT(($F$215:$AJ$215="P6")*$F$218:$AJ$241),0))/(SUMPRODUCT(($B$218:$B$241=AR$216)*($F$215:$AJ$215=""))+IF(AR$216="P6",COUNTIF($F$215:$AJ$215,"P6")*ROWS($B$218:$B$241),0)),"")</f>
        <v>0.86327978723404197</v>
      </c>
    </row>
    <row r="246" spans="1:44" ht="14.25" customHeight="1" x14ac:dyDescent="0.35">
      <c r="A246" s="15" t="s">
        <v>67</v>
      </c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</row>
    <row r="247" spans="1:44" ht="14.25" customHeight="1" x14ac:dyDescent="0.3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</row>
    <row r="248" spans="1:44" ht="14.25" customHeight="1" x14ac:dyDescent="0.35">
      <c r="AL248" s="10"/>
      <c r="AM248" s="10"/>
      <c r="AN248" s="10"/>
      <c r="AO248" s="10"/>
      <c r="AP248" s="10"/>
      <c r="AQ248" s="10"/>
      <c r="AR248" s="10"/>
    </row>
    <row r="249" spans="1:44" ht="14.25" customHeight="1" x14ac:dyDescent="0.35">
      <c r="F249" s="1" t="str">
        <f>IF(OR(F251="S",F251="D",F252=DATE(2026,8,15)),"P3","")</f>
        <v>P3</v>
      </c>
      <c r="G249" s="1" t="str">
        <f t="shared" ref="G249:AJ249" si="27">IF(OR(G251="S",G251="D",G252=DATE(2026,8,15)),"P3","")</f>
        <v>P3</v>
      </c>
      <c r="H249" s="1" t="str">
        <f t="shared" si="27"/>
        <v/>
      </c>
      <c r="I249" s="1" t="str">
        <f t="shared" si="27"/>
        <v/>
      </c>
      <c r="J249" s="1" t="str">
        <f t="shared" si="27"/>
        <v/>
      </c>
      <c r="K249" s="1" t="str">
        <f t="shared" si="27"/>
        <v/>
      </c>
      <c r="L249" s="1" t="str">
        <f t="shared" si="27"/>
        <v/>
      </c>
      <c r="M249" s="1" t="str">
        <f t="shared" si="27"/>
        <v>P3</v>
      </c>
      <c r="N249" s="1" t="str">
        <f t="shared" si="27"/>
        <v>P3</v>
      </c>
      <c r="O249" s="1" t="str">
        <f t="shared" si="27"/>
        <v/>
      </c>
      <c r="P249" s="1" t="str">
        <f t="shared" si="27"/>
        <v/>
      </c>
      <c r="Q249" s="1" t="str">
        <f t="shared" si="27"/>
        <v/>
      </c>
      <c r="R249" s="1" t="str">
        <f t="shared" si="27"/>
        <v/>
      </c>
      <c r="S249" s="1" t="str">
        <f t="shared" si="27"/>
        <v/>
      </c>
      <c r="T249" s="1" t="str">
        <f t="shared" si="27"/>
        <v>P3</v>
      </c>
      <c r="U249" s="1" t="str">
        <f t="shared" si="27"/>
        <v>P3</v>
      </c>
      <c r="V249" s="1" t="str">
        <f t="shared" si="27"/>
        <v/>
      </c>
      <c r="W249" s="1" t="str">
        <f t="shared" si="27"/>
        <v/>
      </c>
      <c r="X249" s="1" t="str">
        <f t="shared" si="27"/>
        <v/>
      </c>
      <c r="Y249" s="1" t="str">
        <f t="shared" si="27"/>
        <v/>
      </c>
      <c r="Z249" s="1" t="str">
        <f t="shared" si="27"/>
        <v/>
      </c>
      <c r="AA249" s="1" t="str">
        <f t="shared" si="27"/>
        <v>P3</v>
      </c>
      <c r="AB249" s="1" t="str">
        <f t="shared" si="27"/>
        <v>P3</v>
      </c>
      <c r="AC249" s="1" t="str">
        <f t="shared" si="27"/>
        <v/>
      </c>
      <c r="AD249" s="1" t="str">
        <f t="shared" si="27"/>
        <v/>
      </c>
      <c r="AE249" s="1" t="str">
        <f t="shared" si="27"/>
        <v/>
      </c>
      <c r="AF249" s="1" t="str">
        <f t="shared" si="27"/>
        <v/>
      </c>
      <c r="AG249" s="1" t="str">
        <f t="shared" si="27"/>
        <v/>
      </c>
      <c r="AH249" s="1" t="str">
        <f t="shared" si="27"/>
        <v>P3</v>
      </c>
      <c r="AI249" s="1" t="str">
        <f t="shared" si="27"/>
        <v>P3</v>
      </c>
      <c r="AJ249" s="1" t="str">
        <f t="shared" si="27"/>
        <v/>
      </c>
      <c r="AL249" s="10"/>
      <c r="AM249" s="10"/>
      <c r="AN249" s="10"/>
      <c r="AO249" s="10"/>
      <c r="AP249" s="10"/>
      <c r="AQ249" s="10"/>
      <c r="AR249" s="10"/>
    </row>
    <row r="250" spans="1:44" ht="14.25" customHeight="1" x14ac:dyDescent="0.35">
      <c r="F250" s="1" t="str">
        <f>IF(OR(F251="S",F251="D",F252=DATE(2026,8,15)),"P6","")</f>
        <v>P6</v>
      </c>
      <c r="G250" s="1" t="str">
        <f t="shared" ref="G250:AJ250" si="28">IF(OR(G251="S",G251="D",G252=DATE(2026,8,15)),"P6","")</f>
        <v>P6</v>
      </c>
      <c r="H250" s="1" t="str">
        <f t="shared" si="28"/>
        <v/>
      </c>
      <c r="I250" s="1" t="str">
        <f t="shared" si="28"/>
        <v/>
      </c>
      <c r="J250" s="1" t="str">
        <f t="shared" si="28"/>
        <v/>
      </c>
      <c r="K250" s="1" t="str">
        <f t="shared" si="28"/>
        <v/>
      </c>
      <c r="L250" s="1" t="str">
        <f t="shared" si="28"/>
        <v/>
      </c>
      <c r="M250" s="1" t="str">
        <f t="shared" si="28"/>
        <v>P6</v>
      </c>
      <c r="N250" s="1" t="str">
        <f t="shared" si="28"/>
        <v>P6</v>
      </c>
      <c r="O250" s="1" t="str">
        <f t="shared" si="28"/>
        <v/>
      </c>
      <c r="P250" s="1" t="str">
        <f t="shared" si="28"/>
        <v/>
      </c>
      <c r="Q250" s="1" t="str">
        <f t="shared" si="28"/>
        <v/>
      </c>
      <c r="R250" s="1" t="str">
        <f t="shared" si="28"/>
        <v/>
      </c>
      <c r="S250" s="1" t="str">
        <f t="shared" si="28"/>
        <v/>
      </c>
      <c r="T250" s="1" t="str">
        <f t="shared" si="28"/>
        <v>P6</v>
      </c>
      <c r="U250" s="1" t="str">
        <f t="shared" si="28"/>
        <v>P6</v>
      </c>
      <c r="V250" s="1" t="str">
        <f t="shared" si="28"/>
        <v/>
      </c>
      <c r="W250" s="1" t="str">
        <f t="shared" si="28"/>
        <v/>
      </c>
      <c r="X250" s="1" t="str">
        <f t="shared" si="28"/>
        <v/>
      </c>
      <c r="Y250" s="1" t="str">
        <f t="shared" si="28"/>
        <v/>
      </c>
      <c r="Z250" s="1" t="str">
        <f t="shared" si="28"/>
        <v/>
      </c>
      <c r="AA250" s="1" t="str">
        <f t="shared" si="28"/>
        <v>P6</v>
      </c>
      <c r="AB250" s="1" t="str">
        <f t="shared" si="28"/>
        <v>P6</v>
      </c>
      <c r="AC250" s="1" t="str">
        <f t="shared" si="28"/>
        <v/>
      </c>
      <c r="AD250" s="1" t="str">
        <f t="shared" si="28"/>
        <v/>
      </c>
      <c r="AE250" s="1" t="str">
        <f t="shared" si="28"/>
        <v/>
      </c>
      <c r="AF250" s="1" t="str">
        <f t="shared" si="28"/>
        <v/>
      </c>
      <c r="AG250" s="1" t="str">
        <f t="shared" si="28"/>
        <v/>
      </c>
      <c r="AH250" s="1" t="str">
        <f t="shared" si="28"/>
        <v>P6</v>
      </c>
      <c r="AI250" s="1" t="str">
        <f t="shared" si="28"/>
        <v>P6</v>
      </c>
      <c r="AJ250" s="1" t="str">
        <f t="shared" si="28"/>
        <v/>
      </c>
      <c r="AL250" s="14" t="s">
        <v>137</v>
      </c>
      <c r="AM250" s="14"/>
      <c r="AN250" s="14"/>
      <c r="AO250" s="14"/>
      <c r="AP250" s="14"/>
      <c r="AQ250" s="14"/>
      <c r="AR250" s="14"/>
    </row>
    <row r="251" spans="1:44" ht="14.25" customHeight="1" x14ac:dyDescent="0.35">
      <c r="F251" s="1" t="str">
        <f>CHOOSE(WEEKDAY(F252,2),"L","M","X","J","V","S","D")</f>
        <v>S</v>
      </c>
      <c r="G251" s="1" t="str">
        <f t="shared" ref="G251:AJ251" si="29">CHOOSE(WEEKDAY(G252,2),"L","M","X","J","V","S","D")</f>
        <v>D</v>
      </c>
      <c r="H251" s="1" t="str">
        <f t="shared" si="29"/>
        <v>L</v>
      </c>
      <c r="I251" s="1" t="str">
        <f t="shared" si="29"/>
        <v>M</v>
      </c>
      <c r="J251" s="1" t="str">
        <f t="shared" si="29"/>
        <v>X</v>
      </c>
      <c r="K251" s="1" t="str">
        <f t="shared" si="29"/>
        <v>J</v>
      </c>
      <c r="L251" s="1" t="str">
        <f t="shared" si="29"/>
        <v>V</v>
      </c>
      <c r="M251" s="1" t="str">
        <f t="shared" si="29"/>
        <v>S</v>
      </c>
      <c r="N251" s="1" t="str">
        <f t="shared" si="29"/>
        <v>D</v>
      </c>
      <c r="O251" s="1" t="str">
        <f t="shared" si="29"/>
        <v>L</v>
      </c>
      <c r="P251" s="1" t="str">
        <f t="shared" si="29"/>
        <v>M</v>
      </c>
      <c r="Q251" s="1" t="str">
        <f t="shared" si="29"/>
        <v>X</v>
      </c>
      <c r="R251" s="1" t="str">
        <f t="shared" si="29"/>
        <v>J</v>
      </c>
      <c r="S251" s="1" t="str">
        <f t="shared" si="29"/>
        <v>V</v>
      </c>
      <c r="T251" s="1" t="str">
        <f t="shared" si="29"/>
        <v>S</v>
      </c>
      <c r="U251" s="1" t="str">
        <f t="shared" si="29"/>
        <v>D</v>
      </c>
      <c r="V251" s="1" t="str">
        <f t="shared" si="29"/>
        <v>L</v>
      </c>
      <c r="W251" s="1" t="str">
        <f t="shared" si="29"/>
        <v>M</v>
      </c>
      <c r="X251" s="1" t="str">
        <f t="shared" si="29"/>
        <v>X</v>
      </c>
      <c r="Y251" s="1" t="str">
        <f t="shared" si="29"/>
        <v>J</v>
      </c>
      <c r="Z251" s="1" t="str">
        <f t="shared" si="29"/>
        <v>V</v>
      </c>
      <c r="AA251" s="1" t="str">
        <f t="shared" si="29"/>
        <v>S</v>
      </c>
      <c r="AB251" s="1" t="str">
        <f t="shared" si="29"/>
        <v>D</v>
      </c>
      <c r="AC251" s="1" t="str">
        <f t="shared" si="29"/>
        <v>L</v>
      </c>
      <c r="AD251" s="1" t="str">
        <f t="shared" si="29"/>
        <v>M</v>
      </c>
      <c r="AE251" s="1" t="str">
        <f t="shared" si="29"/>
        <v>X</v>
      </c>
      <c r="AF251" s="1" t="str">
        <f t="shared" si="29"/>
        <v>J</v>
      </c>
      <c r="AG251" s="1" t="str">
        <f t="shared" si="29"/>
        <v>V</v>
      </c>
      <c r="AH251" s="1" t="str">
        <f t="shared" si="29"/>
        <v>S</v>
      </c>
      <c r="AI251" s="1" t="str">
        <f t="shared" si="29"/>
        <v>D</v>
      </c>
      <c r="AJ251" s="1" t="str">
        <f t="shared" si="29"/>
        <v>L</v>
      </c>
      <c r="AL251" s="4"/>
      <c r="AM251" s="4" t="s">
        <v>13</v>
      </c>
      <c r="AN251" s="4" t="s">
        <v>14</v>
      </c>
      <c r="AO251" s="4" t="s">
        <v>15</v>
      </c>
      <c r="AP251" s="4" t="s">
        <v>16</v>
      </c>
      <c r="AQ251" s="4" t="s">
        <v>17</v>
      </c>
      <c r="AR251" s="4" t="s">
        <v>7</v>
      </c>
    </row>
    <row r="252" spans="1:44" ht="14.25" customHeight="1" x14ac:dyDescent="0.35">
      <c r="A252" s="3" t="s">
        <v>76</v>
      </c>
      <c r="B252" s="3" t="s">
        <v>77</v>
      </c>
      <c r="C252" s="3" t="s">
        <v>75</v>
      </c>
      <c r="D252" s="3" t="s">
        <v>74</v>
      </c>
      <c r="F252" s="8">
        <v>46235</v>
      </c>
      <c r="G252" s="8">
        <v>46236</v>
      </c>
      <c r="H252" s="8">
        <v>46237</v>
      </c>
      <c r="I252" s="8">
        <v>46238</v>
      </c>
      <c r="J252" s="8">
        <v>46239</v>
      </c>
      <c r="K252" s="8">
        <v>46240</v>
      </c>
      <c r="L252" s="8">
        <v>46241</v>
      </c>
      <c r="M252" s="8">
        <v>46242</v>
      </c>
      <c r="N252" s="8">
        <v>46243</v>
      </c>
      <c r="O252" s="8">
        <v>46244</v>
      </c>
      <c r="P252" s="8">
        <v>46245</v>
      </c>
      <c r="Q252" s="8">
        <v>46246</v>
      </c>
      <c r="R252" s="8">
        <v>46247</v>
      </c>
      <c r="S252" s="8">
        <v>46248</v>
      </c>
      <c r="T252" s="8">
        <v>46249</v>
      </c>
      <c r="U252" s="8">
        <v>46250</v>
      </c>
      <c r="V252" s="8">
        <v>46251</v>
      </c>
      <c r="W252" s="8">
        <v>46252</v>
      </c>
      <c r="X252" s="8">
        <v>46253</v>
      </c>
      <c r="Y252" s="8">
        <v>46254</v>
      </c>
      <c r="Z252" s="8">
        <v>46255</v>
      </c>
      <c r="AA252" s="8">
        <v>46256</v>
      </c>
      <c r="AB252" s="8">
        <v>46257</v>
      </c>
      <c r="AC252" s="8">
        <v>46258</v>
      </c>
      <c r="AD252" s="8">
        <v>46259</v>
      </c>
      <c r="AE252" s="8">
        <v>46260</v>
      </c>
      <c r="AF252" s="8">
        <v>46261</v>
      </c>
      <c r="AG252" s="8">
        <v>46262</v>
      </c>
      <c r="AH252" s="8">
        <v>46263</v>
      </c>
      <c r="AI252" s="8">
        <v>46264</v>
      </c>
      <c r="AJ252" s="8">
        <v>46265</v>
      </c>
      <c r="AL252" s="4" t="s">
        <v>19</v>
      </c>
      <c r="AM252" s="6" cm="1">
        <f t="array" ref="AM252">IFERROR((SUMPRODUCT(($C$253:$C$276=AM$251)*($F$249:$AJ$249="")*$F$253:$AJ$276)+IF(AM$251="P3",SUMPRODUCT(($F$249:$AJ$249="P3")*$F$253:$AJ$276),0))/(SUMPRODUCT(($C$253:$C$276=AM$251)*($F$249:$AJ$249=""))+IF(AM$251="P3",COUNTIF($F$249:$AJ$249,"P3")*ROWS($C$253:$C$276),0)),"")</f>
        <v>0.90350065476190389</v>
      </c>
      <c r="AN252" s="6" cm="1">
        <f t="array" ref="AN252">IFERROR((SUMPRODUCT(($C$253:$C$276=AN$251)*($F$249:$AJ$249="")*$F$253:$AJ$276)+IF(AN$251="P3",SUMPRODUCT(($F$249:$AJ$249="P3")*$F$253:$AJ$276),0))/(SUMPRODUCT(($C$253:$C$276=AN$251)*($F$249:$AJ$249=""))+IF(AN$251="P3",COUNTIF($F$249:$AJ$249,"P3")*ROWS($C$253:$C$276),0)),"")</f>
        <v>0.91047595238095291</v>
      </c>
      <c r="AO252" s="6" cm="1">
        <f t="array" ref="AO252">IFERROR((SUMPRODUCT(($C$253:$C$276=AO$251)*($F$249:$AJ$249="")*$F$253:$AJ$276)+IF(AO$251="P3",SUMPRODUCT(($F$249:$AJ$249="P3")*$F$253:$AJ$276),0))/(SUMPRODUCT(($C$253:$C$276=AO$251)*($F$249:$AJ$249=""))+IF(AO$251="P3",COUNTIF($F$249:$AJ$249,"P3")*ROWS($C$253:$C$276),0)),"")</f>
        <v>0.89792649509803935</v>
      </c>
      <c r="AP252" s="6" t="str" cm="1">
        <f t="array" ref="AP252">IFERROR((SUMPRODUCT(($C$253:$C$276=AP$251)*($F$249:$AJ$249="")*$F$253:$AJ$276)+IF(AP$251="P3",SUMPRODUCT(($F$249:$AJ$249="P3")*$F$253:$AJ$276),0))/(SUMPRODUCT(($C$253:$C$276=AP$251)*($F$249:$AJ$249=""))+IF(AP$251="P3",COUNTIF($F$249:$AJ$249,"P3")*ROWS($C$253:$C$276),0)),"")</f>
        <v/>
      </c>
      <c r="AQ252" s="6" t="str" cm="1">
        <f t="array" ref="AQ252">IFERROR((SUMPRODUCT(($C$253:$C$276=AQ$251)*($F$249:$AJ$249="")*$F$253:$AJ$276)+IF(AQ$251="P3",SUMPRODUCT(($F$249:$AJ$249="P3")*$F$253:$AJ$276),0))/(SUMPRODUCT(($C$253:$C$276=AQ$251)*($F$249:$AJ$249=""))+IF(AQ$251="P3",COUNTIF($F$249:$AJ$249,"P3")*ROWS($C$253:$C$276),0)),"")</f>
        <v/>
      </c>
      <c r="AR252" s="6" t="str" cm="1">
        <f t="array" ref="AR252">IFERROR((SUMPRODUCT(($C$253:$C$276=AR$251)*($F$249:$AJ$249="")*$F$253:$AJ$276)+IF(AR$251="P3",SUMPRODUCT(($F$249:$AJ$249="P3")*$F$253:$AJ$276),0))/(SUMPRODUCT(($C$253:$C$276=AR$251)*($F$249:$AJ$249=""))+IF(AR$251="P3",COUNTIF($F$249:$AJ$249,"P3")*ROWS($C$253:$C$276),0)),"")</f>
        <v/>
      </c>
    </row>
    <row r="253" spans="1:44" ht="14.25" customHeight="1" x14ac:dyDescent="0.35">
      <c r="A253" s="1" t="s">
        <v>7</v>
      </c>
      <c r="B253" s="1" t="s">
        <v>7</v>
      </c>
      <c r="C253" s="1" t="s">
        <v>15</v>
      </c>
      <c r="D253" s="1" t="s">
        <v>7</v>
      </c>
      <c r="E253" s="1" t="s">
        <v>8</v>
      </c>
      <c r="F253" s="1">
        <v>0.91242999999999996</v>
      </c>
      <c r="G253" s="1">
        <v>0.93720999999999999</v>
      </c>
      <c r="H253" s="1">
        <v>0.94735999999999998</v>
      </c>
      <c r="I253" s="1">
        <v>0.90205999999999997</v>
      </c>
      <c r="J253" s="1">
        <v>0.92866000000000004</v>
      </c>
      <c r="K253" s="1">
        <v>0.89234999999999998</v>
      </c>
      <c r="L253" s="1">
        <v>0.89371</v>
      </c>
      <c r="M253" s="1">
        <v>0.91242999999999996</v>
      </c>
      <c r="N253" s="1">
        <v>0.93720999999999999</v>
      </c>
      <c r="O253" s="1">
        <v>0.94735999999999998</v>
      </c>
      <c r="P253" s="1">
        <v>0.90205999999999997</v>
      </c>
      <c r="Q253" s="1">
        <v>0.92866000000000004</v>
      </c>
      <c r="R253" s="1">
        <v>0.89234999999999998</v>
      </c>
      <c r="S253" s="1">
        <v>0.89371</v>
      </c>
      <c r="T253" s="1">
        <v>0.98919000000000001</v>
      </c>
      <c r="U253" s="1">
        <v>0.93720999999999999</v>
      </c>
      <c r="V253" s="1">
        <v>0.94735999999999998</v>
      </c>
      <c r="W253" s="1">
        <v>0.90205999999999997</v>
      </c>
      <c r="X253" s="1">
        <v>0.92866000000000004</v>
      </c>
      <c r="Y253" s="1">
        <v>0.89234999999999998</v>
      </c>
      <c r="Z253" s="1">
        <v>0.89371</v>
      </c>
      <c r="AA253" s="1">
        <v>0.91242999999999996</v>
      </c>
      <c r="AB253" s="1">
        <v>0.93720999999999999</v>
      </c>
      <c r="AC253" s="1">
        <v>0.94735999999999998</v>
      </c>
      <c r="AD253" s="1">
        <v>0.90205999999999997</v>
      </c>
      <c r="AE253" s="1">
        <v>0.92866000000000004</v>
      </c>
      <c r="AF253" s="1">
        <v>0.89234999999999998</v>
      </c>
      <c r="AG253" s="1">
        <v>0.89371</v>
      </c>
      <c r="AH253" s="1">
        <v>0.91242999999999996</v>
      </c>
      <c r="AI253" s="1">
        <v>0.93720999999999999</v>
      </c>
      <c r="AJ253" s="1">
        <v>0.94735999999999998</v>
      </c>
      <c r="AL253" s="4" t="s">
        <v>21</v>
      </c>
      <c r="AM253" s="6" t="str" cm="1">
        <f t="array" ref="AM253">IFERROR((SUMPRODUCT(($D$253:$D$276=AM$251)*($F$250:$AJ$250="")*$F$253:$AJ$276)+IF(AM$251="P6",SUMPRODUCT(($F$250:$AJ$250="P6")*$F$253:$AJ$276),0))/(SUMPRODUCT(($D$253:$D$276=AM$251)*($F$250:$AJ$250=""))+IF(AM$251="P6",COUNTIF($F$250:$AJ$250,"P6")*ROWS($D$253:$D$276),0)),"")</f>
        <v/>
      </c>
      <c r="AN253" s="6" t="str" cm="1">
        <f t="array" ref="AN253">IFERROR((SUMPRODUCT(($D$253:$D$276=AN$251)*($F$250:$AJ$250="")*$F$253:$AJ$276)+IF(AN$251="P6",SUMPRODUCT(($F$250:$AJ$250="P6")*$F$253:$AJ$276),0))/(SUMPRODUCT(($D$253:$D$276=AN$251)*($F$250:$AJ$250=""))+IF(AN$251="P6",COUNTIF($F$250:$AJ$250,"P6")*ROWS($D$253:$D$276),0)),"")</f>
        <v/>
      </c>
      <c r="AO253" s="6" cm="1">
        <f t="array" ref="AO253">IFERROR((SUMPRODUCT(($D$253:$D$276=AO$251)*($F$250:$AJ$250="")*$F$253:$AJ$276)+IF(AO$251="P6",SUMPRODUCT(($F$250:$AJ$250="P6")*$F$253:$AJ$276),0))/(SUMPRODUCT(($D$253:$D$276=AO$251)*($F$250:$AJ$250=""))+IF(AO$251="P6",COUNTIF($F$250:$AJ$250,"P6")*ROWS($D$253:$D$276),0)),"")</f>
        <v>0.89655634920634786</v>
      </c>
      <c r="AP253" s="6" cm="1">
        <f t="array" ref="AP253">IFERROR((SUMPRODUCT(($D$253:$D$276=AP$251)*($F$250:$AJ$250="")*$F$253:$AJ$276)+IF(AP$251="P6",SUMPRODUCT(($F$250:$AJ$250="P6")*$F$253:$AJ$276),0))/(SUMPRODUCT(($D$253:$D$276=AP$251)*($F$250:$AJ$250=""))+IF(AP$251="P6",COUNTIF($F$250:$AJ$250,"P6")*ROWS($D$253:$D$276),0)),"")</f>
        <v>0.92040081632653103</v>
      </c>
      <c r="AQ253" s="6" t="str" cm="1">
        <f t="array" ref="AQ253">IFERROR((SUMPRODUCT(($D$253:$D$276=AQ$251)*($F$250:$AJ$250="")*$F$253:$AJ$276)+IF(AQ$251="P6",SUMPRODUCT(($F$250:$AJ$250="P6")*$F$253:$AJ$276),0))/(SUMPRODUCT(($D$253:$D$276=AQ$251)*($F$250:$AJ$250=""))+IF(AQ$251="P6",COUNTIF($F$250:$AJ$250,"P6")*ROWS($D$253:$D$276),0)),"")</f>
        <v/>
      </c>
      <c r="AR253" s="6" cm="1">
        <f t="array" ref="AR253">IFERROR((SUMPRODUCT(($D$253:$D$276=AR$251)*($F$250:$AJ$250="")*$F$253:$AJ$276)+IF(AR$251="P6",SUMPRODUCT(($F$250:$AJ$250="P6")*$F$253:$AJ$276),0))/(SUMPRODUCT(($D$253:$D$276=AR$251)*($F$250:$AJ$250=""))+IF(AR$251="P6",COUNTIF($F$250:$AJ$250,"P6")*ROWS($D$253:$D$276),0)),"")</f>
        <v>0.89792649509803935</v>
      </c>
    </row>
    <row r="254" spans="1:44" ht="14.25" customHeight="1" x14ac:dyDescent="0.35">
      <c r="A254" s="1" t="s">
        <v>7</v>
      </c>
      <c r="B254" s="1" t="s">
        <v>7</v>
      </c>
      <c r="C254" s="1" t="s">
        <v>15</v>
      </c>
      <c r="D254" s="1" t="s">
        <v>7</v>
      </c>
      <c r="E254" s="1" t="s">
        <v>9</v>
      </c>
      <c r="F254" s="1">
        <v>0.93</v>
      </c>
      <c r="G254" s="1">
        <v>0.96938000000000002</v>
      </c>
      <c r="H254" s="1">
        <v>0.95318000000000003</v>
      </c>
      <c r="I254" s="1">
        <v>0.93901999999999997</v>
      </c>
      <c r="J254" s="1">
        <v>0.93876000000000004</v>
      </c>
      <c r="K254" s="1">
        <v>0.90766000000000002</v>
      </c>
      <c r="L254" s="1">
        <v>0.91762999999999995</v>
      </c>
      <c r="M254" s="1">
        <v>0.93</v>
      </c>
      <c r="N254" s="1">
        <v>0.96938000000000002</v>
      </c>
      <c r="O254" s="1">
        <v>0.95318000000000003</v>
      </c>
      <c r="P254" s="1">
        <v>0.93901999999999997</v>
      </c>
      <c r="Q254" s="1">
        <v>0.93876000000000004</v>
      </c>
      <c r="R254" s="1">
        <v>0.90766000000000002</v>
      </c>
      <c r="S254" s="1">
        <v>0.91762999999999995</v>
      </c>
      <c r="T254" s="1">
        <v>0.99536999999999998</v>
      </c>
      <c r="U254" s="1">
        <v>0.96938000000000002</v>
      </c>
      <c r="V254" s="1">
        <v>0.95318000000000003</v>
      </c>
      <c r="W254" s="1">
        <v>0.93901999999999997</v>
      </c>
      <c r="X254" s="1">
        <v>0.93876000000000004</v>
      </c>
      <c r="Y254" s="1">
        <v>0.90766000000000002</v>
      </c>
      <c r="Z254" s="1">
        <v>0.91762999999999995</v>
      </c>
      <c r="AA254" s="1">
        <v>0.93</v>
      </c>
      <c r="AB254" s="1">
        <v>0.96938000000000002</v>
      </c>
      <c r="AC254" s="1">
        <v>0.95318000000000003</v>
      </c>
      <c r="AD254" s="1">
        <v>0.93901999999999997</v>
      </c>
      <c r="AE254" s="1">
        <v>0.93876000000000004</v>
      </c>
      <c r="AF254" s="1">
        <v>0.90766000000000002</v>
      </c>
      <c r="AG254" s="1">
        <v>0.91762999999999995</v>
      </c>
      <c r="AH254" s="1">
        <v>0.93</v>
      </c>
      <c r="AI254" s="1">
        <v>0.96938000000000002</v>
      </c>
      <c r="AJ254" s="1">
        <v>0.95318000000000003</v>
      </c>
      <c r="AL254" s="4" t="s">
        <v>23</v>
      </c>
      <c r="AM254" s="6" t="str" cm="1">
        <f t="array" ref="AM254">IFERROR((SUMPRODUCT(($D$253:$D$276=AM$251)*($F$250:$AJ$250="")*$F$253:$AJ$276)+IF(AM$251="P6",SUMPRODUCT(($F$250:$AJ$250="P6")*$F$253:$AJ$276),0))/(SUMPRODUCT(($D$253:$D$276=AM$251)*($F$250:$AJ$250=""))+IF(AM$251="P6",COUNTIF($F$250:$AJ$250,"P6")*ROWS($D$253:$D$276),0)),"")</f>
        <v/>
      </c>
      <c r="AN254" s="6" t="str" cm="1">
        <f t="array" ref="AN254">IFERROR((SUMPRODUCT(($D$253:$D$276=AN$251)*($F$250:$AJ$250="")*$F$253:$AJ$276)+IF(AN$251="P6",SUMPRODUCT(($F$250:$AJ$250="P6")*$F$253:$AJ$276),0))/(SUMPRODUCT(($D$253:$D$276=AN$251)*($F$250:$AJ$250=""))+IF(AN$251="P6",COUNTIF($F$250:$AJ$250,"P6")*ROWS($D$253:$D$276),0)),"")</f>
        <v/>
      </c>
      <c r="AO254" s="5" cm="1">
        <f t="array" ref="AO254">IFERROR((SUMPRODUCT(($D$253:$D$276=AO$251)*($F$250:$AJ$250="")*$F$253:$AJ$276)+IF(AO$251="P6",SUMPRODUCT(($F$250:$AJ$250="P6")*$F$253:$AJ$276),0))/(SUMPRODUCT(($D$253:$D$276=AO$251)*($F$250:$AJ$250=""))+IF(AO$251="P6",COUNTIF($F$250:$AJ$250,"P6")*ROWS($D$253:$D$276),0)),"")</f>
        <v>0.89655634920634786</v>
      </c>
      <c r="AP254" s="5" cm="1">
        <f t="array" ref="AP254">IFERROR((SUMPRODUCT(($D$253:$D$276=AP$251)*($F$250:$AJ$250="")*$F$253:$AJ$276)+IF(AP$251="P6",SUMPRODUCT(($F$250:$AJ$250="P6")*$F$253:$AJ$276),0))/(SUMPRODUCT(($D$253:$D$276=AP$251)*($F$250:$AJ$250=""))+IF(AP$251="P6",COUNTIF($F$250:$AJ$250,"P6")*ROWS($D$253:$D$276),0)),"")</f>
        <v>0.92040081632653103</v>
      </c>
      <c r="AQ254" s="5" t="str" cm="1">
        <f t="array" ref="AQ254">IFERROR((SUMPRODUCT(($D$253:$D$276=AQ$251)*($F$250:$AJ$250="")*$F$253:$AJ$276)+IF(AQ$251="P6",SUMPRODUCT(($F$250:$AJ$250="P6")*$F$253:$AJ$276),0))/(SUMPRODUCT(($D$253:$D$276=AQ$251)*($F$250:$AJ$250=""))+IF(AQ$251="P6",COUNTIF($F$250:$AJ$250,"P6")*ROWS($D$253:$D$276),0)),"")</f>
        <v/>
      </c>
      <c r="AR254" s="6" cm="1">
        <f t="array" ref="AR254">IFERROR((SUMPRODUCT(($D$253:$D$276=AR$251)*($F$250:$AJ$250="")*$F$253:$AJ$276)+IF(AR$251="P6",SUMPRODUCT(($F$250:$AJ$250="P6")*$F$253:$AJ$276),0))/(SUMPRODUCT(($D$253:$D$276=AR$251)*($F$250:$AJ$250=""))+IF(AR$251="P6",COUNTIF($F$250:$AJ$250,"P6")*ROWS($D$253:$D$276),0)),"")</f>
        <v>0.89792649509803935</v>
      </c>
    </row>
    <row r="255" spans="1:44" ht="14.25" customHeight="1" x14ac:dyDescent="0.35">
      <c r="A255" s="1" t="s">
        <v>7</v>
      </c>
      <c r="B255" s="1" t="s">
        <v>7</v>
      </c>
      <c r="C255" s="1" t="s">
        <v>15</v>
      </c>
      <c r="D255" s="1" t="s">
        <v>7</v>
      </c>
      <c r="E255" s="1" t="s">
        <v>10</v>
      </c>
      <c r="F255" s="1">
        <v>0.93838999999999995</v>
      </c>
      <c r="G255" s="1">
        <v>0.97894999999999999</v>
      </c>
      <c r="H255" s="1">
        <v>0.94567999999999997</v>
      </c>
      <c r="I255" s="1">
        <v>0.93557000000000001</v>
      </c>
      <c r="J255" s="1">
        <v>0.93398000000000003</v>
      </c>
      <c r="K255" s="1">
        <v>0.90937000000000001</v>
      </c>
      <c r="L255" s="1">
        <v>0.92149999999999999</v>
      </c>
      <c r="M255" s="1">
        <v>0.93838999999999995</v>
      </c>
      <c r="N255" s="1">
        <v>0.97894999999999999</v>
      </c>
      <c r="O255" s="1">
        <v>0.94567999999999997</v>
      </c>
      <c r="P255" s="1">
        <v>0.93557000000000001</v>
      </c>
      <c r="Q255" s="1">
        <v>0.93398000000000003</v>
      </c>
      <c r="R255" s="1">
        <v>0.90937000000000001</v>
      </c>
      <c r="S255" s="1">
        <v>0.92149999999999999</v>
      </c>
      <c r="T255" s="1">
        <v>0.99138000000000004</v>
      </c>
      <c r="U255" s="1">
        <v>0.97894999999999999</v>
      </c>
      <c r="V255" s="1">
        <v>0.94567999999999997</v>
      </c>
      <c r="W255" s="1">
        <v>0.93557000000000001</v>
      </c>
      <c r="X255" s="1">
        <v>0.93398000000000003</v>
      </c>
      <c r="Y255" s="1">
        <v>0.90937000000000001</v>
      </c>
      <c r="Z255" s="1">
        <v>0.92149999999999999</v>
      </c>
      <c r="AA255" s="1">
        <v>0.93838999999999995</v>
      </c>
      <c r="AB255" s="1">
        <v>0.97894999999999999</v>
      </c>
      <c r="AC255" s="1">
        <v>0.94567999999999997</v>
      </c>
      <c r="AD255" s="1">
        <v>0.93557000000000001</v>
      </c>
      <c r="AE255" s="1">
        <v>0.93398000000000003</v>
      </c>
      <c r="AF255" s="1">
        <v>0.90937000000000001</v>
      </c>
      <c r="AG255" s="1">
        <v>0.92149999999999999</v>
      </c>
      <c r="AH255" s="1">
        <v>0.93838999999999995</v>
      </c>
      <c r="AI255" s="1">
        <v>0.97894999999999999</v>
      </c>
      <c r="AJ255" s="1">
        <v>0.94567999999999997</v>
      </c>
      <c r="AL255" s="4" t="s">
        <v>25</v>
      </c>
      <c r="AM255" s="6" t="str" cm="1">
        <f t="array" ref="AM255">IFERROR((SUMPRODUCT(($D$253:$D$276=AM$251)*($F$250:$AJ$250="")*$F$253:$AJ$276)+IF(AM$251="P6",SUMPRODUCT(($F$250:$AJ$250="P6")*$F$253:$AJ$276),0))/(SUMPRODUCT(($D$253:$D$276=AM$251)*($F$250:$AJ$250=""))+IF(AM$251="P6",COUNTIF($F$250:$AJ$250,"P6")*ROWS($D$253:$D$276),0)),"")</f>
        <v/>
      </c>
      <c r="AN255" s="6" t="str" cm="1">
        <f t="array" ref="AN255">IFERROR((SUMPRODUCT(($D$253:$D$276=AN$251)*($F$250:$AJ$250="")*$F$253:$AJ$276)+IF(AN$251="P6",SUMPRODUCT(($F$250:$AJ$250="P6")*$F$253:$AJ$276),0))/(SUMPRODUCT(($D$253:$D$276=AN$251)*($F$250:$AJ$250=""))+IF(AN$251="P6",COUNTIF($F$250:$AJ$250,"P6")*ROWS($D$253:$D$276),0)),"")</f>
        <v/>
      </c>
      <c r="AO255" s="5" cm="1">
        <f t="array" ref="AO255">IFERROR((SUMPRODUCT(($D$253:$D$276=AO$251)*($F$250:$AJ$250="")*$F$253:$AJ$276)+IF(AO$251="P6",SUMPRODUCT(($F$250:$AJ$250="P6")*$F$253:$AJ$276),0))/(SUMPRODUCT(($D$253:$D$276=AO$251)*($F$250:$AJ$250=""))+IF(AO$251="P6",COUNTIF($F$250:$AJ$250,"P6")*ROWS($D$253:$D$276),0)),"")</f>
        <v>0.89655634920634786</v>
      </c>
      <c r="AP255" s="5" cm="1">
        <f t="array" ref="AP255">IFERROR((SUMPRODUCT(($D$253:$D$276=AP$251)*($F$250:$AJ$250="")*$F$253:$AJ$276)+IF(AP$251="P6",SUMPRODUCT(($F$250:$AJ$250="P6")*$F$253:$AJ$276),0))/(SUMPRODUCT(($D$253:$D$276=AP$251)*($F$250:$AJ$250=""))+IF(AP$251="P6",COUNTIF($F$250:$AJ$250,"P6")*ROWS($D$253:$D$276),0)),"")</f>
        <v>0.92040081632653103</v>
      </c>
      <c r="AQ255" s="5" t="str" cm="1">
        <f t="array" ref="AQ255">IFERROR((SUMPRODUCT(($D$253:$D$276=AQ$251)*($F$250:$AJ$250="")*$F$253:$AJ$276)+IF(AQ$251="P6",SUMPRODUCT(($F$250:$AJ$250="P6")*$F$253:$AJ$276),0))/(SUMPRODUCT(($D$253:$D$276=AQ$251)*($F$250:$AJ$250=""))+IF(AQ$251="P6",COUNTIF($F$250:$AJ$250,"P6")*ROWS($D$253:$D$276),0)),"")</f>
        <v/>
      </c>
      <c r="AR255" s="6" cm="1">
        <f t="array" ref="AR255">IFERROR((SUMPRODUCT(($D$253:$D$276=AR$251)*($F$250:$AJ$250="")*$F$253:$AJ$276)+IF(AR$251="P6",SUMPRODUCT(($F$250:$AJ$250="P6")*$F$253:$AJ$276),0))/(SUMPRODUCT(($D$253:$D$276=AR$251)*($F$250:$AJ$250=""))+IF(AR$251="P6",COUNTIF($F$250:$AJ$250,"P6")*ROWS($D$253:$D$276),0)),"")</f>
        <v>0.89792649509803935</v>
      </c>
    </row>
    <row r="256" spans="1:44" ht="14.25" customHeight="1" x14ac:dyDescent="0.35">
      <c r="A256" s="1" t="s">
        <v>7</v>
      </c>
      <c r="B256" s="1" t="s">
        <v>7</v>
      </c>
      <c r="C256" s="1" t="s">
        <v>15</v>
      </c>
      <c r="D256" s="1" t="s">
        <v>7</v>
      </c>
      <c r="E256" s="1" t="s">
        <v>11</v>
      </c>
      <c r="F256" s="1">
        <v>0.94940000000000002</v>
      </c>
      <c r="G256" s="1">
        <v>0.98845000000000005</v>
      </c>
      <c r="H256" s="1">
        <v>0.94918000000000002</v>
      </c>
      <c r="I256" s="1">
        <v>0.93620000000000003</v>
      </c>
      <c r="J256" s="1">
        <v>0.92952000000000001</v>
      </c>
      <c r="K256" s="1">
        <v>0.91573000000000004</v>
      </c>
      <c r="L256" s="1">
        <v>0.92750999999999995</v>
      </c>
      <c r="M256" s="1">
        <v>0.94940000000000002</v>
      </c>
      <c r="N256" s="1">
        <v>0.98845000000000005</v>
      </c>
      <c r="O256" s="1">
        <v>0.94918000000000002</v>
      </c>
      <c r="P256" s="1">
        <v>0.93620000000000003</v>
      </c>
      <c r="Q256" s="1">
        <v>0.92952000000000001</v>
      </c>
      <c r="R256" s="1">
        <v>0.91573000000000004</v>
      </c>
      <c r="S256" s="1">
        <v>0.92750999999999995</v>
      </c>
      <c r="T256" s="1">
        <v>0.99763000000000002</v>
      </c>
      <c r="U256" s="1">
        <v>0.98845000000000005</v>
      </c>
      <c r="V256" s="1">
        <v>0.94918000000000002</v>
      </c>
      <c r="W256" s="1">
        <v>0.93620000000000003</v>
      </c>
      <c r="X256" s="1">
        <v>0.92952000000000001</v>
      </c>
      <c r="Y256" s="1">
        <v>0.91573000000000004</v>
      </c>
      <c r="Z256" s="1">
        <v>0.92750999999999995</v>
      </c>
      <c r="AA256" s="1">
        <v>0.94940000000000002</v>
      </c>
      <c r="AB256" s="1">
        <v>0.98845000000000005</v>
      </c>
      <c r="AC256" s="1">
        <v>0.94918000000000002</v>
      </c>
      <c r="AD256" s="1">
        <v>0.93620000000000003</v>
      </c>
      <c r="AE256" s="1">
        <v>0.92952000000000001</v>
      </c>
      <c r="AF256" s="1">
        <v>0.91573000000000004</v>
      </c>
      <c r="AG256" s="1">
        <v>0.92750999999999995</v>
      </c>
      <c r="AH256" s="1">
        <v>0.94940000000000002</v>
      </c>
      <c r="AI256" s="1">
        <v>0.98845000000000005</v>
      </c>
      <c r="AJ256" s="1">
        <v>0.94918000000000002</v>
      </c>
      <c r="AL256" s="4" t="s">
        <v>27</v>
      </c>
      <c r="AM256" s="6" t="str" cm="1">
        <f t="array" ref="AM256">IFERROR((SUMPRODUCT(($D$253:$D$276=AM$251)*($F$250:$AJ$250="")*$F$253:$AJ$276)+IF(AM$251="P6",SUMPRODUCT(($F$250:$AJ$250="P6")*$F$253:$AJ$276),0))/(SUMPRODUCT(($D$253:$D$276=AM$251)*($F$250:$AJ$250=""))+IF(AM$251="P6",COUNTIF($F$250:$AJ$250,"P6")*ROWS($D$253:$D$276),0)),"")</f>
        <v/>
      </c>
      <c r="AN256" s="6" t="str" cm="1">
        <f t="array" ref="AN256">IFERROR((SUMPRODUCT(($D$253:$D$276=AN$251)*($F$250:$AJ$250="")*$F$253:$AJ$276)+IF(AN$251="P6",SUMPRODUCT(($F$250:$AJ$250="P6")*$F$253:$AJ$276),0))/(SUMPRODUCT(($D$253:$D$276=AN$251)*($F$250:$AJ$250=""))+IF(AN$251="P6",COUNTIF($F$250:$AJ$250,"P6")*ROWS($D$253:$D$276),0)),"")</f>
        <v/>
      </c>
      <c r="AO256" s="5" cm="1">
        <f t="array" ref="AO256">IFERROR((SUMPRODUCT(($D$253:$D$276=AO$251)*($F$250:$AJ$250="")*$F$253:$AJ$276)+IF(AO$251="P6",SUMPRODUCT(($F$250:$AJ$250="P6")*$F$253:$AJ$276),0))/(SUMPRODUCT(($D$253:$D$276=AO$251)*($F$250:$AJ$250=""))+IF(AO$251="P6",COUNTIF($F$250:$AJ$250,"P6")*ROWS($D$253:$D$276),0)),"")</f>
        <v>0.89655634920634786</v>
      </c>
      <c r="AP256" s="5" cm="1">
        <f t="array" ref="AP256">IFERROR((SUMPRODUCT(($D$253:$D$276=AP$251)*($F$250:$AJ$250="")*$F$253:$AJ$276)+IF(AP$251="P6",SUMPRODUCT(($F$250:$AJ$250="P6")*$F$253:$AJ$276),0))/(SUMPRODUCT(($D$253:$D$276=AP$251)*($F$250:$AJ$250=""))+IF(AP$251="P6",COUNTIF($F$250:$AJ$250,"P6")*ROWS($D$253:$D$276),0)),"")</f>
        <v>0.92040081632653103</v>
      </c>
      <c r="AQ256" s="5" t="str" cm="1">
        <f t="array" ref="AQ256">IFERROR((SUMPRODUCT(($D$253:$D$276=AQ$251)*($F$250:$AJ$250="")*$F$253:$AJ$276)+IF(AQ$251="P6",SUMPRODUCT(($F$250:$AJ$250="P6")*$F$253:$AJ$276),0))/(SUMPRODUCT(($D$253:$D$276=AQ$251)*($F$250:$AJ$250=""))+IF(AQ$251="P6",COUNTIF($F$250:$AJ$250,"P6")*ROWS($D$253:$D$276),0)),"")</f>
        <v/>
      </c>
      <c r="AR256" s="6" cm="1">
        <f t="array" ref="AR256">IFERROR((SUMPRODUCT(($D$253:$D$276=AR$251)*($F$250:$AJ$250="")*$F$253:$AJ$276)+IF(AR$251="P6",SUMPRODUCT(($F$250:$AJ$250="P6")*$F$253:$AJ$276),0))/(SUMPRODUCT(($D$253:$D$276=AR$251)*($F$250:$AJ$250=""))+IF(AR$251="P6",COUNTIF($F$250:$AJ$250,"P6")*ROWS($D$253:$D$276),0)),"")</f>
        <v>0.89792649509803935</v>
      </c>
    </row>
    <row r="257" spans="1:44" ht="14.25" customHeight="1" x14ac:dyDescent="0.35">
      <c r="A257" s="1" t="s">
        <v>7</v>
      </c>
      <c r="B257" s="1" t="s">
        <v>7</v>
      </c>
      <c r="C257" s="1" t="s">
        <v>15</v>
      </c>
      <c r="D257" s="1" t="s">
        <v>7</v>
      </c>
      <c r="E257" s="1" t="s">
        <v>12</v>
      </c>
      <c r="F257" s="1">
        <v>0.95487</v>
      </c>
      <c r="G257" s="1">
        <v>0.98933000000000004</v>
      </c>
      <c r="H257" s="1">
        <v>0.94721</v>
      </c>
      <c r="I257" s="1">
        <v>0.93403000000000003</v>
      </c>
      <c r="J257" s="1">
        <v>0.92479999999999996</v>
      </c>
      <c r="K257" s="1">
        <v>0.91634000000000004</v>
      </c>
      <c r="L257" s="1">
        <v>0.91974999999999996</v>
      </c>
      <c r="M257" s="1">
        <v>0.95487</v>
      </c>
      <c r="N257" s="1">
        <v>0.98933000000000004</v>
      </c>
      <c r="O257" s="1">
        <v>0.94721</v>
      </c>
      <c r="P257" s="1">
        <v>0.93403000000000003</v>
      </c>
      <c r="Q257" s="1">
        <v>0.92479999999999996</v>
      </c>
      <c r="R257" s="1">
        <v>0.91634000000000004</v>
      </c>
      <c r="S257" s="1">
        <v>0.91974999999999996</v>
      </c>
      <c r="T257" s="1">
        <v>0.99443999999999999</v>
      </c>
      <c r="U257" s="1">
        <v>0.98933000000000004</v>
      </c>
      <c r="V257" s="1">
        <v>0.94721</v>
      </c>
      <c r="W257" s="1">
        <v>0.93403000000000003</v>
      </c>
      <c r="X257" s="1">
        <v>0.92479999999999996</v>
      </c>
      <c r="Y257" s="1">
        <v>0.91634000000000004</v>
      </c>
      <c r="Z257" s="1">
        <v>0.91974999999999996</v>
      </c>
      <c r="AA257" s="1">
        <v>0.95487</v>
      </c>
      <c r="AB257" s="1">
        <v>0.98933000000000004</v>
      </c>
      <c r="AC257" s="1">
        <v>0.94721</v>
      </c>
      <c r="AD257" s="1">
        <v>0.93403000000000003</v>
      </c>
      <c r="AE257" s="1">
        <v>0.92479999999999996</v>
      </c>
      <c r="AF257" s="1">
        <v>0.91634000000000004</v>
      </c>
      <c r="AG257" s="1">
        <v>0.91974999999999996</v>
      </c>
      <c r="AH257" s="1">
        <v>0.95487</v>
      </c>
      <c r="AI257" s="1">
        <v>0.98933000000000004</v>
      </c>
      <c r="AJ257" s="1">
        <v>0.94721</v>
      </c>
      <c r="AL257" s="4" t="s">
        <v>29</v>
      </c>
      <c r="AM257" s="6" t="str" cm="1">
        <f t="array" ref="AM257">IFERROR((SUMPRODUCT(($D$253:$D$276=AM$251)*($F$250:$AJ$250="")*$F$253:$AJ$276)+IF(AM$251="P6",SUMPRODUCT(($F$250:$AJ$250="P6")*$F$253:$AJ$276),0))/(SUMPRODUCT(($D$253:$D$276=AM$251)*($F$250:$AJ$250=""))+IF(AM$251="P6",COUNTIF($F$250:$AJ$250,"P6")*ROWS($D$253:$D$276),0)),"")</f>
        <v/>
      </c>
      <c r="AN257" s="6" t="str" cm="1">
        <f t="array" ref="AN257">IFERROR((SUMPRODUCT(($D$253:$D$276=AN$251)*($F$250:$AJ$250="")*$F$253:$AJ$276)+IF(AN$251="P6",SUMPRODUCT(($F$250:$AJ$250="P6")*$F$253:$AJ$276),0))/(SUMPRODUCT(($D$253:$D$276=AN$251)*($F$250:$AJ$250=""))+IF(AN$251="P6",COUNTIF($F$250:$AJ$250,"P6")*ROWS($D$253:$D$276),0)),"")</f>
        <v/>
      </c>
      <c r="AO257" s="5" cm="1">
        <f t="array" ref="AO257">IFERROR((SUMPRODUCT(($D$253:$D$276=AO$251)*($F$250:$AJ$250="")*$F$253:$AJ$276)+IF(AO$251="P6",SUMPRODUCT(($F$250:$AJ$250="P6")*$F$253:$AJ$276),0))/(SUMPRODUCT(($D$253:$D$276=AO$251)*($F$250:$AJ$250=""))+IF(AO$251="P6",COUNTIF($F$250:$AJ$250,"P6")*ROWS($D$253:$D$276),0)),"")</f>
        <v>0.89655634920634786</v>
      </c>
      <c r="AP257" s="5" cm="1">
        <f t="array" ref="AP257">IFERROR((SUMPRODUCT(($D$253:$D$276=AP$251)*($F$250:$AJ$250="")*$F$253:$AJ$276)+IF(AP$251="P6",SUMPRODUCT(($F$250:$AJ$250="P6")*$F$253:$AJ$276),0))/(SUMPRODUCT(($D$253:$D$276=AP$251)*($F$250:$AJ$250=""))+IF(AP$251="P6",COUNTIF($F$250:$AJ$250,"P6")*ROWS($D$253:$D$276),0)),"")</f>
        <v>0.92040081632653103</v>
      </c>
      <c r="AQ257" s="5" t="str" cm="1">
        <f t="array" ref="AQ257">IFERROR((SUMPRODUCT(($D$253:$D$276=AQ$251)*($F$250:$AJ$250="")*$F$253:$AJ$276)+IF(AQ$251="P6",SUMPRODUCT(($F$250:$AJ$250="P6")*$F$253:$AJ$276),0))/(SUMPRODUCT(($D$253:$D$276=AQ$251)*($F$250:$AJ$250=""))+IF(AQ$251="P6",COUNTIF($F$250:$AJ$250,"P6")*ROWS($D$253:$D$276),0)),"")</f>
        <v/>
      </c>
      <c r="AR257" s="6" cm="1">
        <f t="array" ref="AR257">IFERROR((SUMPRODUCT(($D$253:$D$276=AR$251)*($F$250:$AJ$250="")*$F$253:$AJ$276)+IF(AR$251="P6",SUMPRODUCT(($F$250:$AJ$250="P6")*$F$253:$AJ$276),0))/(SUMPRODUCT(($D$253:$D$276=AR$251)*($F$250:$AJ$250=""))+IF(AR$251="P6",COUNTIF($F$250:$AJ$250,"P6")*ROWS($D$253:$D$276),0)),"")</f>
        <v>0.89792649509803935</v>
      </c>
    </row>
    <row r="258" spans="1:44" ht="14.25" customHeight="1" x14ac:dyDescent="0.35">
      <c r="A258" s="1" t="s">
        <v>7</v>
      </c>
      <c r="B258" s="1" t="s">
        <v>7</v>
      </c>
      <c r="C258" s="1" t="s">
        <v>15</v>
      </c>
      <c r="D258" s="1" t="s">
        <v>7</v>
      </c>
      <c r="E258" s="1" t="s">
        <v>18</v>
      </c>
      <c r="F258" s="1">
        <v>0.94660999999999995</v>
      </c>
      <c r="G258" s="1">
        <v>0.97911999999999999</v>
      </c>
      <c r="H258" s="1">
        <v>0.92512000000000005</v>
      </c>
      <c r="I258" s="1">
        <v>0.91249999999999998</v>
      </c>
      <c r="J258" s="1">
        <v>0.91771999999999998</v>
      </c>
      <c r="K258" s="1">
        <v>0.90422000000000002</v>
      </c>
      <c r="L258" s="1">
        <v>0.90834000000000004</v>
      </c>
      <c r="M258" s="1">
        <v>0.94660999999999995</v>
      </c>
      <c r="N258" s="1">
        <v>0.97911999999999999</v>
      </c>
      <c r="O258" s="1">
        <v>0.92512000000000005</v>
      </c>
      <c r="P258" s="1">
        <v>0.91249999999999998</v>
      </c>
      <c r="Q258" s="1">
        <v>0.91771999999999998</v>
      </c>
      <c r="R258" s="1">
        <v>0.90422000000000002</v>
      </c>
      <c r="S258" s="1">
        <v>0.90834000000000004</v>
      </c>
      <c r="T258" s="1">
        <v>0.98977000000000004</v>
      </c>
      <c r="U258" s="1">
        <v>0.97911999999999999</v>
      </c>
      <c r="V258" s="1">
        <v>0.92512000000000005</v>
      </c>
      <c r="W258" s="1">
        <v>0.91249999999999998</v>
      </c>
      <c r="X258" s="1">
        <v>0.91771999999999998</v>
      </c>
      <c r="Y258" s="1">
        <v>0.90422000000000002</v>
      </c>
      <c r="Z258" s="1">
        <v>0.90834000000000004</v>
      </c>
      <c r="AA258" s="1">
        <v>0.94660999999999995</v>
      </c>
      <c r="AB258" s="1">
        <v>0.97911999999999999</v>
      </c>
      <c r="AC258" s="1">
        <v>0.92512000000000005</v>
      </c>
      <c r="AD258" s="1">
        <v>0.91249999999999998</v>
      </c>
      <c r="AE258" s="1">
        <v>0.91771999999999998</v>
      </c>
      <c r="AF258" s="1">
        <v>0.90422000000000002</v>
      </c>
      <c r="AG258" s="1">
        <v>0.90834000000000004</v>
      </c>
      <c r="AH258" s="1">
        <v>0.94660999999999995</v>
      </c>
      <c r="AI258" s="1">
        <v>0.97911999999999999</v>
      </c>
      <c r="AJ258" s="1">
        <v>0.92512000000000005</v>
      </c>
      <c r="AL258" s="10"/>
      <c r="AM258" s="10"/>
      <c r="AN258" s="10"/>
      <c r="AO258" s="10"/>
      <c r="AP258" s="10"/>
      <c r="AQ258" s="10"/>
      <c r="AR258" s="10"/>
    </row>
    <row r="259" spans="1:44" ht="14.25" customHeight="1" x14ac:dyDescent="0.35">
      <c r="A259" s="1" t="s">
        <v>7</v>
      </c>
      <c r="B259" s="1" t="s">
        <v>7</v>
      </c>
      <c r="C259" s="1" t="s">
        <v>15</v>
      </c>
      <c r="D259" s="1" t="s">
        <v>7</v>
      </c>
      <c r="E259" s="1" t="s">
        <v>20</v>
      </c>
      <c r="F259" s="1">
        <v>0.92588999999999999</v>
      </c>
      <c r="G259" s="1">
        <v>0.95521</v>
      </c>
      <c r="H259" s="1">
        <v>0.87214000000000003</v>
      </c>
      <c r="I259" s="1">
        <v>0.87468999999999997</v>
      </c>
      <c r="J259" s="1">
        <v>0.87548999999999999</v>
      </c>
      <c r="K259" s="1">
        <v>0.86502999999999997</v>
      </c>
      <c r="L259" s="1">
        <v>0.86824999999999997</v>
      </c>
      <c r="M259" s="1">
        <v>0.92588999999999999</v>
      </c>
      <c r="N259" s="1">
        <v>0.95521</v>
      </c>
      <c r="O259" s="1">
        <v>0.87214000000000003</v>
      </c>
      <c r="P259" s="1">
        <v>0.87468999999999997</v>
      </c>
      <c r="Q259" s="1">
        <v>0.87548999999999999</v>
      </c>
      <c r="R259" s="1">
        <v>0.86502999999999997</v>
      </c>
      <c r="S259" s="1">
        <v>0.86824999999999997</v>
      </c>
      <c r="T259" s="1">
        <v>0.96675</v>
      </c>
      <c r="U259" s="1">
        <v>0.95521</v>
      </c>
      <c r="V259" s="1">
        <v>0.87214000000000003</v>
      </c>
      <c r="W259" s="1">
        <v>0.87468999999999997</v>
      </c>
      <c r="X259" s="1">
        <v>0.87548999999999999</v>
      </c>
      <c r="Y259" s="1">
        <v>0.86502999999999997</v>
      </c>
      <c r="Z259" s="1">
        <v>0.86824999999999997</v>
      </c>
      <c r="AA259" s="1">
        <v>0.92588999999999999</v>
      </c>
      <c r="AB259" s="1">
        <v>0.95521</v>
      </c>
      <c r="AC259" s="1">
        <v>0.87214000000000003</v>
      </c>
      <c r="AD259" s="1">
        <v>0.87468999999999997</v>
      </c>
      <c r="AE259" s="1">
        <v>0.87548999999999999</v>
      </c>
      <c r="AF259" s="1">
        <v>0.86502999999999997</v>
      </c>
      <c r="AG259" s="1">
        <v>0.86824999999999997</v>
      </c>
      <c r="AH259" s="1">
        <v>0.92588999999999999</v>
      </c>
      <c r="AI259" s="1">
        <v>0.95521</v>
      </c>
      <c r="AJ259" s="1">
        <v>0.87214000000000003</v>
      </c>
      <c r="AL259" s="10"/>
      <c r="AM259" s="10"/>
      <c r="AN259" s="10"/>
      <c r="AO259" s="10"/>
      <c r="AP259" s="10"/>
      <c r="AQ259" s="10"/>
      <c r="AR259" s="10"/>
    </row>
    <row r="260" spans="1:44" ht="14.25" customHeight="1" x14ac:dyDescent="0.35">
      <c r="A260" s="1" t="s">
        <v>7</v>
      </c>
      <c r="B260" s="1" t="s">
        <v>7</v>
      </c>
      <c r="C260" s="1" t="s">
        <v>15</v>
      </c>
      <c r="D260" s="1" t="s">
        <v>7</v>
      </c>
      <c r="E260" s="1" t="s">
        <v>22</v>
      </c>
      <c r="F260" s="1">
        <v>0.93222000000000005</v>
      </c>
      <c r="G260" s="1">
        <v>0.96996000000000004</v>
      </c>
      <c r="H260" s="1">
        <v>0.84689999999999999</v>
      </c>
      <c r="I260" s="1">
        <v>0.84738000000000002</v>
      </c>
      <c r="J260" s="1">
        <v>0.84582000000000002</v>
      </c>
      <c r="K260" s="1">
        <v>0.83887999999999996</v>
      </c>
      <c r="L260" s="1">
        <v>0.84297</v>
      </c>
      <c r="M260" s="1">
        <v>0.93222000000000005</v>
      </c>
      <c r="N260" s="1">
        <v>0.96996000000000004</v>
      </c>
      <c r="O260" s="1">
        <v>0.84689999999999999</v>
      </c>
      <c r="P260" s="1">
        <v>0.84738000000000002</v>
      </c>
      <c r="Q260" s="1">
        <v>0.84582000000000002</v>
      </c>
      <c r="R260" s="1">
        <v>0.83887999999999996</v>
      </c>
      <c r="S260" s="1">
        <v>0.84297</v>
      </c>
      <c r="T260" s="1">
        <v>0.96484000000000003</v>
      </c>
      <c r="U260" s="1">
        <v>0.96996000000000004</v>
      </c>
      <c r="V260" s="1">
        <v>0.84689999999999999</v>
      </c>
      <c r="W260" s="1">
        <v>0.84738000000000002</v>
      </c>
      <c r="X260" s="1">
        <v>0.84582000000000002</v>
      </c>
      <c r="Y260" s="1">
        <v>0.83887999999999996</v>
      </c>
      <c r="Z260" s="1">
        <v>0.84297</v>
      </c>
      <c r="AA260" s="1">
        <v>0.93222000000000005</v>
      </c>
      <c r="AB260" s="1">
        <v>0.96996000000000004</v>
      </c>
      <c r="AC260" s="1">
        <v>0.84689999999999999</v>
      </c>
      <c r="AD260" s="1">
        <v>0.84738000000000002</v>
      </c>
      <c r="AE260" s="1">
        <v>0.84582000000000002</v>
      </c>
      <c r="AF260" s="1">
        <v>0.83887999999999996</v>
      </c>
      <c r="AG260" s="1">
        <v>0.84297</v>
      </c>
      <c r="AH260" s="1">
        <v>0.93222000000000005</v>
      </c>
      <c r="AI260" s="1">
        <v>0.96996000000000004</v>
      </c>
      <c r="AJ260" s="1">
        <v>0.84689999999999999</v>
      </c>
      <c r="AL260" s="14" t="s">
        <v>138</v>
      </c>
      <c r="AM260" s="14"/>
      <c r="AN260" s="14"/>
      <c r="AO260" s="14"/>
      <c r="AP260" s="14"/>
      <c r="AQ260" s="14"/>
      <c r="AR260" s="14"/>
    </row>
    <row r="261" spans="1:44" ht="14.25" customHeight="1" x14ac:dyDescent="0.35">
      <c r="A261" s="1" t="s">
        <v>15</v>
      </c>
      <c r="B261" s="1" t="s">
        <v>14</v>
      </c>
      <c r="C261" s="1" t="s">
        <v>14</v>
      </c>
      <c r="D261" s="1" t="s">
        <v>16</v>
      </c>
      <c r="E261" s="1" t="s">
        <v>24</v>
      </c>
      <c r="F261" s="1">
        <v>0.86626999999999998</v>
      </c>
      <c r="G261" s="1">
        <v>0.90007000000000004</v>
      </c>
      <c r="H261" s="1">
        <v>0.88600999999999996</v>
      </c>
      <c r="I261" s="1">
        <v>0.88714000000000004</v>
      </c>
      <c r="J261" s="1">
        <v>0.88292000000000004</v>
      </c>
      <c r="K261" s="1">
        <v>0.87446999999999997</v>
      </c>
      <c r="L261" s="1">
        <v>0.87280999999999997</v>
      </c>
      <c r="M261" s="1">
        <v>0.86626999999999998</v>
      </c>
      <c r="N261" s="1">
        <v>0.90007000000000004</v>
      </c>
      <c r="O261" s="1">
        <v>0.88600999999999996</v>
      </c>
      <c r="P261" s="1">
        <v>0.88714000000000004</v>
      </c>
      <c r="Q261" s="1">
        <v>0.88292000000000004</v>
      </c>
      <c r="R261" s="1">
        <v>0.87446999999999997</v>
      </c>
      <c r="S261" s="1">
        <v>0.87280999999999997</v>
      </c>
      <c r="T261" s="1">
        <v>0.90244000000000002</v>
      </c>
      <c r="U261" s="1">
        <v>0.90007000000000004</v>
      </c>
      <c r="V261" s="1">
        <v>0.88600999999999996</v>
      </c>
      <c r="W261" s="1">
        <v>0.88714000000000004</v>
      </c>
      <c r="X261" s="1">
        <v>0.88292000000000004</v>
      </c>
      <c r="Y261" s="1">
        <v>0.87446999999999997</v>
      </c>
      <c r="Z261" s="1">
        <v>0.87280999999999997</v>
      </c>
      <c r="AA261" s="1">
        <v>0.86626999999999998</v>
      </c>
      <c r="AB261" s="1">
        <v>0.90007000000000004</v>
      </c>
      <c r="AC261" s="1">
        <v>0.88600999999999996</v>
      </c>
      <c r="AD261" s="1">
        <v>0.88714000000000004</v>
      </c>
      <c r="AE261" s="1">
        <v>0.88292000000000004</v>
      </c>
      <c r="AF261" s="1">
        <v>0.87446999999999997</v>
      </c>
      <c r="AG261" s="1">
        <v>0.87280999999999997</v>
      </c>
      <c r="AH261" s="1">
        <v>0.86626999999999998</v>
      </c>
      <c r="AI261" s="1">
        <v>0.90007000000000004</v>
      </c>
      <c r="AJ261" s="1">
        <v>0.88600999999999996</v>
      </c>
      <c r="AL261" s="4"/>
      <c r="AM261" s="4" t="s">
        <v>13</v>
      </c>
      <c r="AN261" s="4" t="s">
        <v>14</v>
      </c>
      <c r="AO261" s="4" t="s">
        <v>15</v>
      </c>
      <c r="AP261" s="4" t="s">
        <v>16</v>
      </c>
      <c r="AQ261" s="4" t="s">
        <v>17</v>
      </c>
      <c r="AR261" s="4" t="s">
        <v>7</v>
      </c>
    </row>
    <row r="262" spans="1:44" ht="14.25" customHeight="1" x14ac:dyDescent="0.35">
      <c r="A262" s="1" t="s">
        <v>15</v>
      </c>
      <c r="B262" s="1" t="s">
        <v>14</v>
      </c>
      <c r="C262" s="1" t="s">
        <v>14</v>
      </c>
      <c r="D262" s="1" t="s">
        <v>15</v>
      </c>
      <c r="E262" s="1" t="s">
        <v>26</v>
      </c>
      <c r="F262" s="1">
        <v>0.81135000000000002</v>
      </c>
      <c r="G262" s="1">
        <v>0.83650000000000002</v>
      </c>
      <c r="H262" s="1">
        <v>0.83948</v>
      </c>
      <c r="I262" s="1">
        <v>0.84965000000000002</v>
      </c>
      <c r="J262" s="1">
        <v>0.84757000000000005</v>
      </c>
      <c r="K262" s="1">
        <v>0.85204999999999997</v>
      </c>
      <c r="L262" s="1">
        <v>0.81664000000000003</v>
      </c>
      <c r="M262" s="1">
        <v>0.81135000000000002</v>
      </c>
      <c r="N262" s="1">
        <v>0.83650000000000002</v>
      </c>
      <c r="O262" s="1">
        <v>0.83948</v>
      </c>
      <c r="P262" s="1">
        <v>0.84965000000000002</v>
      </c>
      <c r="Q262" s="1">
        <v>0.84757000000000005</v>
      </c>
      <c r="R262" s="1">
        <v>0.85204999999999997</v>
      </c>
      <c r="S262" s="1">
        <v>0.81664000000000003</v>
      </c>
      <c r="T262" s="1">
        <v>0.87036999999999998</v>
      </c>
      <c r="U262" s="1">
        <v>0.83650000000000002</v>
      </c>
      <c r="V262" s="1">
        <v>0.83948</v>
      </c>
      <c r="W262" s="1">
        <v>0.84965000000000002</v>
      </c>
      <c r="X262" s="1">
        <v>0.84757000000000005</v>
      </c>
      <c r="Y262" s="1">
        <v>0.85204999999999997</v>
      </c>
      <c r="Z262" s="1">
        <v>0.81664000000000003</v>
      </c>
      <c r="AA262" s="1">
        <v>0.81135000000000002</v>
      </c>
      <c r="AB262" s="1">
        <v>0.83650000000000002</v>
      </c>
      <c r="AC262" s="1">
        <v>0.83948</v>
      </c>
      <c r="AD262" s="1">
        <v>0.84965000000000002</v>
      </c>
      <c r="AE262" s="1">
        <v>0.84757000000000005</v>
      </c>
      <c r="AF262" s="1">
        <v>0.85204999999999997</v>
      </c>
      <c r="AG262" s="1">
        <v>0.81664000000000003</v>
      </c>
      <c r="AH262" s="1">
        <v>0.81135000000000002</v>
      </c>
      <c r="AI262" s="1">
        <v>0.83650000000000002</v>
      </c>
      <c r="AJ262" s="1">
        <v>0.83948</v>
      </c>
      <c r="AL262" s="4" t="s">
        <v>19</v>
      </c>
      <c r="AM262" s="6" cm="1">
        <f t="array" ref="AM262">IFERROR((SUMPRODUCT(($C$253:$C$276=AM$251)*($F$249:$AJ$249="")*$F$253:$AJ$276)+IF(AM$251="P3",SUMPRODUCT(($F$249:$AJ$249="P3")*$F$253:$AJ$276),0))/(SUMPRODUCT(($C$253:$C$276=AM$251)*($F$249:$AJ$249=""))+IF(AM$251="P3",COUNTIF($F$249:$AJ$249,"P3")*ROWS($C$253:$C$276),0)),"")</f>
        <v>0.90350065476190389</v>
      </c>
      <c r="AN262" s="6" cm="1">
        <f t="array" ref="AN262">IFERROR((SUMPRODUCT(($C$253:$C$276=AN$251)*($F$249:$AJ$249="")*$F$253:$AJ$276)+IF(AN$251="P3",SUMPRODUCT(($F$249:$AJ$249="P3")*$F$253:$AJ$276),0))/(SUMPRODUCT(($C$253:$C$276=AN$251)*($F$249:$AJ$249=""))+IF(AN$251="P3",COUNTIF($F$249:$AJ$249,"P3")*ROWS($C$253:$C$276),0)),"")</f>
        <v>0.91047595238095291</v>
      </c>
      <c r="AO262" s="6" cm="1">
        <f t="array" ref="AO262">IFERROR((SUMPRODUCT(($C$253:$C$276=AO$251)*($F$249:$AJ$249="")*$F$253:$AJ$276)+IF(AO$251="P3",SUMPRODUCT(($F$249:$AJ$249="P3")*$F$253:$AJ$276),0))/(SUMPRODUCT(($C$253:$C$276=AO$251)*($F$249:$AJ$249=""))+IF(AO$251="P3",COUNTIF($F$249:$AJ$249,"P3")*ROWS($C$253:$C$276),0)),"")</f>
        <v>0.89792649509803935</v>
      </c>
      <c r="AP262" s="6" t="str" cm="1">
        <f t="array" ref="AP262">IFERROR((SUMPRODUCT(($C$253:$C$276=AP$251)*($F$249:$AJ$249="")*$F$253:$AJ$276)+IF(AP$251="P3",SUMPRODUCT(($F$249:$AJ$249="P3")*$F$253:$AJ$276),0))/(SUMPRODUCT(($C$253:$C$276=AP$251)*($F$249:$AJ$249=""))+IF(AP$251="P3",COUNTIF($F$249:$AJ$249,"P3")*ROWS($C$253:$C$276),0)),"")</f>
        <v/>
      </c>
      <c r="AQ262" s="6" t="str" cm="1">
        <f t="array" ref="AQ262">IFERROR((SUMPRODUCT(($C$253:$C$276=AQ$251)*($F$249:$AJ$249="")*$F$253:$AJ$276)+IF(AQ$251="P3",SUMPRODUCT(($F$249:$AJ$249="P3")*$F$253:$AJ$276),0))/(SUMPRODUCT(($C$253:$C$276=AQ$251)*($F$249:$AJ$249=""))+IF(AQ$251="P3",COUNTIF($F$249:$AJ$249,"P3")*ROWS($C$253:$C$276),0)),"")</f>
        <v/>
      </c>
      <c r="AR262" s="6" t="str" cm="1">
        <f t="array" ref="AR262">IFERROR((SUMPRODUCT(($C$253:$C$276=AR$251)*($F$249:$AJ$249="")*$F$253:$AJ$276)+IF(AR$251="P3",SUMPRODUCT(($F$249:$AJ$249="P3")*$F$253:$AJ$276),0))/(SUMPRODUCT(($C$253:$C$276=AR$251)*($F$249:$AJ$249=""))+IF(AR$251="P3",COUNTIF($F$249:$AJ$249,"P3")*ROWS($C$253:$C$276),0)),"")</f>
        <v/>
      </c>
    </row>
    <row r="263" spans="1:44" ht="14.25" customHeight="1" x14ac:dyDescent="0.35">
      <c r="A263" s="1" t="s">
        <v>13</v>
      </c>
      <c r="B263" s="1" t="s">
        <v>13</v>
      </c>
      <c r="C263" s="1" t="s">
        <v>13</v>
      </c>
      <c r="D263" s="1" t="s">
        <v>15</v>
      </c>
      <c r="E263" s="1" t="s">
        <v>28</v>
      </c>
      <c r="F263" s="1">
        <v>0.84226000000000001</v>
      </c>
      <c r="G263" s="1">
        <v>0.84057000000000004</v>
      </c>
      <c r="H263" s="1">
        <v>0.84877999999999998</v>
      </c>
      <c r="I263" s="1">
        <v>0.87834000000000001</v>
      </c>
      <c r="J263" s="1">
        <v>0.89061999999999997</v>
      </c>
      <c r="K263" s="1">
        <v>0.89032</v>
      </c>
      <c r="L263" s="1">
        <v>0.84001999999999999</v>
      </c>
      <c r="M263" s="1">
        <v>0.84226000000000001</v>
      </c>
      <c r="N263" s="1">
        <v>0.84057000000000004</v>
      </c>
      <c r="O263" s="1">
        <v>0.84877999999999998</v>
      </c>
      <c r="P263" s="1">
        <v>0.87834000000000001</v>
      </c>
      <c r="Q263" s="1">
        <v>0.89061999999999997</v>
      </c>
      <c r="R263" s="1">
        <v>0.89032</v>
      </c>
      <c r="S263" s="1">
        <v>0.84001999999999999</v>
      </c>
      <c r="T263" s="1">
        <v>0.89639000000000002</v>
      </c>
      <c r="U263" s="1">
        <v>0.84057000000000004</v>
      </c>
      <c r="V263" s="1">
        <v>0.84877999999999998</v>
      </c>
      <c r="W263" s="1">
        <v>0.87834000000000001</v>
      </c>
      <c r="X263" s="1">
        <v>0.89061999999999997</v>
      </c>
      <c r="Y263" s="1">
        <v>0.89032</v>
      </c>
      <c r="Z263" s="1">
        <v>0.84001999999999999</v>
      </c>
      <c r="AA263" s="1">
        <v>0.84226000000000001</v>
      </c>
      <c r="AB263" s="1">
        <v>0.84057000000000004</v>
      </c>
      <c r="AC263" s="1">
        <v>0.84877999999999998</v>
      </c>
      <c r="AD263" s="1">
        <v>0.87834000000000001</v>
      </c>
      <c r="AE263" s="1">
        <v>0.89061999999999997</v>
      </c>
      <c r="AF263" s="1">
        <v>0.89032</v>
      </c>
      <c r="AG263" s="1">
        <v>0.84001999999999999</v>
      </c>
      <c r="AH263" s="1">
        <v>0.84226000000000001</v>
      </c>
      <c r="AI263" s="1">
        <v>0.84057000000000004</v>
      </c>
      <c r="AJ263" s="1">
        <v>0.84877999999999998</v>
      </c>
      <c r="AL263" s="4" t="s">
        <v>21</v>
      </c>
      <c r="AM263" s="6" cm="1">
        <f t="array" ref="AM263">IFERROR((SUMPRODUCT(($A$253:$A$276=AM$251)*($F$250:$AJ$250="")*$F$253:$AJ$276)+IF(AM$251="P6",SUMPRODUCT(($F$250:$AJ$250="P6")*$F$253:$AJ$276),0))/(SUMPRODUCT(($A$253:$A$276=AM$251)*($F$250:$AJ$250=""))+IF(AM$251="P6",COUNTIF($F$250:$AJ$250,"P6")*ROWS($A$253:$A$276),0)),"")</f>
        <v>0.89926899470899302</v>
      </c>
      <c r="AN263" s="6" t="str" cm="1">
        <f t="array" ref="AN263">IFERROR((SUMPRODUCT(($A$253:$A$276=AN$251)*($F$250:$AJ$250="")*$F$253:$AJ$276)+IF(AN$251="P6",SUMPRODUCT(($F$250:$AJ$250="P6")*$F$253:$AJ$276),0))/(SUMPRODUCT(($A$253:$A$276=AN$251)*($F$250:$AJ$250=""))+IF(AN$251="P6",COUNTIF($F$250:$AJ$250,"P6")*ROWS($A$253:$A$276),0)),"")</f>
        <v/>
      </c>
      <c r="AO263" s="6" cm="1">
        <f t="array" ref="AO263">IFERROR((SUMPRODUCT(($A$253:$A$276=AO$251)*($F$250:$AJ$250="")*$F$253:$AJ$276)+IF(AO$251="P6",SUMPRODUCT(($F$250:$AJ$250="P6")*$F$253:$AJ$276),0))/(SUMPRODUCT(($A$253:$A$276=AO$251)*($F$250:$AJ$250=""))+IF(AO$251="P6",COUNTIF($F$250:$AJ$250,"P6")*ROWS($A$253:$A$276),0)),"")</f>
        <v>0.91691312925170121</v>
      </c>
      <c r="AP263" s="6" t="str" cm="1">
        <f t="array" ref="AP263">IFERROR((SUMPRODUCT(($A$253:$A$276=AP$251)*($F$250:$AJ$250="")*$F$253:$AJ$276)+IF(AP$251="P6",SUMPRODUCT(($F$250:$AJ$250="P6")*$F$253:$AJ$276),0))/(SUMPRODUCT(($A$253:$A$276=AP$251)*($F$250:$AJ$250=""))+IF(AP$251="P6",COUNTIF($F$250:$AJ$250,"P6")*ROWS($A$253:$A$276),0)),"")</f>
        <v/>
      </c>
      <c r="AQ263" s="6" t="str" cm="1">
        <f t="array" ref="AQ263">IFERROR((SUMPRODUCT(($A$253:$A$276=AQ$251)*($F$250:$AJ$250="")*$F$253:$AJ$276)+IF(AQ$251="P6",SUMPRODUCT(($F$250:$AJ$250="P6")*$F$253:$AJ$276),0))/(SUMPRODUCT(($A$253:$A$276=AQ$251)*($F$250:$AJ$250=""))+IF(AQ$251="P6",COUNTIF($F$250:$AJ$250,"P6")*ROWS($A$253:$A$276),0)),"")</f>
        <v/>
      </c>
      <c r="AR263" s="6" cm="1">
        <f t="array" ref="AR263">IFERROR((SUMPRODUCT(($A$253:$A$276=AR$251)*($F$250:$AJ$250="")*$F$253:$AJ$276)+IF(AR$251="P6",SUMPRODUCT(($F$250:$AJ$250="P6")*$F$253:$AJ$276),0))/(SUMPRODUCT(($A$253:$A$276=AR$251)*($F$250:$AJ$250=""))+IF(AR$251="P6",COUNTIF($F$250:$AJ$250,"P6")*ROWS($A$253:$A$276),0)),"")</f>
        <v>0.89792649509803935</v>
      </c>
    </row>
    <row r="264" spans="1:44" ht="14.25" customHeight="1" x14ac:dyDescent="0.35">
      <c r="A264" s="1" t="s">
        <v>13</v>
      </c>
      <c r="B264" s="1" t="s">
        <v>13</v>
      </c>
      <c r="C264" s="1" t="s">
        <v>13</v>
      </c>
      <c r="D264" s="1" t="s">
        <v>15</v>
      </c>
      <c r="E264" s="1" t="s">
        <v>30</v>
      </c>
      <c r="F264" s="1">
        <v>0.82967000000000002</v>
      </c>
      <c r="G264" s="1">
        <v>0.81879000000000002</v>
      </c>
      <c r="H264" s="1">
        <v>0.86350000000000005</v>
      </c>
      <c r="I264" s="1">
        <v>0.85606000000000004</v>
      </c>
      <c r="J264" s="1">
        <v>0.91300999999999999</v>
      </c>
      <c r="K264" s="1">
        <v>0.872</v>
      </c>
      <c r="L264" s="1">
        <v>0.83674999999999999</v>
      </c>
      <c r="M264" s="1">
        <v>0.82967000000000002</v>
      </c>
      <c r="N264" s="1">
        <v>0.81879000000000002</v>
      </c>
      <c r="O264" s="1">
        <v>0.86350000000000005</v>
      </c>
      <c r="P264" s="1">
        <v>0.85606000000000004</v>
      </c>
      <c r="Q264" s="1">
        <v>0.91300999999999999</v>
      </c>
      <c r="R264" s="1">
        <v>0.872</v>
      </c>
      <c r="S264" s="1">
        <v>0.83674999999999999</v>
      </c>
      <c r="T264" s="1">
        <v>0.88087000000000004</v>
      </c>
      <c r="U264" s="1">
        <v>0.81879000000000002</v>
      </c>
      <c r="V264" s="1">
        <v>0.86350000000000005</v>
      </c>
      <c r="W264" s="1">
        <v>0.85606000000000004</v>
      </c>
      <c r="X264" s="1">
        <v>0.91300999999999999</v>
      </c>
      <c r="Y264" s="1">
        <v>0.872</v>
      </c>
      <c r="Z264" s="1">
        <v>0.83674999999999999</v>
      </c>
      <c r="AA264" s="1">
        <v>0.82967000000000002</v>
      </c>
      <c r="AB264" s="1">
        <v>0.81879000000000002</v>
      </c>
      <c r="AC264" s="1">
        <v>0.86350000000000005</v>
      </c>
      <c r="AD264" s="1">
        <v>0.85606000000000004</v>
      </c>
      <c r="AE264" s="1">
        <v>0.91300999999999999</v>
      </c>
      <c r="AF264" s="1">
        <v>0.872</v>
      </c>
      <c r="AG264" s="1">
        <v>0.83674999999999999</v>
      </c>
      <c r="AH264" s="1">
        <v>0.82967000000000002</v>
      </c>
      <c r="AI264" s="1">
        <v>0.81879000000000002</v>
      </c>
      <c r="AJ264" s="1">
        <v>0.86350000000000005</v>
      </c>
      <c r="AL264" s="4" t="s">
        <v>23</v>
      </c>
      <c r="AM264" s="6" cm="1">
        <f t="array" ref="AM264">IFERROR((SUMPRODUCT(($A$253:$A$276=AM$251)*($F$250:$AJ$250="")*$F$253:$AJ$276)+IF(AM$251="P6",SUMPRODUCT(($F$250:$AJ$250="P6")*$F$253:$AJ$276),0))/(SUMPRODUCT(($A$253:$A$276=AM$251)*($F$250:$AJ$250=""))+IF(AM$251="P6",COUNTIF($F$250:$AJ$250,"P6")*ROWS($A$253:$A$276),0)),"")</f>
        <v>0.89926899470899302</v>
      </c>
      <c r="AN264" s="6" t="str" cm="1">
        <f t="array" ref="AN264">IFERROR((SUMPRODUCT(($A$253:$A$276=AN$251)*($F$250:$AJ$250="")*$F$253:$AJ$276)+IF(AN$251="P6",SUMPRODUCT(($F$250:$AJ$250="P6")*$F$253:$AJ$276),0))/(SUMPRODUCT(($A$253:$A$276=AN$251)*($F$250:$AJ$250=""))+IF(AN$251="P6",COUNTIF($F$250:$AJ$250,"P6")*ROWS($A$253:$A$276),0)),"")</f>
        <v/>
      </c>
      <c r="AO264" s="6" cm="1">
        <f t="array" ref="AO264">IFERROR((SUMPRODUCT(($A$253:$A$276=AO$251)*($F$250:$AJ$250="")*$F$253:$AJ$276)+IF(AO$251="P6",SUMPRODUCT(($F$250:$AJ$250="P6")*$F$253:$AJ$276),0))/(SUMPRODUCT(($A$253:$A$276=AO$251)*($F$250:$AJ$250=""))+IF(AO$251="P6",COUNTIF($F$250:$AJ$250,"P6")*ROWS($A$253:$A$276),0)),"")</f>
        <v>0.91691312925170121</v>
      </c>
      <c r="AP264" s="6" t="str" cm="1">
        <f t="array" ref="AP264">IFERROR((SUMPRODUCT(($A$253:$A$276=AP$251)*($F$250:$AJ$250="")*$F$253:$AJ$276)+IF(AP$251="P6",SUMPRODUCT(($F$250:$AJ$250="P6")*$F$253:$AJ$276),0))/(SUMPRODUCT(($A$253:$A$276=AP$251)*($F$250:$AJ$250=""))+IF(AP$251="P6",COUNTIF($F$250:$AJ$250,"P6")*ROWS($A$253:$A$276),0)),"")</f>
        <v/>
      </c>
      <c r="AQ264" s="6" t="str" cm="1">
        <f t="array" ref="AQ264">IFERROR((SUMPRODUCT(($A$253:$A$276=AQ$251)*($F$250:$AJ$250="")*$F$253:$AJ$276)+IF(AQ$251="P6",SUMPRODUCT(($F$250:$AJ$250="P6")*$F$253:$AJ$276),0))/(SUMPRODUCT(($A$253:$A$276=AQ$251)*($F$250:$AJ$250=""))+IF(AQ$251="P6",COUNTIF($F$250:$AJ$250,"P6")*ROWS($A$253:$A$276),0)),"")</f>
        <v/>
      </c>
      <c r="AR264" s="6" cm="1">
        <f t="array" ref="AR264">IFERROR((SUMPRODUCT(($A$253:$A$276=AR$251)*($F$250:$AJ$250="")*$F$253:$AJ$276)+IF(AR$251="P6",SUMPRODUCT(($F$250:$AJ$250="P6")*$F$253:$AJ$276),0))/(SUMPRODUCT(($A$253:$A$276=AR$251)*($F$250:$AJ$250=""))+IF(AR$251="P6",COUNTIF($F$250:$AJ$250,"P6")*ROWS($A$253:$A$276),0)),"")</f>
        <v>0.89792649509803935</v>
      </c>
    </row>
    <row r="265" spans="1:44" ht="14.25" customHeight="1" x14ac:dyDescent="0.35">
      <c r="A265" s="1" t="s">
        <v>13</v>
      </c>
      <c r="B265" s="1" t="s">
        <v>13</v>
      </c>
      <c r="C265" s="1" t="s">
        <v>13</v>
      </c>
      <c r="D265" s="1" t="s">
        <v>15</v>
      </c>
      <c r="E265" s="1" t="s">
        <v>31</v>
      </c>
      <c r="F265" s="1">
        <v>0.80518999999999996</v>
      </c>
      <c r="G265" s="1">
        <v>0.78232999999999997</v>
      </c>
      <c r="H265" s="1">
        <v>0.84369000000000005</v>
      </c>
      <c r="I265" s="1">
        <v>0.84565000000000001</v>
      </c>
      <c r="J265" s="1">
        <v>0.88146999999999998</v>
      </c>
      <c r="K265" s="1">
        <v>0.85270000000000001</v>
      </c>
      <c r="L265" s="1">
        <v>0.81552999999999998</v>
      </c>
      <c r="M265" s="1">
        <v>0.80518999999999996</v>
      </c>
      <c r="N265" s="1">
        <v>0.78232999999999997</v>
      </c>
      <c r="O265" s="1">
        <v>0.84369000000000005</v>
      </c>
      <c r="P265" s="1">
        <v>0.84565000000000001</v>
      </c>
      <c r="Q265" s="1">
        <v>0.88146999999999998</v>
      </c>
      <c r="R265" s="1">
        <v>0.85270000000000001</v>
      </c>
      <c r="S265" s="1">
        <v>0.81552999999999998</v>
      </c>
      <c r="T265" s="1">
        <v>0.87380999999999998</v>
      </c>
      <c r="U265" s="1">
        <v>0.78232999999999997</v>
      </c>
      <c r="V265" s="1">
        <v>0.84369000000000005</v>
      </c>
      <c r="W265" s="1">
        <v>0.84565000000000001</v>
      </c>
      <c r="X265" s="1">
        <v>0.88146999999999998</v>
      </c>
      <c r="Y265" s="1">
        <v>0.85270000000000001</v>
      </c>
      <c r="Z265" s="1">
        <v>0.81552999999999998</v>
      </c>
      <c r="AA265" s="1">
        <v>0.80518999999999996</v>
      </c>
      <c r="AB265" s="1">
        <v>0.78232999999999997</v>
      </c>
      <c r="AC265" s="1">
        <v>0.84369000000000005</v>
      </c>
      <c r="AD265" s="1">
        <v>0.84565000000000001</v>
      </c>
      <c r="AE265" s="1">
        <v>0.88146999999999998</v>
      </c>
      <c r="AF265" s="1">
        <v>0.85270000000000001</v>
      </c>
      <c r="AG265" s="1">
        <v>0.81552999999999998</v>
      </c>
      <c r="AH265" s="1">
        <v>0.80518999999999996</v>
      </c>
      <c r="AI265" s="1">
        <v>0.78232999999999997</v>
      </c>
      <c r="AJ265" s="1">
        <v>0.84369000000000005</v>
      </c>
      <c r="AL265" s="4" t="s">
        <v>25</v>
      </c>
      <c r="AM265" s="6" cm="1">
        <f t="array" ref="AM265">IFERROR((SUMPRODUCT(($A$253:$A$276=AM$251)*($F$250:$AJ$250="")*$F$253:$AJ$276)+IF(AM$251="P6",SUMPRODUCT(($F$250:$AJ$250="P6")*$F$253:$AJ$276),0))/(SUMPRODUCT(($A$253:$A$276=AM$251)*($F$250:$AJ$250=""))+IF(AM$251="P6",COUNTIF($F$250:$AJ$250,"P6")*ROWS($A$253:$A$276),0)),"")</f>
        <v>0.89926899470899302</v>
      </c>
      <c r="AN265" s="6" t="str" cm="1">
        <f t="array" ref="AN265">IFERROR((SUMPRODUCT(($A$253:$A$276=AN$251)*($F$250:$AJ$250="")*$F$253:$AJ$276)+IF(AN$251="P6",SUMPRODUCT(($F$250:$AJ$250="P6")*$F$253:$AJ$276),0))/(SUMPRODUCT(($A$253:$A$276=AN$251)*($F$250:$AJ$250=""))+IF(AN$251="P6",COUNTIF($F$250:$AJ$250,"P6")*ROWS($A$253:$A$276),0)),"")</f>
        <v/>
      </c>
      <c r="AO265" s="6" cm="1">
        <f t="array" ref="AO265">IFERROR((SUMPRODUCT(($A$253:$A$276=AO$251)*($F$250:$AJ$250="")*$F$253:$AJ$276)+IF(AO$251="P6",SUMPRODUCT(($F$250:$AJ$250="P6")*$F$253:$AJ$276),0))/(SUMPRODUCT(($A$253:$A$276=AO$251)*($F$250:$AJ$250=""))+IF(AO$251="P6",COUNTIF($F$250:$AJ$250,"P6")*ROWS($A$253:$A$276),0)),"")</f>
        <v>0.91691312925170121</v>
      </c>
      <c r="AP265" s="6" t="str" cm="1">
        <f t="array" ref="AP265">IFERROR((SUMPRODUCT(($A$253:$A$276=AP$251)*($F$250:$AJ$250="")*$F$253:$AJ$276)+IF(AP$251="P6",SUMPRODUCT(($F$250:$AJ$250="P6")*$F$253:$AJ$276),0))/(SUMPRODUCT(($A$253:$A$276=AP$251)*($F$250:$AJ$250=""))+IF(AP$251="P6",COUNTIF($F$250:$AJ$250,"P6")*ROWS($A$253:$A$276),0)),"")</f>
        <v/>
      </c>
      <c r="AQ265" s="6" t="str" cm="1">
        <f t="array" ref="AQ265">IFERROR((SUMPRODUCT(($A$253:$A$276=AQ$251)*($F$250:$AJ$250="")*$F$253:$AJ$276)+IF(AQ$251="P6",SUMPRODUCT(($F$250:$AJ$250="P6")*$F$253:$AJ$276),0))/(SUMPRODUCT(($A$253:$A$276=AQ$251)*($F$250:$AJ$250=""))+IF(AQ$251="P6",COUNTIF($F$250:$AJ$250,"P6")*ROWS($A$253:$A$276),0)),"")</f>
        <v/>
      </c>
      <c r="AR265" s="6" cm="1">
        <f t="array" ref="AR265">IFERROR((SUMPRODUCT(($A$253:$A$276=AR$251)*($F$250:$AJ$250="")*$F$253:$AJ$276)+IF(AR$251="P6",SUMPRODUCT(($F$250:$AJ$250="P6")*$F$253:$AJ$276),0))/(SUMPRODUCT(($A$253:$A$276=AR$251)*($F$250:$AJ$250=""))+IF(AR$251="P6",COUNTIF($F$250:$AJ$250,"P6")*ROWS($A$253:$A$276),0)),"")</f>
        <v>0.89792649509803935</v>
      </c>
    </row>
    <row r="266" spans="1:44" ht="14.25" customHeight="1" x14ac:dyDescent="0.35">
      <c r="A266" s="1" t="s">
        <v>13</v>
      </c>
      <c r="B266" s="1" t="s">
        <v>13</v>
      </c>
      <c r="C266" s="1" t="s">
        <v>13</v>
      </c>
      <c r="D266" s="1" t="s">
        <v>15</v>
      </c>
      <c r="E266" s="1" t="s">
        <v>32</v>
      </c>
      <c r="F266" s="1">
        <v>0.77029000000000003</v>
      </c>
      <c r="G266" s="1">
        <v>0.75419999999999998</v>
      </c>
      <c r="H266" s="1">
        <v>0.83814999999999995</v>
      </c>
      <c r="I266" s="1">
        <v>0.83877000000000002</v>
      </c>
      <c r="J266" s="1">
        <v>0.86053999999999997</v>
      </c>
      <c r="K266" s="1">
        <v>0.84094000000000002</v>
      </c>
      <c r="L266" s="1">
        <v>0.78317000000000003</v>
      </c>
      <c r="M266" s="1">
        <v>0.77029000000000003</v>
      </c>
      <c r="N266" s="1">
        <v>0.75419999999999998</v>
      </c>
      <c r="O266" s="1">
        <v>0.83814999999999995</v>
      </c>
      <c r="P266" s="1">
        <v>0.83877000000000002</v>
      </c>
      <c r="Q266" s="1">
        <v>0.86053999999999997</v>
      </c>
      <c r="R266" s="1">
        <v>0.84094000000000002</v>
      </c>
      <c r="S266" s="1">
        <v>0.78317000000000003</v>
      </c>
      <c r="T266" s="1">
        <v>0.82521999999999995</v>
      </c>
      <c r="U266" s="1">
        <v>0.75419999999999998</v>
      </c>
      <c r="V266" s="1">
        <v>0.83814999999999995</v>
      </c>
      <c r="W266" s="1">
        <v>0.83877000000000002</v>
      </c>
      <c r="X266" s="1">
        <v>0.86053999999999997</v>
      </c>
      <c r="Y266" s="1">
        <v>0.84094000000000002</v>
      </c>
      <c r="Z266" s="1">
        <v>0.78317000000000003</v>
      </c>
      <c r="AA266" s="1">
        <v>0.77029000000000003</v>
      </c>
      <c r="AB266" s="1">
        <v>0.75419999999999998</v>
      </c>
      <c r="AC266" s="1">
        <v>0.83814999999999995</v>
      </c>
      <c r="AD266" s="1">
        <v>0.83877000000000002</v>
      </c>
      <c r="AE266" s="1">
        <v>0.86053999999999997</v>
      </c>
      <c r="AF266" s="1">
        <v>0.84094000000000002</v>
      </c>
      <c r="AG266" s="1">
        <v>0.78317000000000003</v>
      </c>
      <c r="AH266" s="1">
        <v>0.77029000000000003</v>
      </c>
      <c r="AI266" s="1">
        <v>0.75419999999999998</v>
      </c>
      <c r="AJ266" s="1">
        <v>0.83814999999999995</v>
      </c>
      <c r="AL266" s="4" t="s">
        <v>27</v>
      </c>
      <c r="AM266" s="6" cm="1">
        <f t="array" ref="AM266">IFERROR((SUMPRODUCT(($A$253:$A$276=AM$251)*($F$250:$AJ$250="")*$F$253:$AJ$276)+IF(AM$251="P6",SUMPRODUCT(($F$250:$AJ$250="P6")*$F$253:$AJ$276),0))/(SUMPRODUCT(($A$253:$A$276=AM$251)*($F$250:$AJ$250=""))+IF(AM$251="P6",COUNTIF($F$250:$AJ$250,"P6")*ROWS($A$253:$A$276),0)),"")</f>
        <v>0.89926899470899302</v>
      </c>
      <c r="AN266" s="6" t="str" cm="1">
        <f t="array" ref="AN266">IFERROR((SUMPRODUCT(($A$253:$A$276=AN$251)*($F$250:$AJ$250="")*$F$253:$AJ$276)+IF(AN$251="P6",SUMPRODUCT(($F$250:$AJ$250="P6")*$F$253:$AJ$276),0))/(SUMPRODUCT(($A$253:$A$276=AN$251)*($F$250:$AJ$250=""))+IF(AN$251="P6",COUNTIF($F$250:$AJ$250,"P6")*ROWS($A$253:$A$276),0)),"")</f>
        <v/>
      </c>
      <c r="AO266" s="6" cm="1">
        <f t="array" ref="AO266">IFERROR((SUMPRODUCT(($A$253:$A$276=AO$251)*($F$250:$AJ$250="")*$F$253:$AJ$276)+IF(AO$251="P6",SUMPRODUCT(($F$250:$AJ$250="P6")*$F$253:$AJ$276),0))/(SUMPRODUCT(($A$253:$A$276=AO$251)*($F$250:$AJ$250=""))+IF(AO$251="P6",COUNTIF($F$250:$AJ$250,"P6")*ROWS($A$253:$A$276),0)),"")</f>
        <v>0.91691312925170121</v>
      </c>
      <c r="AP266" s="6" t="str" cm="1">
        <f t="array" ref="AP266">IFERROR((SUMPRODUCT(($A$253:$A$276=AP$251)*($F$250:$AJ$250="")*$F$253:$AJ$276)+IF(AP$251="P6",SUMPRODUCT(($F$250:$AJ$250="P6")*$F$253:$AJ$276),0))/(SUMPRODUCT(($A$253:$A$276=AP$251)*($F$250:$AJ$250=""))+IF(AP$251="P6",COUNTIF($F$250:$AJ$250,"P6")*ROWS($A$253:$A$276),0)),"")</f>
        <v/>
      </c>
      <c r="AQ266" s="6" t="str" cm="1">
        <f t="array" ref="AQ266">IFERROR((SUMPRODUCT(($A$253:$A$276=AQ$251)*($F$250:$AJ$250="")*$F$253:$AJ$276)+IF(AQ$251="P6",SUMPRODUCT(($F$250:$AJ$250="P6")*$F$253:$AJ$276),0))/(SUMPRODUCT(($A$253:$A$276=AQ$251)*($F$250:$AJ$250=""))+IF(AQ$251="P6",COUNTIF($F$250:$AJ$250,"P6")*ROWS($A$253:$A$276),0)),"")</f>
        <v/>
      </c>
      <c r="AR266" s="6" cm="1">
        <f t="array" ref="AR266">IFERROR((SUMPRODUCT(($A$253:$A$276=AR$251)*($F$250:$AJ$250="")*$F$253:$AJ$276)+IF(AR$251="P6",SUMPRODUCT(($F$250:$AJ$250="P6")*$F$253:$AJ$276),0))/(SUMPRODUCT(($A$253:$A$276=AR$251)*($F$250:$AJ$250=""))+IF(AR$251="P6",COUNTIF($F$250:$AJ$250,"P6")*ROWS($A$253:$A$276),0)),"")</f>
        <v>0.89792649509803935</v>
      </c>
    </row>
    <row r="267" spans="1:44" ht="14.25" customHeight="1" x14ac:dyDescent="0.35">
      <c r="A267" s="1" t="s">
        <v>13</v>
      </c>
      <c r="B267" s="1" t="s">
        <v>13</v>
      </c>
      <c r="C267" s="1" t="s">
        <v>14</v>
      </c>
      <c r="D267" s="1" t="s">
        <v>16</v>
      </c>
      <c r="E267" s="1" t="s">
        <v>33</v>
      </c>
      <c r="F267" s="1">
        <v>0.76221000000000005</v>
      </c>
      <c r="G267" s="1">
        <v>0.75590999999999997</v>
      </c>
      <c r="H267" s="1">
        <v>0.85824999999999996</v>
      </c>
      <c r="I267" s="1">
        <v>0.85538000000000003</v>
      </c>
      <c r="J267" s="1">
        <v>0.87816000000000005</v>
      </c>
      <c r="K267" s="1">
        <v>0.85152000000000005</v>
      </c>
      <c r="L267" s="1">
        <v>0.88556000000000001</v>
      </c>
      <c r="M267" s="1">
        <v>0.76221000000000005</v>
      </c>
      <c r="N267" s="1">
        <v>0.75590999999999997</v>
      </c>
      <c r="O267" s="1">
        <v>0.85824999999999996</v>
      </c>
      <c r="P267" s="1">
        <v>0.85538000000000003</v>
      </c>
      <c r="Q267" s="1">
        <v>0.87816000000000005</v>
      </c>
      <c r="R267" s="1">
        <v>0.85152000000000005</v>
      </c>
      <c r="S267" s="1">
        <v>0.88556000000000001</v>
      </c>
      <c r="T267" s="1">
        <v>0.81491999999999998</v>
      </c>
      <c r="U267" s="1">
        <v>0.75590999999999997</v>
      </c>
      <c r="V267" s="1">
        <v>0.85824999999999996</v>
      </c>
      <c r="W267" s="1">
        <v>0.85538000000000003</v>
      </c>
      <c r="X267" s="1">
        <v>0.87816000000000005</v>
      </c>
      <c r="Y267" s="1">
        <v>0.85152000000000005</v>
      </c>
      <c r="Z267" s="1">
        <v>0.88556000000000001</v>
      </c>
      <c r="AA267" s="1">
        <v>0.76221000000000005</v>
      </c>
      <c r="AB267" s="1">
        <v>0.75590999999999997</v>
      </c>
      <c r="AC267" s="1">
        <v>0.85824999999999996</v>
      </c>
      <c r="AD267" s="1">
        <v>0.85538000000000003</v>
      </c>
      <c r="AE267" s="1">
        <v>0.87816000000000005</v>
      </c>
      <c r="AF267" s="1">
        <v>0.85152000000000005</v>
      </c>
      <c r="AG267" s="1">
        <v>0.88556000000000001</v>
      </c>
      <c r="AH267" s="1">
        <v>0.76221000000000005</v>
      </c>
      <c r="AI267" s="1">
        <v>0.75590999999999997</v>
      </c>
      <c r="AJ267" s="1">
        <v>0.85824999999999996</v>
      </c>
      <c r="AL267" s="4" t="s">
        <v>29</v>
      </c>
      <c r="AM267" s="6" cm="1">
        <f t="array" ref="AM267">IFERROR((SUMPRODUCT(($A$253:$A$276=AM$251)*($F$250:$AJ$250="")*$F$253:$AJ$276)+IF(AM$251="P6",SUMPRODUCT(($F$250:$AJ$250="P6")*$F$253:$AJ$276),0))/(SUMPRODUCT(($A$253:$A$276=AM$251)*($F$250:$AJ$250=""))+IF(AM$251="P6",COUNTIF($F$250:$AJ$250,"P6")*ROWS($A$253:$A$276),0)),"")</f>
        <v>0.89926899470899302</v>
      </c>
      <c r="AN267" s="6" t="str" cm="1">
        <f t="array" ref="AN267">IFERROR((SUMPRODUCT(($A$253:$A$276=AN$251)*($F$250:$AJ$250="")*$F$253:$AJ$276)+IF(AN$251="P6",SUMPRODUCT(($F$250:$AJ$250="P6")*$F$253:$AJ$276),0))/(SUMPRODUCT(($A$253:$A$276=AN$251)*($F$250:$AJ$250=""))+IF(AN$251="P6",COUNTIF($F$250:$AJ$250,"P6")*ROWS($A$253:$A$276),0)),"")</f>
        <v/>
      </c>
      <c r="AO267" s="6" cm="1">
        <f t="array" ref="AO267">IFERROR((SUMPRODUCT(($A$253:$A$276=AO$251)*($F$250:$AJ$250="")*$F$253:$AJ$276)+IF(AO$251="P6",SUMPRODUCT(($F$250:$AJ$250="P6")*$F$253:$AJ$276),0))/(SUMPRODUCT(($A$253:$A$276=AO$251)*($F$250:$AJ$250=""))+IF(AO$251="P6",COUNTIF($F$250:$AJ$250,"P6")*ROWS($A$253:$A$276),0)),"")</f>
        <v>0.91691312925170121</v>
      </c>
      <c r="AP267" s="6" t="str" cm="1">
        <f t="array" ref="AP267">IFERROR((SUMPRODUCT(($A$253:$A$276=AP$251)*($F$250:$AJ$250="")*$F$253:$AJ$276)+IF(AP$251="P6",SUMPRODUCT(($F$250:$AJ$250="P6")*$F$253:$AJ$276),0))/(SUMPRODUCT(($A$253:$A$276=AP$251)*($F$250:$AJ$250=""))+IF(AP$251="P6",COUNTIF($F$250:$AJ$250,"P6")*ROWS($A$253:$A$276),0)),"")</f>
        <v/>
      </c>
      <c r="AQ267" s="6" t="str" cm="1">
        <f t="array" ref="AQ267">IFERROR((SUMPRODUCT(($A$253:$A$276=AQ$251)*($F$250:$AJ$250="")*$F$253:$AJ$276)+IF(AQ$251="P6",SUMPRODUCT(($F$250:$AJ$250="P6")*$F$253:$AJ$276),0))/(SUMPRODUCT(($A$253:$A$276=AQ$251)*($F$250:$AJ$250=""))+IF(AQ$251="P6",COUNTIF($F$250:$AJ$250,"P6")*ROWS($A$253:$A$276),0)),"")</f>
        <v/>
      </c>
      <c r="AR267" s="6" cm="1">
        <f t="array" ref="AR267">IFERROR((SUMPRODUCT(($A$253:$A$276=AR$251)*($F$250:$AJ$250="")*$F$253:$AJ$276)+IF(AR$251="P6",SUMPRODUCT(($F$250:$AJ$250="P6")*$F$253:$AJ$276),0))/(SUMPRODUCT(($A$253:$A$276=AR$251)*($F$250:$AJ$250=""))+IF(AR$251="P6",COUNTIF($F$250:$AJ$250,"P6")*ROWS($A$253:$A$276),0)),"")</f>
        <v>0.89792649509803935</v>
      </c>
    </row>
    <row r="268" spans="1:44" ht="14.25" customHeight="1" x14ac:dyDescent="0.35">
      <c r="A268" s="1" t="s">
        <v>15</v>
      </c>
      <c r="B268" s="1" t="s">
        <v>14</v>
      </c>
      <c r="C268" s="1" t="s">
        <v>14</v>
      </c>
      <c r="D268" s="1" t="s">
        <v>16</v>
      </c>
      <c r="E268" s="1" t="s">
        <v>34</v>
      </c>
      <c r="F268" s="1">
        <v>0.77600999999999998</v>
      </c>
      <c r="G268" s="1">
        <v>0.77524000000000004</v>
      </c>
      <c r="H268" s="1">
        <v>0.87519000000000002</v>
      </c>
      <c r="I268" s="1">
        <v>0.85936999999999997</v>
      </c>
      <c r="J268" s="1">
        <v>0.88136000000000003</v>
      </c>
      <c r="K268" s="1">
        <v>0.87248999999999999</v>
      </c>
      <c r="L268" s="1">
        <v>0.82684000000000002</v>
      </c>
      <c r="M268" s="1">
        <v>0.77600999999999998</v>
      </c>
      <c r="N268" s="1">
        <v>0.77524000000000004</v>
      </c>
      <c r="O268" s="1">
        <v>0.87519000000000002</v>
      </c>
      <c r="P268" s="1">
        <v>0.85936999999999997</v>
      </c>
      <c r="Q268" s="1">
        <v>0.88136000000000003</v>
      </c>
      <c r="R268" s="1">
        <v>0.87248999999999999</v>
      </c>
      <c r="S268" s="1">
        <v>0.82684000000000002</v>
      </c>
      <c r="T268" s="1">
        <v>0.86304000000000003</v>
      </c>
      <c r="U268" s="1">
        <v>0.77524000000000004</v>
      </c>
      <c r="V268" s="1">
        <v>0.87519000000000002</v>
      </c>
      <c r="W268" s="1">
        <v>0.85936999999999997</v>
      </c>
      <c r="X268" s="1">
        <v>0.88136000000000003</v>
      </c>
      <c r="Y268" s="1">
        <v>0.87248999999999999</v>
      </c>
      <c r="Z268" s="1">
        <v>0.82684000000000002</v>
      </c>
      <c r="AA268" s="1">
        <v>0.77600999999999998</v>
      </c>
      <c r="AB268" s="1">
        <v>0.77524000000000004</v>
      </c>
      <c r="AC268" s="1">
        <v>0.87519000000000002</v>
      </c>
      <c r="AD268" s="1">
        <v>0.85936999999999997</v>
      </c>
      <c r="AE268" s="1">
        <v>0.88136000000000003</v>
      </c>
      <c r="AF268" s="1">
        <v>0.87248999999999999</v>
      </c>
      <c r="AG268" s="1">
        <v>0.82684000000000002</v>
      </c>
      <c r="AH268" s="1">
        <v>0.77600999999999998</v>
      </c>
      <c r="AI268" s="1">
        <v>0.77524000000000004</v>
      </c>
      <c r="AJ268" s="1">
        <v>0.87519000000000002</v>
      </c>
      <c r="AL268" s="10"/>
      <c r="AM268" s="10"/>
      <c r="AN268" s="10"/>
      <c r="AO268" s="10"/>
      <c r="AP268" s="10"/>
      <c r="AQ268" s="10"/>
      <c r="AR268" s="10"/>
    </row>
    <row r="269" spans="1:44" ht="14.25" customHeight="1" x14ac:dyDescent="0.35">
      <c r="A269" s="1" t="s">
        <v>15</v>
      </c>
      <c r="B269" s="1" t="s">
        <v>14</v>
      </c>
      <c r="C269" s="1" t="s">
        <v>14</v>
      </c>
      <c r="D269" s="1" t="s">
        <v>16</v>
      </c>
      <c r="E269" s="1" t="s">
        <v>35</v>
      </c>
      <c r="F269" s="1">
        <v>0.81713000000000002</v>
      </c>
      <c r="G269" s="1">
        <v>0.82448999999999995</v>
      </c>
      <c r="H269" s="1">
        <v>0.89764999999999995</v>
      </c>
      <c r="I269" s="1">
        <v>0.88149999999999995</v>
      </c>
      <c r="J269" s="1">
        <v>0.90924000000000005</v>
      </c>
      <c r="K269" s="1">
        <v>0.88444</v>
      </c>
      <c r="L269" s="1">
        <v>0.85934999999999995</v>
      </c>
      <c r="M269" s="1">
        <v>0.81713000000000002</v>
      </c>
      <c r="N269" s="1">
        <v>0.82448999999999995</v>
      </c>
      <c r="O269" s="1">
        <v>0.89764999999999995</v>
      </c>
      <c r="P269" s="1">
        <v>0.88149999999999995</v>
      </c>
      <c r="Q269" s="1">
        <v>0.90924000000000005</v>
      </c>
      <c r="R269" s="1">
        <v>0.88444</v>
      </c>
      <c r="S269" s="1">
        <v>0.85934999999999995</v>
      </c>
      <c r="T269" s="1">
        <v>0.88068000000000002</v>
      </c>
      <c r="U269" s="1">
        <v>0.82448999999999995</v>
      </c>
      <c r="V269" s="1">
        <v>0.89764999999999995</v>
      </c>
      <c r="W269" s="1">
        <v>0.88149999999999995</v>
      </c>
      <c r="X269" s="1">
        <v>0.90924000000000005</v>
      </c>
      <c r="Y269" s="1">
        <v>0.88444</v>
      </c>
      <c r="Z269" s="1">
        <v>0.85934999999999995</v>
      </c>
      <c r="AA269" s="1">
        <v>0.81713000000000002</v>
      </c>
      <c r="AB269" s="1">
        <v>0.82448999999999995</v>
      </c>
      <c r="AC269" s="1">
        <v>0.89764999999999995</v>
      </c>
      <c r="AD269" s="1">
        <v>0.88149999999999995</v>
      </c>
      <c r="AE269" s="1">
        <v>0.90924000000000005</v>
      </c>
      <c r="AF269" s="1">
        <v>0.88444</v>
      </c>
      <c r="AG269" s="1">
        <v>0.85934999999999995</v>
      </c>
      <c r="AH269" s="1">
        <v>0.81713000000000002</v>
      </c>
      <c r="AI269" s="1">
        <v>0.82448999999999995</v>
      </c>
      <c r="AJ269" s="1">
        <v>0.89764999999999995</v>
      </c>
      <c r="AL269" s="10"/>
      <c r="AM269" s="10"/>
      <c r="AN269" s="10"/>
      <c r="AO269" s="10"/>
      <c r="AP269" s="10"/>
      <c r="AQ269" s="10"/>
      <c r="AR269" s="10"/>
    </row>
    <row r="270" spans="1:44" ht="14.25" customHeight="1" x14ac:dyDescent="0.35">
      <c r="A270" s="1" t="s">
        <v>15</v>
      </c>
      <c r="B270" s="1" t="s">
        <v>14</v>
      </c>
      <c r="C270" s="1" t="s">
        <v>14</v>
      </c>
      <c r="D270" s="1" t="s">
        <v>16</v>
      </c>
      <c r="E270" s="1" t="s">
        <v>36</v>
      </c>
      <c r="F270" s="1">
        <v>0.87948000000000004</v>
      </c>
      <c r="G270" s="1">
        <v>0.86694000000000004</v>
      </c>
      <c r="H270" s="1">
        <v>0.90627999999999997</v>
      </c>
      <c r="I270" s="1">
        <v>0.91407000000000005</v>
      </c>
      <c r="J270" s="1">
        <v>0.92179</v>
      </c>
      <c r="K270" s="1">
        <v>0.91073999999999999</v>
      </c>
      <c r="L270" s="1">
        <v>0.90161999999999998</v>
      </c>
      <c r="M270" s="1">
        <v>0.87948000000000004</v>
      </c>
      <c r="N270" s="1">
        <v>0.86694000000000004</v>
      </c>
      <c r="O270" s="1">
        <v>0.90627999999999997</v>
      </c>
      <c r="P270" s="1">
        <v>0.91407000000000005</v>
      </c>
      <c r="Q270" s="1">
        <v>0.92179</v>
      </c>
      <c r="R270" s="1">
        <v>0.91073999999999999</v>
      </c>
      <c r="S270" s="1">
        <v>0.90161999999999998</v>
      </c>
      <c r="T270" s="1">
        <v>0.89585999999999999</v>
      </c>
      <c r="U270" s="1">
        <v>0.86694000000000004</v>
      </c>
      <c r="V270" s="1">
        <v>0.90627999999999997</v>
      </c>
      <c r="W270" s="1">
        <v>0.91407000000000005</v>
      </c>
      <c r="X270" s="1">
        <v>0.92179</v>
      </c>
      <c r="Y270" s="1">
        <v>0.91073999999999999</v>
      </c>
      <c r="Z270" s="1">
        <v>0.90161999999999998</v>
      </c>
      <c r="AA270" s="1">
        <v>0.87948000000000004</v>
      </c>
      <c r="AB270" s="1">
        <v>0.86694000000000004</v>
      </c>
      <c r="AC270" s="1">
        <v>0.90627999999999997</v>
      </c>
      <c r="AD270" s="1">
        <v>0.91407000000000005</v>
      </c>
      <c r="AE270" s="1">
        <v>0.92179</v>
      </c>
      <c r="AF270" s="1">
        <v>0.91073999999999999</v>
      </c>
      <c r="AG270" s="1">
        <v>0.90161999999999998</v>
      </c>
      <c r="AH270" s="1">
        <v>0.87948000000000004</v>
      </c>
      <c r="AI270" s="1">
        <v>0.86694000000000004</v>
      </c>
      <c r="AJ270" s="1">
        <v>0.90627999999999997</v>
      </c>
      <c r="AL270" s="14" t="s">
        <v>139</v>
      </c>
      <c r="AM270" s="14"/>
      <c r="AN270" s="14"/>
      <c r="AO270" s="14"/>
      <c r="AP270" s="14"/>
      <c r="AQ270" s="14"/>
      <c r="AR270" s="14"/>
    </row>
    <row r="271" spans="1:44" ht="14.25" customHeight="1" x14ac:dyDescent="0.35">
      <c r="A271" s="1" t="s">
        <v>13</v>
      </c>
      <c r="B271" s="1" t="s">
        <v>13</v>
      </c>
      <c r="C271" s="1" t="s">
        <v>13</v>
      </c>
      <c r="D271" s="1" t="s">
        <v>15</v>
      </c>
      <c r="E271" s="1" t="s">
        <v>37</v>
      </c>
      <c r="F271" s="1">
        <v>0.90844000000000003</v>
      </c>
      <c r="G271" s="1">
        <v>0.89420999999999995</v>
      </c>
      <c r="H271" s="1">
        <v>0.91510000000000002</v>
      </c>
      <c r="I271" s="1">
        <v>0.92710000000000004</v>
      </c>
      <c r="J271" s="1">
        <v>0.91461999999999999</v>
      </c>
      <c r="K271" s="1">
        <v>0.92118999999999995</v>
      </c>
      <c r="L271" s="1">
        <v>0.91222999999999999</v>
      </c>
      <c r="M271" s="1">
        <v>0.90844000000000003</v>
      </c>
      <c r="N271" s="1">
        <v>0.89420999999999995</v>
      </c>
      <c r="O271" s="1">
        <v>0.91510000000000002</v>
      </c>
      <c r="P271" s="1">
        <v>0.92710000000000004</v>
      </c>
      <c r="Q271" s="1">
        <v>0.91461999999999999</v>
      </c>
      <c r="R271" s="1">
        <v>0.92118999999999995</v>
      </c>
      <c r="S271" s="1">
        <v>0.91222999999999999</v>
      </c>
      <c r="T271" s="1">
        <v>0.90968000000000004</v>
      </c>
      <c r="U271" s="1">
        <v>0.89420999999999995</v>
      </c>
      <c r="V271" s="1">
        <v>0.91510000000000002</v>
      </c>
      <c r="W271" s="1">
        <v>0.92710000000000004</v>
      </c>
      <c r="X271" s="1">
        <v>0.91461999999999999</v>
      </c>
      <c r="Y271" s="1">
        <v>0.92118999999999995</v>
      </c>
      <c r="Z271" s="1">
        <v>0.91222999999999999</v>
      </c>
      <c r="AA271" s="1">
        <v>0.90844000000000003</v>
      </c>
      <c r="AB271" s="1">
        <v>0.89420999999999995</v>
      </c>
      <c r="AC271" s="1">
        <v>0.91510000000000002</v>
      </c>
      <c r="AD271" s="1">
        <v>0.92710000000000004</v>
      </c>
      <c r="AE271" s="1">
        <v>0.91461999999999999</v>
      </c>
      <c r="AF271" s="1">
        <v>0.92118999999999995</v>
      </c>
      <c r="AG271" s="1">
        <v>0.91222999999999999</v>
      </c>
      <c r="AH271" s="1">
        <v>0.90844000000000003</v>
      </c>
      <c r="AI271" s="1">
        <v>0.89420999999999995</v>
      </c>
      <c r="AJ271" s="1">
        <v>0.91510000000000002</v>
      </c>
      <c r="AL271" s="4"/>
      <c r="AM271" s="4" t="s">
        <v>13</v>
      </c>
      <c r="AN271" s="4" t="s">
        <v>14</v>
      </c>
      <c r="AO271" s="4" t="s">
        <v>15</v>
      </c>
      <c r="AP271" s="4" t="s">
        <v>16</v>
      </c>
      <c r="AQ271" s="4" t="s">
        <v>17</v>
      </c>
      <c r="AR271" s="4" t="s">
        <v>7</v>
      </c>
    </row>
    <row r="272" spans="1:44" ht="14.25" customHeight="1" x14ac:dyDescent="0.35">
      <c r="A272" s="1" t="s">
        <v>13</v>
      </c>
      <c r="B272" s="1" t="s">
        <v>13</v>
      </c>
      <c r="C272" s="1" t="s">
        <v>13</v>
      </c>
      <c r="D272" s="1" t="s">
        <v>15</v>
      </c>
      <c r="E272" s="1" t="s">
        <v>38</v>
      </c>
      <c r="F272" s="1">
        <v>0.88729000000000002</v>
      </c>
      <c r="G272" s="1">
        <v>0.89761999999999997</v>
      </c>
      <c r="H272" s="1">
        <v>0.94154000000000004</v>
      </c>
      <c r="I272" s="1">
        <v>0.95172000000000001</v>
      </c>
      <c r="J272" s="1">
        <v>0.92149000000000003</v>
      </c>
      <c r="K272" s="1">
        <v>0.93023999999999996</v>
      </c>
      <c r="L272" s="1">
        <v>0.90798999999999996</v>
      </c>
      <c r="M272" s="1">
        <v>0.88729000000000002</v>
      </c>
      <c r="N272" s="1">
        <v>0.89761999999999997</v>
      </c>
      <c r="O272" s="1">
        <v>0.94154000000000004</v>
      </c>
      <c r="P272" s="1">
        <v>0.95172000000000001</v>
      </c>
      <c r="Q272" s="1">
        <v>0.92149000000000003</v>
      </c>
      <c r="R272" s="1">
        <v>0.93023999999999996</v>
      </c>
      <c r="S272" s="1">
        <v>0.90798999999999996</v>
      </c>
      <c r="T272" s="1">
        <v>0.92927000000000004</v>
      </c>
      <c r="U272" s="1">
        <v>0.89761999999999997</v>
      </c>
      <c r="V272" s="1">
        <v>0.94154000000000004</v>
      </c>
      <c r="W272" s="1">
        <v>0.95172000000000001</v>
      </c>
      <c r="X272" s="1">
        <v>0.92149000000000003</v>
      </c>
      <c r="Y272" s="1">
        <v>0.93023999999999996</v>
      </c>
      <c r="Z272" s="1">
        <v>0.90798999999999996</v>
      </c>
      <c r="AA272" s="1">
        <v>0.88729000000000002</v>
      </c>
      <c r="AB272" s="1">
        <v>0.89761999999999997</v>
      </c>
      <c r="AC272" s="1">
        <v>0.94154000000000004</v>
      </c>
      <c r="AD272" s="1">
        <v>0.95172000000000001</v>
      </c>
      <c r="AE272" s="1">
        <v>0.92149000000000003</v>
      </c>
      <c r="AF272" s="1">
        <v>0.93023999999999996</v>
      </c>
      <c r="AG272" s="1">
        <v>0.90798999999999996</v>
      </c>
      <c r="AH272" s="1">
        <v>0.88729000000000002</v>
      </c>
      <c r="AI272" s="1">
        <v>0.89761999999999997</v>
      </c>
      <c r="AJ272" s="1">
        <v>0.94154000000000004</v>
      </c>
      <c r="AL272" s="4" t="s">
        <v>19</v>
      </c>
      <c r="AM272" s="6" cm="1">
        <f t="array" ref="AM272">IFERROR((SUMPRODUCT(($C$253:$C$276=AM$251)*($F$249:$AJ$249="")*$F$253:$AJ$276)+IF(AM$251="P3",SUMPRODUCT(($F$249:$AJ$249="P3")*$F$253:$AJ$276),0))/(SUMPRODUCT(($C$253:$C$276=AM$251)*($F$249:$AJ$249=""))+IF(AM$251="P3",COUNTIF($F$249:$AJ$249,"P3")*ROWS($C$253:$C$276),0)),"")</f>
        <v>0.90350065476190389</v>
      </c>
      <c r="AN272" s="6" cm="1">
        <f t="array" ref="AN272">IFERROR((SUMPRODUCT(($C$253:$C$276=AN$251)*($F$249:$AJ$249="")*$F$253:$AJ$276)+IF(AN$251="P3",SUMPRODUCT(($F$249:$AJ$249="P3")*$F$253:$AJ$276),0))/(SUMPRODUCT(($C$253:$C$276=AN$251)*($F$249:$AJ$249=""))+IF(AN$251="P3",COUNTIF($F$249:$AJ$249,"P3")*ROWS($C$253:$C$276),0)),"")</f>
        <v>0.91047595238095291</v>
      </c>
      <c r="AO272" s="6" cm="1">
        <f t="array" ref="AO272">IFERROR((SUMPRODUCT(($C$253:$C$276=AO$251)*($F$249:$AJ$249="")*$F$253:$AJ$276)+IF(AO$251="P3",SUMPRODUCT(($F$249:$AJ$249="P3")*$F$253:$AJ$276),0))/(SUMPRODUCT(($C$253:$C$276=AO$251)*($F$249:$AJ$249=""))+IF(AO$251="P3",COUNTIF($F$249:$AJ$249,"P3")*ROWS($C$253:$C$276),0)),"")</f>
        <v>0.89792649509803935</v>
      </c>
      <c r="AP272" s="6" t="str" cm="1">
        <f t="array" ref="AP272">IFERROR((SUMPRODUCT(($C$253:$C$276=AP$251)*($F$249:$AJ$249="")*$F$253:$AJ$276)+IF(AP$251="P3",SUMPRODUCT(($F$249:$AJ$249="P3")*$F$253:$AJ$276),0))/(SUMPRODUCT(($C$253:$C$276=AP$251)*($F$249:$AJ$249=""))+IF(AP$251="P3",COUNTIF($F$249:$AJ$249,"P3")*ROWS($C$253:$C$276),0)),"")</f>
        <v/>
      </c>
      <c r="AQ272" s="6" t="str" cm="1">
        <f t="array" ref="AQ272">IFERROR((SUMPRODUCT(($C$253:$C$276=AQ$251)*($F$249:$AJ$249="")*$F$253:$AJ$276)+IF(AQ$251="P3",SUMPRODUCT(($F$249:$AJ$249="P3")*$F$253:$AJ$276),0))/(SUMPRODUCT(($C$253:$C$276=AQ$251)*($F$249:$AJ$249=""))+IF(AQ$251="P3",COUNTIF($F$249:$AJ$249,"P3")*ROWS($C$253:$C$276),0)),"")</f>
        <v/>
      </c>
      <c r="AR272" s="6" t="str" cm="1">
        <f t="array" ref="AR272">IFERROR((SUMPRODUCT(($C$253:$C$276=AR$251)*($F$249:$AJ$249="")*$F$253:$AJ$276)+IF(AR$251="P3",SUMPRODUCT(($F$249:$AJ$249="P3")*$F$253:$AJ$276),0))/(SUMPRODUCT(($C$253:$C$276=AR$251)*($F$249:$AJ$249=""))+IF(AR$251="P3",COUNTIF($F$249:$AJ$249,"P3")*ROWS($C$253:$C$276),0)),"")</f>
        <v/>
      </c>
    </row>
    <row r="273" spans="1:44" ht="14.25" customHeight="1" x14ac:dyDescent="0.35">
      <c r="A273" s="1" t="s">
        <v>13</v>
      </c>
      <c r="B273" s="1" t="s">
        <v>13</v>
      </c>
      <c r="C273" s="1" t="s">
        <v>13</v>
      </c>
      <c r="D273" s="1" t="s">
        <v>15</v>
      </c>
      <c r="E273" s="1" t="s">
        <v>39</v>
      </c>
      <c r="F273" s="1">
        <v>0.90437999999999996</v>
      </c>
      <c r="G273" s="1">
        <v>0.91068000000000005</v>
      </c>
      <c r="H273" s="1">
        <v>0.98379000000000005</v>
      </c>
      <c r="I273" s="1">
        <v>0.99897999999999998</v>
      </c>
      <c r="J273" s="1">
        <v>0.94481000000000004</v>
      </c>
      <c r="K273" s="1">
        <v>0.95579999999999998</v>
      </c>
      <c r="L273" s="1">
        <v>0.95154000000000005</v>
      </c>
      <c r="M273" s="1">
        <v>0.90437999999999996</v>
      </c>
      <c r="N273" s="1">
        <v>0.91068000000000005</v>
      </c>
      <c r="O273" s="1">
        <v>0.98379000000000005</v>
      </c>
      <c r="P273" s="1">
        <v>0.99897999999999998</v>
      </c>
      <c r="Q273" s="1">
        <v>0.94481000000000004</v>
      </c>
      <c r="R273" s="1">
        <v>0.95579999999999998</v>
      </c>
      <c r="S273" s="1">
        <v>0.95154000000000005</v>
      </c>
      <c r="T273" s="1">
        <v>0.98831000000000002</v>
      </c>
      <c r="U273" s="1">
        <v>0.91068000000000005</v>
      </c>
      <c r="V273" s="1">
        <v>0.98379000000000005</v>
      </c>
      <c r="W273" s="1">
        <v>0.99897999999999998</v>
      </c>
      <c r="X273" s="1">
        <v>0.94481000000000004</v>
      </c>
      <c r="Y273" s="1">
        <v>0.95579999999999998</v>
      </c>
      <c r="Z273" s="1">
        <v>0.95154000000000005</v>
      </c>
      <c r="AA273" s="1">
        <v>0.90437999999999996</v>
      </c>
      <c r="AB273" s="1">
        <v>0.91068000000000005</v>
      </c>
      <c r="AC273" s="1">
        <v>0.98379000000000005</v>
      </c>
      <c r="AD273" s="1">
        <v>0.99897999999999998</v>
      </c>
      <c r="AE273" s="1">
        <v>0.94481000000000004</v>
      </c>
      <c r="AF273" s="1">
        <v>0.95579999999999998</v>
      </c>
      <c r="AG273" s="1">
        <v>0.95154000000000005</v>
      </c>
      <c r="AH273" s="1">
        <v>0.90437999999999996</v>
      </c>
      <c r="AI273" s="1">
        <v>0.91068000000000005</v>
      </c>
      <c r="AJ273" s="1">
        <v>0.98379000000000005</v>
      </c>
      <c r="AL273" s="4" t="s">
        <v>21</v>
      </c>
      <c r="AM273" s="6" cm="1">
        <f t="array" ref="AM273">IFERROR((SUMPRODUCT(($B$253:$B$276=AM$251)*($F$250:$AJ$250="")*$F$253:$AJ$276)+IF(AM$251="P6",SUMPRODUCT(($F$250:$AJ$250="P6")*$F$253:$AJ$276),0))/(SUMPRODUCT(($B$253:$B$276=AM$251)*($F$250:$AJ$250=""))+IF(AM$251="P6",COUNTIF($F$250:$AJ$250,"P6")*ROWS($B$253:$B$276),0)),"")</f>
        <v>0.89926899470899302</v>
      </c>
      <c r="AN273" s="6" cm="1">
        <f t="array" ref="AN273">IFERROR((SUMPRODUCT(($B$253:$B$276=AN$251)*($F$250:$AJ$250="")*$F$253:$AJ$276)+IF(AN$251="P6",SUMPRODUCT(($F$250:$AJ$250="P6")*$F$253:$AJ$276),0))/(SUMPRODUCT(($B$253:$B$276=AN$251)*($F$250:$AJ$250=""))+IF(AN$251="P6",COUNTIF($F$250:$AJ$250,"P6")*ROWS($B$253:$B$276),0)),"")</f>
        <v>0.91691312925170121</v>
      </c>
      <c r="AO273" s="6" t="str" cm="1">
        <f t="array" ref="AO273">IFERROR((SUMPRODUCT(($B$253:$B$276=AO$251)*($F$250:$AJ$250="")*$F$253:$AJ$276)+IF(AO$251="P6",SUMPRODUCT(($F$250:$AJ$250="P6")*$F$253:$AJ$276),0))/(SUMPRODUCT(($B$253:$B$276=AO$251)*($F$250:$AJ$250=""))+IF(AO$251="P6",COUNTIF($F$250:$AJ$250,"P6")*ROWS($B$253:$B$276),0)),"")</f>
        <v/>
      </c>
      <c r="AP273" s="6" t="str" cm="1">
        <f t="array" ref="AP273">IFERROR((SUMPRODUCT(($B$253:$B$276=AP$251)*($F$250:$AJ$250="")*$F$253:$AJ$276)+IF(AP$251="P6",SUMPRODUCT(($F$250:$AJ$250="P6")*$F$253:$AJ$276),0))/(SUMPRODUCT(($B$253:$B$276=AP$251)*($F$250:$AJ$250=""))+IF(AP$251="P6",COUNTIF($F$250:$AJ$250,"P6")*ROWS($B$253:$B$276),0)),"")</f>
        <v/>
      </c>
      <c r="AQ273" s="6" t="str" cm="1">
        <f t="array" ref="AQ273">IFERROR((SUMPRODUCT(($B$253:$B$276=AQ$251)*($F$250:$AJ$250="")*$F$253:$AJ$276)+IF(AQ$251="P6",SUMPRODUCT(($F$250:$AJ$250="P6")*$F$253:$AJ$276),0))/(SUMPRODUCT(($B$253:$B$276=AQ$251)*($F$250:$AJ$250=""))+IF(AQ$251="P6",COUNTIF($F$250:$AJ$250,"P6")*ROWS($B$253:$B$276),0)),"")</f>
        <v/>
      </c>
      <c r="AR273" s="6" cm="1">
        <f t="array" ref="AR273">IFERROR((SUMPRODUCT(($B$253:$B$276=AR$251)*($F$250:$AJ$250="")*$F$253:$AJ$276)+IF(AR$251="P6",SUMPRODUCT(($F$250:$AJ$250="P6")*$F$253:$AJ$276),0))/(SUMPRODUCT(($B$253:$B$276=AR$251)*($F$250:$AJ$250=""))+IF(AR$251="P6",COUNTIF($F$250:$AJ$250,"P6")*ROWS($B$253:$B$276),0)),"")</f>
        <v>0.89792649509803935</v>
      </c>
    </row>
    <row r="274" spans="1:44" ht="14.25" customHeight="1" x14ac:dyDescent="0.35">
      <c r="A274" s="1" t="s">
        <v>13</v>
      </c>
      <c r="B274" s="1" t="s">
        <v>13</v>
      </c>
      <c r="C274" s="1" t="s">
        <v>13</v>
      </c>
      <c r="D274" s="1" t="s">
        <v>15</v>
      </c>
      <c r="E274" s="1" t="s">
        <v>40</v>
      </c>
      <c r="F274" s="1">
        <v>0.92596999999999996</v>
      </c>
      <c r="G274" s="1">
        <v>0.91259000000000001</v>
      </c>
      <c r="H274" s="1">
        <v>1.01264</v>
      </c>
      <c r="I274" s="1">
        <v>1.0205900000000001</v>
      </c>
      <c r="J274" s="1">
        <v>0.96789999999999998</v>
      </c>
      <c r="K274" s="1">
        <v>0.97929999999999995</v>
      </c>
      <c r="L274" s="1">
        <v>0.98665000000000003</v>
      </c>
      <c r="M274" s="1">
        <v>0.92596999999999996</v>
      </c>
      <c r="N274" s="1">
        <v>0.91259000000000001</v>
      </c>
      <c r="O274" s="1">
        <v>1.01264</v>
      </c>
      <c r="P274" s="1">
        <v>1.0205900000000001</v>
      </c>
      <c r="Q274" s="1">
        <v>0.96789999999999998</v>
      </c>
      <c r="R274" s="1">
        <v>0.97929999999999995</v>
      </c>
      <c r="S274" s="1">
        <v>0.98665000000000003</v>
      </c>
      <c r="T274" s="1">
        <v>0.98768999999999996</v>
      </c>
      <c r="U274" s="1">
        <v>0.91259000000000001</v>
      </c>
      <c r="V274" s="1">
        <v>1.01264</v>
      </c>
      <c r="W274" s="1">
        <v>1.0205900000000001</v>
      </c>
      <c r="X274" s="1">
        <v>0.96789999999999998</v>
      </c>
      <c r="Y274" s="1">
        <v>0.97929999999999995</v>
      </c>
      <c r="Z274" s="1">
        <v>0.98665000000000003</v>
      </c>
      <c r="AA274" s="1">
        <v>0.92596999999999996</v>
      </c>
      <c r="AB274" s="1">
        <v>0.91259000000000001</v>
      </c>
      <c r="AC274" s="1">
        <v>1.01264</v>
      </c>
      <c r="AD274" s="1">
        <v>1.0205900000000001</v>
      </c>
      <c r="AE274" s="1">
        <v>0.96789999999999998</v>
      </c>
      <c r="AF274" s="1">
        <v>0.97929999999999995</v>
      </c>
      <c r="AG274" s="1">
        <v>0.98665000000000003</v>
      </c>
      <c r="AH274" s="1">
        <v>0.92596999999999996</v>
      </c>
      <c r="AI274" s="1">
        <v>0.91259000000000001</v>
      </c>
      <c r="AJ274" s="1">
        <v>1.01264</v>
      </c>
      <c r="AL274" s="4" t="s">
        <v>23</v>
      </c>
      <c r="AM274" s="6" cm="1">
        <f t="array" ref="AM274">IFERROR((SUMPRODUCT(($B$253:$B$276=AM$251)*($F$250:$AJ$250="")*$F$253:$AJ$276)+IF(AM$251="P6",SUMPRODUCT(($F$250:$AJ$250="P6")*$F$253:$AJ$276),0))/(SUMPRODUCT(($B$253:$B$276=AM$251)*($F$250:$AJ$250=""))+IF(AM$251="P6",COUNTIF($F$250:$AJ$250,"P6")*ROWS($B$253:$B$276),0)),"")</f>
        <v>0.89926899470899302</v>
      </c>
      <c r="AN274" s="6" cm="1">
        <f t="array" ref="AN274">IFERROR((SUMPRODUCT(($B$253:$B$276=AN$251)*($F$250:$AJ$250="")*$F$253:$AJ$276)+IF(AN$251="P6",SUMPRODUCT(($F$250:$AJ$250="P6")*$F$253:$AJ$276),0))/(SUMPRODUCT(($B$253:$B$276=AN$251)*($F$250:$AJ$250=""))+IF(AN$251="P6",COUNTIF($F$250:$AJ$250,"P6")*ROWS($B$253:$B$276),0)),"")</f>
        <v>0.91691312925170121</v>
      </c>
      <c r="AO274" s="6" t="str" cm="1">
        <f t="array" ref="AO274">IFERROR((SUMPRODUCT(($B$253:$B$276=AO$251)*($F$250:$AJ$250="")*$F$253:$AJ$276)+IF(AO$251="P6",SUMPRODUCT(($F$250:$AJ$250="P6")*$F$253:$AJ$276),0))/(SUMPRODUCT(($B$253:$B$276=AO$251)*($F$250:$AJ$250=""))+IF(AO$251="P6",COUNTIF($F$250:$AJ$250,"P6")*ROWS($B$253:$B$276),0)),"")</f>
        <v/>
      </c>
      <c r="AP274" s="6" t="str" cm="1">
        <f t="array" ref="AP274">IFERROR((SUMPRODUCT(($B$253:$B$276=AP$251)*($F$250:$AJ$250="")*$F$253:$AJ$276)+IF(AP$251="P6",SUMPRODUCT(($F$250:$AJ$250="P6")*$F$253:$AJ$276),0))/(SUMPRODUCT(($B$253:$B$276=AP$251)*($F$250:$AJ$250=""))+IF(AP$251="P6",COUNTIF($F$250:$AJ$250,"P6")*ROWS($B$253:$B$276),0)),"")</f>
        <v/>
      </c>
      <c r="AQ274" s="6" t="str" cm="1">
        <f t="array" ref="AQ274">IFERROR((SUMPRODUCT(($B$253:$B$276=AQ$251)*($F$250:$AJ$250="")*$F$253:$AJ$276)+IF(AQ$251="P6",SUMPRODUCT(($F$250:$AJ$250="P6")*$F$253:$AJ$276),0))/(SUMPRODUCT(($B$253:$B$276=AQ$251)*($F$250:$AJ$250=""))+IF(AQ$251="P6",COUNTIF($F$250:$AJ$250,"P6")*ROWS($B$253:$B$276),0)),"")</f>
        <v/>
      </c>
      <c r="AR274" s="6" cm="1">
        <f t="array" ref="AR274">IFERROR((SUMPRODUCT(($B$253:$B$276=AR$251)*($F$250:$AJ$250="")*$F$253:$AJ$276)+IF(AR$251="P6",SUMPRODUCT(($F$250:$AJ$250="P6")*$F$253:$AJ$276),0))/(SUMPRODUCT(($B$253:$B$276=AR$251)*($F$250:$AJ$250=""))+IF(AR$251="P6",COUNTIF($F$250:$AJ$250,"P6")*ROWS($B$253:$B$276),0)),"")</f>
        <v>0.89792649509803935</v>
      </c>
    </row>
    <row r="275" spans="1:44" ht="14.25" customHeight="1" x14ac:dyDescent="0.35">
      <c r="A275" s="1" t="s">
        <v>15</v>
      </c>
      <c r="B275" s="1" t="s">
        <v>14</v>
      </c>
      <c r="C275" s="1" t="s">
        <v>14</v>
      </c>
      <c r="D275" s="1" t="s">
        <v>16</v>
      </c>
      <c r="E275" s="1" t="s">
        <v>41</v>
      </c>
      <c r="F275" s="1">
        <v>0.93003000000000002</v>
      </c>
      <c r="G275" s="1">
        <v>0.91059000000000001</v>
      </c>
      <c r="H275" s="1">
        <v>1.03634</v>
      </c>
      <c r="I275" s="1">
        <v>1.0391300000000001</v>
      </c>
      <c r="J275" s="1">
        <v>0.99526000000000003</v>
      </c>
      <c r="K275" s="1">
        <v>0.99541000000000002</v>
      </c>
      <c r="L275" s="1">
        <v>1.0139899999999999</v>
      </c>
      <c r="M275" s="1">
        <v>0.93003000000000002</v>
      </c>
      <c r="N275" s="1">
        <v>0.91059000000000001</v>
      </c>
      <c r="O275" s="1">
        <v>1.03634</v>
      </c>
      <c r="P275" s="1">
        <v>1.0391300000000001</v>
      </c>
      <c r="Q275" s="1">
        <v>0.99526000000000003</v>
      </c>
      <c r="R275" s="1">
        <v>0.99541000000000002</v>
      </c>
      <c r="S275" s="1">
        <v>1.0139899999999999</v>
      </c>
      <c r="T275" s="1">
        <v>0.98828000000000005</v>
      </c>
      <c r="U275" s="1">
        <v>0.91059000000000001</v>
      </c>
      <c r="V275" s="1">
        <v>1.03634</v>
      </c>
      <c r="W275" s="1">
        <v>1.0391300000000001</v>
      </c>
      <c r="X275" s="1">
        <v>0.99526000000000003</v>
      </c>
      <c r="Y275" s="1">
        <v>0.99541000000000002</v>
      </c>
      <c r="Z275" s="1">
        <v>1.0139899999999999</v>
      </c>
      <c r="AA275" s="1">
        <v>0.93003000000000002</v>
      </c>
      <c r="AB275" s="1">
        <v>0.91059000000000001</v>
      </c>
      <c r="AC275" s="1">
        <v>1.03634</v>
      </c>
      <c r="AD275" s="1">
        <v>1.0391300000000001</v>
      </c>
      <c r="AE275" s="1">
        <v>0.99526000000000003</v>
      </c>
      <c r="AF275" s="1">
        <v>0.99541000000000002</v>
      </c>
      <c r="AG275" s="1">
        <v>1.0139899999999999</v>
      </c>
      <c r="AH275" s="1">
        <v>0.93003000000000002</v>
      </c>
      <c r="AI275" s="1">
        <v>0.91059000000000001</v>
      </c>
      <c r="AJ275" s="1">
        <v>1.03634</v>
      </c>
      <c r="AL275" s="4" t="s">
        <v>25</v>
      </c>
      <c r="AM275" s="6" cm="1">
        <f t="array" ref="AM275">IFERROR((SUMPRODUCT(($B$253:$B$276=AM$251)*($F$250:$AJ$250="")*$F$253:$AJ$276)+IF(AM$251="P6",SUMPRODUCT(($F$250:$AJ$250="P6")*$F$253:$AJ$276),0))/(SUMPRODUCT(($B$253:$B$276=AM$251)*($F$250:$AJ$250=""))+IF(AM$251="P6",COUNTIF($F$250:$AJ$250,"P6")*ROWS($B$253:$B$276),0)),"")</f>
        <v>0.89926899470899302</v>
      </c>
      <c r="AN275" s="6" cm="1">
        <f t="array" ref="AN275">IFERROR((SUMPRODUCT(($B$253:$B$276=AN$251)*($F$250:$AJ$250="")*$F$253:$AJ$276)+IF(AN$251="P6",SUMPRODUCT(($F$250:$AJ$250="P6")*$F$253:$AJ$276),0))/(SUMPRODUCT(($B$253:$B$276=AN$251)*($F$250:$AJ$250=""))+IF(AN$251="P6",COUNTIF($F$250:$AJ$250,"P6")*ROWS($B$253:$B$276),0)),"")</f>
        <v>0.91691312925170121</v>
      </c>
      <c r="AO275" s="6" t="str" cm="1">
        <f t="array" ref="AO275">IFERROR((SUMPRODUCT(($B$253:$B$276=AO$251)*($F$250:$AJ$250="")*$F$253:$AJ$276)+IF(AO$251="P6",SUMPRODUCT(($F$250:$AJ$250="P6")*$F$253:$AJ$276),0))/(SUMPRODUCT(($B$253:$B$276=AO$251)*($F$250:$AJ$250=""))+IF(AO$251="P6",COUNTIF($F$250:$AJ$250,"P6")*ROWS($B$253:$B$276),0)),"")</f>
        <v/>
      </c>
      <c r="AP275" s="6" t="str" cm="1">
        <f t="array" ref="AP275">IFERROR((SUMPRODUCT(($B$253:$B$276=AP$251)*($F$250:$AJ$250="")*$F$253:$AJ$276)+IF(AP$251="P6",SUMPRODUCT(($F$250:$AJ$250="P6")*$F$253:$AJ$276),0))/(SUMPRODUCT(($B$253:$B$276=AP$251)*($F$250:$AJ$250=""))+IF(AP$251="P6",COUNTIF($F$250:$AJ$250,"P6")*ROWS($B$253:$B$276),0)),"")</f>
        <v/>
      </c>
      <c r="AQ275" s="6" t="str" cm="1">
        <f t="array" ref="AQ275">IFERROR((SUMPRODUCT(($B$253:$B$276=AQ$251)*($F$250:$AJ$250="")*$F$253:$AJ$276)+IF(AQ$251="P6",SUMPRODUCT(($F$250:$AJ$250="P6")*$F$253:$AJ$276),0))/(SUMPRODUCT(($B$253:$B$276=AQ$251)*($F$250:$AJ$250=""))+IF(AQ$251="P6",COUNTIF($F$250:$AJ$250,"P6")*ROWS($B$253:$B$276),0)),"")</f>
        <v/>
      </c>
      <c r="AR275" s="6" cm="1">
        <f t="array" ref="AR275">IFERROR((SUMPRODUCT(($B$253:$B$276=AR$251)*($F$250:$AJ$250="")*$F$253:$AJ$276)+IF(AR$251="P6",SUMPRODUCT(($F$250:$AJ$250="P6")*$F$253:$AJ$276),0))/(SUMPRODUCT(($B$253:$B$276=AR$251)*($F$250:$AJ$250=""))+IF(AR$251="P6",COUNTIF($F$250:$AJ$250,"P6")*ROWS($B$253:$B$276),0)),"")</f>
        <v>0.89792649509803935</v>
      </c>
    </row>
    <row r="276" spans="1:44" ht="14.25" customHeight="1" x14ac:dyDescent="0.35">
      <c r="A276" s="1" t="s">
        <v>15</v>
      </c>
      <c r="B276" s="1" t="s">
        <v>14</v>
      </c>
      <c r="C276" s="1" t="s">
        <v>14</v>
      </c>
      <c r="D276" s="1" t="s">
        <v>16</v>
      </c>
      <c r="E276" s="1" t="s">
        <v>42</v>
      </c>
      <c r="F276" s="1">
        <v>0.92835999999999996</v>
      </c>
      <c r="G276" s="1">
        <v>0.91027000000000002</v>
      </c>
      <c r="H276" s="1">
        <v>1.0398000000000001</v>
      </c>
      <c r="I276" s="1">
        <v>1.0427599999999999</v>
      </c>
      <c r="J276" s="1">
        <v>0.99411000000000005</v>
      </c>
      <c r="K276" s="1">
        <v>0.99411000000000005</v>
      </c>
      <c r="L276" s="1">
        <v>1.0147900000000001</v>
      </c>
      <c r="M276" s="1">
        <v>0.92835999999999996</v>
      </c>
      <c r="N276" s="1">
        <v>0.91027000000000002</v>
      </c>
      <c r="O276" s="1">
        <v>1.0398000000000001</v>
      </c>
      <c r="P276" s="1">
        <v>1.0427599999999999</v>
      </c>
      <c r="Q276" s="1">
        <v>0.99411000000000005</v>
      </c>
      <c r="R276" s="1">
        <v>0.99411000000000005</v>
      </c>
      <c r="S276" s="1">
        <v>1.0147900000000001</v>
      </c>
      <c r="T276" s="1">
        <v>0.99258999999999997</v>
      </c>
      <c r="U276" s="1">
        <v>0.91027000000000002</v>
      </c>
      <c r="V276" s="1">
        <v>1.0398000000000001</v>
      </c>
      <c r="W276" s="1">
        <v>1.0427599999999999</v>
      </c>
      <c r="X276" s="1">
        <v>0.99411000000000005</v>
      </c>
      <c r="Y276" s="1">
        <v>0.99411000000000005</v>
      </c>
      <c r="Z276" s="1">
        <v>1.0147900000000001</v>
      </c>
      <c r="AA276" s="1">
        <v>0.92835999999999996</v>
      </c>
      <c r="AB276" s="1">
        <v>0.91027000000000002</v>
      </c>
      <c r="AC276" s="1">
        <v>1.0398000000000001</v>
      </c>
      <c r="AD276" s="1">
        <v>1.0427599999999999</v>
      </c>
      <c r="AE276" s="1">
        <v>0.99411000000000005</v>
      </c>
      <c r="AF276" s="1">
        <v>0.99411000000000005</v>
      </c>
      <c r="AG276" s="1">
        <v>1.0147900000000001</v>
      </c>
      <c r="AH276" s="1">
        <v>0.92835999999999996</v>
      </c>
      <c r="AI276" s="1">
        <v>0.91027000000000002</v>
      </c>
      <c r="AJ276" s="1">
        <v>1.0398000000000001</v>
      </c>
      <c r="AL276" s="4" t="s">
        <v>27</v>
      </c>
      <c r="AM276" s="6" cm="1">
        <f t="array" ref="AM276">IFERROR((SUMPRODUCT(($B$253:$B$276=AM$251)*($F$250:$AJ$250="")*$F$253:$AJ$276)+IF(AM$251="P6",SUMPRODUCT(($F$250:$AJ$250="P6")*$F$253:$AJ$276),0))/(SUMPRODUCT(($B$253:$B$276=AM$251)*($F$250:$AJ$250=""))+IF(AM$251="P6",COUNTIF($F$250:$AJ$250,"P6")*ROWS($B$253:$B$276),0)),"")</f>
        <v>0.89926899470899302</v>
      </c>
      <c r="AN276" s="6" cm="1">
        <f t="array" ref="AN276">IFERROR((SUMPRODUCT(($B$253:$B$276=AN$251)*($F$250:$AJ$250="")*$F$253:$AJ$276)+IF(AN$251="P6",SUMPRODUCT(($F$250:$AJ$250="P6")*$F$253:$AJ$276),0))/(SUMPRODUCT(($B$253:$B$276=AN$251)*($F$250:$AJ$250=""))+IF(AN$251="P6",COUNTIF($F$250:$AJ$250,"P6")*ROWS($B$253:$B$276),0)),"")</f>
        <v>0.91691312925170121</v>
      </c>
      <c r="AO276" s="6" t="str" cm="1">
        <f t="array" ref="AO276">IFERROR((SUMPRODUCT(($B$253:$B$276=AO$251)*($F$250:$AJ$250="")*$F$253:$AJ$276)+IF(AO$251="P6",SUMPRODUCT(($F$250:$AJ$250="P6")*$F$253:$AJ$276),0))/(SUMPRODUCT(($B$253:$B$276=AO$251)*($F$250:$AJ$250=""))+IF(AO$251="P6",COUNTIF($F$250:$AJ$250,"P6")*ROWS($B$253:$B$276),0)),"")</f>
        <v/>
      </c>
      <c r="AP276" s="6" t="str" cm="1">
        <f t="array" ref="AP276">IFERROR((SUMPRODUCT(($B$253:$B$276=AP$251)*($F$250:$AJ$250="")*$F$253:$AJ$276)+IF(AP$251="P6",SUMPRODUCT(($F$250:$AJ$250="P6")*$F$253:$AJ$276),0))/(SUMPRODUCT(($B$253:$B$276=AP$251)*($F$250:$AJ$250=""))+IF(AP$251="P6",COUNTIF($F$250:$AJ$250,"P6")*ROWS($B$253:$B$276),0)),"")</f>
        <v/>
      </c>
      <c r="AQ276" s="6" t="str" cm="1">
        <f t="array" ref="AQ276">IFERROR((SUMPRODUCT(($B$253:$B$276=AQ$251)*($F$250:$AJ$250="")*$F$253:$AJ$276)+IF(AQ$251="P6",SUMPRODUCT(($F$250:$AJ$250="P6")*$F$253:$AJ$276),0))/(SUMPRODUCT(($B$253:$B$276=AQ$251)*($F$250:$AJ$250=""))+IF(AQ$251="P6",COUNTIF($F$250:$AJ$250,"P6")*ROWS($B$253:$B$276),0)),"")</f>
        <v/>
      </c>
      <c r="AR276" s="6" cm="1">
        <f t="array" ref="AR276">IFERROR((SUMPRODUCT(($B$253:$B$276=AR$251)*($F$250:$AJ$250="")*$F$253:$AJ$276)+IF(AR$251="P6",SUMPRODUCT(($F$250:$AJ$250="P6")*$F$253:$AJ$276),0))/(SUMPRODUCT(($B$253:$B$276=AR$251)*($F$250:$AJ$250=""))+IF(AR$251="P6",COUNTIF($F$250:$AJ$250,"P6")*ROWS($B$253:$B$276),0)),"")</f>
        <v>0.89792649509803935</v>
      </c>
    </row>
    <row r="277" spans="1:44" ht="14.25" customHeight="1" x14ac:dyDescent="0.35">
      <c r="AL277" s="4" t="s">
        <v>29</v>
      </c>
      <c r="AM277" s="6" cm="1">
        <f t="array" ref="AM277">IFERROR((SUMPRODUCT(($B$253:$B$276=AM$251)*($F$250:$AJ$250="")*$F$253:$AJ$276)+IF(AM$251="P6",SUMPRODUCT(($F$250:$AJ$250="P6")*$F$253:$AJ$276),0))/(SUMPRODUCT(($B$253:$B$276=AM$251)*($F$250:$AJ$250=""))+IF(AM$251="P6",COUNTIF($F$250:$AJ$250,"P6")*ROWS($B$253:$B$276),0)),"")</f>
        <v>0.89926899470899302</v>
      </c>
      <c r="AN277" s="6" cm="1">
        <f t="array" ref="AN277">IFERROR((SUMPRODUCT(($B$253:$B$276=AN$251)*($F$250:$AJ$250="")*$F$253:$AJ$276)+IF(AN$251="P6",SUMPRODUCT(($F$250:$AJ$250="P6")*$F$253:$AJ$276),0))/(SUMPRODUCT(($B$253:$B$276=AN$251)*($F$250:$AJ$250=""))+IF(AN$251="P6",COUNTIF($F$250:$AJ$250,"P6")*ROWS($B$253:$B$276),0)),"")</f>
        <v>0.91691312925170121</v>
      </c>
      <c r="AO277" s="6" t="str" cm="1">
        <f t="array" ref="AO277">IFERROR((SUMPRODUCT(($B$253:$B$276=AO$251)*($F$250:$AJ$250="")*$F$253:$AJ$276)+IF(AO$251="P6",SUMPRODUCT(($F$250:$AJ$250="P6")*$F$253:$AJ$276),0))/(SUMPRODUCT(($B$253:$B$276=AO$251)*($F$250:$AJ$250=""))+IF(AO$251="P6",COUNTIF($F$250:$AJ$250,"P6")*ROWS($B$253:$B$276),0)),"")</f>
        <v/>
      </c>
      <c r="AP277" s="6" t="str" cm="1">
        <f t="array" ref="AP277">IFERROR((SUMPRODUCT(($B$253:$B$276=AP$251)*($F$250:$AJ$250="")*$F$253:$AJ$276)+IF(AP$251="P6",SUMPRODUCT(($F$250:$AJ$250="P6")*$F$253:$AJ$276),0))/(SUMPRODUCT(($B$253:$B$276=AP$251)*($F$250:$AJ$250=""))+IF(AP$251="P6",COUNTIF($F$250:$AJ$250,"P6")*ROWS($B$253:$B$276),0)),"")</f>
        <v/>
      </c>
      <c r="AQ277" s="6" t="str" cm="1">
        <f t="array" ref="AQ277">IFERROR((SUMPRODUCT(($B$253:$B$276=AQ$251)*($F$250:$AJ$250="")*$F$253:$AJ$276)+IF(AQ$251="P6",SUMPRODUCT(($F$250:$AJ$250="P6")*$F$253:$AJ$276),0))/(SUMPRODUCT(($B$253:$B$276=AQ$251)*($F$250:$AJ$250=""))+IF(AQ$251="P6",COUNTIF($F$250:$AJ$250,"P6")*ROWS($B$253:$B$276),0)),"")</f>
        <v/>
      </c>
      <c r="AR277" s="6" cm="1">
        <f t="array" ref="AR277">IFERROR((SUMPRODUCT(($B$253:$B$276=AR$251)*($F$250:$AJ$250="")*$F$253:$AJ$276)+IF(AR$251="P6",SUMPRODUCT(($F$250:$AJ$250="P6")*$F$253:$AJ$276),0))/(SUMPRODUCT(($B$253:$B$276=AR$251)*($F$250:$AJ$250=""))+IF(AR$251="P6",COUNTIF($F$250:$AJ$250,"P6")*ROWS($B$253:$B$276),0)),"")</f>
        <v>0.89792649509803935</v>
      </c>
    </row>
    <row r="280" spans="1:44" ht="14" customHeight="1" x14ac:dyDescent="0.35"/>
    <row r="281" spans="1:44" ht="14.25" customHeight="1" x14ac:dyDescent="0.35">
      <c r="A281" s="15" t="s">
        <v>68</v>
      </c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</row>
    <row r="282" spans="1:44" ht="14.25" customHeight="1" x14ac:dyDescent="0.3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</row>
    <row r="283" spans="1:44" ht="14.25" customHeight="1" x14ac:dyDescent="0.35">
      <c r="AL283" s="10"/>
      <c r="AM283" s="10"/>
      <c r="AN283" s="10"/>
      <c r="AO283" s="10"/>
      <c r="AP283" s="10"/>
      <c r="AQ283" s="10"/>
      <c r="AR283" s="10"/>
    </row>
    <row r="284" spans="1:44" ht="14.25" customHeight="1" x14ac:dyDescent="0.35">
      <c r="F284" s="1" t="str">
        <f>IF(OR(F286="S",F286="D"),"P3","")</f>
        <v/>
      </c>
      <c r="G284" s="1" t="str">
        <f t="shared" ref="G284:AI284" si="30">IF(OR(G286="S",G286="D"),"P3","")</f>
        <v/>
      </c>
      <c r="H284" s="1" t="str">
        <f t="shared" si="30"/>
        <v/>
      </c>
      <c r="I284" s="1" t="str">
        <f t="shared" si="30"/>
        <v/>
      </c>
      <c r="J284" s="1" t="str">
        <f t="shared" si="30"/>
        <v>P3</v>
      </c>
      <c r="K284" s="1" t="str">
        <f t="shared" si="30"/>
        <v>P3</v>
      </c>
      <c r="L284" s="1" t="str">
        <f t="shared" si="30"/>
        <v/>
      </c>
      <c r="M284" s="1" t="str">
        <f t="shared" si="30"/>
        <v/>
      </c>
      <c r="N284" s="1" t="str">
        <f t="shared" si="30"/>
        <v/>
      </c>
      <c r="O284" s="1" t="str">
        <f t="shared" si="30"/>
        <v/>
      </c>
      <c r="P284" s="1" t="str">
        <f t="shared" si="30"/>
        <v/>
      </c>
      <c r="Q284" s="1" t="str">
        <f t="shared" si="30"/>
        <v>P3</v>
      </c>
      <c r="R284" s="1" t="str">
        <f t="shared" si="30"/>
        <v>P3</v>
      </c>
      <c r="S284" s="1" t="str">
        <f t="shared" si="30"/>
        <v/>
      </c>
      <c r="T284" s="1" t="str">
        <f t="shared" si="30"/>
        <v/>
      </c>
      <c r="U284" s="1" t="str">
        <f t="shared" si="30"/>
        <v/>
      </c>
      <c r="V284" s="1" t="str">
        <f t="shared" si="30"/>
        <v/>
      </c>
      <c r="W284" s="1" t="str">
        <f t="shared" si="30"/>
        <v/>
      </c>
      <c r="X284" s="1" t="str">
        <f t="shared" si="30"/>
        <v>P3</v>
      </c>
      <c r="Y284" s="1" t="str">
        <f t="shared" si="30"/>
        <v>P3</v>
      </c>
      <c r="Z284" s="1" t="str">
        <f t="shared" si="30"/>
        <v/>
      </c>
      <c r="AA284" s="1" t="str">
        <f t="shared" si="30"/>
        <v/>
      </c>
      <c r="AB284" s="1" t="str">
        <f t="shared" si="30"/>
        <v/>
      </c>
      <c r="AC284" s="1" t="str">
        <f t="shared" si="30"/>
        <v/>
      </c>
      <c r="AD284" s="1" t="str">
        <f t="shared" si="30"/>
        <v/>
      </c>
      <c r="AE284" s="1" t="str">
        <f t="shared" si="30"/>
        <v>P3</v>
      </c>
      <c r="AF284" s="1" t="str">
        <f t="shared" si="30"/>
        <v>P3</v>
      </c>
      <c r="AG284" s="1" t="str">
        <f t="shared" si="30"/>
        <v/>
      </c>
      <c r="AH284" s="1" t="str">
        <f t="shared" si="30"/>
        <v/>
      </c>
      <c r="AI284" s="1" t="str">
        <f t="shared" si="30"/>
        <v/>
      </c>
      <c r="AL284" s="10"/>
      <c r="AM284" s="10"/>
      <c r="AN284" s="10"/>
      <c r="AO284" s="10"/>
      <c r="AP284" s="10"/>
      <c r="AQ284" s="10"/>
      <c r="AR284" s="10"/>
    </row>
    <row r="285" spans="1:44" ht="14.25" customHeight="1" x14ac:dyDescent="0.35">
      <c r="F285" s="1" t="str">
        <f>IF(OR(F286="S",F286="D"),"P6","")</f>
        <v/>
      </c>
      <c r="G285" s="1" t="str">
        <f t="shared" ref="G285:AI285" si="31">IF(OR(G286="S",G286="D"),"P6","")</f>
        <v/>
      </c>
      <c r="H285" s="1" t="str">
        <f t="shared" si="31"/>
        <v/>
      </c>
      <c r="I285" s="1" t="str">
        <f t="shared" si="31"/>
        <v/>
      </c>
      <c r="J285" s="1" t="str">
        <f t="shared" si="31"/>
        <v>P6</v>
      </c>
      <c r="K285" s="1" t="str">
        <f t="shared" si="31"/>
        <v>P6</v>
      </c>
      <c r="L285" s="1" t="str">
        <f t="shared" si="31"/>
        <v/>
      </c>
      <c r="M285" s="1" t="str">
        <f t="shared" si="31"/>
        <v/>
      </c>
      <c r="N285" s="1" t="str">
        <f t="shared" si="31"/>
        <v/>
      </c>
      <c r="O285" s="1" t="str">
        <f t="shared" si="31"/>
        <v/>
      </c>
      <c r="P285" s="1" t="str">
        <f t="shared" si="31"/>
        <v/>
      </c>
      <c r="Q285" s="1" t="str">
        <f t="shared" si="31"/>
        <v>P6</v>
      </c>
      <c r="R285" s="1" t="str">
        <f t="shared" si="31"/>
        <v>P6</v>
      </c>
      <c r="S285" s="1" t="str">
        <f t="shared" si="31"/>
        <v/>
      </c>
      <c r="T285" s="1" t="str">
        <f t="shared" si="31"/>
        <v/>
      </c>
      <c r="U285" s="1" t="str">
        <f t="shared" si="31"/>
        <v/>
      </c>
      <c r="V285" s="1" t="str">
        <f t="shared" si="31"/>
        <v/>
      </c>
      <c r="W285" s="1" t="str">
        <f t="shared" si="31"/>
        <v/>
      </c>
      <c r="X285" s="1" t="str">
        <f t="shared" si="31"/>
        <v>P6</v>
      </c>
      <c r="Y285" s="1" t="str">
        <f t="shared" si="31"/>
        <v>P6</v>
      </c>
      <c r="Z285" s="1" t="str">
        <f t="shared" si="31"/>
        <v/>
      </c>
      <c r="AA285" s="1" t="str">
        <f t="shared" si="31"/>
        <v/>
      </c>
      <c r="AB285" s="1" t="str">
        <f t="shared" si="31"/>
        <v/>
      </c>
      <c r="AC285" s="1" t="str">
        <f t="shared" si="31"/>
        <v/>
      </c>
      <c r="AD285" s="1" t="str">
        <f t="shared" si="31"/>
        <v/>
      </c>
      <c r="AE285" s="1" t="str">
        <f t="shared" si="31"/>
        <v>P6</v>
      </c>
      <c r="AF285" s="1" t="str">
        <f t="shared" si="31"/>
        <v>P6</v>
      </c>
      <c r="AG285" s="1" t="str">
        <f t="shared" si="31"/>
        <v/>
      </c>
      <c r="AH285" s="1" t="str">
        <f t="shared" si="31"/>
        <v/>
      </c>
      <c r="AI285" s="1" t="str">
        <f t="shared" si="31"/>
        <v/>
      </c>
      <c r="AL285" s="14" t="s">
        <v>140</v>
      </c>
      <c r="AM285" s="14"/>
      <c r="AN285" s="14"/>
      <c r="AO285" s="14"/>
      <c r="AP285" s="14"/>
      <c r="AQ285" s="14"/>
      <c r="AR285" s="14"/>
    </row>
    <row r="286" spans="1:44" ht="14.25" customHeight="1" x14ac:dyDescent="0.35">
      <c r="F286" s="1" t="str">
        <f>CHOOSE(WEEKDAY(F287,2),"L","M","X","J","V","S","D")</f>
        <v>M</v>
      </c>
      <c r="G286" s="1" t="str">
        <f t="shared" ref="G286:AI286" si="32">CHOOSE(WEEKDAY(G287,2),"L","M","X","J","V","S","D")</f>
        <v>X</v>
      </c>
      <c r="H286" s="1" t="str">
        <f t="shared" si="32"/>
        <v>J</v>
      </c>
      <c r="I286" s="1" t="str">
        <f t="shared" si="32"/>
        <v>V</v>
      </c>
      <c r="J286" s="1" t="str">
        <f t="shared" si="32"/>
        <v>S</v>
      </c>
      <c r="K286" s="1" t="str">
        <f t="shared" si="32"/>
        <v>D</v>
      </c>
      <c r="L286" s="1" t="str">
        <f t="shared" si="32"/>
        <v>L</v>
      </c>
      <c r="M286" s="1" t="str">
        <f t="shared" si="32"/>
        <v>M</v>
      </c>
      <c r="N286" s="1" t="str">
        <f t="shared" si="32"/>
        <v>X</v>
      </c>
      <c r="O286" s="1" t="str">
        <f t="shared" si="32"/>
        <v>J</v>
      </c>
      <c r="P286" s="1" t="str">
        <f t="shared" si="32"/>
        <v>V</v>
      </c>
      <c r="Q286" s="1" t="str">
        <f t="shared" si="32"/>
        <v>S</v>
      </c>
      <c r="R286" s="1" t="str">
        <f t="shared" si="32"/>
        <v>D</v>
      </c>
      <c r="S286" s="1" t="str">
        <f t="shared" si="32"/>
        <v>L</v>
      </c>
      <c r="T286" s="1" t="str">
        <f t="shared" si="32"/>
        <v>M</v>
      </c>
      <c r="U286" s="1" t="str">
        <f t="shared" si="32"/>
        <v>X</v>
      </c>
      <c r="V286" s="1" t="str">
        <f t="shared" si="32"/>
        <v>J</v>
      </c>
      <c r="W286" s="1" t="str">
        <f t="shared" si="32"/>
        <v>V</v>
      </c>
      <c r="X286" s="1" t="str">
        <f t="shared" si="32"/>
        <v>S</v>
      </c>
      <c r="Y286" s="1" t="str">
        <f t="shared" si="32"/>
        <v>D</v>
      </c>
      <c r="Z286" s="1" t="str">
        <f t="shared" si="32"/>
        <v>L</v>
      </c>
      <c r="AA286" s="1" t="str">
        <f t="shared" si="32"/>
        <v>M</v>
      </c>
      <c r="AB286" s="1" t="str">
        <f t="shared" si="32"/>
        <v>X</v>
      </c>
      <c r="AC286" s="1" t="str">
        <f t="shared" si="32"/>
        <v>J</v>
      </c>
      <c r="AD286" s="1" t="str">
        <f t="shared" si="32"/>
        <v>V</v>
      </c>
      <c r="AE286" s="1" t="str">
        <f t="shared" si="32"/>
        <v>S</v>
      </c>
      <c r="AF286" s="1" t="str">
        <f t="shared" si="32"/>
        <v>D</v>
      </c>
      <c r="AG286" s="1" t="str">
        <f t="shared" si="32"/>
        <v>L</v>
      </c>
      <c r="AH286" s="1" t="str">
        <f t="shared" si="32"/>
        <v>M</v>
      </c>
      <c r="AI286" s="1" t="str">
        <f t="shared" si="32"/>
        <v>X</v>
      </c>
      <c r="AL286" s="4"/>
      <c r="AM286" s="4" t="s">
        <v>13</v>
      </c>
      <c r="AN286" s="4" t="s">
        <v>14</v>
      </c>
      <c r="AO286" s="4" t="s">
        <v>15</v>
      </c>
      <c r="AP286" s="4" t="s">
        <v>16</v>
      </c>
      <c r="AQ286" s="4" t="s">
        <v>17</v>
      </c>
      <c r="AR286" s="4" t="s">
        <v>7</v>
      </c>
    </row>
    <row r="287" spans="1:44" ht="14.25" customHeight="1" x14ac:dyDescent="0.35">
      <c r="A287" s="3" t="s">
        <v>76</v>
      </c>
      <c r="B287" s="3" t="s">
        <v>77</v>
      </c>
      <c r="C287" s="3" t="s">
        <v>75</v>
      </c>
      <c r="D287" s="3" t="s">
        <v>74</v>
      </c>
      <c r="F287" s="8">
        <v>46266</v>
      </c>
      <c r="G287" s="8">
        <v>46267</v>
      </c>
      <c r="H287" s="8">
        <v>46268</v>
      </c>
      <c r="I287" s="8">
        <v>46269</v>
      </c>
      <c r="J287" s="8">
        <v>46270</v>
      </c>
      <c r="K287" s="8">
        <v>46271</v>
      </c>
      <c r="L287" s="8">
        <v>46272</v>
      </c>
      <c r="M287" s="8">
        <v>46273</v>
      </c>
      <c r="N287" s="8">
        <v>46274</v>
      </c>
      <c r="O287" s="8">
        <v>46275</v>
      </c>
      <c r="P287" s="8">
        <v>46276</v>
      </c>
      <c r="Q287" s="8">
        <v>46277</v>
      </c>
      <c r="R287" s="8">
        <v>46278</v>
      </c>
      <c r="S287" s="8">
        <v>46279</v>
      </c>
      <c r="T287" s="8">
        <v>46280</v>
      </c>
      <c r="U287" s="8">
        <v>46281</v>
      </c>
      <c r="V287" s="8">
        <v>46282</v>
      </c>
      <c r="W287" s="8">
        <v>46283</v>
      </c>
      <c r="X287" s="8">
        <v>46284</v>
      </c>
      <c r="Y287" s="8">
        <v>46285</v>
      </c>
      <c r="Z287" s="8">
        <v>46286</v>
      </c>
      <c r="AA287" s="8">
        <v>46287</v>
      </c>
      <c r="AB287" s="8">
        <v>46288</v>
      </c>
      <c r="AC287" s="8">
        <v>46289</v>
      </c>
      <c r="AD287" s="8">
        <v>46290</v>
      </c>
      <c r="AE287" s="8">
        <v>46291</v>
      </c>
      <c r="AF287" s="8">
        <v>46292</v>
      </c>
      <c r="AG287" s="8">
        <v>46293</v>
      </c>
      <c r="AH287" s="8">
        <v>46294</v>
      </c>
      <c r="AI287" s="8">
        <v>46295</v>
      </c>
      <c r="AL287" s="4" t="s">
        <v>19</v>
      </c>
      <c r="AM287" s="6" cm="1">
        <f t="array" ref="AM287">IFERROR((SUMPRODUCT(($C$288:$C$311=AM$286)*($F$284:$AI$284="")*$F$288:$AI$311)+IF(AM$286="P3",SUMPRODUCT(($F$284:$AI$284="P3")*$F$288:$AI$311),0))/(SUMPRODUCT(($C$288:$C$311=AM$286)*($F$284:$AI$284=""))+IF(AM$286="P3",COUNTIF($F$284:$AI$284,"P3")*ROWS($C$288:$C$311),0)),"")</f>
        <v>0.86487465909090844</v>
      </c>
      <c r="AN287" s="6" cm="1">
        <f t="array" ref="AN287">IFERROR((SUMPRODUCT(($C$288:$C$311=AN$286)*($F$284:$AI$284="")*$F$288:$AI$311)+IF(AN$286="P3",SUMPRODUCT(($F$284:$AI$284="P3")*$F$288:$AI$311),0))/(SUMPRODUCT(($C$288:$C$311=AN$286)*($F$284:$AI$284=""))+IF(AN$286="P3",COUNTIF($F$284:$AI$284,"P3")*ROWS($C$288:$C$311),0)),"")</f>
        <v>0.89766886363636378</v>
      </c>
      <c r="AO287" s="6" cm="1">
        <f t="array" ref="AO287">IFERROR((SUMPRODUCT(($C$288:$C$311=AO$286)*($F$284:$AI$284="")*$F$288:$AI$311)+IF(AO$286="P3",SUMPRODUCT(($F$284:$AI$284="P3")*$F$288:$AI$311),0))/(SUMPRODUCT(($C$288:$C$311=AO$286)*($F$284:$AI$284=""))+IF(AO$286="P3",COUNTIF($F$284:$AI$284,"P3")*ROWS($C$288:$C$311),0)),"")</f>
        <v>0.90977116847826001</v>
      </c>
      <c r="AP287" s="6" t="str" cm="1">
        <f t="array" ref="AP287">IFERROR((SUMPRODUCT(($C$288:$C$311=AP$286)*($F$284:$AI$284="")*$F$288:$AI$311)+IF(AP$286="P3",SUMPRODUCT(($F$284:$AI$284="P3")*$F$288:$AI$311),0))/(SUMPRODUCT(($C$288:$C$311=AP$286)*($F$284:$AI$284=""))+IF(AP$286="P3",COUNTIF($F$284:$AI$284,"P3")*ROWS($C$288:$C$311),0)),"")</f>
        <v/>
      </c>
      <c r="AQ287" s="6" t="str" cm="1">
        <f t="array" ref="AQ287">IFERROR((SUMPRODUCT(($C$288:$C$311=AQ$286)*($F$284:$AI$284="")*$F$288:$AI$311)+IF(AQ$286="P3",SUMPRODUCT(($F$284:$AI$284="P3")*$F$288:$AI$311),0))/(SUMPRODUCT(($C$288:$C$311=AQ$286)*($F$284:$AI$284=""))+IF(AQ$286="P3",COUNTIF($F$284:$AI$284,"P3")*ROWS($C$288:$C$311),0)),"")</f>
        <v/>
      </c>
      <c r="AR287" s="6" t="str" cm="1">
        <f t="array" ref="AR287">IFERROR((SUMPRODUCT(($C$288:$C$311=AR$286)*($F$284:$AI$284="")*$F$288:$AI$311)+IF(AR$286="P3",SUMPRODUCT(($F$284:$AI$284="P3")*$F$288:$AI$311),0))/(SUMPRODUCT(($C$288:$C$311=AR$286)*($F$284:$AI$284=""))+IF(AR$286="P3",COUNTIF($F$284:$AI$284,"P3")*ROWS($C$288:$C$311),0)),"")</f>
        <v/>
      </c>
    </row>
    <row r="288" spans="1:44" ht="14.25" customHeight="1" x14ac:dyDescent="0.35">
      <c r="A288" s="1" t="s">
        <v>7</v>
      </c>
      <c r="B288" s="1" t="s">
        <v>7</v>
      </c>
      <c r="C288" s="1" t="s">
        <v>15</v>
      </c>
      <c r="D288" s="1" t="s">
        <v>7</v>
      </c>
      <c r="E288" s="1" t="s">
        <v>8</v>
      </c>
      <c r="F288" s="1">
        <v>0.94199999999999995</v>
      </c>
      <c r="G288" s="1">
        <v>0.90427000000000002</v>
      </c>
      <c r="H288" s="1">
        <v>0.93332000000000004</v>
      </c>
      <c r="I288" s="1">
        <v>0.93179999999999996</v>
      </c>
      <c r="J288" s="1">
        <v>0.91912000000000005</v>
      </c>
      <c r="K288" s="1">
        <v>0.96467999999999998</v>
      </c>
      <c r="L288" s="1">
        <v>0.94427000000000005</v>
      </c>
      <c r="M288" s="1">
        <v>0.94199999999999995</v>
      </c>
      <c r="N288" s="1">
        <v>0.90427000000000002</v>
      </c>
      <c r="O288" s="1">
        <v>0.93332000000000004</v>
      </c>
      <c r="P288" s="1">
        <v>0.93179999999999996</v>
      </c>
      <c r="Q288" s="1">
        <v>0.91912000000000005</v>
      </c>
      <c r="R288" s="1">
        <v>0.96467999999999998</v>
      </c>
      <c r="S288" s="1">
        <v>0.94427000000000005</v>
      </c>
      <c r="T288" s="1">
        <v>0.94199999999999995</v>
      </c>
      <c r="U288" s="1">
        <v>0.90427000000000002</v>
      </c>
      <c r="V288" s="1">
        <v>0.93332000000000004</v>
      </c>
      <c r="W288" s="1">
        <v>0.93179999999999996</v>
      </c>
      <c r="X288" s="1">
        <v>0.91912000000000005</v>
      </c>
      <c r="Y288" s="1">
        <v>0.96467999999999998</v>
      </c>
      <c r="Z288" s="1">
        <v>0.94427000000000005</v>
      </c>
      <c r="AA288" s="1">
        <v>0.94199999999999995</v>
      </c>
      <c r="AB288" s="1">
        <v>0.90427000000000002</v>
      </c>
      <c r="AC288" s="1">
        <v>0.93332000000000004</v>
      </c>
      <c r="AD288" s="1">
        <v>0.93179999999999996</v>
      </c>
      <c r="AE288" s="1">
        <v>0.91912000000000005</v>
      </c>
      <c r="AF288" s="1">
        <v>0.96467999999999998</v>
      </c>
      <c r="AG288" s="1">
        <v>0.94427000000000005</v>
      </c>
      <c r="AH288" s="1">
        <v>0.94199999999999995</v>
      </c>
      <c r="AI288" s="1">
        <v>0.90427000000000002</v>
      </c>
      <c r="AL288" s="4" t="s">
        <v>21</v>
      </c>
      <c r="AM288" s="6" t="str" cm="1">
        <f t="array" ref="AM288">IFERROR((SUMPRODUCT(($D$288:$D$311=AM$286)*($F$285:$AI$285="")*$F$288:$AI$311)+IF(AM$286="P6",SUMPRODUCT(($F$285:$AI$285="P6")*$F$288:$AI$311),0))/(SUMPRODUCT(($D$288:$D$311=AM$286)*($F$285:$AI$285=""))+IF(AM$286="P6",COUNTIF($F$285:$AI$285,"P6")*ROWS($D$288:$D$311),0)),"")</f>
        <v/>
      </c>
      <c r="AN288" s="6" t="str" cm="1">
        <f t="array" ref="AN288">IFERROR((SUMPRODUCT(($D$288:$D$311=AN$286)*($F$285:$AI$285="")*$F$288:$AI$311)+IF(AN$286="P6",SUMPRODUCT(($F$285:$AI$285="P6")*$F$288:$AI$311),0))/(SUMPRODUCT(($D$288:$D$311=AN$286)*($F$285:$AI$285=""))+IF(AN$286="P6",COUNTIF($F$285:$AI$285,"P6")*ROWS($D$288:$D$311),0)),"")</f>
        <v/>
      </c>
      <c r="AO288" s="6" cm="1">
        <f t="array" ref="AO288">IFERROR((SUMPRODUCT(($D$288:$D$311=AO$286)*($F$285:$AI$285="")*$F$288:$AI$311)+IF(AO$286="P6",SUMPRODUCT(($F$285:$AI$285="P6")*$F$288:$AI$311),0))/(SUMPRODUCT(($D$288:$D$311=AO$286)*($F$285:$AI$285=""))+IF(AO$286="P6",COUNTIF($F$285:$AI$285,"P6")*ROWS($D$288:$D$311),0)),"")</f>
        <v>0.86149277777777722</v>
      </c>
      <c r="AP288" s="6" cm="1">
        <f t="array" ref="AP288">IFERROR((SUMPRODUCT(($D$288:$D$311=AP$286)*($F$285:$AI$285="")*$F$288:$AI$311)+IF(AP$286="P6",SUMPRODUCT(($F$285:$AI$285="P6")*$F$288:$AI$311),0))/(SUMPRODUCT(($D$288:$D$311=AP$286)*($F$285:$AI$285=""))+IF(AP$286="P6",COUNTIF($F$285:$AI$285,"P6")*ROWS($D$288:$D$311),0)),"")</f>
        <v>0.90670188311688293</v>
      </c>
      <c r="AQ288" s="6" t="str" cm="1">
        <f t="array" ref="AQ288">IFERROR((SUMPRODUCT(($D$288:$D$311=AQ$286)*($F$285:$AI$285="")*$F$288:$AI$311)+IF(AQ$286="P6",SUMPRODUCT(($F$285:$AI$285="P6")*$F$288:$AI$311),0))/(SUMPRODUCT(($D$288:$D$311=AQ$286)*($F$285:$AI$285=""))+IF(AQ$286="P6",COUNTIF($F$285:$AI$285,"P6")*ROWS($D$288:$D$311),0)),"")</f>
        <v/>
      </c>
      <c r="AR288" s="6" cm="1">
        <f t="array" ref="AR288">IFERROR((SUMPRODUCT(($D$288:$D$311=AR$286)*($F$285:$AI$285="")*$F$288:$AI$311)+IF(AR$286="P6",SUMPRODUCT(($F$285:$AI$285="P6")*$F$288:$AI$311),0))/(SUMPRODUCT(($D$288:$D$311=AR$286)*($F$285:$AI$285=""))+IF(AR$286="P6",COUNTIF($F$285:$AI$285,"P6")*ROWS($D$288:$D$311),0)),"")</f>
        <v>0.90977116847826001</v>
      </c>
    </row>
    <row r="289" spans="1:44" ht="14.25" customHeight="1" x14ac:dyDescent="0.35">
      <c r="A289" s="1" t="s">
        <v>7</v>
      </c>
      <c r="B289" s="1" t="s">
        <v>7</v>
      </c>
      <c r="C289" s="1" t="s">
        <v>15</v>
      </c>
      <c r="D289" s="1" t="s">
        <v>7</v>
      </c>
      <c r="E289" s="1" t="s">
        <v>9</v>
      </c>
      <c r="F289" s="1">
        <v>0.95684000000000002</v>
      </c>
      <c r="G289" s="1">
        <v>0.92778000000000005</v>
      </c>
      <c r="H289" s="1">
        <v>0.94645000000000001</v>
      </c>
      <c r="I289" s="1">
        <v>0.96011999999999997</v>
      </c>
      <c r="J289" s="1">
        <v>0.95765999999999996</v>
      </c>
      <c r="K289" s="1">
        <v>0.99678</v>
      </c>
      <c r="L289" s="1">
        <v>0.96801000000000004</v>
      </c>
      <c r="M289" s="1">
        <v>0.95684000000000002</v>
      </c>
      <c r="N289" s="1">
        <v>0.92778000000000005</v>
      </c>
      <c r="O289" s="1">
        <v>0.94645000000000001</v>
      </c>
      <c r="P289" s="1">
        <v>0.96011999999999997</v>
      </c>
      <c r="Q289" s="1">
        <v>0.95765999999999996</v>
      </c>
      <c r="R289" s="1">
        <v>0.99678</v>
      </c>
      <c r="S289" s="1">
        <v>0.96801000000000004</v>
      </c>
      <c r="T289" s="1">
        <v>0.95684000000000002</v>
      </c>
      <c r="U289" s="1">
        <v>0.92778000000000005</v>
      </c>
      <c r="V289" s="1">
        <v>0.94645000000000001</v>
      </c>
      <c r="W289" s="1">
        <v>0.96011999999999997</v>
      </c>
      <c r="X289" s="1">
        <v>0.95765999999999996</v>
      </c>
      <c r="Y289" s="1">
        <v>0.99678</v>
      </c>
      <c r="Z289" s="1">
        <v>0.96801000000000004</v>
      </c>
      <c r="AA289" s="1">
        <v>0.95684000000000002</v>
      </c>
      <c r="AB289" s="1">
        <v>0.92778000000000005</v>
      </c>
      <c r="AC289" s="1">
        <v>0.94645000000000001</v>
      </c>
      <c r="AD289" s="1">
        <v>0.96011999999999997</v>
      </c>
      <c r="AE289" s="1">
        <v>0.95765999999999996</v>
      </c>
      <c r="AF289" s="1">
        <v>0.99678</v>
      </c>
      <c r="AG289" s="1">
        <v>0.96801000000000004</v>
      </c>
      <c r="AH289" s="1">
        <v>0.95684000000000002</v>
      </c>
      <c r="AI289" s="1">
        <v>0.92778000000000005</v>
      </c>
      <c r="AL289" s="4" t="s">
        <v>23</v>
      </c>
      <c r="AM289" s="6" t="str" cm="1">
        <f t="array" ref="AM289">IFERROR((SUMPRODUCT(($D$288:$D$311=AM$286)*($F$285:$AI$285="")*$F$288:$AI$311)+IF(AM$286="P6",SUMPRODUCT(($F$285:$AI$285="P6")*$F$288:$AI$311),0))/(SUMPRODUCT(($D$288:$D$311=AM$286)*($F$285:$AI$285=""))+IF(AM$286="P6",COUNTIF($F$285:$AI$285,"P6")*ROWS($D$288:$D$311),0)),"")</f>
        <v/>
      </c>
      <c r="AN289" s="6" t="str" cm="1">
        <f t="array" ref="AN289">IFERROR((SUMPRODUCT(($D$288:$D$311=AN$286)*($F$285:$AI$285="")*$F$288:$AI$311)+IF(AN$286="P6",SUMPRODUCT(($F$285:$AI$285="P6")*$F$288:$AI$311),0))/(SUMPRODUCT(($D$288:$D$311=AN$286)*($F$285:$AI$285=""))+IF(AN$286="P6",COUNTIF($F$285:$AI$285,"P6")*ROWS($D$288:$D$311),0)),"")</f>
        <v/>
      </c>
      <c r="AO289" s="5" cm="1">
        <f t="array" ref="AO289">IFERROR((SUMPRODUCT(($D$288:$D$311=AO$286)*($F$285:$AI$285="")*$F$288:$AI$311)+IF(AO$286="P6",SUMPRODUCT(($F$285:$AI$285="P6")*$F$288:$AI$311),0))/(SUMPRODUCT(($D$288:$D$311=AO$286)*($F$285:$AI$285=""))+IF(AO$286="P6",COUNTIF($F$285:$AI$285,"P6")*ROWS($D$288:$D$311),0)),"")</f>
        <v>0.86149277777777722</v>
      </c>
      <c r="AP289" s="5" cm="1">
        <f t="array" ref="AP289">IFERROR((SUMPRODUCT(($D$288:$D$311=AP$286)*($F$285:$AI$285="")*$F$288:$AI$311)+IF(AP$286="P6",SUMPRODUCT(($F$285:$AI$285="P6")*$F$288:$AI$311),0))/(SUMPRODUCT(($D$288:$D$311=AP$286)*($F$285:$AI$285=""))+IF(AP$286="P6",COUNTIF($F$285:$AI$285,"P6")*ROWS($D$288:$D$311),0)),"")</f>
        <v>0.90670188311688293</v>
      </c>
      <c r="AQ289" s="5" t="str" cm="1">
        <f t="array" ref="AQ289">IFERROR((SUMPRODUCT(($D$288:$D$311=AQ$286)*($F$285:$AI$285="")*$F$288:$AI$311)+IF(AQ$286="P6",SUMPRODUCT(($F$285:$AI$285="P6")*$F$288:$AI$311),0))/(SUMPRODUCT(($D$288:$D$311=AQ$286)*($F$285:$AI$285=""))+IF(AQ$286="P6",COUNTIF($F$285:$AI$285,"P6")*ROWS($D$288:$D$311),0)),"")</f>
        <v/>
      </c>
      <c r="AR289" s="6" cm="1">
        <f t="array" ref="AR289">IFERROR((SUMPRODUCT(($D$288:$D$311=AR$286)*($F$285:$AI$285="")*$F$288:$AI$311)+IF(AR$286="P6",SUMPRODUCT(($F$285:$AI$285="P6")*$F$288:$AI$311),0))/(SUMPRODUCT(($D$288:$D$311=AR$286)*($F$285:$AI$285=""))+IF(AR$286="P6",COUNTIF($F$285:$AI$285,"P6")*ROWS($D$288:$D$311),0)),"")</f>
        <v>0.90977116847826001</v>
      </c>
    </row>
    <row r="290" spans="1:44" ht="14.25" customHeight="1" x14ac:dyDescent="0.35">
      <c r="A290" s="1" t="s">
        <v>7</v>
      </c>
      <c r="B290" s="1" t="s">
        <v>7</v>
      </c>
      <c r="C290" s="1" t="s">
        <v>15</v>
      </c>
      <c r="D290" s="1" t="s">
        <v>7</v>
      </c>
      <c r="E290" s="1" t="s">
        <v>10</v>
      </c>
      <c r="F290" s="1">
        <v>0.96111999999999997</v>
      </c>
      <c r="G290" s="1">
        <v>0.93755999999999995</v>
      </c>
      <c r="H290" s="1">
        <v>0.9587</v>
      </c>
      <c r="I290" s="1">
        <v>0.97419</v>
      </c>
      <c r="J290" s="1">
        <v>0.98068</v>
      </c>
      <c r="K290" s="1">
        <v>1.03271</v>
      </c>
      <c r="L290" s="1">
        <v>0.98148999999999997</v>
      </c>
      <c r="M290" s="1">
        <v>0.96111999999999997</v>
      </c>
      <c r="N290" s="1">
        <v>0.93755999999999995</v>
      </c>
      <c r="O290" s="1">
        <v>0.9587</v>
      </c>
      <c r="P290" s="1">
        <v>0.97419</v>
      </c>
      <c r="Q290" s="1">
        <v>0.98068</v>
      </c>
      <c r="R290" s="1">
        <v>1.03271</v>
      </c>
      <c r="S290" s="1">
        <v>0.98148999999999997</v>
      </c>
      <c r="T290" s="1">
        <v>0.96111999999999997</v>
      </c>
      <c r="U290" s="1">
        <v>0.93755999999999995</v>
      </c>
      <c r="V290" s="1">
        <v>0.9587</v>
      </c>
      <c r="W290" s="1">
        <v>0.97419</v>
      </c>
      <c r="X290" s="1">
        <v>0.98068</v>
      </c>
      <c r="Y290" s="1">
        <v>1.03271</v>
      </c>
      <c r="Z290" s="1">
        <v>0.98148999999999997</v>
      </c>
      <c r="AA290" s="1">
        <v>0.96111999999999997</v>
      </c>
      <c r="AB290" s="1">
        <v>0.93755999999999995</v>
      </c>
      <c r="AC290" s="1">
        <v>0.9587</v>
      </c>
      <c r="AD290" s="1">
        <v>0.97419</v>
      </c>
      <c r="AE290" s="1">
        <v>0.98068</v>
      </c>
      <c r="AF290" s="1">
        <v>1.03271</v>
      </c>
      <c r="AG290" s="1">
        <v>0.98148999999999997</v>
      </c>
      <c r="AH290" s="1">
        <v>0.96111999999999997</v>
      </c>
      <c r="AI290" s="1">
        <v>0.93755999999999995</v>
      </c>
      <c r="AL290" s="4" t="s">
        <v>25</v>
      </c>
      <c r="AM290" s="6" t="str" cm="1">
        <f t="array" ref="AM290">IFERROR((SUMPRODUCT(($D$288:$D$311=AM$286)*($F$285:$AI$285="")*$F$288:$AI$311)+IF(AM$286="P6",SUMPRODUCT(($F$285:$AI$285="P6")*$F$288:$AI$311),0))/(SUMPRODUCT(($D$288:$D$311=AM$286)*($F$285:$AI$285=""))+IF(AM$286="P6",COUNTIF($F$285:$AI$285,"P6")*ROWS($D$288:$D$311),0)),"")</f>
        <v/>
      </c>
      <c r="AN290" s="6" t="str" cm="1">
        <f t="array" ref="AN290">IFERROR((SUMPRODUCT(($D$288:$D$311=AN$286)*($F$285:$AI$285="")*$F$288:$AI$311)+IF(AN$286="P6",SUMPRODUCT(($F$285:$AI$285="P6")*$F$288:$AI$311),0))/(SUMPRODUCT(($D$288:$D$311=AN$286)*($F$285:$AI$285=""))+IF(AN$286="P6",COUNTIF($F$285:$AI$285,"P6")*ROWS($D$288:$D$311),0)),"")</f>
        <v/>
      </c>
      <c r="AO290" s="5" cm="1">
        <f t="array" ref="AO290">IFERROR((SUMPRODUCT(($D$288:$D$311=AO$286)*($F$285:$AI$285="")*$F$288:$AI$311)+IF(AO$286="P6",SUMPRODUCT(($F$285:$AI$285="P6")*$F$288:$AI$311),0))/(SUMPRODUCT(($D$288:$D$311=AO$286)*($F$285:$AI$285=""))+IF(AO$286="P6",COUNTIF($F$285:$AI$285,"P6")*ROWS($D$288:$D$311),0)),"")</f>
        <v>0.86149277777777722</v>
      </c>
      <c r="AP290" s="5" cm="1">
        <f t="array" ref="AP290">IFERROR((SUMPRODUCT(($D$288:$D$311=AP$286)*($F$285:$AI$285="")*$F$288:$AI$311)+IF(AP$286="P6",SUMPRODUCT(($F$285:$AI$285="P6")*$F$288:$AI$311),0))/(SUMPRODUCT(($D$288:$D$311=AP$286)*($F$285:$AI$285=""))+IF(AP$286="P6",COUNTIF($F$285:$AI$285,"P6")*ROWS($D$288:$D$311),0)),"")</f>
        <v>0.90670188311688293</v>
      </c>
      <c r="AQ290" s="5" t="str" cm="1">
        <f t="array" ref="AQ290">IFERROR((SUMPRODUCT(($D$288:$D$311=AQ$286)*($F$285:$AI$285="")*$F$288:$AI$311)+IF(AQ$286="P6",SUMPRODUCT(($F$285:$AI$285="P6")*$F$288:$AI$311),0))/(SUMPRODUCT(($D$288:$D$311=AQ$286)*($F$285:$AI$285=""))+IF(AQ$286="P6",COUNTIF($F$285:$AI$285,"P6")*ROWS($D$288:$D$311),0)),"")</f>
        <v/>
      </c>
      <c r="AR290" s="6" cm="1">
        <f t="array" ref="AR290">IFERROR((SUMPRODUCT(($D$288:$D$311=AR$286)*($F$285:$AI$285="")*$F$288:$AI$311)+IF(AR$286="P6",SUMPRODUCT(($F$285:$AI$285="P6")*$F$288:$AI$311),0))/(SUMPRODUCT(($D$288:$D$311=AR$286)*($F$285:$AI$285=""))+IF(AR$286="P6",COUNTIF($F$285:$AI$285,"P6")*ROWS($D$288:$D$311),0)),"")</f>
        <v>0.90977116847826001</v>
      </c>
    </row>
    <row r="291" spans="1:44" ht="14.25" customHeight="1" x14ac:dyDescent="0.35">
      <c r="A291" s="1" t="s">
        <v>7</v>
      </c>
      <c r="B291" s="1" t="s">
        <v>7</v>
      </c>
      <c r="C291" s="1" t="s">
        <v>15</v>
      </c>
      <c r="D291" s="1" t="s">
        <v>7</v>
      </c>
      <c r="E291" s="1" t="s">
        <v>11</v>
      </c>
      <c r="F291" s="1">
        <v>0.96367000000000003</v>
      </c>
      <c r="G291" s="1">
        <v>0.94916</v>
      </c>
      <c r="H291" s="1">
        <v>0.97055000000000002</v>
      </c>
      <c r="I291" s="1">
        <v>0.98168999999999995</v>
      </c>
      <c r="J291" s="1">
        <v>0.98801000000000005</v>
      </c>
      <c r="K291" s="1">
        <v>1.04827</v>
      </c>
      <c r="L291" s="1">
        <v>0.98436000000000001</v>
      </c>
      <c r="M291" s="1">
        <v>0.96367000000000003</v>
      </c>
      <c r="N291" s="1">
        <v>0.94916</v>
      </c>
      <c r="O291" s="1">
        <v>0.97055000000000002</v>
      </c>
      <c r="P291" s="1">
        <v>0.98168999999999995</v>
      </c>
      <c r="Q291" s="1">
        <v>0.98801000000000005</v>
      </c>
      <c r="R291" s="1">
        <v>1.04827</v>
      </c>
      <c r="S291" s="1">
        <v>0.98436000000000001</v>
      </c>
      <c r="T291" s="1">
        <v>0.96367000000000003</v>
      </c>
      <c r="U291" s="1">
        <v>0.94916</v>
      </c>
      <c r="V291" s="1">
        <v>0.97055000000000002</v>
      </c>
      <c r="W291" s="1">
        <v>0.98168999999999995</v>
      </c>
      <c r="X291" s="1">
        <v>0.98801000000000005</v>
      </c>
      <c r="Y291" s="1">
        <v>1.04827</v>
      </c>
      <c r="Z291" s="1">
        <v>0.98436000000000001</v>
      </c>
      <c r="AA291" s="1">
        <v>0.96367000000000003</v>
      </c>
      <c r="AB291" s="1">
        <v>0.94916</v>
      </c>
      <c r="AC291" s="1">
        <v>0.97055000000000002</v>
      </c>
      <c r="AD291" s="1">
        <v>0.98168999999999995</v>
      </c>
      <c r="AE291" s="1">
        <v>0.98801000000000005</v>
      </c>
      <c r="AF291" s="1">
        <v>1.04827</v>
      </c>
      <c r="AG291" s="1">
        <v>0.98436000000000001</v>
      </c>
      <c r="AH291" s="1">
        <v>0.96367000000000003</v>
      </c>
      <c r="AI291" s="1">
        <v>0.94916</v>
      </c>
      <c r="AL291" s="4" t="s">
        <v>27</v>
      </c>
      <c r="AM291" s="6" t="str" cm="1">
        <f t="array" ref="AM291">IFERROR((SUMPRODUCT(($D$288:$D$311=AM$286)*($F$285:$AI$285="")*$F$288:$AI$311)+IF(AM$286="P6",SUMPRODUCT(($F$285:$AI$285="P6")*$F$288:$AI$311),0))/(SUMPRODUCT(($D$288:$D$311=AM$286)*($F$285:$AI$285=""))+IF(AM$286="P6",COUNTIF($F$285:$AI$285,"P6")*ROWS($D$288:$D$311),0)),"")</f>
        <v/>
      </c>
      <c r="AN291" s="6" t="str" cm="1">
        <f t="array" ref="AN291">IFERROR((SUMPRODUCT(($D$288:$D$311=AN$286)*($F$285:$AI$285="")*$F$288:$AI$311)+IF(AN$286="P6",SUMPRODUCT(($F$285:$AI$285="P6")*$F$288:$AI$311),0))/(SUMPRODUCT(($D$288:$D$311=AN$286)*($F$285:$AI$285=""))+IF(AN$286="P6",COUNTIF($F$285:$AI$285,"P6")*ROWS($D$288:$D$311),0)),"")</f>
        <v/>
      </c>
      <c r="AO291" s="5" cm="1">
        <f t="array" ref="AO291">IFERROR((SUMPRODUCT(($D$288:$D$311=AO$286)*($F$285:$AI$285="")*$F$288:$AI$311)+IF(AO$286="P6",SUMPRODUCT(($F$285:$AI$285="P6")*$F$288:$AI$311),0))/(SUMPRODUCT(($D$288:$D$311=AO$286)*($F$285:$AI$285=""))+IF(AO$286="P6",COUNTIF($F$285:$AI$285,"P6")*ROWS($D$288:$D$311),0)),"")</f>
        <v>0.86149277777777722</v>
      </c>
      <c r="AP291" s="5" cm="1">
        <f t="array" ref="AP291">IFERROR((SUMPRODUCT(($D$288:$D$311=AP$286)*($F$285:$AI$285="")*$F$288:$AI$311)+IF(AP$286="P6",SUMPRODUCT(($F$285:$AI$285="P6")*$F$288:$AI$311),0))/(SUMPRODUCT(($D$288:$D$311=AP$286)*($F$285:$AI$285=""))+IF(AP$286="P6",COUNTIF($F$285:$AI$285,"P6")*ROWS($D$288:$D$311),0)),"")</f>
        <v>0.90670188311688293</v>
      </c>
      <c r="AQ291" s="5" t="str" cm="1">
        <f t="array" ref="AQ291">IFERROR((SUMPRODUCT(($D$288:$D$311=AQ$286)*($F$285:$AI$285="")*$F$288:$AI$311)+IF(AQ$286="P6",SUMPRODUCT(($F$285:$AI$285="P6")*$F$288:$AI$311),0))/(SUMPRODUCT(($D$288:$D$311=AQ$286)*($F$285:$AI$285=""))+IF(AQ$286="P6",COUNTIF($F$285:$AI$285,"P6")*ROWS($D$288:$D$311),0)),"")</f>
        <v/>
      </c>
      <c r="AR291" s="6" cm="1">
        <f t="array" ref="AR291">IFERROR((SUMPRODUCT(($D$288:$D$311=AR$286)*($F$285:$AI$285="")*$F$288:$AI$311)+IF(AR$286="P6",SUMPRODUCT(($F$285:$AI$285="P6")*$F$288:$AI$311),0))/(SUMPRODUCT(($D$288:$D$311=AR$286)*($F$285:$AI$285=""))+IF(AR$286="P6",COUNTIF($F$285:$AI$285,"P6")*ROWS($D$288:$D$311),0)),"")</f>
        <v>0.90977116847826001</v>
      </c>
    </row>
    <row r="292" spans="1:44" ht="14.25" customHeight="1" x14ac:dyDescent="0.35">
      <c r="A292" s="1" t="s">
        <v>7</v>
      </c>
      <c r="B292" s="1" t="s">
        <v>7</v>
      </c>
      <c r="C292" s="1" t="s">
        <v>15</v>
      </c>
      <c r="D292" s="1" t="s">
        <v>7</v>
      </c>
      <c r="E292" s="1" t="s">
        <v>12</v>
      </c>
      <c r="F292" s="1">
        <v>0.97233000000000003</v>
      </c>
      <c r="G292" s="1">
        <v>0.94843</v>
      </c>
      <c r="H292" s="1">
        <v>0.96726999999999996</v>
      </c>
      <c r="I292" s="1">
        <v>0.97782999999999998</v>
      </c>
      <c r="J292" s="1">
        <v>0.99690999999999996</v>
      </c>
      <c r="K292" s="1">
        <v>1.0526899999999999</v>
      </c>
      <c r="L292" s="1">
        <v>0.98933000000000004</v>
      </c>
      <c r="M292" s="1">
        <v>0.97233000000000003</v>
      </c>
      <c r="N292" s="1">
        <v>0.94843</v>
      </c>
      <c r="O292" s="1">
        <v>0.96726999999999996</v>
      </c>
      <c r="P292" s="1">
        <v>0.97782999999999998</v>
      </c>
      <c r="Q292" s="1">
        <v>0.99690999999999996</v>
      </c>
      <c r="R292" s="1">
        <v>1.0526899999999999</v>
      </c>
      <c r="S292" s="1">
        <v>0.98933000000000004</v>
      </c>
      <c r="T292" s="1">
        <v>0.97233000000000003</v>
      </c>
      <c r="U292" s="1">
        <v>0.94843</v>
      </c>
      <c r="V292" s="1">
        <v>0.96726999999999996</v>
      </c>
      <c r="W292" s="1">
        <v>0.97782999999999998</v>
      </c>
      <c r="X292" s="1">
        <v>0.99690999999999996</v>
      </c>
      <c r="Y292" s="1">
        <v>1.0526899999999999</v>
      </c>
      <c r="Z292" s="1">
        <v>0.98933000000000004</v>
      </c>
      <c r="AA292" s="1">
        <v>0.97233000000000003</v>
      </c>
      <c r="AB292" s="1">
        <v>0.94843</v>
      </c>
      <c r="AC292" s="1">
        <v>0.96726999999999996</v>
      </c>
      <c r="AD292" s="1">
        <v>0.97782999999999998</v>
      </c>
      <c r="AE292" s="1">
        <v>0.99690999999999996</v>
      </c>
      <c r="AF292" s="1">
        <v>1.0526899999999999</v>
      </c>
      <c r="AG292" s="1">
        <v>0.98933000000000004</v>
      </c>
      <c r="AH292" s="1">
        <v>0.97233000000000003</v>
      </c>
      <c r="AI292" s="1">
        <v>0.94843</v>
      </c>
      <c r="AL292" s="4" t="s">
        <v>29</v>
      </c>
      <c r="AM292" s="6" t="str" cm="1">
        <f t="array" ref="AM292">IFERROR((SUMPRODUCT(($D$288:$D$311=AM$286)*($F$285:$AI$285="")*$F$288:$AI$311)+IF(AM$286="P6",SUMPRODUCT(($F$285:$AI$285="P6")*$F$288:$AI$311),0))/(SUMPRODUCT(($D$288:$D$311=AM$286)*($F$285:$AI$285=""))+IF(AM$286="P6",COUNTIF($F$285:$AI$285,"P6")*ROWS($D$288:$D$311),0)),"")</f>
        <v/>
      </c>
      <c r="AN292" s="6" t="str" cm="1">
        <f t="array" ref="AN292">IFERROR((SUMPRODUCT(($D$288:$D$311=AN$286)*($F$285:$AI$285="")*$F$288:$AI$311)+IF(AN$286="P6",SUMPRODUCT(($F$285:$AI$285="P6")*$F$288:$AI$311),0))/(SUMPRODUCT(($D$288:$D$311=AN$286)*($F$285:$AI$285=""))+IF(AN$286="P6",COUNTIF($F$285:$AI$285,"P6")*ROWS($D$288:$D$311),0)),"")</f>
        <v/>
      </c>
      <c r="AO292" s="5" cm="1">
        <f t="array" ref="AO292">IFERROR((SUMPRODUCT(($D$288:$D$311=AO$286)*($F$285:$AI$285="")*$F$288:$AI$311)+IF(AO$286="P6",SUMPRODUCT(($F$285:$AI$285="P6")*$F$288:$AI$311),0))/(SUMPRODUCT(($D$288:$D$311=AO$286)*($F$285:$AI$285=""))+IF(AO$286="P6",COUNTIF($F$285:$AI$285,"P6")*ROWS($D$288:$D$311),0)),"")</f>
        <v>0.86149277777777722</v>
      </c>
      <c r="AP292" s="5" cm="1">
        <f t="array" ref="AP292">IFERROR((SUMPRODUCT(($D$288:$D$311=AP$286)*($F$285:$AI$285="")*$F$288:$AI$311)+IF(AP$286="P6",SUMPRODUCT(($F$285:$AI$285="P6")*$F$288:$AI$311),0))/(SUMPRODUCT(($D$288:$D$311=AP$286)*($F$285:$AI$285=""))+IF(AP$286="P6",COUNTIF($F$285:$AI$285,"P6")*ROWS($D$288:$D$311),0)),"")</f>
        <v>0.90670188311688293</v>
      </c>
      <c r="AQ292" s="5" t="str" cm="1">
        <f t="array" ref="AQ292">IFERROR((SUMPRODUCT(($D$288:$D$311=AQ$286)*($F$285:$AI$285="")*$F$288:$AI$311)+IF(AQ$286="P6",SUMPRODUCT(($F$285:$AI$285="P6")*$F$288:$AI$311),0))/(SUMPRODUCT(($D$288:$D$311=AQ$286)*($F$285:$AI$285=""))+IF(AQ$286="P6",COUNTIF($F$285:$AI$285,"P6")*ROWS($D$288:$D$311),0)),"")</f>
        <v/>
      </c>
      <c r="AR292" s="6" cm="1">
        <f t="array" ref="AR292">IFERROR((SUMPRODUCT(($D$288:$D$311=AR$286)*($F$285:$AI$285="")*$F$288:$AI$311)+IF(AR$286="P6",SUMPRODUCT(($F$285:$AI$285="P6")*$F$288:$AI$311),0))/(SUMPRODUCT(($D$288:$D$311=AR$286)*($F$285:$AI$285=""))+IF(AR$286="P6",COUNTIF($F$285:$AI$285,"P6")*ROWS($D$288:$D$311),0)),"")</f>
        <v>0.90977116847826001</v>
      </c>
    </row>
    <row r="293" spans="1:44" ht="14.25" customHeight="1" x14ac:dyDescent="0.35">
      <c r="A293" s="1" t="s">
        <v>7</v>
      </c>
      <c r="B293" s="1" t="s">
        <v>7</v>
      </c>
      <c r="C293" s="1" t="s">
        <v>15</v>
      </c>
      <c r="D293" s="1" t="s">
        <v>7</v>
      </c>
      <c r="E293" s="1" t="s">
        <v>18</v>
      </c>
      <c r="F293" s="1">
        <v>0.94528999999999996</v>
      </c>
      <c r="G293" s="1">
        <v>0.94333</v>
      </c>
      <c r="H293" s="1">
        <v>0.94038999999999995</v>
      </c>
      <c r="I293" s="1">
        <v>0.94947000000000004</v>
      </c>
      <c r="J293" s="1">
        <v>0.99651999999999996</v>
      </c>
      <c r="K293" s="1">
        <v>1.04681</v>
      </c>
      <c r="L293" s="1">
        <v>0.95760999999999996</v>
      </c>
      <c r="M293" s="1">
        <v>0.94528999999999996</v>
      </c>
      <c r="N293" s="1">
        <v>0.94333</v>
      </c>
      <c r="O293" s="1">
        <v>0.94038999999999995</v>
      </c>
      <c r="P293" s="1">
        <v>0.94947000000000004</v>
      </c>
      <c r="Q293" s="1">
        <v>0.99651999999999996</v>
      </c>
      <c r="R293" s="1">
        <v>1.04681</v>
      </c>
      <c r="S293" s="1">
        <v>0.95760999999999996</v>
      </c>
      <c r="T293" s="1">
        <v>0.94528999999999996</v>
      </c>
      <c r="U293" s="1">
        <v>0.94333</v>
      </c>
      <c r="V293" s="1">
        <v>0.94038999999999995</v>
      </c>
      <c r="W293" s="1">
        <v>0.94947000000000004</v>
      </c>
      <c r="X293" s="1">
        <v>0.99651999999999996</v>
      </c>
      <c r="Y293" s="1">
        <v>1.04681</v>
      </c>
      <c r="Z293" s="1">
        <v>0.95760999999999996</v>
      </c>
      <c r="AA293" s="1">
        <v>0.94528999999999996</v>
      </c>
      <c r="AB293" s="1">
        <v>0.94333</v>
      </c>
      <c r="AC293" s="1">
        <v>0.94038999999999995</v>
      </c>
      <c r="AD293" s="1">
        <v>0.94947000000000004</v>
      </c>
      <c r="AE293" s="1">
        <v>0.99651999999999996</v>
      </c>
      <c r="AF293" s="1">
        <v>1.04681</v>
      </c>
      <c r="AG293" s="1">
        <v>0.95760999999999996</v>
      </c>
      <c r="AH293" s="1">
        <v>0.94528999999999996</v>
      </c>
      <c r="AI293" s="1">
        <v>0.94333</v>
      </c>
      <c r="AL293" s="10"/>
      <c r="AM293" s="10"/>
      <c r="AN293" s="10"/>
      <c r="AO293" s="10"/>
      <c r="AP293" s="10"/>
      <c r="AQ293" s="10"/>
      <c r="AR293" s="10"/>
    </row>
    <row r="294" spans="1:44" ht="14.25" customHeight="1" x14ac:dyDescent="0.35">
      <c r="A294" s="1" t="s">
        <v>7</v>
      </c>
      <c r="B294" s="1" t="s">
        <v>7</v>
      </c>
      <c r="C294" s="1" t="s">
        <v>15</v>
      </c>
      <c r="D294" s="1" t="s">
        <v>7</v>
      </c>
      <c r="E294" s="1" t="s">
        <v>20</v>
      </c>
      <c r="F294" s="1">
        <v>0.86819999999999997</v>
      </c>
      <c r="G294" s="1">
        <v>0.88453999999999999</v>
      </c>
      <c r="H294" s="1">
        <v>0.87822</v>
      </c>
      <c r="I294" s="1">
        <v>0.88041999999999998</v>
      </c>
      <c r="J294" s="1">
        <v>0.95921999999999996</v>
      </c>
      <c r="K294" s="1">
        <v>1.0234399999999999</v>
      </c>
      <c r="L294" s="1">
        <v>0.87238000000000004</v>
      </c>
      <c r="M294" s="1">
        <v>0.86819999999999997</v>
      </c>
      <c r="N294" s="1">
        <v>0.88453999999999999</v>
      </c>
      <c r="O294" s="1">
        <v>0.87822</v>
      </c>
      <c r="P294" s="1">
        <v>0.88041999999999998</v>
      </c>
      <c r="Q294" s="1">
        <v>0.95921999999999996</v>
      </c>
      <c r="R294" s="1">
        <v>1.0234399999999999</v>
      </c>
      <c r="S294" s="1">
        <v>0.87238000000000004</v>
      </c>
      <c r="T294" s="1">
        <v>0.86819999999999997</v>
      </c>
      <c r="U294" s="1">
        <v>0.88453999999999999</v>
      </c>
      <c r="V294" s="1">
        <v>0.87822</v>
      </c>
      <c r="W294" s="1">
        <v>0.88041999999999998</v>
      </c>
      <c r="X294" s="1">
        <v>0.95921999999999996</v>
      </c>
      <c r="Y294" s="1">
        <v>1.0234399999999999</v>
      </c>
      <c r="Z294" s="1">
        <v>0.87238000000000004</v>
      </c>
      <c r="AA294" s="1">
        <v>0.86819999999999997</v>
      </c>
      <c r="AB294" s="1">
        <v>0.88453999999999999</v>
      </c>
      <c r="AC294" s="1">
        <v>0.87822</v>
      </c>
      <c r="AD294" s="1">
        <v>0.88041999999999998</v>
      </c>
      <c r="AE294" s="1">
        <v>0.95921999999999996</v>
      </c>
      <c r="AF294" s="1">
        <v>1.0234399999999999</v>
      </c>
      <c r="AG294" s="1">
        <v>0.87238000000000004</v>
      </c>
      <c r="AH294" s="1">
        <v>0.86819999999999997</v>
      </c>
      <c r="AI294" s="1">
        <v>0.88453999999999999</v>
      </c>
      <c r="AL294" s="10"/>
      <c r="AM294" s="10"/>
      <c r="AN294" s="10"/>
      <c r="AO294" s="10"/>
      <c r="AP294" s="10"/>
      <c r="AQ294" s="10"/>
      <c r="AR294" s="10"/>
    </row>
    <row r="295" spans="1:44" ht="14.25" customHeight="1" x14ac:dyDescent="0.35">
      <c r="A295" s="1" t="s">
        <v>7</v>
      </c>
      <c r="B295" s="1" t="s">
        <v>7</v>
      </c>
      <c r="C295" s="1" t="s">
        <v>15</v>
      </c>
      <c r="D295" s="1" t="s">
        <v>7</v>
      </c>
      <c r="E295" s="1" t="s">
        <v>22</v>
      </c>
      <c r="F295" s="1">
        <v>0.81564999999999999</v>
      </c>
      <c r="G295" s="1">
        <v>0.82745999999999997</v>
      </c>
      <c r="H295" s="1">
        <v>0.82903000000000004</v>
      </c>
      <c r="I295" s="1">
        <v>0.81340999999999997</v>
      </c>
      <c r="J295" s="1">
        <v>0.92513000000000001</v>
      </c>
      <c r="K295" s="1">
        <v>1.0003500000000001</v>
      </c>
      <c r="L295" s="1">
        <v>0.82213000000000003</v>
      </c>
      <c r="M295" s="1">
        <v>0.81564999999999999</v>
      </c>
      <c r="N295" s="1">
        <v>0.82745999999999997</v>
      </c>
      <c r="O295" s="1">
        <v>0.82903000000000004</v>
      </c>
      <c r="P295" s="1">
        <v>0.81340999999999997</v>
      </c>
      <c r="Q295" s="1">
        <v>0.92513000000000001</v>
      </c>
      <c r="R295" s="1">
        <v>1.0003500000000001</v>
      </c>
      <c r="S295" s="1">
        <v>0.82213000000000003</v>
      </c>
      <c r="T295" s="1">
        <v>0.81564999999999999</v>
      </c>
      <c r="U295" s="1">
        <v>0.82745999999999997</v>
      </c>
      <c r="V295" s="1">
        <v>0.82903000000000004</v>
      </c>
      <c r="W295" s="1">
        <v>0.81340999999999997</v>
      </c>
      <c r="X295" s="1">
        <v>0.92513000000000001</v>
      </c>
      <c r="Y295" s="1">
        <v>1.0003500000000001</v>
      </c>
      <c r="Z295" s="1">
        <v>0.82213000000000003</v>
      </c>
      <c r="AA295" s="1">
        <v>0.81564999999999999</v>
      </c>
      <c r="AB295" s="1">
        <v>0.82745999999999997</v>
      </c>
      <c r="AC295" s="1">
        <v>0.82903000000000004</v>
      </c>
      <c r="AD295" s="1">
        <v>0.81340999999999997</v>
      </c>
      <c r="AE295" s="1">
        <v>0.92513000000000001</v>
      </c>
      <c r="AF295" s="1">
        <v>1.0003500000000001</v>
      </c>
      <c r="AG295" s="1">
        <v>0.82213000000000003</v>
      </c>
      <c r="AH295" s="1">
        <v>0.81564999999999999</v>
      </c>
      <c r="AI295" s="1">
        <v>0.82745999999999997</v>
      </c>
      <c r="AL295" s="14" t="s">
        <v>141</v>
      </c>
      <c r="AM295" s="14"/>
      <c r="AN295" s="14"/>
      <c r="AO295" s="14"/>
      <c r="AP295" s="14"/>
      <c r="AQ295" s="14"/>
      <c r="AR295" s="14"/>
    </row>
    <row r="296" spans="1:44" ht="14.25" customHeight="1" x14ac:dyDescent="0.35">
      <c r="A296" s="1" t="s">
        <v>15</v>
      </c>
      <c r="B296" s="1" t="s">
        <v>14</v>
      </c>
      <c r="C296" s="1" t="s">
        <v>14</v>
      </c>
      <c r="D296" s="1" t="s">
        <v>16</v>
      </c>
      <c r="E296" s="1" t="s">
        <v>24</v>
      </c>
      <c r="F296" s="1">
        <v>0.88492999999999999</v>
      </c>
      <c r="G296" s="1">
        <v>0.89714000000000005</v>
      </c>
      <c r="H296" s="1">
        <v>0.90049999999999997</v>
      </c>
      <c r="I296" s="1">
        <v>0.88485999999999998</v>
      </c>
      <c r="J296" s="1">
        <v>0.89881</v>
      </c>
      <c r="K296" s="1">
        <v>0.97419999999999995</v>
      </c>
      <c r="L296" s="1">
        <v>0.88138000000000005</v>
      </c>
      <c r="M296" s="1">
        <v>0.88492999999999999</v>
      </c>
      <c r="N296" s="1">
        <v>0.89714000000000005</v>
      </c>
      <c r="O296" s="1">
        <v>0.90049999999999997</v>
      </c>
      <c r="P296" s="1">
        <v>0.88485999999999998</v>
      </c>
      <c r="Q296" s="1">
        <v>0.89881</v>
      </c>
      <c r="R296" s="1">
        <v>0.97419999999999995</v>
      </c>
      <c r="S296" s="1">
        <v>0.88138000000000005</v>
      </c>
      <c r="T296" s="1">
        <v>0.88492999999999999</v>
      </c>
      <c r="U296" s="1">
        <v>0.89714000000000005</v>
      </c>
      <c r="V296" s="1">
        <v>0.90049999999999997</v>
      </c>
      <c r="W296" s="1">
        <v>0.88485999999999998</v>
      </c>
      <c r="X296" s="1">
        <v>0.89881</v>
      </c>
      <c r="Y296" s="1">
        <v>0.97419999999999995</v>
      </c>
      <c r="Z296" s="1">
        <v>0.88138000000000005</v>
      </c>
      <c r="AA296" s="1">
        <v>0.88492999999999999</v>
      </c>
      <c r="AB296" s="1">
        <v>0.89714000000000005</v>
      </c>
      <c r="AC296" s="1">
        <v>0.90049999999999997</v>
      </c>
      <c r="AD296" s="1">
        <v>0.88485999999999998</v>
      </c>
      <c r="AE296" s="1">
        <v>0.89881</v>
      </c>
      <c r="AF296" s="1">
        <v>0.97419999999999995</v>
      </c>
      <c r="AG296" s="1">
        <v>0.88138000000000005</v>
      </c>
      <c r="AH296" s="1">
        <v>0.88492999999999999</v>
      </c>
      <c r="AI296" s="1">
        <v>0.89714000000000005</v>
      </c>
      <c r="AL296" s="4"/>
      <c r="AM296" s="4" t="s">
        <v>13</v>
      </c>
      <c r="AN296" s="4" t="s">
        <v>14</v>
      </c>
      <c r="AO296" s="4" t="s">
        <v>15</v>
      </c>
      <c r="AP296" s="4" t="s">
        <v>16</v>
      </c>
      <c r="AQ296" s="4" t="s">
        <v>17</v>
      </c>
      <c r="AR296" s="4" t="s">
        <v>7</v>
      </c>
    </row>
    <row r="297" spans="1:44" ht="14.25" customHeight="1" x14ac:dyDescent="0.35">
      <c r="A297" s="1" t="s">
        <v>15</v>
      </c>
      <c r="B297" s="1" t="s">
        <v>14</v>
      </c>
      <c r="C297" s="1" t="s">
        <v>14</v>
      </c>
      <c r="D297" s="1" t="s">
        <v>15</v>
      </c>
      <c r="E297" s="1" t="s">
        <v>26</v>
      </c>
      <c r="F297" s="1">
        <v>0.83372000000000002</v>
      </c>
      <c r="G297" s="1">
        <v>0.84575</v>
      </c>
      <c r="H297" s="1">
        <v>0.84013000000000004</v>
      </c>
      <c r="I297" s="1">
        <v>0.82762000000000002</v>
      </c>
      <c r="J297" s="1">
        <v>0.82633000000000001</v>
      </c>
      <c r="K297" s="1">
        <v>0.85284000000000004</v>
      </c>
      <c r="L297" s="1">
        <v>0.82232000000000005</v>
      </c>
      <c r="M297" s="1">
        <v>0.83372000000000002</v>
      </c>
      <c r="N297" s="1">
        <v>0.84575</v>
      </c>
      <c r="O297" s="1">
        <v>0.84013000000000004</v>
      </c>
      <c r="P297" s="1">
        <v>0.82762000000000002</v>
      </c>
      <c r="Q297" s="1">
        <v>0.82633000000000001</v>
      </c>
      <c r="R297" s="1">
        <v>0.85284000000000004</v>
      </c>
      <c r="S297" s="1">
        <v>0.82232000000000005</v>
      </c>
      <c r="T297" s="1">
        <v>0.83372000000000002</v>
      </c>
      <c r="U297" s="1">
        <v>0.84575</v>
      </c>
      <c r="V297" s="1">
        <v>0.84013000000000004</v>
      </c>
      <c r="W297" s="1">
        <v>0.82762000000000002</v>
      </c>
      <c r="X297" s="1">
        <v>0.82633000000000001</v>
      </c>
      <c r="Y297" s="1">
        <v>0.85284000000000004</v>
      </c>
      <c r="Z297" s="1">
        <v>0.82232000000000005</v>
      </c>
      <c r="AA297" s="1">
        <v>0.83372000000000002</v>
      </c>
      <c r="AB297" s="1">
        <v>0.84575</v>
      </c>
      <c r="AC297" s="1">
        <v>0.84013000000000004</v>
      </c>
      <c r="AD297" s="1">
        <v>0.82762000000000002</v>
      </c>
      <c r="AE297" s="1">
        <v>0.82633000000000001</v>
      </c>
      <c r="AF297" s="1">
        <v>0.85284000000000004</v>
      </c>
      <c r="AG297" s="1">
        <v>0.82232000000000005</v>
      </c>
      <c r="AH297" s="1">
        <v>0.83372000000000002</v>
      </c>
      <c r="AI297" s="1">
        <v>0.84575</v>
      </c>
      <c r="AL297" s="4" t="s">
        <v>19</v>
      </c>
      <c r="AM297" s="6" cm="1">
        <f t="array" ref="AM297">IFERROR((SUMPRODUCT(($C$288:$C$311=AM$286)*($F$284:$AI$284="")*$F$288:$AI$311)+IF(AM$286="P3",SUMPRODUCT(($F$284:$AI$284="P3")*$F$288:$AI$311),0))/(SUMPRODUCT(($C$288:$C$311=AM$286)*($F$284:$AI$284=""))+IF(AM$286="P3",COUNTIF($F$284:$AI$284,"P3")*ROWS($C$288:$C$311),0)),"")</f>
        <v>0.86487465909090844</v>
      </c>
      <c r="AN297" s="6" cm="1">
        <f t="array" ref="AN297">IFERROR((SUMPRODUCT(($C$288:$C$311=AN$286)*($F$284:$AI$284="")*$F$288:$AI$311)+IF(AN$286="P3",SUMPRODUCT(($F$284:$AI$284="P3")*$F$288:$AI$311),0))/(SUMPRODUCT(($C$288:$C$311=AN$286)*($F$284:$AI$284=""))+IF(AN$286="P3",COUNTIF($F$284:$AI$284,"P3")*ROWS($C$288:$C$311),0)),"")</f>
        <v>0.89766886363636378</v>
      </c>
      <c r="AO297" s="6" cm="1">
        <f t="array" ref="AO297">IFERROR((SUMPRODUCT(($C$288:$C$311=AO$286)*($F$284:$AI$284="")*$F$288:$AI$311)+IF(AO$286="P3",SUMPRODUCT(($F$284:$AI$284="P3")*$F$288:$AI$311),0))/(SUMPRODUCT(($C$288:$C$311=AO$286)*($F$284:$AI$284=""))+IF(AO$286="P3",COUNTIF($F$284:$AI$284,"P3")*ROWS($C$288:$C$311),0)),"")</f>
        <v>0.90977116847826001</v>
      </c>
      <c r="AP297" s="6" t="str" cm="1">
        <f t="array" ref="AP297">IFERROR((SUMPRODUCT(($C$288:$C$311=AP$286)*($F$284:$AI$284="")*$F$288:$AI$311)+IF(AP$286="P3",SUMPRODUCT(($F$284:$AI$284="P3")*$F$288:$AI$311),0))/(SUMPRODUCT(($C$288:$C$311=AP$286)*($F$284:$AI$284=""))+IF(AP$286="P3",COUNTIF($F$284:$AI$284,"P3")*ROWS($C$288:$C$311),0)),"")</f>
        <v/>
      </c>
      <c r="AQ297" s="6" t="str" cm="1">
        <f t="array" ref="AQ297">IFERROR((SUMPRODUCT(($C$288:$C$311=AQ$286)*($F$284:$AI$284="")*$F$288:$AI$311)+IF(AQ$286="P3",SUMPRODUCT(($F$284:$AI$284="P3")*$F$288:$AI$311),0))/(SUMPRODUCT(($C$288:$C$311=AQ$286)*($F$284:$AI$284=""))+IF(AQ$286="P3",COUNTIF($F$284:$AI$284,"P3")*ROWS($C$288:$C$311),0)),"")</f>
        <v/>
      </c>
      <c r="AR297" s="6" t="str" cm="1">
        <f t="array" ref="AR297">IFERROR((SUMPRODUCT(($C$288:$C$311=AR$286)*($F$284:$AI$284="")*$F$288:$AI$311)+IF(AR$286="P3",SUMPRODUCT(($F$284:$AI$284="P3")*$F$288:$AI$311),0))/(SUMPRODUCT(($C$288:$C$311=AR$286)*($F$284:$AI$284=""))+IF(AR$286="P3",COUNTIF($F$284:$AI$284,"P3")*ROWS($C$288:$C$311),0)),"")</f>
        <v/>
      </c>
    </row>
    <row r="298" spans="1:44" ht="14.25" customHeight="1" x14ac:dyDescent="0.35">
      <c r="A298" s="1" t="s">
        <v>13</v>
      </c>
      <c r="B298" s="1" t="s">
        <v>13</v>
      </c>
      <c r="C298" s="1" t="s">
        <v>13</v>
      </c>
      <c r="D298" s="1" t="s">
        <v>15</v>
      </c>
      <c r="E298" s="1" t="s">
        <v>28</v>
      </c>
      <c r="F298" s="1">
        <v>0.81186999999999998</v>
      </c>
      <c r="G298" s="1">
        <v>0.81964999999999999</v>
      </c>
      <c r="H298" s="1">
        <v>0.79993000000000003</v>
      </c>
      <c r="I298" s="1">
        <v>0.81862999999999997</v>
      </c>
      <c r="J298" s="1">
        <v>0.80008000000000001</v>
      </c>
      <c r="K298" s="1">
        <v>0.83255999999999997</v>
      </c>
      <c r="L298" s="1">
        <v>0.81867999999999996</v>
      </c>
      <c r="M298" s="1">
        <v>0.81186999999999998</v>
      </c>
      <c r="N298" s="1">
        <v>0.81964999999999999</v>
      </c>
      <c r="O298" s="1">
        <v>0.79993000000000003</v>
      </c>
      <c r="P298" s="1">
        <v>0.81862999999999997</v>
      </c>
      <c r="Q298" s="1">
        <v>0.80008000000000001</v>
      </c>
      <c r="R298" s="1">
        <v>0.83255999999999997</v>
      </c>
      <c r="S298" s="1">
        <v>0.81867999999999996</v>
      </c>
      <c r="T298" s="1">
        <v>0.81186999999999998</v>
      </c>
      <c r="U298" s="1">
        <v>0.81964999999999999</v>
      </c>
      <c r="V298" s="1">
        <v>0.79993000000000003</v>
      </c>
      <c r="W298" s="1">
        <v>0.81862999999999997</v>
      </c>
      <c r="X298" s="1">
        <v>0.80008000000000001</v>
      </c>
      <c r="Y298" s="1">
        <v>0.83255999999999997</v>
      </c>
      <c r="Z298" s="1">
        <v>0.81867999999999996</v>
      </c>
      <c r="AA298" s="1">
        <v>0.81186999999999998</v>
      </c>
      <c r="AB298" s="1">
        <v>0.81964999999999999</v>
      </c>
      <c r="AC298" s="1">
        <v>0.79993000000000003</v>
      </c>
      <c r="AD298" s="1">
        <v>0.81862999999999997</v>
      </c>
      <c r="AE298" s="1">
        <v>0.80008000000000001</v>
      </c>
      <c r="AF298" s="1">
        <v>0.83255999999999997</v>
      </c>
      <c r="AG298" s="1">
        <v>0.81867999999999996</v>
      </c>
      <c r="AH298" s="1">
        <v>0.81186999999999998</v>
      </c>
      <c r="AI298" s="1">
        <v>0.81964999999999999</v>
      </c>
      <c r="AL298" s="4" t="s">
        <v>21</v>
      </c>
      <c r="AM298" s="6" cm="1">
        <f t="array" ref="AM298">IFERROR((SUMPRODUCT(($A$288:$A$311=AM$286)*($F$285:$AI$285="")*$F$288:$AI$311)+IF(AM$286="P6",SUMPRODUCT(($F$285:$AI$285="P6")*$F$288:$AI$311),0))/(SUMPRODUCT(($A$288:$A$311=AM$286)*($F$285:$AI$285=""))+IF(AM$286="P6",COUNTIF($F$285:$AI$285,"P6")*ROWS($A$288:$A$311),0)),"")</f>
        <v>0.8620026767676765</v>
      </c>
      <c r="AN298" s="6" t="str" cm="1">
        <f t="array" ref="AN298">IFERROR((SUMPRODUCT(($A$288:$A$311=AN$286)*($F$285:$AI$285="")*$F$288:$AI$311)+IF(AN$286="P6",SUMPRODUCT(($F$285:$AI$285="P6")*$F$288:$AI$311),0))/(SUMPRODUCT(($A$288:$A$311=AN$286)*($F$285:$AI$285=""))+IF(AN$286="P6",COUNTIF($F$285:$AI$285,"P6")*ROWS($A$288:$A$311),0)),"")</f>
        <v/>
      </c>
      <c r="AO298" s="6" cm="1">
        <f t="array" ref="AO298">IFERROR((SUMPRODUCT(($A$288:$A$311=AO$286)*($F$285:$AI$285="")*$F$288:$AI$311)+IF(AO$286="P6",SUMPRODUCT(($F$285:$AI$285="P6")*$F$288:$AI$311),0))/(SUMPRODUCT(($A$288:$A$311=AO$286)*($F$285:$AI$285=""))+IF(AO$286="P6",COUNTIF($F$285:$AI$285,"P6")*ROWS($A$288:$A$311),0)),"")</f>
        <v>0.90604629870129849</v>
      </c>
      <c r="AP298" s="6" t="str" cm="1">
        <f t="array" ref="AP298">IFERROR((SUMPRODUCT(($A$288:$A$311=AP$286)*($F$285:$AI$285="")*$F$288:$AI$311)+IF(AP$286="P6",SUMPRODUCT(($F$285:$AI$285="P6")*$F$288:$AI$311),0))/(SUMPRODUCT(($A$288:$A$311=AP$286)*($F$285:$AI$285=""))+IF(AP$286="P6",COUNTIF($F$285:$AI$285,"P6")*ROWS($A$288:$A$311),0)),"")</f>
        <v/>
      </c>
      <c r="AQ298" s="6" t="str" cm="1">
        <f t="array" ref="AQ298">IFERROR((SUMPRODUCT(($A$288:$A$311=AQ$286)*($F$285:$AI$285="")*$F$288:$AI$311)+IF(AQ$286="P6",SUMPRODUCT(($F$285:$AI$285="P6")*$F$288:$AI$311),0))/(SUMPRODUCT(($A$288:$A$311=AQ$286)*($F$285:$AI$285=""))+IF(AQ$286="P6",COUNTIF($F$285:$AI$285,"P6")*ROWS($A$288:$A$311),0)),"")</f>
        <v/>
      </c>
      <c r="AR298" s="6" cm="1">
        <f t="array" ref="AR298">IFERROR((SUMPRODUCT(($A$288:$A$311=AR$286)*($F$285:$AI$285="")*$F$288:$AI$311)+IF(AR$286="P6",SUMPRODUCT(($F$285:$AI$285="P6")*$F$288:$AI$311),0))/(SUMPRODUCT(($A$288:$A$311=AR$286)*($F$285:$AI$285=""))+IF(AR$286="P6",COUNTIF($F$285:$AI$285,"P6")*ROWS($A$288:$A$311),0)),"")</f>
        <v>0.90977116847826001</v>
      </c>
    </row>
    <row r="299" spans="1:44" ht="14.25" customHeight="1" x14ac:dyDescent="0.35">
      <c r="A299" s="1" t="s">
        <v>13</v>
      </c>
      <c r="B299" s="1" t="s">
        <v>13</v>
      </c>
      <c r="C299" s="1" t="s">
        <v>13</v>
      </c>
      <c r="D299" s="1" t="s">
        <v>15</v>
      </c>
      <c r="E299" s="1" t="s">
        <v>30</v>
      </c>
      <c r="F299" s="1">
        <v>0.82872000000000001</v>
      </c>
      <c r="G299" s="1">
        <v>0.82682999999999995</v>
      </c>
      <c r="H299" s="1">
        <v>0.82023999999999997</v>
      </c>
      <c r="I299" s="1">
        <v>0.81601000000000001</v>
      </c>
      <c r="J299" s="1">
        <v>0.81574000000000002</v>
      </c>
      <c r="K299" s="1">
        <v>0.80554000000000003</v>
      </c>
      <c r="L299" s="1">
        <v>0.83508000000000004</v>
      </c>
      <c r="M299" s="1">
        <v>0.82872000000000001</v>
      </c>
      <c r="N299" s="1">
        <v>0.82682999999999995</v>
      </c>
      <c r="O299" s="1">
        <v>0.82023999999999997</v>
      </c>
      <c r="P299" s="1">
        <v>0.81601000000000001</v>
      </c>
      <c r="Q299" s="1">
        <v>0.81574000000000002</v>
      </c>
      <c r="R299" s="1">
        <v>0.80554000000000003</v>
      </c>
      <c r="S299" s="1">
        <v>0.83508000000000004</v>
      </c>
      <c r="T299" s="1">
        <v>0.82872000000000001</v>
      </c>
      <c r="U299" s="1">
        <v>0.82682999999999995</v>
      </c>
      <c r="V299" s="1">
        <v>0.82023999999999997</v>
      </c>
      <c r="W299" s="1">
        <v>0.81601000000000001</v>
      </c>
      <c r="X299" s="1">
        <v>0.81574000000000002</v>
      </c>
      <c r="Y299" s="1">
        <v>0.80554000000000003</v>
      </c>
      <c r="Z299" s="1">
        <v>0.83508000000000004</v>
      </c>
      <c r="AA299" s="1">
        <v>0.82872000000000001</v>
      </c>
      <c r="AB299" s="1">
        <v>0.82682999999999995</v>
      </c>
      <c r="AC299" s="1">
        <v>0.82023999999999997</v>
      </c>
      <c r="AD299" s="1">
        <v>0.81601000000000001</v>
      </c>
      <c r="AE299" s="1">
        <v>0.81574000000000002</v>
      </c>
      <c r="AF299" s="1">
        <v>0.80554000000000003</v>
      </c>
      <c r="AG299" s="1">
        <v>0.83508000000000004</v>
      </c>
      <c r="AH299" s="1">
        <v>0.82872000000000001</v>
      </c>
      <c r="AI299" s="1">
        <v>0.82682999999999995</v>
      </c>
      <c r="AL299" s="4" t="s">
        <v>23</v>
      </c>
      <c r="AM299" s="6" cm="1">
        <f t="array" ref="AM299">IFERROR((SUMPRODUCT(($A$288:$A$311=AM$286)*($F$285:$AI$285="")*$F$288:$AI$311)+IF(AM$286="P6",SUMPRODUCT(($F$285:$AI$285="P6")*$F$288:$AI$311),0))/(SUMPRODUCT(($A$288:$A$311=AM$286)*($F$285:$AI$285=""))+IF(AM$286="P6",COUNTIF($F$285:$AI$285,"P6")*ROWS($A$288:$A$311),0)),"")</f>
        <v>0.8620026767676765</v>
      </c>
      <c r="AN299" s="6" t="str" cm="1">
        <f t="array" ref="AN299">IFERROR((SUMPRODUCT(($A$288:$A$311=AN$286)*($F$285:$AI$285="")*$F$288:$AI$311)+IF(AN$286="P6",SUMPRODUCT(($F$285:$AI$285="P6")*$F$288:$AI$311),0))/(SUMPRODUCT(($A$288:$A$311=AN$286)*($F$285:$AI$285=""))+IF(AN$286="P6",COUNTIF($F$285:$AI$285,"P6")*ROWS($A$288:$A$311),0)),"")</f>
        <v/>
      </c>
      <c r="AO299" s="6" cm="1">
        <f t="array" ref="AO299">IFERROR((SUMPRODUCT(($A$288:$A$311=AO$286)*($F$285:$AI$285="")*$F$288:$AI$311)+IF(AO$286="P6",SUMPRODUCT(($F$285:$AI$285="P6")*$F$288:$AI$311),0))/(SUMPRODUCT(($A$288:$A$311=AO$286)*($F$285:$AI$285=""))+IF(AO$286="P6",COUNTIF($F$285:$AI$285,"P6")*ROWS($A$288:$A$311),0)),"")</f>
        <v>0.90604629870129849</v>
      </c>
      <c r="AP299" s="6" t="str" cm="1">
        <f t="array" ref="AP299">IFERROR((SUMPRODUCT(($A$288:$A$311=AP$286)*($F$285:$AI$285="")*$F$288:$AI$311)+IF(AP$286="P6",SUMPRODUCT(($F$285:$AI$285="P6")*$F$288:$AI$311),0))/(SUMPRODUCT(($A$288:$A$311=AP$286)*($F$285:$AI$285=""))+IF(AP$286="P6",COUNTIF($F$285:$AI$285,"P6")*ROWS($A$288:$A$311),0)),"")</f>
        <v/>
      </c>
      <c r="AQ299" s="6" t="str" cm="1">
        <f t="array" ref="AQ299">IFERROR((SUMPRODUCT(($A$288:$A$311=AQ$286)*($F$285:$AI$285="")*$F$288:$AI$311)+IF(AQ$286="P6",SUMPRODUCT(($F$285:$AI$285="P6")*$F$288:$AI$311),0))/(SUMPRODUCT(($A$288:$A$311=AQ$286)*($F$285:$AI$285=""))+IF(AQ$286="P6",COUNTIF($F$285:$AI$285,"P6")*ROWS($A$288:$A$311),0)),"")</f>
        <v/>
      </c>
      <c r="AR299" s="6" cm="1">
        <f t="array" ref="AR299">IFERROR((SUMPRODUCT(($A$288:$A$311=AR$286)*($F$285:$AI$285="")*$F$288:$AI$311)+IF(AR$286="P6",SUMPRODUCT(($F$285:$AI$285="P6")*$F$288:$AI$311),0))/(SUMPRODUCT(($A$288:$A$311=AR$286)*($F$285:$AI$285=""))+IF(AR$286="P6",COUNTIF($F$285:$AI$285,"P6")*ROWS($A$288:$A$311),0)),"")</f>
        <v>0.90977116847826001</v>
      </c>
    </row>
    <row r="300" spans="1:44" ht="14.25" customHeight="1" x14ac:dyDescent="0.35">
      <c r="A300" s="1" t="s">
        <v>13</v>
      </c>
      <c r="B300" s="1" t="s">
        <v>13</v>
      </c>
      <c r="C300" s="1" t="s">
        <v>13</v>
      </c>
      <c r="D300" s="1" t="s">
        <v>15</v>
      </c>
      <c r="E300" s="1" t="s">
        <v>31</v>
      </c>
      <c r="F300" s="1">
        <v>0.81342999999999999</v>
      </c>
      <c r="G300" s="1">
        <v>0.81596000000000002</v>
      </c>
      <c r="H300" s="1">
        <v>0.82372999999999996</v>
      </c>
      <c r="I300" s="1">
        <v>0.81767999999999996</v>
      </c>
      <c r="J300" s="1">
        <v>0.79457999999999995</v>
      </c>
      <c r="K300" s="1">
        <v>0.78527999999999998</v>
      </c>
      <c r="L300" s="1">
        <v>0.84180999999999995</v>
      </c>
      <c r="M300" s="1">
        <v>0.81342999999999999</v>
      </c>
      <c r="N300" s="1">
        <v>0.81596000000000002</v>
      </c>
      <c r="O300" s="1">
        <v>0.82372999999999996</v>
      </c>
      <c r="P300" s="1">
        <v>0.81767999999999996</v>
      </c>
      <c r="Q300" s="1">
        <v>0.79457999999999995</v>
      </c>
      <c r="R300" s="1">
        <v>0.78527999999999998</v>
      </c>
      <c r="S300" s="1">
        <v>0.84180999999999995</v>
      </c>
      <c r="T300" s="1">
        <v>0.81342999999999999</v>
      </c>
      <c r="U300" s="1">
        <v>0.81596000000000002</v>
      </c>
      <c r="V300" s="1">
        <v>0.82372999999999996</v>
      </c>
      <c r="W300" s="1">
        <v>0.81767999999999996</v>
      </c>
      <c r="X300" s="1">
        <v>0.79457999999999995</v>
      </c>
      <c r="Y300" s="1">
        <v>0.78527999999999998</v>
      </c>
      <c r="Z300" s="1">
        <v>0.84180999999999995</v>
      </c>
      <c r="AA300" s="1">
        <v>0.81342999999999999</v>
      </c>
      <c r="AB300" s="1">
        <v>0.81596000000000002</v>
      </c>
      <c r="AC300" s="1">
        <v>0.82372999999999996</v>
      </c>
      <c r="AD300" s="1">
        <v>0.81767999999999996</v>
      </c>
      <c r="AE300" s="1">
        <v>0.79457999999999995</v>
      </c>
      <c r="AF300" s="1">
        <v>0.78527999999999998</v>
      </c>
      <c r="AG300" s="1">
        <v>0.84180999999999995</v>
      </c>
      <c r="AH300" s="1">
        <v>0.81342999999999999</v>
      </c>
      <c r="AI300" s="1">
        <v>0.81596000000000002</v>
      </c>
      <c r="AL300" s="4" t="s">
        <v>25</v>
      </c>
      <c r="AM300" s="6" cm="1">
        <f t="array" ref="AM300">IFERROR((SUMPRODUCT(($A$288:$A$311=AM$286)*($F$285:$AI$285="")*$F$288:$AI$311)+IF(AM$286="P6",SUMPRODUCT(($F$285:$AI$285="P6")*$F$288:$AI$311),0))/(SUMPRODUCT(($A$288:$A$311=AM$286)*($F$285:$AI$285=""))+IF(AM$286="P6",COUNTIF($F$285:$AI$285,"P6")*ROWS($A$288:$A$311),0)),"")</f>
        <v>0.8620026767676765</v>
      </c>
      <c r="AN300" s="6" t="str" cm="1">
        <f t="array" ref="AN300">IFERROR((SUMPRODUCT(($A$288:$A$311=AN$286)*($F$285:$AI$285="")*$F$288:$AI$311)+IF(AN$286="P6",SUMPRODUCT(($F$285:$AI$285="P6")*$F$288:$AI$311),0))/(SUMPRODUCT(($A$288:$A$311=AN$286)*($F$285:$AI$285=""))+IF(AN$286="P6",COUNTIF($F$285:$AI$285,"P6")*ROWS($A$288:$A$311),0)),"")</f>
        <v/>
      </c>
      <c r="AO300" s="6" cm="1">
        <f t="array" ref="AO300">IFERROR((SUMPRODUCT(($A$288:$A$311=AO$286)*($F$285:$AI$285="")*$F$288:$AI$311)+IF(AO$286="P6",SUMPRODUCT(($F$285:$AI$285="P6")*$F$288:$AI$311),0))/(SUMPRODUCT(($A$288:$A$311=AO$286)*($F$285:$AI$285=""))+IF(AO$286="P6",COUNTIF($F$285:$AI$285,"P6")*ROWS($A$288:$A$311),0)),"")</f>
        <v>0.90604629870129849</v>
      </c>
      <c r="AP300" s="6" t="str" cm="1">
        <f t="array" ref="AP300">IFERROR((SUMPRODUCT(($A$288:$A$311=AP$286)*($F$285:$AI$285="")*$F$288:$AI$311)+IF(AP$286="P6",SUMPRODUCT(($F$285:$AI$285="P6")*$F$288:$AI$311),0))/(SUMPRODUCT(($A$288:$A$311=AP$286)*($F$285:$AI$285=""))+IF(AP$286="P6",COUNTIF($F$285:$AI$285,"P6")*ROWS($A$288:$A$311),0)),"")</f>
        <v/>
      </c>
      <c r="AQ300" s="6" t="str" cm="1">
        <f t="array" ref="AQ300">IFERROR((SUMPRODUCT(($A$288:$A$311=AQ$286)*($F$285:$AI$285="")*$F$288:$AI$311)+IF(AQ$286="P6",SUMPRODUCT(($F$285:$AI$285="P6")*$F$288:$AI$311),0))/(SUMPRODUCT(($A$288:$A$311=AQ$286)*($F$285:$AI$285=""))+IF(AQ$286="P6",COUNTIF($F$285:$AI$285,"P6")*ROWS($A$288:$A$311),0)),"")</f>
        <v/>
      </c>
      <c r="AR300" s="6" cm="1">
        <f t="array" ref="AR300">IFERROR((SUMPRODUCT(($A$288:$A$311=AR$286)*($F$285:$AI$285="")*$F$288:$AI$311)+IF(AR$286="P6",SUMPRODUCT(($F$285:$AI$285="P6")*$F$288:$AI$311),0))/(SUMPRODUCT(($A$288:$A$311=AR$286)*($F$285:$AI$285=""))+IF(AR$286="P6",COUNTIF($F$285:$AI$285,"P6")*ROWS($A$288:$A$311),0)),"")</f>
        <v>0.90977116847826001</v>
      </c>
    </row>
    <row r="301" spans="1:44" ht="14.25" customHeight="1" x14ac:dyDescent="0.35">
      <c r="A301" s="1" t="s">
        <v>13</v>
      </c>
      <c r="B301" s="1" t="s">
        <v>13</v>
      </c>
      <c r="C301" s="1" t="s">
        <v>13</v>
      </c>
      <c r="D301" s="1" t="s">
        <v>15</v>
      </c>
      <c r="E301" s="1" t="s">
        <v>32</v>
      </c>
      <c r="F301" s="1">
        <v>0.79739000000000004</v>
      </c>
      <c r="G301" s="1">
        <v>0.80667999999999995</v>
      </c>
      <c r="H301" s="1">
        <v>0.81755999999999995</v>
      </c>
      <c r="I301" s="1">
        <v>0.80654999999999999</v>
      </c>
      <c r="J301" s="1">
        <v>0.75895000000000001</v>
      </c>
      <c r="K301" s="1">
        <v>0.76651000000000002</v>
      </c>
      <c r="L301" s="1">
        <v>0.82450000000000001</v>
      </c>
      <c r="M301" s="1">
        <v>0.79739000000000004</v>
      </c>
      <c r="N301" s="1">
        <v>0.80667999999999995</v>
      </c>
      <c r="O301" s="1">
        <v>0.81755999999999995</v>
      </c>
      <c r="P301" s="1">
        <v>0.80654999999999999</v>
      </c>
      <c r="Q301" s="1">
        <v>0.75895000000000001</v>
      </c>
      <c r="R301" s="1">
        <v>0.76651000000000002</v>
      </c>
      <c r="S301" s="1">
        <v>0.82450000000000001</v>
      </c>
      <c r="T301" s="1">
        <v>0.79739000000000004</v>
      </c>
      <c r="U301" s="1">
        <v>0.80667999999999995</v>
      </c>
      <c r="V301" s="1">
        <v>0.81755999999999995</v>
      </c>
      <c r="W301" s="1">
        <v>0.80654999999999999</v>
      </c>
      <c r="X301" s="1">
        <v>0.75895000000000001</v>
      </c>
      <c r="Y301" s="1">
        <v>0.76651000000000002</v>
      </c>
      <c r="Z301" s="1">
        <v>0.82450000000000001</v>
      </c>
      <c r="AA301" s="1">
        <v>0.79739000000000004</v>
      </c>
      <c r="AB301" s="1">
        <v>0.80667999999999995</v>
      </c>
      <c r="AC301" s="1">
        <v>0.81755999999999995</v>
      </c>
      <c r="AD301" s="1">
        <v>0.80654999999999999</v>
      </c>
      <c r="AE301" s="1">
        <v>0.75895000000000001</v>
      </c>
      <c r="AF301" s="1">
        <v>0.76651000000000002</v>
      </c>
      <c r="AG301" s="1">
        <v>0.82450000000000001</v>
      </c>
      <c r="AH301" s="1">
        <v>0.79739000000000004</v>
      </c>
      <c r="AI301" s="1">
        <v>0.80667999999999995</v>
      </c>
      <c r="AL301" s="4" t="s">
        <v>27</v>
      </c>
      <c r="AM301" s="6" cm="1">
        <f t="array" ref="AM301">IFERROR((SUMPRODUCT(($A$288:$A$311=AM$286)*($F$285:$AI$285="")*$F$288:$AI$311)+IF(AM$286="P6",SUMPRODUCT(($F$285:$AI$285="P6")*$F$288:$AI$311),0))/(SUMPRODUCT(($A$288:$A$311=AM$286)*($F$285:$AI$285=""))+IF(AM$286="P6",COUNTIF($F$285:$AI$285,"P6")*ROWS($A$288:$A$311),0)),"")</f>
        <v>0.8620026767676765</v>
      </c>
      <c r="AN301" s="6" t="str" cm="1">
        <f t="array" ref="AN301">IFERROR((SUMPRODUCT(($A$288:$A$311=AN$286)*($F$285:$AI$285="")*$F$288:$AI$311)+IF(AN$286="P6",SUMPRODUCT(($F$285:$AI$285="P6")*$F$288:$AI$311),0))/(SUMPRODUCT(($A$288:$A$311=AN$286)*($F$285:$AI$285=""))+IF(AN$286="P6",COUNTIF($F$285:$AI$285,"P6")*ROWS($A$288:$A$311),0)),"")</f>
        <v/>
      </c>
      <c r="AO301" s="6" cm="1">
        <f t="array" ref="AO301">IFERROR((SUMPRODUCT(($A$288:$A$311=AO$286)*($F$285:$AI$285="")*$F$288:$AI$311)+IF(AO$286="P6",SUMPRODUCT(($F$285:$AI$285="P6")*$F$288:$AI$311),0))/(SUMPRODUCT(($A$288:$A$311=AO$286)*($F$285:$AI$285=""))+IF(AO$286="P6",COUNTIF($F$285:$AI$285,"P6")*ROWS($A$288:$A$311),0)),"")</f>
        <v>0.90604629870129849</v>
      </c>
      <c r="AP301" s="6" t="str" cm="1">
        <f t="array" ref="AP301">IFERROR((SUMPRODUCT(($A$288:$A$311=AP$286)*($F$285:$AI$285="")*$F$288:$AI$311)+IF(AP$286="P6",SUMPRODUCT(($F$285:$AI$285="P6")*$F$288:$AI$311),0))/(SUMPRODUCT(($A$288:$A$311=AP$286)*($F$285:$AI$285=""))+IF(AP$286="P6",COUNTIF($F$285:$AI$285,"P6")*ROWS($A$288:$A$311),0)),"")</f>
        <v/>
      </c>
      <c r="AQ301" s="6" t="str" cm="1">
        <f t="array" ref="AQ301">IFERROR((SUMPRODUCT(($A$288:$A$311=AQ$286)*($F$285:$AI$285="")*$F$288:$AI$311)+IF(AQ$286="P6",SUMPRODUCT(($F$285:$AI$285="P6")*$F$288:$AI$311),0))/(SUMPRODUCT(($A$288:$A$311=AQ$286)*($F$285:$AI$285=""))+IF(AQ$286="P6",COUNTIF($F$285:$AI$285,"P6")*ROWS($A$288:$A$311),0)),"")</f>
        <v/>
      </c>
      <c r="AR301" s="6" cm="1">
        <f t="array" ref="AR301">IFERROR((SUMPRODUCT(($A$288:$A$311=AR$286)*($F$285:$AI$285="")*$F$288:$AI$311)+IF(AR$286="P6",SUMPRODUCT(($F$285:$AI$285="P6")*$F$288:$AI$311),0))/(SUMPRODUCT(($A$288:$A$311=AR$286)*($F$285:$AI$285=""))+IF(AR$286="P6",COUNTIF($F$285:$AI$285,"P6")*ROWS($A$288:$A$311),0)),"")</f>
        <v>0.90977116847826001</v>
      </c>
    </row>
    <row r="302" spans="1:44" ht="14.25" customHeight="1" x14ac:dyDescent="0.35">
      <c r="A302" s="1" t="s">
        <v>13</v>
      </c>
      <c r="B302" s="1" t="s">
        <v>13</v>
      </c>
      <c r="C302" s="1" t="s">
        <v>14</v>
      </c>
      <c r="D302" s="1" t="s">
        <v>16</v>
      </c>
      <c r="E302" s="1" t="s">
        <v>33</v>
      </c>
      <c r="F302" s="1">
        <v>0.82477999999999996</v>
      </c>
      <c r="G302" s="1">
        <v>0.84389000000000003</v>
      </c>
      <c r="H302" s="1">
        <v>0.83382000000000001</v>
      </c>
      <c r="I302" s="1">
        <v>0.84401999999999999</v>
      </c>
      <c r="J302" s="1">
        <v>0.74675999999999998</v>
      </c>
      <c r="K302" s="1">
        <v>0.75658999999999998</v>
      </c>
      <c r="L302" s="1">
        <v>0.85097</v>
      </c>
      <c r="M302" s="1">
        <v>0.82477999999999996</v>
      </c>
      <c r="N302" s="1">
        <v>0.84389000000000003</v>
      </c>
      <c r="O302" s="1">
        <v>0.83382000000000001</v>
      </c>
      <c r="P302" s="1">
        <v>0.84401999999999999</v>
      </c>
      <c r="Q302" s="1">
        <v>0.74675999999999998</v>
      </c>
      <c r="R302" s="1">
        <v>0.75658999999999998</v>
      </c>
      <c r="S302" s="1">
        <v>0.85097</v>
      </c>
      <c r="T302" s="1">
        <v>0.82477999999999996</v>
      </c>
      <c r="U302" s="1">
        <v>0.84389000000000003</v>
      </c>
      <c r="V302" s="1">
        <v>0.83382000000000001</v>
      </c>
      <c r="W302" s="1">
        <v>0.84401999999999999</v>
      </c>
      <c r="X302" s="1">
        <v>0.74675999999999998</v>
      </c>
      <c r="Y302" s="1">
        <v>0.75658999999999998</v>
      </c>
      <c r="Z302" s="1">
        <v>0.85097</v>
      </c>
      <c r="AA302" s="1">
        <v>0.82477999999999996</v>
      </c>
      <c r="AB302" s="1">
        <v>0.84389000000000003</v>
      </c>
      <c r="AC302" s="1">
        <v>0.83382000000000001</v>
      </c>
      <c r="AD302" s="1">
        <v>0.84401999999999999</v>
      </c>
      <c r="AE302" s="1">
        <v>0.74675999999999998</v>
      </c>
      <c r="AF302" s="1">
        <v>0.75658999999999998</v>
      </c>
      <c r="AG302" s="1">
        <v>0.85097</v>
      </c>
      <c r="AH302" s="1">
        <v>0.82477999999999996</v>
      </c>
      <c r="AI302" s="1">
        <v>0.84389000000000003</v>
      </c>
      <c r="AL302" s="4" t="s">
        <v>29</v>
      </c>
      <c r="AM302" s="6" cm="1">
        <f t="array" ref="AM302">IFERROR((SUMPRODUCT(($A$288:$A$311=AM$286)*($F$285:$AI$285="")*$F$288:$AI$311)+IF(AM$286="P6",SUMPRODUCT(($F$285:$AI$285="P6")*$F$288:$AI$311),0))/(SUMPRODUCT(($A$288:$A$311=AM$286)*($F$285:$AI$285=""))+IF(AM$286="P6",COUNTIF($F$285:$AI$285,"P6")*ROWS($A$288:$A$311),0)),"")</f>
        <v>0.8620026767676765</v>
      </c>
      <c r="AN302" s="6" t="str" cm="1">
        <f t="array" ref="AN302">IFERROR((SUMPRODUCT(($A$288:$A$311=AN$286)*($F$285:$AI$285="")*$F$288:$AI$311)+IF(AN$286="P6",SUMPRODUCT(($F$285:$AI$285="P6")*$F$288:$AI$311),0))/(SUMPRODUCT(($A$288:$A$311=AN$286)*($F$285:$AI$285=""))+IF(AN$286="P6",COUNTIF($F$285:$AI$285,"P6")*ROWS($A$288:$A$311),0)),"")</f>
        <v/>
      </c>
      <c r="AO302" s="6" cm="1">
        <f t="array" ref="AO302">IFERROR((SUMPRODUCT(($A$288:$A$311=AO$286)*($F$285:$AI$285="")*$F$288:$AI$311)+IF(AO$286="P6",SUMPRODUCT(($F$285:$AI$285="P6")*$F$288:$AI$311),0))/(SUMPRODUCT(($A$288:$A$311=AO$286)*($F$285:$AI$285=""))+IF(AO$286="P6",COUNTIF($F$285:$AI$285,"P6")*ROWS($A$288:$A$311),0)),"")</f>
        <v>0.90604629870129849</v>
      </c>
      <c r="AP302" s="6" t="str" cm="1">
        <f t="array" ref="AP302">IFERROR((SUMPRODUCT(($A$288:$A$311=AP$286)*($F$285:$AI$285="")*$F$288:$AI$311)+IF(AP$286="P6",SUMPRODUCT(($F$285:$AI$285="P6")*$F$288:$AI$311),0))/(SUMPRODUCT(($A$288:$A$311=AP$286)*($F$285:$AI$285=""))+IF(AP$286="P6",COUNTIF($F$285:$AI$285,"P6")*ROWS($A$288:$A$311),0)),"")</f>
        <v/>
      </c>
      <c r="AQ302" s="6" t="str" cm="1">
        <f t="array" ref="AQ302">IFERROR((SUMPRODUCT(($A$288:$A$311=AQ$286)*($F$285:$AI$285="")*$F$288:$AI$311)+IF(AQ$286="P6",SUMPRODUCT(($F$285:$AI$285="P6")*$F$288:$AI$311),0))/(SUMPRODUCT(($A$288:$A$311=AQ$286)*($F$285:$AI$285=""))+IF(AQ$286="P6",COUNTIF($F$285:$AI$285,"P6")*ROWS($A$288:$A$311),0)),"")</f>
        <v/>
      </c>
      <c r="AR302" s="6" cm="1">
        <f t="array" ref="AR302">IFERROR((SUMPRODUCT(($A$288:$A$311=AR$286)*($F$285:$AI$285="")*$F$288:$AI$311)+IF(AR$286="P6",SUMPRODUCT(($F$285:$AI$285="P6")*$F$288:$AI$311),0))/(SUMPRODUCT(($A$288:$A$311=AR$286)*($F$285:$AI$285=""))+IF(AR$286="P6",COUNTIF($F$285:$AI$285,"P6")*ROWS($A$288:$A$311),0)),"")</f>
        <v>0.90977116847826001</v>
      </c>
    </row>
    <row r="303" spans="1:44" ht="14.25" customHeight="1" x14ac:dyDescent="0.35">
      <c r="A303" s="1" t="s">
        <v>15</v>
      </c>
      <c r="B303" s="1" t="s">
        <v>14</v>
      </c>
      <c r="C303" s="1" t="s">
        <v>14</v>
      </c>
      <c r="D303" s="1" t="s">
        <v>16</v>
      </c>
      <c r="E303" s="1" t="s">
        <v>34</v>
      </c>
      <c r="F303" s="1">
        <v>0.84616999999999998</v>
      </c>
      <c r="G303" s="1">
        <v>0.85582000000000003</v>
      </c>
      <c r="H303" s="1">
        <v>0.83301999999999998</v>
      </c>
      <c r="I303" s="1">
        <v>0.86324000000000001</v>
      </c>
      <c r="J303" s="1">
        <v>0.78503999999999996</v>
      </c>
      <c r="K303" s="1">
        <v>0.77249000000000001</v>
      </c>
      <c r="L303" s="1">
        <v>0.87517</v>
      </c>
      <c r="M303" s="1">
        <v>0.84616999999999998</v>
      </c>
      <c r="N303" s="1">
        <v>0.85582000000000003</v>
      </c>
      <c r="O303" s="1">
        <v>0.83301999999999998</v>
      </c>
      <c r="P303" s="1">
        <v>0.86324000000000001</v>
      </c>
      <c r="Q303" s="1">
        <v>0.78503999999999996</v>
      </c>
      <c r="R303" s="1">
        <v>0.77249000000000001</v>
      </c>
      <c r="S303" s="1">
        <v>0.87517</v>
      </c>
      <c r="T303" s="1">
        <v>0.84616999999999998</v>
      </c>
      <c r="U303" s="1">
        <v>0.85582000000000003</v>
      </c>
      <c r="V303" s="1">
        <v>0.83301999999999998</v>
      </c>
      <c r="W303" s="1">
        <v>0.86324000000000001</v>
      </c>
      <c r="X303" s="1">
        <v>0.78503999999999996</v>
      </c>
      <c r="Y303" s="1">
        <v>0.77249000000000001</v>
      </c>
      <c r="Z303" s="1">
        <v>0.87517</v>
      </c>
      <c r="AA303" s="1">
        <v>0.84616999999999998</v>
      </c>
      <c r="AB303" s="1">
        <v>0.85582000000000003</v>
      </c>
      <c r="AC303" s="1">
        <v>0.83301999999999998</v>
      </c>
      <c r="AD303" s="1">
        <v>0.86324000000000001</v>
      </c>
      <c r="AE303" s="1">
        <v>0.78503999999999996</v>
      </c>
      <c r="AF303" s="1">
        <v>0.77249000000000001</v>
      </c>
      <c r="AG303" s="1">
        <v>0.87517</v>
      </c>
      <c r="AH303" s="1">
        <v>0.84616999999999998</v>
      </c>
      <c r="AI303" s="1">
        <v>0.85582000000000003</v>
      </c>
      <c r="AL303" s="10"/>
      <c r="AM303" s="10"/>
      <c r="AN303" s="10"/>
      <c r="AO303" s="10"/>
      <c r="AP303" s="10"/>
      <c r="AQ303" s="10"/>
      <c r="AR303" s="10"/>
    </row>
    <row r="304" spans="1:44" ht="14.25" customHeight="1" x14ac:dyDescent="0.35">
      <c r="A304" s="1" t="s">
        <v>15</v>
      </c>
      <c r="B304" s="1" t="s">
        <v>14</v>
      </c>
      <c r="C304" s="1" t="s">
        <v>14</v>
      </c>
      <c r="D304" s="1" t="s">
        <v>16</v>
      </c>
      <c r="E304" s="1" t="s">
        <v>35</v>
      </c>
      <c r="F304" s="1">
        <v>0.86390999999999996</v>
      </c>
      <c r="G304" s="1">
        <v>0.87599000000000005</v>
      </c>
      <c r="H304" s="1">
        <v>0.84243000000000001</v>
      </c>
      <c r="I304" s="1">
        <v>0.87063000000000001</v>
      </c>
      <c r="J304" s="1">
        <v>0.82055999999999996</v>
      </c>
      <c r="K304" s="1">
        <v>0.82020000000000004</v>
      </c>
      <c r="L304" s="1">
        <v>0.88592000000000004</v>
      </c>
      <c r="M304" s="1">
        <v>0.86390999999999996</v>
      </c>
      <c r="N304" s="1">
        <v>0.87599000000000005</v>
      </c>
      <c r="O304" s="1">
        <v>0.84243000000000001</v>
      </c>
      <c r="P304" s="1">
        <v>0.87063000000000001</v>
      </c>
      <c r="Q304" s="1">
        <v>0.82055999999999996</v>
      </c>
      <c r="R304" s="1">
        <v>0.82020000000000004</v>
      </c>
      <c r="S304" s="1">
        <v>0.88592000000000004</v>
      </c>
      <c r="T304" s="1">
        <v>0.86390999999999996</v>
      </c>
      <c r="U304" s="1">
        <v>0.87599000000000005</v>
      </c>
      <c r="V304" s="1">
        <v>0.84243000000000001</v>
      </c>
      <c r="W304" s="1">
        <v>0.87063000000000001</v>
      </c>
      <c r="X304" s="1">
        <v>0.82055999999999996</v>
      </c>
      <c r="Y304" s="1">
        <v>0.82020000000000004</v>
      </c>
      <c r="Z304" s="1">
        <v>0.88592000000000004</v>
      </c>
      <c r="AA304" s="1">
        <v>0.86390999999999996</v>
      </c>
      <c r="AB304" s="1">
        <v>0.87599000000000005</v>
      </c>
      <c r="AC304" s="1">
        <v>0.84243000000000001</v>
      </c>
      <c r="AD304" s="1">
        <v>0.87063000000000001</v>
      </c>
      <c r="AE304" s="1">
        <v>0.82055999999999996</v>
      </c>
      <c r="AF304" s="1">
        <v>0.82020000000000004</v>
      </c>
      <c r="AG304" s="1">
        <v>0.88592000000000004</v>
      </c>
      <c r="AH304" s="1">
        <v>0.86390999999999996</v>
      </c>
      <c r="AI304" s="1">
        <v>0.87599000000000005</v>
      </c>
      <c r="AL304" s="10"/>
      <c r="AM304" s="10"/>
      <c r="AN304" s="10"/>
      <c r="AO304" s="10"/>
      <c r="AP304" s="10"/>
      <c r="AQ304" s="10"/>
      <c r="AR304" s="10"/>
    </row>
    <row r="305" spans="1:44" ht="14.25" customHeight="1" x14ac:dyDescent="0.35">
      <c r="A305" s="1" t="s">
        <v>15</v>
      </c>
      <c r="B305" s="1" t="s">
        <v>14</v>
      </c>
      <c r="C305" s="1" t="s">
        <v>14</v>
      </c>
      <c r="D305" s="1" t="s">
        <v>16</v>
      </c>
      <c r="E305" s="1" t="s">
        <v>36</v>
      </c>
      <c r="F305" s="1">
        <v>0.87241000000000002</v>
      </c>
      <c r="G305" s="1">
        <v>0.88336999999999999</v>
      </c>
      <c r="H305" s="1">
        <v>0.85746999999999995</v>
      </c>
      <c r="I305" s="1">
        <v>0.89834999999999998</v>
      </c>
      <c r="J305" s="1">
        <v>0.84409999999999996</v>
      </c>
      <c r="K305" s="1">
        <v>0.86985999999999997</v>
      </c>
      <c r="L305" s="1">
        <v>0.90381</v>
      </c>
      <c r="M305" s="1">
        <v>0.87241000000000002</v>
      </c>
      <c r="N305" s="1">
        <v>0.88336999999999999</v>
      </c>
      <c r="O305" s="1">
        <v>0.85746999999999995</v>
      </c>
      <c r="P305" s="1">
        <v>0.89834999999999998</v>
      </c>
      <c r="Q305" s="1">
        <v>0.84409999999999996</v>
      </c>
      <c r="R305" s="1">
        <v>0.86985999999999997</v>
      </c>
      <c r="S305" s="1">
        <v>0.90381</v>
      </c>
      <c r="T305" s="1">
        <v>0.87241000000000002</v>
      </c>
      <c r="U305" s="1">
        <v>0.88336999999999999</v>
      </c>
      <c r="V305" s="1">
        <v>0.85746999999999995</v>
      </c>
      <c r="W305" s="1">
        <v>0.89834999999999998</v>
      </c>
      <c r="X305" s="1">
        <v>0.84409999999999996</v>
      </c>
      <c r="Y305" s="1">
        <v>0.86985999999999997</v>
      </c>
      <c r="Z305" s="1">
        <v>0.90381</v>
      </c>
      <c r="AA305" s="1">
        <v>0.87241000000000002</v>
      </c>
      <c r="AB305" s="1">
        <v>0.88336999999999999</v>
      </c>
      <c r="AC305" s="1">
        <v>0.85746999999999995</v>
      </c>
      <c r="AD305" s="1">
        <v>0.89834999999999998</v>
      </c>
      <c r="AE305" s="1">
        <v>0.84409999999999996</v>
      </c>
      <c r="AF305" s="1">
        <v>0.86985999999999997</v>
      </c>
      <c r="AG305" s="1">
        <v>0.90381</v>
      </c>
      <c r="AH305" s="1">
        <v>0.87241000000000002</v>
      </c>
      <c r="AI305" s="1">
        <v>0.88336999999999999</v>
      </c>
      <c r="AL305" s="14" t="s">
        <v>142</v>
      </c>
      <c r="AM305" s="14"/>
      <c r="AN305" s="14"/>
      <c r="AO305" s="14"/>
      <c r="AP305" s="14"/>
      <c r="AQ305" s="14"/>
      <c r="AR305" s="14"/>
    </row>
    <row r="306" spans="1:44" ht="14.25" customHeight="1" x14ac:dyDescent="0.35">
      <c r="A306" s="1" t="s">
        <v>13</v>
      </c>
      <c r="B306" s="1" t="s">
        <v>13</v>
      </c>
      <c r="C306" s="1" t="s">
        <v>13</v>
      </c>
      <c r="D306" s="1" t="s">
        <v>15</v>
      </c>
      <c r="E306" s="1" t="s">
        <v>37</v>
      </c>
      <c r="F306" s="1">
        <v>0.87329000000000001</v>
      </c>
      <c r="G306" s="1">
        <v>0.88500999999999996</v>
      </c>
      <c r="H306" s="1">
        <v>0.87534999999999996</v>
      </c>
      <c r="I306" s="1">
        <v>0.90003999999999995</v>
      </c>
      <c r="J306" s="1">
        <v>0.85228000000000004</v>
      </c>
      <c r="K306" s="1">
        <v>0.88417999999999997</v>
      </c>
      <c r="L306" s="1">
        <v>0.89954000000000001</v>
      </c>
      <c r="M306" s="1">
        <v>0.87329000000000001</v>
      </c>
      <c r="N306" s="1">
        <v>0.88500999999999996</v>
      </c>
      <c r="O306" s="1">
        <v>0.87534999999999996</v>
      </c>
      <c r="P306" s="1">
        <v>0.90003999999999995</v>
      </c>
      <c r="Q306" s="1">
        <v>0.85228000000000004</v>
      </c>
      <c r="R306" s="1">
        <v>0.88417999999999997</v>
      </c>
      <c r="S306" s="1">
        <v>0.89954000000000001</v>
      </c>
      <c r="T306" s="1">
        <v>0.87329000000000001</v>
      </c>
      <c r="U306" s="1">
        <v>0.88500999999999996</v>
      </c>
      <c r="V306" s="1">
        <v>0.87534999999999996</v>
      </c>
      <c r="W306" s="1">
        <v>0.90003999999999995</v>
      </c>
      <c r="X306" s="1">
        <v>0.85228000000000004</v>
      </c>
      <c r="Y306" s="1">
        <v>0.88417999999999997</v>
      </c>
      <c r="Z306" s="1">
        <v>0.89954000000000001</v>
      </c>
      <c r="AA306" s="1">
        <v>0.87329000000000001</v>
      </c>
      <c r="AB306" s="1">
        <v>0.88500999999999996</v>
      </c>
      <c r="AC306" s="1">
        <v>0.87534999999999996</v>
      </c>
      <c r="AD306" s="1">
        <v>0.90003999999999995</v>
      </c>
      <c r="AE306" s="1">
        <v>0.85228000000000004</v>
      </c>
      <c r="AF306" s="1">
        <v>0.88417999999999997</v>
      </c>
      <c r="AG306" s="1">
        <v>0.89954000000000001</v>
      </c>
      <c r="AH306" s="1">
        <v>0.87329000000000001</v>
      </c>
      <c r="AI306" s="1">
        <v>0.88500999999999996</v>
      </c>
      <c r="AL306" s="4"/>
      <c r="AM306" s="4" t="s">
        <v>13</v>
      </c>
      <c r="AN306" s="4" t="s">
        <v>14</v>
      </c>
      <c r="AO306" s="4" t="s">
        <v>15</v>
      </c>
      <c r="AP306" s="4" t="s">
        <v>16</v>
      </c>
      <c r="AQ306" s="4" t="s">
        <v>17</v>
      </c>
      <c r="AR306" s="4" t="s">
        <v>7</v>
      </c>
    </row>
    <row r="307" spans="1:44" ht="14.25" customHeight="1" x14ac:dyDescent="0.35">
      <c r="A307" s="1" t="s">
        <v>13</v>
      </c>
      <c r="B307" s="1" t="s">
        <v>13</v>
      </c>
      <c r="C307" s="1" t="s">
        <v>13</v>
      </c>
      <c r="D307" s="1" t="s">
        <v>15</v>
      </c>
      <c r="E307" s="1" t="s">
        <v>38</v>
      </c>
      <c r="F307" s="1">
        <v>0.88792000000000004</v>
      </c>
      <c r="G307" s="1">
        <v>0.90763000000000005</v>
      </c>
      <c r="H307" s="1">
        <v>0.89761000000000002</v>
      </c>
      <c r="I307" s="1">
        <v>0.90032000000000001</v>
      </c>
      <c r="J307" s="1">
        <v>0.85594999999999999</v>
      </c>
      <c r="K307" s="1">
        <v>0.89153000000000004</v>
      </c>
      <c r="L307" s="1">
        <v>0.91483000000000003</v>
      </c>
      <c r="M307" s="1">
        <v>0.88792000000000004</v>
      </c>
      <c r="N307" s="1">
        <v>0.90763000000000005</v>
      </c>
      <c r="O307" s="1">
        <v>0.89761000000000002</v>
      </c>
      <c r="P307" s="1">
        <v>0.90032000000000001</v>
      </c>
      <c r="Q307" s="1">
        <v>0.85594999999999999</v>
      </c>
      <c r="R307" s="1">
        <v>0.89153000000000004</v>
      </c>
      <c r="S307" s="1">
        <v>0.91483000000000003</v>
      </c>
      <c r="T307" s="1">
        <v>0.88792000000000004</v>
      </c>
      <c r="U307" s="1">
        <v>0.90763000000000005</v>
      </c>
      <c r="V307" s="1">
        <v>0.89761000000000002</v>
      </c>
      <c r="W307" s="1">
        <v>0.90032000000000001</v>
      </c>
      <c r="X307" s="1">
        <v>0.85594999999999999</v>
      </c>
      <c r="Y307" s="1">
        <v>0.89153000000000004</v>
      </c>
      <c r="Z307" s="1">
        <v>0.91483000000000003</v>
      </c>
      <c r="AA307" s="1">
        <v>0.88792000000000004</v>
      </c>
      <c r="AB307" s="1">
        <v>0.90763000000000005</v>
      </c>
      <c r="AC307" s="1">
        <v>0.89761000000000002</v>
      </c>
      <c r="AD307" s="1">
        <v>0.90032000000000001</v>
      </c>
      <c r="AE307" s="1">
        <v>0.85594999999999999</v>
      </c>
      <c r="AF307" s="1">
        <v>0.89153000000000004</v>
      </c>
      <c r="AG307" s="1">
        <v>0.91483000000000003</v>
      </c>
      <c r="AH307" s="1">
        <v>0.88792000000000004</v>
      </c>
      <c r="AI307" s="1">
        <v>0.90763000000000005</v>
      </c>
      <c r="AL307" s="4" t="s">
        <v>19</v>
      </c>
      <c r="AM307" s="6" cm="1">
        <f t="array" ref="AM307">IFERROR((SUMPRODUCT(($C$288:$C$311=AM$286)*($F$284:$AI$284="")*$F$288:$AI$311)+IF(AM$286="P3",SUMPRODUCT(($F$284:$AI$284="P3")*$F$288:$AI$311),0))/(SUMPRODUCT(($C$288:$C$311=AM$286)*($F$284:$AI$284=""))+IF(AM$286="P3",COUNTIF($F$284:$AI$284,"P3")*ROWS($C$288:$C$311),0)),"")</f>
        <v>0.86487465909090844</v>
      </c>
      <c r="AN307" s="6" cm="1">
        <f t="array" ref="AN307">IFERROR((SUMPRODUCT(($C$288:$C$311=AN$286)*($F$284:$AI$284="")*$F$288:$AI$311)+IF(AN$286="P3",SUMPRODUCT(($F$284:$AI$284="P3")*$F$288:$AI$311),0))/(SUMPRODUCT(($C$288:$C$311=AN$286)*($F$284:$AI$284=""))+IF(AN$286="P3",COUNTIF($F$284:$AI$284,"P3")*ROWS($C$288:$C$311),0)),"")</f>
        <v>0.89766886363636378</v>
      </c>
      <c r="AO307" s="6" cm="1">
        <f t="array" ref="AO307">IFERROR((SUMPRODUCT(($C$288:$C$311=AO$286)*($F$284:$AI$284="")*$F$288:$AI$311)+IF(AO$286="P3",SUMPRODUCT(($F$284:$AI$284="P3")*$F$288:$AI$311),0))/(SUMPRODUCT(($C$288:$C$311=AO$286)*($F$284:$AI$284=""))+IF(AO$286="P3",COUNTIF($F$284:$AI$284,"P3")*ROWS($C$288:$C$311),0)),"")</f>
        <v>0.90977116847826001</v>
      </c>
      <c r="AP307" s="6" t="str" cm="1">
        <f t="array" ref="AP307">IFERROR((SUMPRODUCT(($C$288:$C$311=AP$286)*($F$284:$AI$284="")*$F$288:$AI$311)+IF(AP$286="P3",SUMPRODUCT(($F$284:$AI$284="P3")*$F$288:$AI$311),0))/(SUMPRODUCT(($C$288:$C$311=AP$286)*($F$284:$AI$284=""))+IF(AP$286="P3",COUNTIF($F$284:$AI$284,"P3")*ROWS($C$288:$C$311),0)),"")</f>
        <v/>
      </c>
      <c r="AQ307" s="6" t="str" cm="1">
        <f t="array" ref="AQ307">IFERROR((SUMPRODUCT(($C$288:$C$311=AQ$286)*($F$284:$AI$284="")*$F$288:$AI$311)+IF(AQ$286="P3",SUMPRODUCT(($F$284:$AI$284="P3")*$F$288:$AI$311),0))/(SUMPRODUCT(($C$288:$C$311=AQ$286)*($F$284:$AI$284=""))+IF(AQ$286="P3",COUNTIF($F$284:$AI$284,"P3")*ROWS($C$288:$C$311),0)),"")</f>
        <v/>
      </c>
      <c r="AR307" s="6" t="str" cm="1">
        <f t="array" ref="AR307">IFERROR((SUMPRODUCT(($C$288:$C$311=AR$286)*($F$284:$AI$284="")*$F$288:$AI$311)+IF(AR$286="P3",SUMPRODUCT(($F$284:$AI$284="P3")*$F$288:$AI$311),0))/(SUMPRODUCT(($C$288:$C$311=AR$286)*($F$284:$AI$284=""))+IF(AR$286="P3",COUNTIF($F$284:$AI$284,"P3")*ROWS($C$288:$C$311),0)),"")</f>
        <v/>
      </c>
    </row>
    <row r="308" spans="1:44" ht="14.25" customHeight="1" x14ac:dyDescent="0.35">
      <c r="A308" s="1" t="s">
        <v>13</v>
      </c>
      <c r="B308" s="1" t="s">
        <v>13</v>
      </c>
      <c r="C308" s="1" t="s">
        <v>13</v>
      </c>
      <c r="D308" s="1" t="s">
        <v>15</v>
      </c>
      <c r="E308" s="1" t="s">
        <v>39</v>
      </c>
      <c r="F308" s="1">
        <v>0.90330999999999995</v>
      </c>
      <c r="G308" s="1">
        <v>0.92032000000000003</v>
      </c>
      <c r="H308" s="1">
        <v>0.92198999999999998</v>
      </c>
      <c r="I308" s="1">
        <v>0.93359000000000003</v>
      </c>
      <c r="J308" s="1">
        <v>0.86582999999999999</v>
      </c>
      <c r="K308" s="1">
        <v>0.89263000000000003</v>
      </c>
      <c r="L308" s="1">
        <v>0.93718999999999997</v>
      </c>
      <c r="M308" s="1">
        <v>0.90330999999999995</v>
      </c>
      <c r="N308" s="1">
        <v>0.92032000000000003</v>
      </c>
      <c r="O308" s="1">
        <v>0.92198999999999998</v>
      </c>
      <c r="P308" s="1">
        <v>0.93359000000000003</v>
      </c>
      <c r="Q308" s="1">
        <v>0.86582999999999999</v>
      </c>
      <c r="R308" s="1">
        <v>0.89263000000000003</v>
      </c>
      <c r="S308" s="1">
        <v>0.93718999999999997</v>
      </c>
      <c r="T308" s="1">
        <v>0.90330999999999995</v>
      </c>
      <c r="U308" s="1">
        <v>0.92032000000000003</v>
      </c>
      <c r="V308" s="1">
        <v>0.92198999999999998</v>
      </c>
      <c r="W308" s="1">
        <v>0.93359000000000003</v>
      </c>
      <c r="X308" s="1">
        <v>0.86582999999999999</v>
      </c>
      <c r="Y308" s="1">
        <v>0.89263000000000003</v>
      </c>
      <c r="Z308" s="1">
        <v>0.93718999999999997</v>
      </c>
      <c r="AA308" s="1">
        <v>0.90330999999999995</v>
      </c>
      <c r="AB308" s="1">
        <v>0.92032000000000003</v>
      </c>
      <c r="AC308" s="1">
        <v>0.92198999999999998</v>
      </c>
      <c r="AD308" s="1">
        <v>0.93359000000000003</v>
      </c>
      <c r="AE308" s="1">
        <v>0.86582999999999999</v>
      </c>
      <c r="AF308" s="1">
        <v>0.89263000000000003</v>
      </c>
      <c r="AG308" s="1">
        <v>0.93718999999999997</v>
      </c>
      <c r="AH308" s="1">
        <v>0.90330999999999995</v>
      </c>
      <c r="AI308" s="1">
        <v>0.92032000000000003</v>
      </c>
      <c r="AL308" s="4" t="s">
        <v>21</v>
      </c>
      <c r="AM308" s="6" cm="1">
        <f t="array" ref="AM308">IFERROR((SUMPRODUCT(($B$288:$B$311=AM$286)*($F$285:$AI$285="")*$F$288:$AI$311)+IF(AM$286="P6",SUMPRODUCT(($F$285:$AI$285="P6")*$F$288:$AI$311),0))/(SUMPRODUCT(($B$288:$B$311=AM$286)*($F$285:$AI$285=""))+IF(AM$286="P6",COUNTIF($F$285:$AI$285,"P6")*ROWS($B$288:$B$311),0)),"")</f>
        <v>0.8620026767676765</v>
      </c>
      <c r="AN308" s="6" cm="1">
        <f t="array" ref="AN308">IFERROR((SUMPRODUCT(($B$288:$B$311=AN$286)*($F$285:$AI$285="")*$F$288:$AI$311)+IF(AN$286="P6",SUMPRODUCT(($F$285:$AI$285="P6")*$F$288:$AI$311),0))/(SUMPRODUCT(($B$288:$B$311=AN$286)*($F$285:$AI$285=""))+IF(AN$286="P6",COUNTIF($F$285:$AI$285,"P6")*ROWS($B$288:$B$311),0)),"")</f>
        <v>0.90604629870129849</v>
      </c>
      <c r="AO308" s="6" t="str" cm="1">
        <f t="array" ref="AO308">IFERROR((SUMPRODUCT(($B$288:$B$311=AO$286)*($F$285:$AI$285="")*$F$288:$AI$311)+IF(AO$286="P6",SUMPRODUCT(($F$285:$AI$285="P6")*$F$288:$AI$311),0))/(SUMPRODUCT(($B$288:$B$311=AO$286)*($F$285:$AI$285=""))+IF(AO$286="P6",COUNTIF($F$285:$AI$285,"P6")*ROWS($B$288:$B$311),0)),"")</f>
        <v/>
      </c>
      <c r="AP308" s="6" t="str" cm="1">
        <f t="array" ref="AP308">IFERROR((SUMPRODUCT(($B$288:$B$311=AP$286)*($F$285:$AI$285="")*$F$288:$AI$311)+IF(AP$286="P6",SUMPRODUCT(($F$285:$AI$285="P6")*$F$288:$AI$311),0))/(SUMPRODUCT(($B$288:$B$311=AP$286)*($F$285:$AI$285=""))+IF(AP$286="P6",COUNTIF($F$285:$AI$285,"P6")*ROWS($B$288:$B$311),0)),"")</f>
        <v/>
      </c>
      <c r="AQ308" s="6" t="str" cm="1">
        <f t="array" ref="AQ308">IFERROR((SUMPRODUCT(($B$288:$B$311=AQ$286)*($F$285:$AI$285="")*$F$288:$AI$311)+IF(AQ$286="P6",SUMPRODUCT(($F$285:$AI$285="P6")*$F$288:$AI$311),0))/(SUMPRODUCT(($B$288:$B$311=AQ$286)*($F$285:$AI$285=""))+IF(AQ$286="P6",COUNTIF($F$285:$AI$285,"P6")*ROWS($B$288:$B$311),0)),"")</f>
        <v/>
      </c>
      <c r="AR308" s="6" cm="1">
        <f t="array" ref="AR308">IFERROR((SUMPRODUCT(($B$288:$B$311=AR$286)*($F$285:$AI$285="")*$F$288:$AI$311)+IF(AR$286="P6",SUMPRODUCT(($F$285:$AI$285="P6")*$F$288:$AI$311),0))/(SUMPRODUCT(($B$288:$B$311=AR$286)*($F$285:$AI$285=""))+IF(AR$286="P6",COUNTIF($F$285:$AI$285,"P6")*ROWS($B$288:$B$311),0)),"")</f>
        <v>0.90977116847826001</v>
      </c>
    </row>
    <row r="309" spans="1:44" ht="14.25" customHeight="1" x14ac:dyDescent="0.35">
      <c r="A309" s="1" t="s">
        <v>13</v>
      </c>
      <c r="B309" s="1" t="s">
        <v>13</v>
      </c>
      <c r="C309" s="1" t="s">
        <v>13</v>
      </c>
      <c r="D309" s="1" t="s">
        <v>15</v>
      </c>
      <c r="E309" s="1" t="s">
        <v>40</v>
      </c>
      <c r="F309" s="1">
        <v>0.91647000000000001</v>
      </c>
      <c r="G309" s="1">
        <v>0.94750000000000001</v>
      </c>
      <c r="H309" s="1">
        <v>0.93727000000000005</v>
      </c>
      <c r="I309" s="1">
        <v>0.95030000000000003</v>
      </c>
      <c r="J309" s="1">
        <v>0.86353999999999997</v>
      </c>
      <c r="K309" s="1">
        <v>0.88344999999999996</v>
      </c>
      <c r="L309" s="1">
        <v>0.94357999999999997</v>
      </c>
      <c r="M309" s="1">
        <v>0.91647000000000001</v>
      </c>
      <c r="N309" s="1">
        <v>0.94750000000000001</v>
      </c>
      <c r="O309" s="1">
        <v>0.93727000000000005</v>
      </c>
      <c r="P309" s="1">
        <v>0.95030000000000003</v>
      </c>
      <c r="Q309" s="1">
        <v>0.86353999999999997</v>
      </c>
      <c r="R309" s="1">
        <v>0.88344999999999996</v>
      </c>
      <c r="S309" s="1">
        <v>0.94357999999999997</v>
      </c>
      <c r="T309" s="1">
        <v>0.91647000000000001</v>
      </c>
      <c r="U309" s="1">
        <v>0.94750000000000001</v>
      </c>
      <c r="V309" s="1">
        <v>0.93727000000000005</v>
      </c>
      <c r="W309" s="1">
        <v>0.95030000000000003</v>
      </c>
      <c r="X309" s="1">
        <v>0.86353999999999997</v>
      </c>
      <c r="Y309" s="1">
        <v>0.88344999999999996</v>
      </c>
      <c r="Z309" s="1">
        <v>0.94357999999999997</v>
      </c>
      <c r="AA309" s="1">
        <v>0.91647000000000001</v>
      </c>
      <c r="AB309" s="1">
        <v>0.94750000000000001</v>
      </c>
      <c r="AC309" s="1">
        <v>0.93727000000000005</v>
      </c>
      <c r="AD309" s="1">
        <v>0.95030000000000003</v>
      </c>
      <c r="AE309" s="1">
        <v>0.86353999999999997</v>
      </c>
      <c r="AF309" s="1">
        <v>0.88344999999999996</v>
      </c>
      <c r="AG309" s="1">
        <v>0.94357999999999997</v>
      </c>
      <c r="AH309" s="1">
        <v>0.91647000000000001</v>
      </c>
      <c r="AI309" s="1">
        <v>0.94750000000000001</v>
      </c>
      <c r="AL309" s="4" t="s">
        <v>23</v>
      </c>
      <c r="AM309" s="6" cm="1">
        <f t="array" ref="AM309">IFERROR((SUMPRODUCT(($B$288:$B$311=AM$286)*($F$285:$AI$285="")*$F$288:$AI$311)+IF(AM$286="P6",SUMPRODUCT(($F$285:$AI$285="P6")*$F$288:$AI$311),0))/(SUMPRODUCT(($B$288:$B$311=AM$286)*($F$285:$AI$285=""))+IF(AM$286="P6",COUNTIF($F$285:$AI$285,"P6")*ROWS($B$288:$B$311),0)),"")</f>
        <v>0.8620026767676765</v>
      </c>
      <c r="AN309" s="6" cm="1">
        <f t="array" ref="AN309">IFERROR((SUMPRODUCT(($B$288:$B$311=AN$286)*($F$285:$AI$285="")*$F$288:$AI$311)+IF(AN$286="P6",SUMPRODUCT(($F$285:$AI$285="P6")*$F$288:$AI$311),0))/(SUMPRODUCT(($B$288:$B$311=AN$286)*($F$285:$AI$285=""))+IF(AN$286="P6",COUNTIF($F$285:$AI$285,"P6")*ROWS($B$288:$B$311),0)),"")</f>
        <v>0.90604629870129849</v>
      </c>
      <c r="AO309" s="6" t="str" cm="1">
        <f t="array" ref="AO309">IFERROR((SUMPRODUCT(($B$288:$B$311=AO$286)*($F$285:$AI$285="")*$F$288:$AI$311)+IF(AO$286="P6",SUMPRODUCT(($F$285:$AI$285="P6")*$F$288:$AI$311),0))/(SUMPRODUCT(($B$288:$B$311=AO$286)*($F$285:$AI$285=""))+IF(AO$286="P6",COUNTIF($F$285:$AI$285,"P6")*ROWS($B$288:$B$311),0)),"")</f>
        <v/>
      </c>
      <c r="AP309" s="6" t="str" cm="1">
        <f t="array" ref="AP309">IFERROR((SUMPRODUCT(($B$288:$B$311=AP$286)*($F$285:$AI$285="")*$F$288:$AI$311)+IF(AP$286="P6",SUMPRODUCT(($F$285:$AI$285="P6")*$F$288:$AI$311),0))/(SUMPRODUCT(($B$288:$B$311=AP$286)*($F$285:$AI$285=""))+IF(AP$286="P6",COUNTIF($F$285:$AI$285,"P6")*ROWS($B$288:$B$311),0)),"")</f>
        <v/>
      </c>
      <c r="AQ309" s="6" t="str" cm="1">
        <f t="array" ref="AQ309">IFERROR((SUMPRODUCT(($B$288:$B$311=AQ$286)*($F$285:$AI$285="")*$F$288:$AI$311)+IF(AQ$286="P6",SUMPRODUCT(($F$285:$AI$285="P6")*$F$288:$AI$311),0))/(SUMPRODUCT(($B$288:$B$311=AQ$286)*($F$285:$AI$285=""))+IF(AQ$286="P6",COUNTIF($F$285:$AI$285,"P6")*ROWS($B$288:$B$311),0)),"")</f>
        <v/>
      </c>
      <c r="AR309" s="6" cm="1">
        <f t="array" ref="AR309">IFERROR((SUMPRODUCT(($B$288:$B$311=AR$286)*($F$285:$AI$285="")*$F$288:$AI$311)+IF(AR$286="P6",SUMPRODUCT(($F$285:$AI$285="P6")*$F$288:$AI$311),0))/(SUMPRODUCT(($B$288:$B$311=AR$286)*($F$285:$AI$285=""))+IF(AR$286="P6",COUNTIF($F$285:$AI$285,"P6")*ROWS($B$288:$B$311),0)),"")</f>
        <v>0.90977116847826001</v>
      </c>
    </row>
    <row r="310" spans="1:44" ht="14.25" customHeight="1" x14ac:dyDescent="0.35">
      <c r="A310" s="1" t="s">
        <v>15</v>
      </c>
      <c r="B310" s="1" t="s">
        <v>14</v>
      </c>
      <c r="C310" s="1" t="s">
        <v>14</v>
      </c>
      <c r="D310" s="1" t="s">
        <v>16</v>
      </c>
      <c r="E310" s="1" t="s">
        <v>41</v>
      </c>
      <c r="F310" s="1">
        <v>0.96521000000000001</v>
      </c>
      <c r="G310" s="1">
        <v>1.0070600000000001</v>
      </c>
      <c r="H310" s="1">
        <v>0.99378</v>
      </c>
      <c r="I310" s="1">
        <v>1.0063899999999999</v>
      </c>
      <c r="J310" s="1">
        <v>0.8962</v>
      </c>
      <c r="K310" s="1">
        <v>0.90395999999999999</v>
      </c>
      <c r="L310" s="1">
        <v>0.99560000000000004</v>
      </c>
      <c r="M310" s="1">
        <v>0.96521000000000001</v>
      </c>
      <c r="N310" s="1">
        <v>1.0070600000000001</v>
      </c>
      <c r="O310" s="1">
        <v>0.99378</v>
      </c>
      <c r="P310" s="1">
        <v>1.0063899999999999</v>
      </c>
      <c r="Q310" s="1">
        <v>0.8962</v>
      </c>
      <c r="R310" s="1">
        <v>0.90395999999999999</v>
      </c>
      <c r="S310" s="1">
        <v>0.99560000000000004</v>
      </c>
      <c r="T310" s="1">
        <v>0.96521000000000001</v>
      </c>
      <c r="U310" s="1">
        <v>1.0070600000000001</v>
      </c>
      <c r="V310" s="1">
        <v>0.99378</v>
      </c>
      <c r="W310" s="1">
        <v>1.0063899999999999</v>
      </c>
      <c r="X310" s="1">
        <v>0.8962</v>
      </c>
      <c r="Y310" s="1">
        <v>0.90395999999999999</v>
      </c>
      <c r="Z310" s="1">
        <v>0.99560000000000004</v>
      </c>
      <c r="AA310" s="1">
        <v>0.96521000000000001</v>
      </c>
      <c r="AB310" s="1">
        <v>1.0070600000000001</v>
      </c>
      <c r="AC310" s="1">
        <v>0.99378</v>
      </c>
      <c r="AD310" s="1">
        <v>1.0063899999999999</v>
      </c>
      <c r="AE310" s="1">
        <v>0.8962</v>
      </c>
      <c r="AF310" s="1">
        <v>0.90395999999999999</v>
      </c>
      <c r="AG310" s="1">
        <v>0.99560000000000004</v>
      </c>
      <c r="AH310" s="1">
        <v>0.96521000000000001</v>
      </c>
      <c r="AI310" s="1">
        <v>1.0070600000000001</v>
      </c>
      <c r="AL310" s="4" t="s">
        <v>25</v>
      </c>
      <c r="AM310" s="6" cm="1">
        <f t="array" ref="AM310">IFERROR((SUMPRODUCT(($B$288:$B$311=AM$286)*($F$285:$AI$285="")*$F$288:$AI$311)+IF(AM$286="P6",SUMPRODUCT(($F$285:$AI$285="P6")*$F$288:$AI$311),0))/(SUMPRODUCT(($B$288:$B$311=AM$286)*($F$285:$AI$285=""))+IF(AM$286="P6",COUNTIF($F$285:$AI$285,"P6")*ROWS($B$288:$B$311),0)),"")</f>
        <v>0.8620026767676765</v>
      </c>
      <c r="AN310" s="6" cm="1">
        <f t="array" ref="AN310">IFERROR((SUMPRODUCT(($B$288:$B$311=AN$286)*($F$285:$AI$285="")*$F$288:$AI$311)+IF(AN$286="P6",SUMPRODUCT(($F$285:$AI$285="P6")*$F$288:$AI$311),0))/(SUMPRODUCT(($B$288:$B$311=AN$286)*($F$285:$AI$285=""))+IF(AN$286="P6",COUNTIF($F$285:$AI$285,"P6")*ROWS($B$288:$B$311),0)),"")</f>
        <v>0.90604629870129849</v>
      </c>
      <c r="AO310" s="6" t="str" cm="1">
        <f t="array" ref="AO310">IFERROR((SUMPRODUCT(($B$288:$B$311=AO$286)*($F$285:$AI$285="")*$F$288:$AI$311)+IF(AO$286="P6",SUMPRODUCT(($F$285:$AI$285="P6")*$F$288:$AI$311),0))/(SUMPRODUCT(($B$288:$B$311=AO$286)*($F$285:$AI$285=""))+IF(AO$286="P6",COUNTIF($F$285:$AI$285,"P6")*ROWS($B$288:$B$311),0)),"")</f>
        <v/>
      </c>
      <c r="AP310" s="6" t="str" cm="1">
        <f t="array" ref="AP310">IFERROR((SUMPRODUCT(($B$288:$B$311=AP$286)*($F$285:$AI$285="")*$F$288:$AI$311)+IF(AP$286="P6",SUMPRODUCT(($F$285:$AI$285="P6")*$F$288:$AI$311),0))/(SUMPRODUCT(($B$288:$B$311=AP$286)*($F$285:$AI$285=""))+IF(AP$286="P6",COUNTIF($F$285:$AI$285,"P6")*ROWS($B$288:$B$311),0)),"")</f>
        <v/>
      </c>
      <c r="AQ310" s="6" t="str" cm="1">
        <f t="array" ref="AQ310">IFERROR((SUMPRODUCT(($B$288:$B$311=AQ$286)*($F$285:$AI$285="")*$F$288:$AI$311)+IF(AQ$286="P6",SUMPRODUCT(($F$285:$AI$285="P6")*$F$288:$AI$311),0))/(SUMPRODUCT(($B$288:$B$311=AQ$286)*($F$285:$AI$285=""))+IF(AQ$286="P6",COUNTIF($F$285:$AI$285,"P6")*ROWS($B$288:$B$311),0)),"")</f>
        <v/>
      </c>
      <c r="AR310" s="6" cm="1">
        <f t="array" ref="AR310">IFERROR((SUMPRODUCT(($B$288:$B$311=AR$286)*($F$285:$AI$285="")*$F$288:$AI$311)+IF(AR$286="P6",SUMPRODUCT(($F$285:$AI$285="P6")*$F$288:$AI$311),0))/(SUMPRODUCT(($B$288:$B$311=AR$286)*($F$285:$AI$285=""))+IF(AR$286="P6",COUNTIF($F$285:$AI$285,"P6")*ROWS($B$288:$B$311),0)),"")</f>
        <v>0.90977116847826001</v>
      </c>
    </row>
    <row r="311" spans="1:44" ht="14.25" customHeight="1" x14ac:dyDescent="0.35">
      <c r="A311" s="1" t="s">
        <v>15</v>
      </c>
      <c r="B311" s="1" t="s">
        <v>14</v>
      </c>
      <c r="C311" s="1" t="s">
        <v>14</v>
      </c>
      <c r="D311" s="1" t="s">
        <v>16</v>
      </c>
      <c r="E311" s="1" t="s">
        <v>42</v>
      </c>
      <c r="F311" s="1">
        <v>0.99273999999999996</v>
      </c>
      <c r="G311" s="1">
        <v>1.0281100000000001</v>
      </c>
      <c r="H311" s="1">
        <v>1.0241199999999999</v>
      </c>
      <c r="I311" s="1">
        <v>1.0238100000000001</v>
      </c>
      <c r="J311" s="1">
        <v>0.92315999999999998</v>
      </c>
      <c r="K311" s="1">
        <v>0.92325999999999997</v>
      </c>
      <c r="L311" s="1">
        <v>1.0368200000000001</v>
      </c>
      <c r="M311" s="1">
        <v>0.99273999999999996</v>
      </c>
      <c r="N311" s="1">
        <v>1.0281100000000001</v>
      </c>
      <c r="O311" s="1">
        <v>1.0241199999999999</v>
      </c>
      <c r="P311" s="1">
        <v>1.0238100000000001</v>
      </c>
      <c r="Q311" s="1">
        <v>0.92315999999999998</v>
      </c>
      <c r="R311" s="1">
        <v>0.92325999999999997</v>
      </c>
      <c r="S311" s="1">
        <v>1.0368200000000001</v>
      </c>
      <c r="T311" s="1">
        <v>0.99273999999999996</v>
      </c>
      <c r="U311" s="1">
        <v>1.0281100000000001</v>
      </c>
      <c r="V311" s="1">
        <v>1.0241199999999999</v>
      </c>
      <c r="W311" s="1">
        <v>1.0238100000000001</v>
      </c>
      <c r="X311" s="1">
        <v>0.92315999999999998</v>
      </c>
      <c r="Y311" s="1">
        <v>0.92325999999999997</v>
      </c>
      <c r="Z311" s="1">
        <v>1.0368200000000001</v>
      </c>
      <c r="AA311" s="1">
        <v>0.99273999999999996</v>
      </c>
      <c r="AB311" s="1">
        <v>1.0281100000000001</v>
      </c>
      <c r="AC311" s="1">
        <v>1.0241199999999999</v>
      </c>
      <c r="AD311" s="1">
        <v>1.0238100000000001</v>
      </c>
      <c r="AE311" s="1">
        <v>0.92315999999999998</v>
      </c>
      <c r="AF311" s="1">
        <v>0.92325999999999997</v>
      </c>
      <c r="AG311" s="1">
        <v>1.0368200000000001</v>
      </c>
      <c r="AH311" s="1">
        <v>0.99273999999999996</v>
      </c>
      <c r="AI311" s="1">
        <v>1.0281100000000001</v>
      </c>
      <c r="AL311" s="4" t="s">
        <v>27</v>
      </c>
      <c r="AM311" s="6" cm="1">
        <f t="array" ref="AM311">IFERROR((SUMPRODUCT(($B$288:$B$311=AM$286)*($F$285:$AI$285="")*$F$288:$AI$311)+IF(AM$286="P6",SUMPRODUCT(($F$285:$AI$285="P6")*$F$288:$AI$311),0))/(SUMPRODUCT(($B$288:$B$311=AM$286)*($F$285:$AI$285=""))+IF(AM$286="P6",COUNTIF($F$285:$AI$285,"P6")*ROWS($B$288:$B$311),0)),"")</f>
        <v>0.8620026767676765</v>
      </c>
      <c r="AN311" s="6" cm="1">
        <f t="array" ref="AN311">IFERROR((SUMPRODUCT(($B$288:$B$311=AN$286)*($F$285:$AI$285="")*$F$288:$AI$311)+IF(AN$286="P6",SUMPRODUCT(($F$285:$AI$285="P6")*$F$288:$AI$311),0))/(SUMPRODUCT(($B$288:$B$311=AN$286)*($F$285:$AI$285=""))+IF(AN$286="P6",COUNTIF($F$285:$AI$285,"P6")*ROWS($B$288:$B$311),0)),"")</f>
        <v>0.90604629870129849</v>
      </c>
      <c r="AO311" s="6" t="str" cm="1">
        <f t="array" ref="AO311">IFERROR((SUMPRODUCT(($B$288:$B$311=AO$286)*($F$285:$AI$285="")*$F$288:$AI$311)+IF(AO$286="P6",SUMPRODUCT(($F$285:$AI$285="P6")*$F$288:$AI$311),0))/(SUMPRODUCT(($B$288:$B$311=AO$286)*($F$285:$AI$285=""))+IF(AO$286="P6",COUNTIF($F$285:$AI$285,"P6")*ROWS($B$288:$B$311),0)),"")</f>
        <v/>
      </c>
      <c r="AP311" s="6" t="str" cm="1">
        <f t="array" ref="AP311">IFERROR((SUMPRODUCT(($B$288:$B$311=AP$286)*($F$285:$AI$285="")*$F$288:$AI$311)+IF(AP$286="P6",SUMPRODUCT(($F$285:$AI$285="P6")*$F$288:$AI$311),0))/(SUMPRODUCT(($B$288:$B$311=AP$286)*($F$285:$AI$285=""))+IF(AP$286="P6",COUNTIF($F$285:$AI$285,"P6")*ROWS($B$288:$B$311),0)),"")</f>
        <v/>
      </c>
      <c r="AQ311" s="6" t="str" cm="1">
        <f t="array" ref="AQ311">IFERROR((SUMPRODUCT(($B$288:$B$311=AQ$286)*($F$285:$AI$285="")*$F$288:$AI$311)+IF(AQ$286="P6",SUMPRODUCT(($F$285:$AI$285="P6")*$F$288:$AI$311),0))/(SUMPRODUCT(($B$288:$B$311=AQ$286)*($F$285:$AI$285=""))+IF(AQ$286="P6",COUNTIF($F$285:$AI$285,"P6")*ROWS($B$288:$B$311),0)),"")</f>
        <v/>
      </c>
      <c r="AR311" s="6" cm="1">
        <f t="array" ref="AR311">IFERROR((SUMPRODUCT(($B$288:$B$311=AR$286)*($F$285:$AI$285="")*$F$288:$AI$311)+IF(AR$286="P6",SUMPRODUCT(($F$285:$AI$285="P6")*$F$288:$AI$311),0))/(SUMPRODUCT(($B$288:$B$311=AR$286)*($F$285:$AI$285=""))+IF(AR$286="P6",COUNTIF($F$285:$AI$285,"P6")*ROWS($B$288:$B$311),0)),"")</f>
        <v>0.90977116847826001</v>
      </c>
    </row>
    <row r="312" spans="1:44" ht="14.25" customHeight="1" x14ac:dyDescent="0.35">
      <c r="AL312" s="4" t="s">
        <v>29</v>
      </c>
      <c r="AM312" s="6" cm="1">
        <f t="array" ref="AM312">IFERROR((SUMPRODUCT(($B$288:$B$311=AM$286)*($F$285:$AI$285="")*$F$288:$AI$311)+IF(AM$286="P6",SUMPRODUCT(($F$285:$AI$285="P6")*$F$288:$AI$311),0))/(SUMPRODUCT(($B$288:$B$311=AM$286)*($F$285:$AI$285=""))+IF(AM$286="P6",COUNTIF($F$285:$AI$285,"P6")*ROWS($B$288:$B$311),0)),"")</f>
        <v>0.8620026767676765</v>
      </c>
      <c r="AN312" s="6" cm="1">
        <f t="array" ref="AN312">IFERROR((SUMPRODUCT(($B$288:$B$311=AN$286)*($F$285:$AI$285="")*$F$288:$AI$311)+IF(AN$286="P6",SUMPRODUCT(($F$285:$AI$285="P6")*$F$288:$AI$311),0))/(SUMPRODUCT(($B$288:$B$311=AN$286)*($F$285:$AI$285=""))+IF(AN$286="P6",COUNTIF($F$285:$AI$285,"P6")*ROWS($B$288:$B$311),0)),"")</f>
        <v>0.90604629870129849</v>
      </c>
      <c r="AO312" s="6" t="str" cm="1">
        <f t="array" ref="AO312">IFERROR((SUMPRODUCT(($B$288:$B$311=AO$286)*($F$285:$AI$285="")*$F$288:$AI$311)+IF(AO$286="P6",SUMPRODUCT(($F$285:$AI$285="P6")*$F$288:$AI$311),0))/(SUMPRODUCT(($B$288:$B$311=AO$286)*($F$285:$AI$285=""))+IF(AO$286="P6",COUNTIF($F$285:$AI$285,"P6")*ROWS($B$288:$B$311),0)),"")</f>
        <v/>
      </c>
      <c r="AP312" s="6" t="str" cm="1">
        <f t="array" ref="AP312">IFERROR((SUMPRODUCT(($B$288:$B$311=AP$286)*($F$285:$AI$285="")*$F$288:$AI$311)+IF(AP$286="P6",SUMPRODUCT(($F$285:$AI$285="P6")*$F$288:$AI$311),0))/(SUMPRODUCT(($B$288:$B$311=AP$286)*($F$285:$AI$285=""))+IF(AP$286="P6",COUNTIF($F$285:$AI$285,"P6")*ROWS($B$288:$B$311),0)),"")</f>
        <v/>
      </c>
      <c r="AQ312" s="6" t="str" cm="1">
        <f t="array" ref="AQ312">IFERROR((SUMPRODUCT(($B$288:$B$311=AQ$286)*($F$285:$AI$285="")*$F$288:$AI$311)+IF(AQ$286="P6",SUMPRODUCT(($F$285:$AI$285="P6")*$F$288:$AI$311),0))/(SUMPRODUCT(($B$288:$B$311=AQ$286)*($F$285:$AI$285=""))+IF(AQ$286="P6",COUNTIF($F$285:$AI$285,"P6")*ROWS($B$288:$B$311),0)),"")</f>
        <v/>
      </c>
      <c r="AR312" s="6" cm="1">
        <f t="array" ref="AR312">IFERROR((SUMPRODUCT(($B$288:$B$311=AR$286)*($F$285:$AI$285="")*$F$288:$AI$311)+IF(AR$286="P6",SUMPRODUCT(($F$285:$AI$285="P6")*$F$288:$AI$311),0))/(SUMPRODUCT(($B$288:$B$311=AR$286)*($F$285:$AI$285=""))+IF(AR$286="P6",COUNTIF($F$285:$AI$285,"P6")*ROWS($B$288:$B$311),0)),"")</f>
        <v>0.90977116847826001</v>
      </c>
    </row>
    <row r="316" spans="1:44" ht="14.25" customHeight="1" x14ac:dyDescent="0.35">
      <c r="A316" s="15" t="s">
        <v>69</v>
      </c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</row>
    <row r="317" spans="1:44" ht="14.25" customHeight="1" x14ac:dyDescent="0.3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</row>
    <row r="318" spans="1:44" ht="14.25" customHeight="1" x14ac:dyDescent="0.35">
      <c r="AL318" s="10"/>
      <c r="AM318" s="10"/>
      <c r="AN318" s="10"/>
      <c r="AO318" s="10"/>
      <c r="AP318" s="10"/>
      <c r="AQ318" s="10"/>
      <c r="AR318" s="10"/>
    </row>
    <row r="319" spans="1:44" ht="14.25" customHeight="1" x14ac:dyDescent="0.35">
      <c r="F319" s="1" t="str">
        <f>IF(OR(F321="S",F321="D",F322=DATE(2026,10,12)),"P3","")</f>
        <v/>
      </c>
      <c r="G319" s="1" t="str">
        <f t="shared" ref="G319:AJ319" si="33">IF(OR(G321="S",G321="D",G322=DATE(2026,10,12)),"P3","")</f>
        <v/>
      </c>
      <c r="H319" s="1" t="str">
        <f t="shared" si="33"/>
        <v>P3</v>
      </c>
      <c r="I319" s="1" t="str">
        <f t="shared" si="33"/>
        <v>P3</v>
      </c>
      <c r="J319" s="1" t="str">
        <f t="shared" si="33"/>
        <v/>
      </c>
      <c r="K319" s="1" t="str">
        <f t="shared" si="33"/>
        <v/>
      </c>
      <c r="L319" s="1" t="str">
        <f t="shared" si="33"/>
        <v/>
      </c>
      <c r="M319" s="1" t="str">
        <f t="shared" si="33"/>
        <v/>
      </c>
      <c r="N319" s="1" t="str">
        <f t="shared" si="33"/>
        <v/>
      </c>
      <c r="O319" s="1" t="str">
        <f t="shared" si="33"/>
        <v>P3</v>
      </c>
      <c r="P319" s="1" t="str">
        <f t="shared" si="33"/>
        <v>P3</v>
      </c>
      <c r="Q319" s="1" t="str">
        <f t="shared" si="33"/>
        <v>P3</v>
      </c>
      <c r="R319" s="1" t="str">
        <f t="shared" si="33"/>
        <v/>
      </c>
      <c r="S319" s="1" t="str">
        <f t="shared" si="33"/>
        <v/>
      </c>
      <c r="T319" s="1" t="str">
        <f t="shared" si="33"/>
        <v/>
      </c>
      <c r="U319" s="1" t="str">
        <f t="shared" si="33"/>
        <v/>
      </c>
      <c r="V319" s="1" t="str">
        <f t="shared" si="33"/>
        <v>P3</v>
      </c>
      <c r="W319" s="1" t="str">
        <f t="shared" si="33"/>
        <v>P3</v>
      </c>
      <c r="X319" s="1" t="str">
        <f t="shared" si="33"/>
        <v/>
      </c>
      <c r="Y319" s="1" t="str">
        <f t="shared" si="33"/>
        <v/>
      </c>
      <c r="Z319" s="1" t="str">
        <f t="shared" si="33"/>
        <v/>
      </c>
      <c r="AA319" s="1" t="str">
        <f t="shared" si="33"/>
        <v/>
      </c>
      <c r="AB319" s="1" t="str">
        <f t="shared" si="33"/>
        <v/>
      </c>
      <c r="AC319" s="1" t="str">
        <f t="shared" si="33"/>
        <v>P3</v>
      </c>
      <c r="AD319" s="1" t="str">
        <f t="shared" si="33"/>
        <v>P3</v>
      </c>
      <c r="AE319" s="1" t="str">
        <f t="shared" si="33"/>
        <v/>
      </c>
      <c r="AF319" s="1" t="str">
        <f t="shared" si="33"/>
        <v/>
      </c>
      <c r="AG319" s="1" t="str">
        <f t="shared" si="33"/>
        <v/>
      </c>
      <c r="AH319" s="1" t="str">
        <f t="shared" si="33"/>
        <v/>
      </c>
      <c r="AI319" s="1" t="str">
        <f t="shared" si="33"/>
        <v/>
      </c>
      <c r="AJ319" s="1" t="str">
        <f t="shared" si="33"/>
        <v>P3</v>
      </c>
      <c r="AL319" s="10"/>
      <c r="AM319" s="10"/>
      <c r="AN319" s="10"/>
      <c r="AO319" s="10"/>
      <c r="AP319" s="10"/>
      <c r="AQ319" s="10"/>
      <c r="AR319" s="10"/>
    </row>
    <row r="320" spans="1:44" ht="14.25" customHeight="1" x14ac:dyDescent="0.35">
      <c r="F320" s="1" t="str">
        <f>IF(OR(F321="S",F321="D",F322=DATE(2026,10,12)),"P6","")</f>
        <v/>
      </c>
      <c r="G320" s="1" t="str">
        <f t="shared" ref="G320:AJ320" si="34">IF(OR(G321="S",G321="D",G322=DATE(2026,10,12)),"P6","")</f>
        <v/>
      </c>
      <c r="H320" s="1" t="str">
        <f t="shared" si="34"/>
        <v>P6</v>
      </c>
      <c r="I320" s="1" t="str">
        <f t="shared" si="34"/>
        <v>P6</v>
      </c>
      <c r="J320" s="1" t="str">
        <f t="shared" si="34"/>
        <v/>
      </c>
      <c r="K320" s="1" t="str">
        <f t="shared" si="34"/>
        <v/>
      </c>
      <c r="L320" s="1" t="str">
        <f t="shared" si="34"/>
        <v/>
      </c>
      <c r="M320" s="1" t="str">
        <f t="shared" si="34"/>
        <v/>
      </c>
      <c r="N320" s="1" t="str">
        <f t="shared" si="34"/>
        <v/>
      </c>
      <c r="O320" s="1" t="str">
        <f t="shared" si="34"/>
        <v>P6</v>
      </c>
      <c r="P320" s="1" t="str">
        <f t="shared" si="34"/>
        <v>P6</v>
      </c>
      <c r="Q320" s="1" t="str">
        <f t="shared" si="34"/>
        <v>P6</v>
      </c>
      <c r="R320" s="1" t="str">
        <f t="shared" si="34"/>
        <v/>
      </c>
      <c r="S320" s="1" t="str">
        <f t="shared" si="34"/>
        <v/>
      </c>
      <c r="T320" s="1" t="str">
        <f t="shared" si="34"/>
        <v/>
      </c>
      <c r="U320" s="1" t="str">
        <f t="shared" si="34"/>
        <v/>
      </c>
      <c r="V320" s="1" t="str">
        <f t="shared" si="34"/>
        <v>P6</v>
      </c>
      <c r="W320" s="1" t="str">
        <f t="shared" si="34"/>
        <v>P6</v>
      </c>
      <c r="X320" s="1" t="str">
        <f t="shared" si="34"/>
        <v/>
      </c>
      <c r="Y320" s="1" t="str">
        <f t="shared" si="34"/>
        <v/>
      </c>
      <c r="Z320" s="1" t="str">
        <f t="shared" si="34"/>
        <v/>
      </c>
      <c r="AA320" s="1" t="str">
        <f t="shared" si="34"/>
        <v/>
      </c>
      <c r="AB320" s="1" t="str">
        <f t="shared" si="34"/>
        <v/>
      </c>
      <c r="AC320" s="1" t="str">
        <f t="shared" si="34"/>
        <v>P6</v>
      </c>
      <c r="AD320" s="1" t="str">
        <f t="shared" si="34"/>
        <v>P6</v>
      </c>
      <c r="AE320" s="1" t="str">
        <f t="shared" si="34"/>
        <v/>
      </c>
      <c r="AF320" s="1" t="str">
        <f t="shared" si="34"/>
        <v/>
      </c>
      <c r="AG320" s="1" t="str">
        <f t="shared" si="34"/>
        <v/>
      </c>
      <c r="AH320" s="1" t="str">
        <f t="shared" si="34"/>
        <v/>
      </c>
      <c r="AI320" s="1" t="str">
        <f t="shared" si="34"/>
        <v/>
      </c>
      <c r="AJ320" s="1" t="str">
        <f t="shared" si="34"/>
        <v>P6</v>
      </c>
      <c r="AL320" s="14" t="s">
        <v>143</v>
      </c>
      <c r="AM320" s="14"/>
      <c r="AN320" s="14"/>
      <c r="AO320" s="14"/>
      <c r="AP320" s="14"/>
      <c r="AQ320" s="14"/>
      <c r="AR320" s="14"/>
    </row>
    <row r="321" spans="1:44" ht="14.25" customHeight="1" x14ac:dyDescent="0.35">
      <c r="F321" s="1" t="str">
        <f>CHOOSE(WEEKDAY(F322,2),"L","M","X","J","V","S","D")</f>
        <v>J</v>
      </c>
      <c r="G321" s="1" t="str">
        <f t="shared" ref="G321:AJ321" si="35">CHOOSE(WEEKDAY(G322,2),"L","M","X","J","V","S","D")</f>
        <v>V</v>
      </c>
      <c r="H321" s="1" t="str">
        <f t="shared" si="35"/>
        <v>S</v>
      </c>
      <c r="I321" s="1" t="str">
        <f t="shared" si="35"/>
        <v>D</v>
      </c>
      <c r="J321" s="1" t="str">
        <f t="shared" si="35"/>
        <v>L</v>
      </c>
      <c r="K321" s="1" t="str">
        <f t="shared" si="35"/>
        <v>M</v>
      </c>
      <c r="L321" s="1" t="str">
        <f t="shared" si="35"/>
        <v>X</v>
      </c>
      <c r="M321" s="1" t="str">
        <f t="shared" si="35"/>
        <v>J</v>
      </c>
      <c r="N321" s="1" t="str">
        <f t="shared" si="35"/>
        <v>V</v>
      </c>
      <c r="O321" s="1" t="str">
        <f t="shared" si="35"/>
        <v>S</v>
      </c>
      <c r="P321" s="1" t="str">
        <f t="shared" si="35"/>
        <v>D</v>
      </c>
      <c r="Q321" s="1" t="str">
        <f t="shared" si="35"/>
        <v>L</v>
      </c>
      <c r="R321" s="1" t="str">
        <f t="shared" si="35"/>
        <v>M</v>
      </c>
      <c r="S321" s="1" t="str">
        <f t="shared" si="35"/>
        <v>X</v>
      </c>
      <c r="T321" s="1" t="str">
        <f t="shared" si="35"/>
        <v>J</v>
      </c>
      <c r="U321" s="1" t="str">
        <f t="shared" si="35"/>
        <v>V</v>
      </c>
      <c r="V321" s="1" t="str">
        <f t="shared" si="35"/>
        <v>S</v>
      </c>
      <c r="W321" s="1" t="str">
        <f t="shared" si="35"/>
        <v>D</v>
      </c>
      <c r="X321" s="1" t="str">
        <f t="shared" si="35"/>
        <v>L</v>
      </c>
      <c r="Y321" s="1" t="str">
        <f t="shared" si="35"/>
        <v>M</v>
      </c>
      <c r="Z321" s="1" t="str">
        <f t="shared" si="35"/>
        <v>X</v>
      </c>
      <c r="AA321" s="1" t="str">
        <f t="shared" si="35"/>
        <v>J</v>
      </c>
      <c r="AB321" s="1" t="str">
        <f t="shared" si="35"/>
        <v>V</v>
      </c>
      <c r="AC321" s="1" t="str">
        <f t="shared" si="35"/>
        <v>S</v>
      </c>
      <c r="AD321" s="1" t="str">
        <f t="shared" si="35"/>
        <v>D</v>
      </c>
      <c r="AE321" s="1" t="str">
        <f t="shared" si="35"/>
        <v>L</v>
      </c>
      <c r="AF321" s="1" t="str">
        <f t="shared" si="35"/>
        <v>M</v>
      </c>
      <c r="AG321" s="1" t="str">
        <f t="shared" si="35"/>
        <v>X</v>
      </c>
      <c r="AH321" s="1" t="str">
        <f t="shared" si="35"/>
        <v>J</v>
      </c>
      <c r="AI321" s="1" t="str">
        <f t="shared" si="35"/>
        <v>V</v>
      </c>
      <c r="AJ321" s="1" t="str">
        <f t="shared" si="35"/>
        <v>S</v>
      </c>
      <c r="AL321" s="4"/>
      <c r="AM321" s="4" t="s">
        <v>13</v>
      </c>
      <c r="AN321" s="4" t="s">
        <v>14</v>
      </c>
      <c r="AO321" s="4" t="s">
        <v>15</v>
      </c>
      <c r="AP321" s="4" t="s">
        <v>16</v>
      </c>
      <c r="AQ321" s="4" t="s">
        <v>17</v>
      </c>
      <c r="AR321" s="4" t="s">
        <v>7</v>
      </c>
    </row>
    <row r="322" spans="1:44" ht="14.25" customHeight="1" x14ac:dyDescent="0.35">
      <c r="A322" s="3" t="s">
        <v>76</v>
      </c>
      <c r="B322" s="3" t="s">
        <v>77</v>
      </c>
      <c r="C322" s="3" t="s">
        <v>75</v>
      </c>
      <c r="D322" s="3" t="s">
        <v>74</v>
      </c>
      <c r="F322" s="8">
        <v>46296</v>
      </c>
      <c r="G322" s="8">
        <v>46297</v>
      </c>
      <c r="H322" s="8">
        <v>46298</v>
      </c>
      <c r="I322" s="8">
        <v>46299</v>
      </c>
      <c r="J322" s="8">
        <v>46300</v>
      </c>
      <c r="K322" s="8">
        <v>46301</v>
      </c>
      <c r="L322" s="8">
        <v>46302</v>
      </c>
      <c r="M322" s="8">
        <v>46303</v>
      </c>
      <c r="N322" s="8">
        <v>46304</v>
      </c>
      <c r="O322" s="8">
        <v>46305</v>
      </c>
      <c r="P322" s="8">
        <v>46306</v>
      </c>
      <c r="Q322" s="8">
        <v>46307</v>
      </c>
      <c r="R322" s="8">
        <v>46308</v>
      </c>
      <c r="S322" s="8">
        <v>46309</v>
      </c>
      <c r="T322" s="8">
        <v>46310</v>
      </c>
      <c r="U322" s="8">
        <v>46311</v>
      </c>
      <c r="V322" s="8">
        <v>46312</v>
      </c>
      <c r="W322" s="8">
        <v>46313</v>
      </c>
      <c r="X322" s="8">
        <v>46314</v>
      </c>
      <c r="Y322" s="8">
        <v>46315</v>
      </c>
      <c r="Z322" s="8">
        <v>46316</v>
      </c>
      <c r="AA322" s="8">
        <v>46317</v>
      </c>
      <c r="AB322" s="8">
        <v>46318</v>
      </c>
      <c r="AC322" s="8">
        <v>46319</v>
      </c>
      <c r="AD322" s="8">
        <v>46320</v>
      </c>
      <c r="AE322" s="8">
        <v>46321</v>
      </c>
      <c r="AF322" s="8">
        <v>46322</v>
      </c>
      <c r="AG322" s="8">
        <v>46323</v>
      </c>
      <c r="AH322" s="8">
        <v>46324</v>
      </c>
      <c r="AI322" s="8">
        <v>46325</v>
      </c>
      <c r="AJ322" s="8">
        <v>46326</v>
      </c>
      <c r="AL322" s="4" t="s">
        <v>19</v>
      </c>
      <c r="AM322" s="6" cm="1">
        <f t="array" ref="AM322">IFERROR((SUMPRODUCT(($C$323:$C$347=AM$321)*($F$319:$AJ$319="")*$F$323:$AJ$347)+IF(AM$321="P3",SUMPRODUCT(($F$319:$AJ$319="P3")*$F$323:$AJ$347),0))/(SUMPRODUCT(($C$323:$C$347=AM$321)*($F$319:$AJ$319=""))+IF(AM$321="P3",COUNTIF($F$319:$AJ$319,"P3")*ROWS($C$323:$C$347),0)),"")</f>
        <v>0.9229853571428579</v>
      </c>
      <c r="AN322" s="6" cm="1">
        <f t="array" ref="AN322">IFERROR((SUMPRODUCT(($C$323:$C$347=AN$321)*($F$319:$AJ$319="")*$F$323:$AJ$347)+IF(AN$321="P3",SUMPRODUCT(($F$319:$AJ$319="P3")*$F$323:$AJ$347),0))/(SUMPRODUCT(($C$323:$C$347=AN$321)*($F$319:$AJ$319=""))+IF(AN$321="P3",COUNTIF($F$319:$AJ$319,"P3")*ROWS($C$323:$C$347),0)),"")</f>
        <v>1.0798333333333336</v>
      </c>
      <c r="AO322" s="6" cm="1">
        <f t="array" ref="AO322">IFERROR((SUMPRODUCT(($C$323:$C$347=AO$321)*($F$319:$AJ$319="")*$F$323:$AJ$347)+IF(AO$321="P3",SUMPRODUCT(($F$319:$AJ$319="P3")*$F$323:$AJ$347),0))/(SUMPRODUCT(($C$323:$C$347=AO$321)*($F$319:$AJ$319=""))+IF(AO$321="P3",COUNTIF($F$319:$AJ$319,"P3")*ROWS($C$323:$C$347),0)),"")</f>
        <v>0.91613466970387281</v>
      </c>
      <c r="AP322" s="6" t="str" cm="1">
        <f t="array" ref="AP322">IFERROR((SUMPRODUCT(($C$323:$C$347=AP$321)*($F$319:$AJ$319="")*$F$323:$AJ$347)+IF(AP$321="P3",SUMPRODUCT(($F$319:$AJ$319="P3")*$F$323:$AJ$347),0))/(SUMPRODUCT(($C$323:$C$347=AP$321)*($F$319:$AJ$319=""))+IF(AP$321="P3",COUNTIF($F$319:$AJ$319,"P3")*ROWS($C$323:$C$347),0)),"")</f>
        <v/>
      </c>
      <c r="AQ322" s="6" t="str" cm="1">
        <f t="array" ref="AQ322">IFERROR((SUMPRODUCT(($C$323:$C$347=AQ$321)*($F$319:$AJ$319="")*$F$323:$AJ$347)+IF(AQ$321="P3",SUMPRODUCT(($F$319:$AJ$319="P3")*$F$323:$AJ$347),0))/(SUMPRODUCT(($C$323:$C$347=AQ$321)*($F$319:$AJ$319=""))+IF(AQ$321="P3",COUNTIF($F$319:$AJ$319,"P3")*ROWS($C$323:$C$347),0)),"")</f>
        <v/>
      </c>
      <c r="AR322" s="6" t="str" cm="1">
        <f t="array" ref="AR322">IFERROR((SUMPRODUCT(($C$323:$C$347=AR$321)*($F$319:$AJ$319="")*$F$323:$AJ$347)+IF(AR$321="P3",SUMPRODUCT(($F$319:$AJ$319="P3")*$F$323:$AJ$347),0))/(SUMPRODUCT(($C$323:$C$347=AR$321)*($F$319:$AJ$319=""))+IF(AR$321="P3",COUNTIF($F$319:$AJ$319,"P3")*ROWS($C$323:$C$347),0)),"")</f>
        <v/>
      </c>
    </row>
    <row r="323" spans="1:44" ht="14.25" customHeight="1" x14ac:dyDescent="0.35">
      <c r="A323" s="1" t="s">
        <v>7</v>
      </c>
      <c r="B323" s="1" t="s">
        <v>7</v>
      </c>
      <c r="C323" s="1" t="s">
        <v>15</v>
      </c>
      <c r="D323" s="1" t="s">
        <v>7</v>
      </c>
      <c r="E323" s="1" t="s">
        <v>8</v>
      </c>
      <c r="F323" s="1">
        <v>1.0087900000000001</v>
      </c>
      <c r="G323" s="1">
        <v>1.0224599999999999</v>
      </c>
      <c r="H323" s="1">
        <v>1.01102</v>
      </c>
      <c r="I323" s="1">
        <v>1.0460400000000001</v>
      </c>
      <c r="J323" s="1">
        <v>1.0994999999999999</v>
      </c>
      <c r="K323" s="1">
        <v>1.00529</v>
      </c>
      <c r="L323" s="1">
        <v>1.02085</v>
      </c>
      <c r="M323" s="1">
        <v>1.0087900000000001</v>
      </c>
      <c r="N323" s="1">
        <v>1.0224599999999999</v>
      </c>
      <c r="O323" s="1">
        <v>1.01102</v>
      </c>
      <c r="P323" s="1">
        <v>1.0460400000000001</v>
      </c>
      <c r="Q323" s="1">
        <v>0.98563000000000001</v>
      </c>
      <c r="R323" s="1">
        <v>1.00529</v>
      </c>
      <c r="S323" s="1">
        <v>1.02085</v>
      </c>
      <c r="T323" s="1">
        <v>1.0087900000000001</v>
      </c>
      <c r="U323" s="1">
        <v>1.0224599999999999</v>
      </c>
      <c r="V323" s="1">
        <v>1.01102</v>
      </c>
      <c r="W323" s="1">
        <v>1.0460400000000001</v>
      </c>
      <c r="X323" s="1">
        <v>1.0994999999999999</v>
      </c>
      <c r="Y323" s="1">
        <v>1.00529</v>
      </c>
      <c r="Z323" s="1">
        <v>1.02085</v>
      </c>
      <c r="AA323" s="1">
        <v>1.0087900000000001</v>
      </c>
      <c r="AB323" s="1">
        <v>1.0224599999999999</v>
      </c>
      <c r="AC323" s="1">
        <v>1.01102</v>
      </c>
      <c r="AD323" s="1">
        <v>1.0460400000000001</v>
      </c>
      <c r="AE323" s="1">
        <v>1.0994999999999999</v>
      </c>
      <c r="AF323" s="1">
        <v>1.00529</v>
      </c>
      <c r="AG323" s="1">
        <v>1.02085</v>
      </c>
      <c r="AH323" s="1">
        <v>1.0087900000000001</v>
      </c>
      <c r="AI323" s="1">
        <v>1.0224599999999999</v>
      </c>
      <c r="AJ323" s="1">
        <v>1.01102</v>
      </c>
      <c r="AL323" s="4" t="s">
        <v>21</v>
      </c>
      <c r="AM323" s="6" t="str" cm="1">
        <f t="array" ref="AM323">IFERROR((SUMPRODUCT(($D$323:$D$347=AM$321)*($F$320:$AJ$320="")*$F$323:$AJ$347)+IF(AM$321="P6",SUMPRODUCT(($F$320:$AJ$320="P6")*$F$323:$AJ$347),0))/(SUMPRODUCT(($D$323:$D$347=AM$321)*($F$320:$AJ$320=""))+IF(AM$321="P6",COUNTIF($F$320:$AJ$320,"P6")*ROWS($D$323:$D$347),0)),"")</f>
        <v/>
      </c>
      <c r="AN323" s="6" t="str" cm="1">
        <f t="array" ref="AN323">IFERROR((SUMPRODUCT(($D$323:$D$347=AN$321)*($F$320:$AJ$320="")*$F$323:$AJ$347)+IF(AN$321="P6",SUMPRODUCT(($F$320:$AJ$320="P6")*$F$323:$AJ$347),0))/(SUMPRODUCT(($D$323:$D$347=AN$321)*($F$320:$AJ$320=""))+IF(AN$321="P6",COUNTIF($F$320:$AJ$320,"P6")*ROWS($D$323:$D$347),0)),"")</f>
        <v/>
      </c>
      <c r="AO323" s="6" t="str" cm="1">
        <f t="array" ref="AO323">IFERROR((SUMPRODUCT(($D$323:$D$347=AO$321)*($F$320:$AJ$320="")*$F$323:$AJ$347)+IF(AO$321="P6",SUMPRODUCT(($F$320:$AJ$320="P6")*$F$323:$AJ$347),0))/(SUMPRODUCT(($D$323:$D$347=AO$321)*($F$320:$AJ$320=""))+IF(AO$321="P6",COUNTIF($F$320:$AJ$320,"P6")*ROWS($D$323:$D$347),0)),"")</f>
        <v/>
      </c>
      <c r="AP323" s="6" cm="1">
        <f t="array" ref="AP323">IFERROR((SUMPRODUCT(($D$323:$D$347=AP$321)*($F$320:$AJ$320="")*$F$323:$AJ$347)+IF(AP$321="P6",SUMPRODUCT(($F$320:$AJ$320="P6")*$F$323:$AJ$347),0))/(SUMPRODUCT(($D$323:$D$347=AP$321)*($F$320:$AJ$320=""))+IF(AP$321="P6",COUNTIF($F$320:$AJ$320,"P6")*ROWS($D$323:$D$347),0)),"")</f>
        <v>0.92155312169312231</v>
      </c>
      <c r="AQ323" s="6" cm="1">
        <f t="array" ref="AQ323">IFERROR((SUMPRODUCT(($D$323:$D$347=AQ$321)*($F$320:$AJ$320="")*$F$323:$AJ$347)+IF(AQ$321="P6",SUMPRODUCT(($F$320:$AJ$320="P6")*$F$323:$AJ$347),0))/(SUMPRODUCT(($D$323:$D$347=AQ$321)*($F$320:$AJ$320=""))+IF(AQ$321="P6",COUNTIF($F$320:$AJ$320,"P6")*ROWS($D$323:$D$347),0)),"")</f>
        <v>1.1040816326530609</v>
      </c>
      <c r="AR323" s="6" cm="1">
        <f t="array" ref="AR323">IFERROR((SUMPRODUCT(($D$323:$D$347=AR$321)*($F$320:$AJ$320="")*$F$323:$AJ$347)+IF(AR$321="P6",SUMPRODUCT(($F$320:$AJ$320="P6")*$F$323:$AJ$347),0))/(SUMPRODUCT(($D$323:$D$347=AR$321)*($F$320:$AJ$320=""))+IF(AR$321="P6",COUNTIF($F$320:$AJ$320,"P6")*ROWS($D$323:$D$347),0)),"")</f>
        <v>0.91613466970387281</v>
      </c>
    </row>
    <row r="324" spans="1:44" ht="14.25" customHeight="1" x14ac:dyDescent="0.35">
      <c r="A324" s="1" t="s">
        <v>7</v>
      </c>
      <c r="B324" s="1" t="s">
        <v>7</v>
      </c>
      <c r="C324" s="1" t="s">
        <v>15</v>
      </c>
      <c r="D324" s="1" t="s">
        <v>7</v>
      </c>
      <c r="E324" s="1" t="s">
        <v>9</v>
      </c>
      <c r="F324" s="1">
        <v>1.03409</v>
      </c>
      <c r="G324" s="1">
        <v>1.0461</v>
      </c>
      <c r="H324" s="1">
        <v>1.0437799999999999</v>
      </c>
      <c r="I324" s="1">
        <v>1.10226</v>
      </c>
      <c r="J324" s="1">
        <v>1.1267799999999999</v>
      </c>
      <c r="K324" s="1">
        <v>1.02925</v>
      </c>
      <c r="L324" s="1">
        <v>1.0389200000000001</v>
      </c>
      <c r="M324" s="1">
        <v>1.03409</v>
      </c>
      <c r="N324" s="1">
        <v>1.0461</v>
      </c>
      <c r="O324" s="1">
        <v>1.0437799999999999</v>
      </c>
      <c r="P324" s="1">
        <v>1.10226</v>
      </c>
      <c r="Q324" s="1">
        <v>1.02705</v>
      </c>
      <c r="R324" s="1">
        <v>1.02925</v>
      </c>
      <c r="S324" s="1">
        <v>1.0389200000000001</v>
      </c>
      <c r="T324" s="1">
        <v>1.03409</v>
      </c>
      <c r="U324" s="1">
        <v>1.0461</v>
      </c>
      <c r="V324" s="1">
        <v>1.0437799999999999</v>
      </c>
      <c r="W324" s="1">
        <v>1.10226</v>
      </c>
      <c r="X324" s="1">
        <v>1.1267799999999999</v>
      </c>
      <c r="Y324" s="1">
        <v>1.02925</v>
      </c>
      <c r="Z324" s="1">
        <v>1.0389200000000001</v>
      </c>
      <c r="AA324" s="1">
        <v>1.03409</v>
      </c>
      <c r="AB324" s="1">
        <v>1.0461</v>
      </c>
      <c r="AC324" s="1">
        <v>1.0437799999999999</v>
      </c>
      <c r="AD324" s="1">
        <v>1.10226</v>
      </c>
      <c r="AE324" s="1">
        <v>1.1267799999999999</v>
      </c>
      <c r="AF324" s="1">
        <v>1.02925</v>
      </c>
      <c r="AG324" s="1">
        <v>1.0389200000000001</v>
      </c>
      <c r="AH324" s="1">
        <v>1.03409</v>
      </c>
      <c r="AI324" s="1">
        <v>1.0461</v>
      </c>
      <c r="AJ324" s="1">
        <v>1.0437799999999999</v>
      </c>
      <c r="AL324" s="4" t="s">
        <v>23</v>
      </c>
      <c r="AM324" s="6" t="str" cm="1">
        <f t="array" ref="AM324">IFERROR((SUMPRODUCT(($D$323:$D$347=AM$321)*($F$320:$AJ$320="")*$F$323:$AJ$347)+IF(AM$321="P6",SUMPRODUCT(($F$320:$AJ$320="P6")*$F$323:$AJ$347),0))/(SUMPRODUCT(($D$323:$D$347=AM$321)*($F$320:$AJ$320=""))+IF(AM$321="P6",COUNTIF($F$320:$AJ$320,"P6")*ROWS($D$323:$D$347),0)),"")</f>
        <v/>
      </c>
      <c r="AN324" s="6" t="str" cm="1">
        <f t="array" ref="AN324">IFERROR((SUMPRODUCT(($D$323:$D$347=AN$321)*($F$320:$AJ$320="")*$F$323:$AJ$347)+IF(AN$321="P6",SUMPRODUCT(($F$320:$AJ$320="P6")*$F$323:$AJ$347),0))/(SUMPRODUCT(($D$323:$D$347=AN$321)*($F$320:$AJ$320=""))+IF(AN$321="P6",COUNTIF($F$320:$AJ$320,"P6")*ROWS($D$323:$D$347),0)),"")</f>
        <v/>
      </c>
      <c r="AO324" s="5" t="str" cm="1">
        <f t="array" ref="AO324">IFERROR((SUMPRODUCT(($D$323:$D$347=AO$321)*($F$320:$AJ$320="")*$F$323:$AJ$347)+IF(AO$321="P6",SUMPRODUCT(($F$320:$AJ$320="P6")*$F$323:$AJ$347),0))/(SUMPRODUCT(($D$323:$D$347=AO$321)*($F$320:$AJ$320=""))+IF(AO$321="P6",COUNTIF($F$320:$AJ$320,"P6")*ROWS($D$323:$D$347),0)),"")</f>
        <v/>
      </c>
      <c r="AP324" s="5" cm="1">
        <f t="array" ref="AP324">IFERROR((SUMPRODUCT(($D$323:$D$347=AP$321)*($F$320:$AJ$320="")*$F$323:$AJ$347)+IF(AP$321="P6",SUMPRODUCT(($F$320:$AJ$320="P6")*$F$323:$AJ$347),0))/(SUMPRODUCT(($D$323:$D$347=AP$321)*($F$320:$AJ$320=""))+IF(AP$321="P6",COUNTIF($F$320:$AJ$320,"P6")*ROWS($D$323:$D$347),0)),"")</f>
        <v>0.92155312169312231</v>
      </c>
      <c r="AQ324" s="5" cm="1">
        <f t="array" ref="AQ324">IFERROR((SUMPRODUCT(($D$323:$D$347=AQ$321)*($F$320:$AJ$320="")*$F$323:$AJ$347)+IF(AQ$321="P6",SUMPRODUCT(($F$320:$AJ$320="P6")*$F$323:$AJ$347),0))/(SUMPRODUCT(($D$323:$D$347=AQ$321)*($F$320:$AJ$320=""))+IF(AQ$321="P6",COUNTIF($F$320:$AJ$320,"P6")*ROWS($D$323:$D$347),0)),"")</f>
        <v>1.1040816326530609</v>
      </c>
      <c r="AR324" s="6" cm="1">
        <f t="array" ref="AR324">IFERROR((SUMPRODUCT(($D$323:$D$347=AR$321)*($F$320:$AJ$320="")*$F$323:$AJ$347)+IF(AR$321="P6",SUMPRODUCT(($F$320:$AJ$320="P6")*$F$323:$AJ$347),0))/(SUMPRODUCT(($D$323:$D$347=AR$321)*($F$320:$AJ$320=""))+IF(AR$321="P6",COUNTIF($F$320:$AJ$320,"P6")*ROWS($D$323:$D$347),0)),"")</f>
        <v>0.91613466970387281</v>
      </c>
    </row>
    <row r="325" spans="1:44" ht="14.25" customHeight="1" x14ac:dyDescent="0.35">
      <c r="A325" s="1" t="s">
        <v>7</v>
      </c>
      <c r="B325" s="1" t="s">
        <v>7</v>
      </c>
      <c r="C325" s="1" t="s">
        <v>15</v>
      </c>
      <c r="D325" s="1" t="s">
        <v>7</v>
      </c>
      <c r="E325" s="1" t="s">
        <v>10</v>
      </c>
      <c r="F325" s="1">
        <v>1.0567200000000001</v>
      </c>
      <c r="G325" s="1">
        <v>1.07778</v>
      </c>
      <c r="H325" s="1">
        <v>1.0744100000000001</v>
      </c>
      <c r="I325" s="1">
        <v>1.1469100000000001</v>
      </c>
      <c r="J325" s="1">
        <v>1.1451800000000001</v>
      </c>
      <c r="K325" s="1">
        <v>1.0528500000000001</v>
      </c>
      <c r="L325" s="1">
        <v>1.0508900000000001</v>
      </c>
      <c r="M325" s="1">
        <v>1.0567200000000001</v>
      </c>
      <c r="N325" s="1">
        <v>1.07778</v>
      </c>
      <c r="O325" s="1">
        <v>1.0744100000000001</v>
      </c>
      <c r="P325" s="1">
        <v>1.1469100000000001</v>
      </c>
      <c r="Q325" s="1">
        <v>1.0387</v>
      </c>
      <c r="R325" s="1">
        <v>1.0528500000000001</v>
      </c>
      <c r="S325" s="1">
        <v>1.0508900000000001</v>
      </c>
      <c r="T325" s="1">
        <v>1.0567200000000001</v>
      </c>
      <c r="U325" s="1">
        <v>1.07778</v>
      </c>
      <c r="V325" s="1">
        <v>1.0744100000000001</v>
      </c>
      <c r="W325" s="1">
        <v>1.1469100000000001</v>
      </c>
      <c r="X325" s="1">
        <v>1.1451800000000001</v>
      </c>
      <c r="Y325" s="1">
        <v>1.0528500000000001</v>
      </c>
      <c r="Z325" s="1">
        <v>1.0508900000000001</v>
      </c>
      <c r="AA325" s="1">
        <v>1.0567200000000001</v>
      </c>
      <c r="AB325" s="1">
        <v>1.07778</v>
      </c>
      <c r="AC325" s="1">
        <v>1.0744100000000001</v>
      </c>
      <c r="AD325" s="1">
        <v>1.1469100000000001</v>
      </c>
      <c r="AE325" s="1">
        <v>1.1451800000000001</v>
      </c>
      <c r="AF325" s="1">
        <v>1.0528500000000001</v>
      </c>
      <c r="AG325" s="1">
        <v>1.0508900000000001</v>
      </c>
      <c r="AH325" s="1">
        <v>1.0567200000000001</v>
      </c>
      <c r="AI325" s="1">
        <v>1.07778</v>
      </c>
      <c r="AJ325" s="1">
        <v>1.0744100000000001</v>
      </c>
      <c r="AL325" s="4" t="s">
        <v>25</v>
      </c>
      <c r="AM325" s="6" t="str" cm="1">
        <f t="array" ref="AM325">IFERROR((SUMPRODUCT(($D$323:$D$347=AM$321)*($F$320:$AJ$320="")*$F$323:$AJ$347)+IF(AM$321="P6",SUMPRODUCT(($F$320:$AJ$320="P6")*$F$323:$AJ$347),0))/(SUMPRODUCT(($D$323:$D$347=AM$321)*($F$320:$AJ$320=""))+IF(AM$321="P6",COUNTIF($F$320:$AJ$320,"P6")*ROWS($D$323:$D$347),0)),"")</f>
        <v/>
      </c>
      <c r="AN325" s="6" t="str" cm="1">
        <f t="array" ref="AN325">IFERROR((SUMPRODUCT(($D$323:$D$347=AN$321)*($F$320:$AJ$320="")*$F$323:$AJ$347)+IF(AN$321="P6",SUMPRODUCT(($F$320:$AJ$320="P6")*$F$323:$AJ$347),0))/(SUMPRODUCT(($D$323:$D$347=AN$321)*($F$320:$AJ$320=""))+IF(AN$321="P6",COUNTIF($F$320:$AJ$320,"P6")*ROWS($D$323:$D$347),0)),"")</f>
        <v/>
      </c>
      <c r="AO325" s="5" t="str" cm="1">
        <f t="array" ref="AO325">IFERROR((SUMPRODUCT(($D$323:$D$347=AO$321)*($F$320:$AJ$320="")*$F$323:$AJ$347)+IF(AO$321="P6",SUMPRODUCT(($F$320:$AJ$320="P6")*$F$323:$AJ$347),0))/(SUMPRODUCT(($D$323:$D$347=AO$321)*($F$320:$AJ$320=""))+IF(AO$321="P6",COUNTIF($F$320:$AJ$320,"P6")*ROWS($D$323:$D$347),0)),"")</f>
        <v/>
      </c>
      <c r="AP325" s="5" cm="1">
        <f t="array" ref="AP325">IFERROR((SUMPRODUCT(($D$323:$D$347=AP$321)*($F$320:$AJ$320="")*$F$323:$AJ$347)+IF(AP$321="P6",SUMPRODUCT(($F$320:$AJ$320="P6")*$F$323:$AJ$347),0))/(SUMPRODUCT(($D$323:$D$347=AP$321)*($F$320:$AJ$320=""))+IF(AP$321="P6",COUNTIF($F$320:$AJ$320,"P6")*ROWS($D$323:$D$347),0)),"")</f>
        <v>0.92155312169312231</v>
      </c>
      <c r="AQ325" s="5" cm="1">
        <f t="array" ref="AQ325">IFERROR((SUMPRODUCT(($D$323:$D$347=AQ$321)*($F$320:$AJ$320="")*$F$323:$AJ$347)+IF(AQ$321="P6",SUMPRODUCT(($F$320:$AJ$320="P6")*$F$323:$AJ$347),0))/(SUMPRODUCT(($D$323:$D$347=AQ$321)*($F$320:$AJ$320=""))+IF(AQ$321="P6",COUNTIF($F$320:$AJ$320,"P6")*ROWS($D$323:$D$347),0)),"")</f>
        <v>1.1040816326530609</v>
      </c>
      <c r="AR325" s="6" cm="1">
        <f t="array" ref="AR325">IFERROR((SUMPRODUCT(($D$323:$D$347=AR$321)*($F$320:$AJ$320="")*$F$323:$AJ$347)+IF(AR$321="P6",SUMPRODUCT(($F$320:$AJ$320="P6")*$F$323:$AJ$347),0))/(SUMPRODUCT(($D$323:$D$347=AR$321)*($F$320:$AJ$320=""))+IF(AR$321="P6",COUNTIF($F$320:$AJ$320,"P6")*ROWS($D$323:$D$347),0)),"")</f>
        <v>0.91613466970387281</v>
      </c>
    </row>
    <row r="326" spans="1:44" ht="14.25" customHeight="1" x14ac:dyDescent="0.35">
      <c r="A326" s="1" t="s">
        <v>7</v>
      </c>
      <c r="B326" s="1" t="s">
        <v>7</v>
      </c>
      <c r="C326" s="1" t="s">
        <v>15</v>
      </c>
      <c r="D326" s="1" t="s">
        <v>7</v>
      </c>
      <c r="E326" s="1" t="s">
        <v>11</v>
      </c>
      <c r="F326" s="1">
        <v>1.0635600000000001</v>
      </c>
      <c r="G326" s="1">
        <v>1.08403</v>
      </c>
      <c r="H326" s="1">
        <v>1.0905199999999999</v>
      </c>
      <c r="I326" s="1">
        <v>1.1314599999999999</v>
      </c>
      <c r="J326" s="1">
        <v>1.1553800000000001</v>
      </c>
      <c r="K326" s="1">
        <v>1.0662700000000001</v>
      </c>
      <c r="L326" s="1">
        <v>1.0565100000000001</v>
      </c>
      <c r="M326" s="1">
        <v>1.0635600000000001</v>
      </c>
      <c r="N326" s="1">
        <v>1.08403</v>
      </c>
      <c r="O326" s="1">
        <v>1.0905199999999999</v>
      </c>
      <c r="P326" s="1">
        <v>1.1314599999999999</v>
      </c>
      <c r="Q326" s="1">
        <v>1.0416000000000001</v>
      </c>
      <c r="R326" s="1">
        <v>1.0662700000000001</v>
      </c>
      <c r="S326" s="1">
        <v>1.0565100000000001</v>
      </c>
      <c r="T326" s="1">
        <v>1.0635600000000001</v>
      </c>
      <c r="U326" s="1">
        <v>1.08403</v>
      </c>
      <c r="V326" s="1">
        <v>1.0905199999999999</v>
      </c>
      <c r="W326" s="1">
        <v>1.1314599999999999</v>
      </c>
      <c r="X326" s="1">
        <v>1.1553800000000001</v>
      </c>
      <c r="Y326" s="1">
        <v>1.0662700000000001</v>
      </c>
      <c r="Z326" s="1">
        <v>1.0565100000000001</v>
      </c>
      <c r="AA326" s="1">
        <v>1.0635600000000001</v>
      </c>
      <c r="AB326" s="1">
        <v>1.08403</v>
      </c>
      <c r="AC326" s="1">
        <v>1.0905199999999999</v>
      </c>
      <c r="AD326" s="1">
        <v>1.1314599999999999</v>
      </c>
      <c r="AE326" s="1">
        <v>1.1553800000000001</v>
      </c>
      <c r="AF326" s="1">
        <v>1.0662700000000001</v>
      </c>
      <c r="AG326" s="1">
        <v>1.0565100000000001</v>
      </c>
      <c r="AH326" s="1">
        <v>1.0635600000000001</v>
      </c>
      <c r="AI326" s="1">
        <v>1.08403</v>
      </c>
      <c r="AJ326" s="1">
        <v>1.0905199999999999</v>
      </c>
      <c r="AL326" s="4" t="s">
        <v>27</v>
      </c>
      <c r="AM326" s="6" t="str" cm="1">
        <f t="array" ref="AM326">IFERROR((SUMPRODUCT(($D$323:$D$347=AM$321)*($F$320:$AJ$320="")*$F$323:$AJ$347)+IF(AM$321="P6",SUMPRODUCT(($F$320:$AJ$320="P6")*$F$323:$AJ$347),0))/(SUMPRODUCT(($D$323:$D$347=AM$321)*($F$320:$AJ$320=""))+IF(AM$321="P6",COUNTIF($F$320:$AJ$320,"P6")*ROWS($D$323:$D$347),0)),"")</f>
        <v/>
      </c>
      <c r="AN326" s="6" t="str" cm="1">
        <f t="array" ref="AN326">IFERROR((SUMPRODUCT(($D$323:$D$347=AN$321)*($F$320:$AJ$320="")*$F$323:$AJ$347)+IF(AN$321="P6",SUMPRODUCT(($F$320:$AJ$320="P6")*$F$323:$AJ$347),0))/(SUMPRODUCT(($D$323:$D$347=AN$321)*($F$320:$AJ$320=""))+IF(AN$321="P6",COUNTIF($F$320:$AJ$320,"P6")*ROWS($D$323:$D$347),0)),"")</f>
        <v/>
      </c>
      <c r="AO326" s="5" t="str" cm="1">
        <f t="array" ref="AO326">IFERROR((SUMPRODUCT(($D$323:$D$347=AO$321)*($F$320:$AJ$320="")*$F$323:$AJ$347)+IF(AO$321="P6",SUMPRODUCT(($F$320:$AJ$320="P6")*$F$323:$AJ$347),0))/(SUMPRODUCT(($D$323:$D$347=AO$321)*($F$320:$AJ$320=""))+IF(AO$321="P6",COUNTIF($F$320:$AJ$320,"P6")*ROWS($D$323:$D$347),0)),"")</f>
        <v/>
      </c>
      <c r="AP326" s="5" cm="1">
        <f t="array" ref="AP326">IFERROR((SUMPRODUCT(($D$323:$D$347=AP$321)*($F$320:$AJ$320="")*$F$323:$AJ$347)+IF(AP$321="P6",SUMPRODUCT(($F$320:$AJ$320="P6")*$F$323:$AJ$347),0))/(SUMPRODUCT(($D$323:$D$347=AP$321)*($F$320:$AJ$320=""))+IF(AP$321="P6",COUNTIF($F$320:$AJ$320,"P6")*ROWS($D$323:$D$347),0)),"")</f>
        <v>0.92155312169312231</v>
      </c>
      <c r="AQ326" s="5" cm="1">
        <f t="array" ref="AQ326">IFERROR((SUMPRODUCT(($D$323:$D$347=AQ$321)*($F$320:$AJ$320="")*$F$323:$AJ$347)+IF(AQ$321="P6",SUMPRODUCT(($F$320:$AJ$320="P6")*$F$323:$AJ$347),0))/(SUMPRODUCT(($D$323:$D$347=AQ$321)*($F$320:$AJ$320=""))+IF(AQ$321="P6",COUNTIF($F$320:$AJ$320,"P6")*ROWS($D$323:$D$347),0)),"")</f>
        <v>1.1040816326530609</v>
      </c>
      <c r="AR326" s="6" cm="1">
        <f t="array" ref="AR326">IFERROR((SUMPRODUCT(($D$323:$D$347=AR$321)*($F$320:$AJ$320="")*$F$323:$AJ$347)+IF(AR$321="P6",SUMPRODUCT(($F$320:$AJ$320="P6")*$F$323:$AJ$347),0))/(SUMPRODUCT(($D$323:$D$347=AR$321)*($F$320:$AJ$320=""))+IF(AR$321="P6",COUNTIF($F$320:$AJ$320,"P6")*ROWS($D$323:$D$347),0)),"")</f>
        <v>0.91613466970387281</v>
      </c>
    </row>
    <row r="327" spans="1:44" ht="14.25" customHeight="1" x14ac:dyDescent="0.35">
      <c r="A327" s="1" t="s">
        <v>7</v>
      </c>
      <c r="B327" s="1" t="s">
        <v>7</v>
      </c>
      <c r="C327" s="1" t="s">
        <v>15</v>
      </c>
      <c r="D327" s="1" t="s">
        <v>7</v>
      </c>
      <c r="E327" s="1" t="s">
        <v>12</v>
      </c>
      <c r="F327" s="1">
        <v>1.04677</v>
      </c>
      <c r="G327" s="1">
        <v>1.07359</v>
      </c>
      <c r="H327" s="1">
        <v>1.10636</v>
      </c>
      <c r="I327" s="1">
        <v>1.1561900000000001</v>
      </c>
      <c r="J327" s="1">
        <v>1.13104</v>
      </c>
      <c r="K327" s="1">
        <v>1.0689</v>
      </c>
      <c r="L327" s="1">
        <v>1.0612999999999999</v>
      </c>
      <c r="M327" s="1">
        <v>1.04677</v>
      </c>
      <c r="N327" s="1">
        <v>1.07359</v>
      </c>
      <c r="O327" s="1">
        <v>1.10636</v>
      </c>
      <c r="P327" s="1">
        <v>1.1561900000000001</v>
      </c>
      <c r="Q327" s="1">
        <v>1.05457</v>
      </c>
      <c r="R327" s="1">
        <v>1.0689</v>
      </c>
      <c r="S327" s="1">
        <v>1.0612999999999999</v>
      </c>
      <c r="T327" s="1">
        <v>1.04677</v>
      </c>
      <c r="U327" s="1">
        <v>1.07359</v>
      </c>
      <c r="V327" s="1">
        <v>1.10636</v>
      </c>
      <c r="W327" s="1">
        <v>1.1561900000000001</v>
      </c>
      <c r="X327" s="1">
        <v>1.13104</v>
      </c>
      <c r="Y327" s="1">
        <v>1.0689</v>
      </c>
      <c r="Z327" s="1">
        <v>1.0612999999999999</v>
      </c>
      <c r="AA327" s="1">
        <v>1.04677</v>
      </c>
      <c r="AB327" s="1">
        <v>1.07359</v>
      </c>
      <c r="AC327" s="1">
        <v>1.10636</v>
      </c>
      <c r="AD327" s="1">
        <v>1.1561900000000001</v>
      </c>
      <c r="AE327" s="1">
        <v>1.13104</v>
      </c>
      <c r="AF327" s="1">
        <v>1.0689</v>
      </c>
      <c r="AG327" s="1">
        <v>1.0612999999999999</v>
      </c>
      <c r="AH327" s="1">
        <v>1.04677</v>
      </c>
      <c r="AI327" s="1">
        <v>1.07359</v>
      </c>
      <c r="AJ327" s="1">
        <v>1.10636</v>
      </c>
      <c r="AL327" s="4" t="s">
        <v>29</v>
      </c>
      <c r="AM327" s="6" t="str" cm="1">
        <f t="array" ref="AM327">IFERROR((SUMPRODUCT(($D$323:$D$347=AM$321)*($F$320:$AJ$320="")*$F$323:$AJ$347)+IF(AM$321="P6",SUMPRODUCT(($F$320:$AJ$320="P6")*$F$323:$AJ$347),0))/(SUMPRODUCT(($D$323:$D$347=AM$321)*($F$320:$AJ$320=""))+IF(AM$321="P6",COUNTIF($F$320:$AJ$320,"P6")*ROWS($D$323:$D$347),0)),"")</f>
        <v/>
      </c>
      <c r="AN327" s="6" t="str" cm="1">
        <f t="array" ref="AN327">IFERROR((SUMPRODUCT(($D$323:$D$347=AN$321)*($F$320:$AJ$320="")*$F$323:$AJ$347)+IF(AN$321="P6",SUMPRODUCT(($F$320:$AJ$320="P6")*$F$323:$AJ$347),0))/(SUMPRODUCT(($D$323:$D$347=AN$321)*($F$320:$AJ$320=""))+IF(AN$321="P6",COUNTIF($F$320:$AJ$320,"P6")*ROWS($D$323:$D$347),0)),"")</f>
        <v/>
      </c>
      <c r="AO327" s="5" t="str" cm="1">
        <f t="array" ref="AO327">IFERROR((SUMPRODUCT(($D$323:$D$347=AO$321)*($F$320:$AJ$320="")*$F$323:$AJ$347)+IF(AO$321="P6",SUMPRODUCT(($F$320:$AJ$320="P6")*$F$323:$AJ$347),0))/(SUMPRODUCT(($D$323:$D$347=AO$321)*($F$320:$AJ$320=""))+IF(AO$321="P6",COUNTIF($F$320:$AJ$320,"P6")*ROWS($D$323:$D$347),0)),"")</f>
        <v/>
      </c>
      <c r="AP327" s="5" cm="1">
        <f t="array" ref="AP327">IFERROR((SUMPRODUCT(($D$323:$D$347=AP$321)*($F$320:$AJ$320="")*$F$323:$AJ$347)+IF(AP$321="P6",SUMPRODUCT(($F$320:$AJ$320="P6")*$F$323:$AJ$347),0))/(SUMPRODUCT(($D$323:$D$347=AP$321)*($F$320:$AJ$320=""))+IF(AP$321="P6",COUNTIF($F$320:$AJ$320,"P6")*ROWS($D$323:$D$347),0)),"")</f>
        <v>0.92155312169312231</v>
      </c>
      <c r="AQ327" s="5" cm="1">
        <f t="array" ref="AQ327">IFERROR((SUMPRODUCT(($D$323:$D$347=AQ$321)*($F$320:$AJ$320="")*$F$323:$AJ$347)+IF(AQ$321="P6",SUMPRODUCT(($F$320:$AJ$320="P6")*$F$323:$AJ$347),0))/(SUMPRODUCT(($D$323:$D$347=AQ$321)*($F$320:$AJ$320=""))+IF(AQ$321="P6",COUNTIF($F$320:$AJ$320,"P6")*ROWS($D$323:$D$347),0)),"")</f>
        <v>1.1040816326530609</v>
      </c>
      <c r="AR327" s="6" cm="1">
        <f t="array" ref="AR327">IFERROR((SUMPRODUCT(($D$323:$D$347=AR$321)*($F$320:$AJ$320="")*$F$323:$AJ$347)+IF(AR$321="P6",SUMPRODUCT(($F$320:$AJ$320="P6")*$F$323:$AJ$347),0))/(SUMPRODUCT(($D$323:$D$347=AR$321)*($F$320:$AJ$320=""))+IF(AR$321="P6",COUNTIF($F$320:$AJ$320,"P6")*ROWS($D$323:$D$347),0)),"")</f>
        <v>0.91613466970387281</v>
      </c>
    </row>
    <row r="328" spans="1:44" ht="14.25" customHeight="1" x14ac:dyDescent="0.35">
      <c r="A328" s="1" t="s">
        <v>7</v>
      </c>
      <c r="B328" s="1" t="s">
        <v>7</v>
      </c>
      <c r="C328" s="1" t="s">
        <v>15</v>
      </c>
      <c r="D328" s="1" t="s">
        <v>7</v>
      </c>
      <c r="E328" s="1" t="s">
        <v>18</v>
      </c>
      <c r="F328" s="1">
        <v>1.0081100000000001</v>
      </c>
      <c r="G328" s="1">
        <v>1.0552699999999999</v>
      </c>
      <c r="H328" s="1">
        <v>1.1108499999999999</v>
      </c>
      <c r="I328" s="1">
        <v>1.1485799999999999</v>
      </c>
      <c r="J328" s="1">
        <v>1.07548</v>
      </c>
      <c r="K328" s="1">
        <v>1.03674</v>
      </c>
      <c r="L328" s="1">
        <v>1.0287999999999999</v>
      </c>
      <c r="M328" s="1">
        <v>1.0081100000000001</v>
      </c>
      <c r="N328" s="1">
        <v>1.0552699999999999</v>
      </c>
      <c r="O328" s="1">
        <v>1.1108499999999999</v>
      </c>
      <c r="P328" s="1">
        <v>1.1485799999999999</v>
      </c>
      <c r="Q328" s="1">
        <v>1.0651299999999999</v>
      </c>
      <c r="R328" s="1">
        <v>1.03674</v>
      </c>
      <c r="S328" s="1">
        <v>1.0287999999999999</v>
      </c>
      <c r="T328" s="1">
        <v>1.0081100000000001</v>
      </c>
      <c r="U328" s="1">
        <v>1.0552699999999999</v>
      </c>
      <c r="V328" s="1">
        <v>1.1108499999999999</v>
      </c>
      <c r="W328" s="1">
        <v>1.1485799999999999</v>
      </c>
      <c r="X328" s="1">
        <v>1.07548</v>
      </c>
      <c r="Y328" s="1">
        <v>1.03674</v>
      </c>
      <c r="Z328" s="1">
        <v>1.0287999999999999</v>
      </c>
      <c r="AA328" s="1">
        <v>1.0081100000000001</v>
      </c>
      <c r="AB328" s="1">
        <v>1.0552699999999999</v>
      </c>
      <c r="AC328" s="1">
        <v>1.1108499999999999</v>
      </c>
      <c r="AD328" s="1">
        <v>1.1485799999999999</v>
      </c>
      <c r="AE328" s="1">
        <v>1.07548</v>
      </c>
      <c r="AF328" s="1">
        <v>1.03674</v>
      </c>
      <c r="AG328" s="1">
        <v>1.0287999999999999</v>
      </c>
      <c r="AH328" s="1">
        <v>1.0081100000000001</v>
      </c>
      <c r="AI328" s="1">
        <v>1.0552699999999999</v>
      </c>
      <c r="AJ328" s="1">
        <v>1.1108499999999999</v>
      </c>
      <c r="AL328" s="10"/>
      <c r="AM328" s="10"/>
      <c r="AN328" s="10"/>
      <c r="AO328" s="10"/>
      <c r="AP328" s="10"/>
      <c r="AQ328" s="10"/>
      <c r="AR328" s="10"/>
    </row>
    <row r="329" spans="1:44" ht="14.25" customHeight="1" x14ac:dyDescent="0.35">
      <c r="A329" s="1" t="s">
        <v>7</v>
      </c>
      <c r="B329" s="1" t="s">
        <v>7</v>
      </c>
      <c r="C329" s="1" t="s">
        <v>15</v>
      </c>
      <c r="D329" s="1" t="s">
        <v>7</v>
      </c>
      <c r="E329" s="1" t="s">
        <v>20</v>
      </c>
      <c r="F329" s="1">
        <v>0.92715000000000003</v>
      </c>
      <c r="G329" s="1">
        <v>0.9476</v>
      </c>
      <c r="H329" s="1">
        <v>1.0618300000000001</v>
      </c>
      <c r="I329" s="1">
        <v>1.1152500000000001</v>
      </c>
      <c r="J329" s="1">
        <v>0.95660000000000001</v>
      </c>
      <c r="K329" s="1">
        <v>0.94662000000000002</v>
      </c>
      <c r="L329" s="1">
        <v>0.94308000000000003</v>
      </c>
      <c r="M329" s="1">
        <v>0.92715000000000003</v>
      </c>
      <c r="N329" s="1">
        <v>0.9476</v>
      </c>
      <c r="O329" s="1">
        <v>1.0618300000000001</v>
      </c>
      <c r="P329" s="1">
        <v>1.1152500000000001</v>
      </c>
      <c r="Q329" s="1">
        <v>1.0357700000000001</v>
      </c>
      <c r="R329" s="1">
        <v>0.94662000000000002</v>
      </c>
      <c r="S329" s="1">
        <v>0.94308000000000003</v>
      </c>
      <c r="T329" s="1">
        <v>0.92715000000000003</v>
      </c>
      <c r="U329" s="1">
        <v>0.9476</v>
      </c>
      <c r="V329" s="1">
        <v>1.0618300000000001</v>
      </c>
      <c r="W329" s="1">
        <v>1.1152500000000001</v>
      </c>
      <c r="X329" s="1">
        <v>0.95660000000000001</v>
      </c>
      <c r="Y329" s="1">
        <v>0.94662000000000002</v>
      </c>
      <c r="Z329" s="1">
        <v>0.94308000000000003</v>
      </c>
      <c r="AA329" s="1">
        <v>0.92715000000000003</v>
      </c>
      <c r="AB329" s="1">
        <v>0.9476</v>
      </c>
      <c r="AC329" s="1">
        <v>1.0618300000000001</v>
      </c>
      <c r="AD329" s="1">
        <v>1.1152500000000001</v>
      </c>
      <c r="AE329" s="1">
        <v>0.95660000000000001</v>
      </c>
      <c r="AF329" s="1">
        <v>0.94662000000000002</v>
      </c>
      <c r="AG329" s="1">
        <v>0.94308000000000003</v>
      </c>
      <c r="AH329" s="1">
        <v>0.92715000000000003</v>
      </c>
      <c r="AI329" s="1">
        <v>0.9476</v>
      </c>
      <c r="AJ329" s="1">
        <v>1.0618300000000001</v>
      </c>
      <c r="AL329" s="10"/>
      <c r="AM329" s="10"/>
      <c r="AN329" s="10"/>
      <c r="AO329" s="10"/>
      <c r="AP329" s="10"/>
      <c r="AQ329" s="10"/>
      <c r="AR329" s="10"/>
    </row>
    <row r="330" spans="1:44" ht="14.25" customHeight="1" x14ac:dyDescent="0.35">
      <c r="A330" s="1" t="s">
        <v>7</v>
      </c>
      <c r="B330" s="1" t="s">
        <v>7</v>
      </c>
      <c r="C330" s="1" t="s">
        <v>15</v>
      </c>
      <c r="D330" s="1" t="s">
        <v>7</v>
      </c>
      <c r="E330" s="1" t="s">
        <v>22</v>
      </c>
      <c r="F330" s="1">
        <v>0.84757000000000005</v>
      </c>
      <c r="G330" s="1">
        <v>0.86334</v>
      </c>
      <c r="H330" s="1">
        <v>0.99167000000000005</v>
      </c>
      <c r="I330" s="1">
        <v>1.0801499999999999</v>
      </c>
      <c r="J330" s="1">
        <v>0.87289000000000005</v>
      </c>
      <c r="K330" s="1">
        <v>0.86785000000000001</v>
      </c>
      <c r="L330" s="1">
        <v>0.88185000000000002</v>
      </c>
      <c r="M330" s="1">
        <v>0.84757000000000005</v>
      </c>
      <c r="N330" s="1">
        <v>0.86334</v>
      </c>
      <c r="O330" s="1">
        <v>0.99167000000000005</v>
      </c>
      <c r="P330" s="1">
        <v>1.0801499999999999</v>
      </c>
      <c r="Q330" s="1">
        <v>0.99521999999999999</v>
      </c>
      <c r="R330" s="1">
        <v>0.86785000000000001</v>
      </c>
      <c r="S330" s="1">
        <v>0.88185000000000002</v>
      </c>
      <c r="T330" s="1">
        <v>0.84757000000000005</v>
      </c>
      <c r="U330" s="1">
        <v>0.86334</v>
      </c>
      <c r="V330" s="1">
        <v>0.99167000000000005</v>
      </c>
      <c r="W330" s="1">
        <v>1.0801499999999999</v>
      </c>
      <c r="X330" s="1">
        <v>0.87289000000000005</v>
      </c>
      <c r="Y330" s="1">
        <v>0.86785000000000001</v>
      </c>
      <c r="Z330" s="1">
        <v>0.88185000000000002</v>
      </c>
      <c r="AA330" s="1">
        <v>0.84757000000000005</v>
      </c>
      <c r="AB330" s="1">
        <v>0.86334</v>
      </c>
      <c r="AC330" s="1">
        <v>0.99167000000000005</v>
      </c>
      <c r="AD330" s="1">
        <v>1.0801499999999999</v>
      </c>
      <c r="AE330" s="1">
        <v>0.87289000000000005</v>
      </c>
      <c r="AF330" s="1">
        <v>0.86785000000000001</v>
      </c>
      <c r="AG330" s="1">
        <v>0.88185000000000002</v>
      </c>
      <c r="AH330" s="1">
        <v>0.84757000000000005</v>
      </c>
      <c r="AI330" s="1">
        <v>0.86334</v>
      </c>
      <c r="AJ330" s="1">
        <v>0.99167000000000005</v>
      </c>
      <c r="AL330" s="14" t="s">
        <v>144</v>
      </c>
      <c r="AM330" s="14"/>
      <c r="AN330" s="14"/>
      <c r="AO330" s="14"/>
      <c r="AP330" s="14"/>
      <c r="AQ330" s="14"/>
      <c r="AR330" s="14"/>
    </row>
    <row r="331" spans="1:44" ht="14.25" customHeight="1" x14ac:dyDescent="0.35">
      <c r="A331" s="1" t="s">
        <v>15</v>
      </c>
      <c r="B331" s="1" t="s">
        <v>15</v>
      </c>
      <c r="C331" s="1" t="s">
        <v>14</v>
      </c>
      <c r="D331" s="1" t="s">
        <v>17</v>
      </c>
      <c r="E331" s="1" t="s">
        <v>24</v>
      </c>
      <c r="F331" s="1">
        <v>1.1024</v>
      </c>
      <c r="G331" s="1">
        <v>1.0990200000000001</v>
      </c>
      <c r="H331" s="1">
        <v>0.95860000000000001</v>
      </c>
      <c r="I331" s="1">
        <v>1.04166</v>
      </c>
      <c r="J331" s="1">
        <v>1.1271500000000001</v>
      </c>
      <c r="K331" s="1">
        <v>1.1186100000000001</v>
      </c>
      <c r="L331" s="1">
        <v>1.1408799999999999</v>
      </c>
      <c r="M331" s="1">
        <v>1.1024</v>
      </c>
      <c r="N331" s="1">
        <v>1.0990200000000001</v>
      </c>
      <c r="O331" s="1">
        <v>0.95860000000000001</v>
      </c>
      <c r="P331" s="1">
        <v>1.04166</v>
      </c>
      <c r="Q331" s="1">
        <v>0.97221000000000002</v>
      </c>
      <c r="R331" s="1">
        <v>1.1186100000000001</v>
      </c>
      <c r="S331" s="1">
        <v>1.1408799999999999</v>
      </c>
      <c r="T331" s="1">
        <v>1.1024</v>
      </c>
      <c r="U331" s="1">
        <v>1.0990200000000001</v>
      </c>
      <c r="V331" s="1">
        <v>0.95860000000000001</v>
      </c>
      <c r="W331" s="1">
        <v>1.04166</v>
      </c>
      <c r="X331" s="1">
        <v>1.1271500000000001</v>
      </c>
      <c r="Y331" s="1">
        <v>1.1186100000000001</v>
      </c>
      <c r="Z331" s="1">
        <v>1.1408799999999999</v>
      </c>
      <c r="AA331" s="1">
        <v>1.1024</v>
      </c>
      <c r="AB331" s="1">
        <v>1.0990200000000001</v>
      </c>
      <c r="AC331" s="1">
        <v>0.95860000000000001</v>
      </c>
      <c r="AD331" s="1">
        <v>1.04166</v>
      </c>
      <c r="AE331" s="1">
        <v>1.1271500000000001</v>
      </c>
      <c r="AF331" s="1">
        <v>1.1186100000000001</v>
      </c>
      <c r="AG331" s="1">
        <v>1.1408799999999999</v>
      </c>
      <c r="AH331" s="1">
        <v>1.1024</v>
      </c>
      <c r="AI331" s="1">
        <v>1.0990200000000001</v>
      </c>
      <c r="AJ331" s="1">
        <v>0.95860000000000001</v>
      </c>
      <c r="AL331" s="4"/>
      <c r="AM331" s="4" t="s">
        <v>13</v>
      </c>
      <c r="AN331" s="4" t="s">
        <v>14</v>
      </c>
      <c r="AO331" s="4" t="s">
        <v>15</v>
      </c>
      <c r="AP331" s="4" t="s">
        <v>16</v>
      </c>
      <c r="AQ331" s="4" t="s">
        <v>17</v>
      </c>
      <c r="AR331" s="4" t="s">
        <v>7</v>
      </c>
    </row>
    <row r="332" spans="1:44" ht="14.25" customHeight="1" x14ac:dyDescent="0.35">
      <c r="A332" s="1" t="s">
        <v>15</v>
      </c>
      <c r="B332" s="1" t="s">
        <v>15</v>
      </c>
      <c r="C332" s="1" t="s">
        <v>14</v>
      </c>
      <c r="D332" s="1" t="s">
        <v>16</v>
      </c>
      <c r="E332" s="1" t="s">
        <v>26</v>
      </c>
      <c r="F332" s="1">
        <v>0.91415999999999997</v>
      </c>
      <c r="G332" s="1">
        <v>0.89968000000000004</v>
      </c>
      <c r="H332" s="1">
        <v>0.85787000000000002</v>
      </c>
      <c r="I332" s="1">
        <v>0.94003999999999999</v>
      </c>
      <c r="J332" s="1">
        <v>0.90991999999999995</v>
      </c>
      <c r="K332" s="1">
        <v>0.89722000000000002</v>
      </c>
      <c r="L332" s="1">
        <v>0.93103999999999998</v>
      </c>
      <c r="M332" s="1">
        <v>0.91415999999999997</v>
      </c>
      <c r="N332" s="1">
        <v>0.89968000000000004</v>
      </c>
      <c r="O332" s="1">
        <v>0.85787000000000002</v>
      </c>
      <c r="P332" s="1">
        <v>0.94003999999999999</v>
      </c>
      <c r="Q332" s="1">
        <v>0.89519000000000004</v>
      </c>
      <c r="R332" s="1">
        <v>0.89722000000000002</v>
      </c>
      <c r="S332" s="1">
        <v>0.93103999999999998</v>
      </c>
      <c r="T332" s="1">
        <v>0.91415999999999997</v>
      </c>
      <c r="U332" s="1">
        <v>0.89968000000000004</v>
      </c>
      <c r="V332" s="1">
        <v>0.85787000000000002</v>
      </c>
      <c r="W332" s="1">
        <v>0.94003999999999999</v>
      </c>
      <c r="X332" s="1">
        <v>0.90991999999999995</v>
      </c>
      <c r="Y332" s="1">
        <v>0.89722000000000002</v>
      </c>
      <c r="Z332" s="1">
        <v>0.93103999999999998</v>
      </c>
      <c r="AA332" s="1">
        <v>0.91415999999999997</v>
      </c>
      <c r="AB332" s="1">
        <v>0.89968000000000004</v>
      </c>
      <c r="AC332" s="1">
        <v>0.85787000000000002</v>
      </c>
      <c r="AD332" s="1">
        <v>0.94003999999999999</v>
      </c>
      <c r="AE332" s="1">
        <v>0.90991999999999995</v>
      </c>
      <c r="AF332" s="1">
        <v>0.89722000000000002</v>
      </c>
      <c r="AG332" s="1">
        <v>0.93103999999999998</v>
      </c>
      <c r="AH332" s="1">
        <v>0.91415999999999997</v>
      </c>
      <c r="AI332" s="1">
        <v>0.89968000000000004</v>
      </c>
      <c r="AJ332" s="1">
        <v>0.85787000000000002</v>
      </c>
      <c r="AL332" s="4" t="s">
        <v>19</v>
      </c>
      <c r="AM332" s="6" cm="1">
        <f t="array" ref="AM332">IFERROR((SUMPRODUCT(($C$323:$C$347=AM$321)*($F$319:$AJ$319="")*$F$323:$AJ$347)+IF(AM$321="P3",SUMPRODUCT(($F$319:$AJ$319="P3")*$F$323:$AJ$347),0))/(SUMPRODUCT(($C$323:$C$347=AM$321)*($F$319:$AJ$319=""))+IF(AM$321="P3",COUNTIF($F$319:$AJ$319,"P3")*ROWS($C$323:$C$347),0)),"")</f>
        <v>0.9229853571428579</v>
      </c>
      <c r="AN332" s="6" cm="1">
        <f t="array" ref="AN332">IFERROR((SUMPRODUCT(($C$323:$C$347=AN$321)*($F$319:$AJ$319="")*$F$323:$AJ$347)+IF(AN$321="P3",SUMPRODUCT(($F$319:$AJ$319="P3")*$F$323:$AJ$347),0))/(SUMPRODUCT(($C$323:$C$347=AN$321)*($F$319:$AJ$319=""))+IF(AN$321="P3",COUNTIF($F$319:$AJ$319,"P3")*ROWS($C$323:$C$347),0)),"")</f>
        <v>1.0798333333333336</v>
      </c>
      <c r="AO332" s="6" cm="1">
        <f t="array" ref="AO332">IFERROR((SUMPRODUCT(($C$323:$C$347=AO$321)*($F$319:$AJ$319="")*$F$323:$AJ$347)+IF(AO$321="P3",SUMPRODUCT(($F$319:$AJ$319="P3")*$F$323:$AJ$347),0))/(SUMPRODUCT(($C$323:$C$347=AO$321)*($F$319:$AJ$319=""))+IF(AO$321="P3",COUNTIF($F$319:$AJ$319,"P3")*ROWS($C$323:$C$347),0)),"")</f>
        <v>0.91613466970387281</v>
      </c>
      <c r="AP332" s="6" t="str" cm="1">
        <f t="array" ref="AP332">IFERROR((SUMPRODUCT(($C$323:$C$347=AP$321)*($F$319:$AJ$319="")*$F$323:$AJ$347)+IF(AP$321="P3",SUMPRODUCT(($F$319:$AJ$319="P3")*$F$323:$AJ$347),0))/(SUMPRODUCT(($C$323:$C$347=AP$321)*($F$319:$AJ$319=""))+IF(AP$321="P3",COUNTIF($F$319:$AJ$319,"P3")*ROWS($C$323:$C$347),0)),"")</f>
        <v/>
      </c>
      <c r="AQ332" s="6" t="str" cm="1">
        <f t="array" ref="AQ332">IFERROR((SUMPRODUCT(($C$323:$C$347=AQ$321)*($F$319:$AJ$319="")*$F$323:$AJ$347)+IF(AQ$321="P3",SUMPRODUCT(($F$319:$AJ$319="P3")*$F$323:$AJ$347),0))/(SUMPRODUCT(($C$323:$C$347=AQ$321)*($F$319:$AJ$319=""))+IF(AQ$321="P3",COUNTIF($F$319:$AJ$319,"P3")*ROWS($C$323:$C$347),0)),"")</f>
        <v/>
      </c>
      <c r="AR332" s="6" t="str" cm="1">
        <f t="array" ref="AR332">IFERROR((SUMPRODUCT(($C$323:$C$347=AR$321)*($F$319:$AJ$319="")*$F$323:$AJ$347)+IF(AR$321="P3",SUMPRODUCT(($F$319:$AJ$319="P3")*$F$323:$AJ$347),0))/(SUMPRODUCT(($C$323:$C$347=AR$321)*($F$319:$AJ$319=""))+IF(AR$321="P3",COUNTIF($F$319:$AJ$319,"P3")*ROWS($C$323:$C$347),0)),"")</f>
        <v/>
      </c>
    </row>
    <row r="333" spans="1:44" ht="14.25" customHeight="1" x14ac:dyDescent="0.35">
      <c r="A333" s="1" t="s">
        <v>13</v>
      </c>
      <c r="B333" s="1" t="s">
        <v>14</v>
      </c>
      <c r="C333" s="1" t="s">
        <v>13</v>
      </c>
      <c r="D333" s="1" t="s">
        <v>16</v>
      </c>
      <c r="E333" s="1" t="s">
        <v>28</v>
      </c>
      <c r="F333" s="1">
        <v>0.86533000000000004</v>
      </c>
      <c r="G333" s="1">
        <v>0.85014000000000001</v>
      </c>
      <c r="H333" s="1">
        <v>0.78808999999999996</v>
      </c>
      <c r="I333" s="1">
        <v>0.85036999999999996</v>
      </c>
      <c r="J333" s="1">
        <v>0.88122999999999996</v>
      </c>
      <c r="K333" s="1">
        <v>0.85487000000000002</v>
      </c>
      <c r="L333" s="1">
        <v>0.90005000000000002</v>
      </c>
      <c r="M333" s="1">
        <v>0.86533000000000004</v>
      </c>
      <c r="N333" s="1">
        <v>0.85014000000000001</v>
      </c>
      <c r="O333" s="1">
        <v>0.78808999999999996</v>
      </c>
      <c r="P333" s="1">
        <v>0.85036999999999996</v>
      </c>
      <c r="Q333" s="1">
        <v>0.86263999999999996</v>
      </c>
      <c r="R333" s="1">
        <v>0.85487000000000002</v>
      </c>
      <c r="S333" s="1">
        <v>0.90005000000000002</v>
      </c>
      <c r="T333" s="1">
        <v>0.86533000000000004</v>
      </c>
      <c r="U333" s="1">
        <v>0.85014000000000001</v>
      </c>
      <c r="V333" s="1">
        <v>0.78808999999999996</v>
      </c>
      <c r="W333" s="1">
        <v>0.85036999999999996</v>
      </c>
      <c r="X333" s="1">
        <v>0.88122999999999996</v>
      </c>
      <c r="Y333" s="1">
        <v>0.85487000000000002</v>
      </c>
      <c r="Z333" s="1">
        <v>0.90005000000000002</v>
      </c>
      <c r="AA333" s="1">
        <v>0.86533000000000004</v>
      </c>
      <c r="AB333" s="1">
        <v>0.85014000000000001</v>
      </c>
      <c r="AC333" s="1">
        <v>0.78808999999999996</v>
      </c>
      <c r="AD333" s="1">
        <v>0.85036999999999996</v>
      </c>
      <c r="AE333" s="1">
        <v>0.88122999999999996</v>
      </c>
      <c r="AF333" s="1">
        <v>0.85487000000000002</v>
      </c>
      <c r="AG333" s="1">
        <v>0.90005000000000002</v>
      </c>
      <c r="AH333" s="1">
        <v>0.86533000000000004</v>
      </c>
      <c r="AI333" s="1">
        <v>0.85014000000000001</v>
      </c>
      <c r="AJ333" s="1">
        <v>0.78808999999999996</v>
      </c>
      <c r="AL333" s="4" t="s">
        <v>21</v>
      </c>
      <c r="AM333" s="6" cm="1">
        <f t="array" ref="AM333">IFERROR((SUMPRODUCT(($A$323:$A$347=AM$321)*($F$320:$AJ$320="")*$F$323:$AJ$347)+IF(AM$321="P6",SUMPRODUCT(($F$320:$AJ$320="P6")*$F$323:$AJ$347),0))/(SUMPRODUCT(($A$323:$A$347=AM$321)*($F$320:$AJ$320=""))+IF(AM$321="P6",COUNTIF($F$320:$AJ$320,"P6")*ROWS($A$323:$A$347),0)),"")</f>
        <v>0.92903211640211691</v>
      </c>
      <c r="AN333" s="6" t="str" cm="1">
        <f t="array" ref="AN333">IFERROR((SUMPRODUCT(($A$323:$A$347=AN$321)*($F$320:$AJ$320="")*$F$323:$AJ$347)+IF(AN$321="P6",SUMPRODUCT(($F$320:$AJ$320="P6")*$F$323:$AJ$347),0))/(SUMPRODUCT(($A$323:$A$347=AN$321)*($F$320:$AJ$320=""))+IF(AN$321="P6",COUNTIF($F$320:$AJ$320,"P6")*ROWS($A$323:$A$347),0)),"")</f>
        <v/>
      </c>
      <c r="AO333" s="6" cm="1">
        <f t="array" ref="AO333">IFERROR((SUMPRODUCT(($A$323:$A$347=AO$321)*($F$320:$AJ$320="")*$F$323:$AJ$347)+IF(AO$321="P6",SUMPRODUCT(($F$320:$AJ$320="P6")*$F$323:$AJ$347),0))/(SUMPRODUCT(($A$323:$A$347=AO$321)*($F$320:$AJ$320=""))+IF(AO$321="P6",COUNTIF($F$320:$AJ$320,"P6")*ROWS($A$323:$A$347),0)),"")</f>
        <v>1.0944657823129249</v>
      </c>
      <c r="AP333" s="6" t="str" cm="1">
        <f t="array" ref="AP333">IFERROR((SUMPRODUCT(($A$323:$A$347=AP$321)*($F$320:$AJ$320="")*$F$323:$AJ$347)+IF(AP$321="P6",SUMPRODUCT(($F$320:$AJ$320="P6")*$F$323:$AJ$347),0))/(SUMPRODUCT(($A$323:$A$347=AP$321)*($F$320:$AJ$320=""))+IF(AP$321="P6",COUNTIF($F$320:$AJ$320,"P6")*ROWS($A$323:$A$347),0)),"")</f>
        <v/>
      </c>
      <c r="AQ333" s="6" t="str" cm="1">
        <f t="array" ref="AQ333">IFERROR((SUMPRODUCT(($A$323:$A$347=AQ$321)*($F$320:$AJ$320="")*$F$323:$AJ$347)+IF(AQ$321="P6",SUMPRODUCT(($F$320:$AJ$320="P6")*$F$323:$AJ$347),0))/(SUMPRODUCT(($A$323:$A$347=AQ$321)*($F$320:$AJ$320=""))+IF(AQ$321="P6",COUNTIF($F$320:$AJ$320,"P6")*ROWS($A$323:$A$347),0)),"")</f>
        <v/>
      </c>
      <c r="AR333" s="6" cm="1">
        <f t="array" ref="AR333">IFERROR((SUMPRODUCT(($A$323:$A$347=AR$321)*($F$320:$AJ$320="")*$F$323:$AJ$347)+IF(AR$321="P6",SUMPRODUCT(($F$320:$AJ$320="P6")*$F$323:$AJ$347),0))/(SUMPRODUCT(($A$323:$A$347=AR$321)*($F$320:$AJ$320=""))+IF(AR$321="P6",COUNTIF($F$320:$AJ$320,"P6")*ROWS($A$323:$A$347),0)),"")</f>
        <v>0.91613466970387281</v>
      </c>
    </row>
    <row r="334" spans="1:44" ht="14.25" customHeight="1" x14ac:dyDescent="0.35">
      <c r="A334" s="1" t="s">
        <v>13</v>
      </c>
      <c r="B334" s="1" t="s">
        <v>14</v>
      </c>
      <c r="C334" s="1" t="s">
        <v>13</v>
      </c>
      <c r="D334" s="1" t="s">
        <v>16</v>
      </c>
      <c r="E334" s="1" t="s">
        <v>30</v>
      </c>
      <c r="F334" s="1">
        <v>0.87921000000000005</v>
      </c>
      <c r="G334" s="1">
        <v>0.84108000000000005</v>
      </c>
      <c r="H334" s="1">
        <v>0.77210000000000001</v>
      </c>
      <c r="I334" s="1">
        <v>0.82372000000000001</v>
      </c>
      <c r="J334" s="1">
        <v>0.86965999999999999</v>
      </c>
      <c r="K334" s="1">
        <v>0.84394000000000002</v>
      </c>
      <c r="L334" s="1">
        <v>0.89612000000000003</v>
      </c>
      <c r="M334" s="1">
        <v>0.87921000000000005</v>
      </c>
      <c r="N334" s="1">
        <v>0.84108000000000005</v>
      </c>
      <c r="O334" s="1">
        <v>0.77210000000000001</v>
      </c>
      <c r="P334" s="1">
        <v>0.82372000000000001</v>
      </c>
      <c r="Q334" s="1">
        <v>0.87475000000000003</v>
      </c>
      <c r="R334" s="1">
        <v>0.84394000000000002</v>
      </c>
      <c r="S334" s="1">
        <v>0.89612000000000003</v>
      </c>
      <c r="T334" s="1">
        <v>0.87921000000000005</v>
      </c>
      <c r="U334" s="1">
        <v>0.84108000000000005</v>
      </c>
      <c r="V334" s="1">
        <v>0.77210000000000001</v>
      </c>
      <c r="W334" s="1">
        <v>0.82372000000000001</v>
      </c>
      <c r="X334" s="1">
        <v>0.86965999999999999</v>
      </c>
      <c r="Y334" s="1">
        <v>0.84394000000000002</v>
      </c>
      <c r="Z334" s="1">
        <v>0.89612000000000003</v>
      </c>
      <c r="AA334" s="1">
        <v>0.87921000000000005</v>
      </c>
      <c r="AB334" s="1">
        <v>0.84108000000000005</v>
      </c>
      <c r="AC334" s="1">
        <v>0.77210000000000001</v>
      </c>
      <c r="AD334" s="1">
        <v>0.82372000000000001</v>
      </c>
      <c r="AE334" s="1">
        <v>0.86965999999999999</v>
      </c>
      <c r="AF334" s="1">
        <v>0.84394000000000002</v>
      </c>
      <c r="AG334" s="1">
        <v>0.89612000000000003</v>
      </c>
      <c r="AH334" s="1">
        <v>0.87921000000000005</v>
      </c>
      <c r="AI334" s="1">
        <v>0.84108000000000005</v>
      </c>
      <c r="AJ334" s="1">
        <v>0.77210000000000001</v>
      </c>
      <c r="AL334" s="4" t="s">
        <v>23</v>
      </c>
      <c r="AM334" s="6" cm="1">
        <f t="array" ref="AM334">IFERROR((SUMPRODUCT(($A$323:$A$347=AM$321)*($F$320:$AJ$320="")*$F$323:$AJ$347)+IF(AM$321="P6",SUMPRODUCT(($F$320:$AJ$320="P6")*$F$323:$AJ$347),0))/(SUMPRODUCT(($A$323:$A$347=AM$321)*($F$320:$AJ$320=""))+IF(AM$321="P6",COUNTIF($F$320:$AJ$320,"P6")*ROWS($A$323:$A$347),0)),"")</f>
        <v>0.92903211640211691</v>
      </c>
      <c r="AN334" s="6" t="str" cm="1">
        <f t="array" ref="AN334">IFERROR((SUMPRODUCT(($A$323:$A$347=AN$321)*($F$320:$AJ$320="")*$F$323:$AJ$347)+IF(AN$321="P6",SUMPRODUCT(($F$320:$AJ$320="P6")*$F$323:$AJ$347),0))/(SUMPRODUCT(($A$323:$A$347=AN$321)*($F$320:$AJ$320=""))+IF(AN$321="P6",COUNTIF($F$320:$AJ$320,"P6")*ROWS($A$323:$A$347),0)),"")</f>
        <v/>
      </c>
      <c r="AO334" s="6" cm="1">
        <f t="array" ref="AO334">IFERROR((SUMPRODUCT(($A$323:$A$347=AO$321)*($F$320:$AJ$320="")*$F$323:$AJ$347)+IF(AO$321="P6",SUMPRODUCT(($F$320:$AJ$320="P6")*$F$323:$AJ$347),0))/(SUMPRODUCT(($A$323:$A$347=AO$321)*($F$320:$AJ$320=""))+IF(AO$321="P6",COUNTIF($F$320:$AJ$320,"P6")*ROWS($A$323:$A$347),0)),"")</f>
        <v>1.0944657823129249</v>
      </c>
      <c r="AP334" s="6" t="str" cm="1">
        <f t="array" ref="AP334">IFERROR((SUMPRODUCT(($A$323:$A$347=AP$321)*($F$320:$AJ$320="")*$F$323:$AJ$347)+IF(AP$321="P6",SUMPRODUCT(($F$320:$AJ$320="P6")*$F$323:$AJ$347),0))/(SUMPRODUCT(($A$323:$A$347=AP$321)*($F$320:$AJ$320=""))+IF(AP$321="P6",COUNTIF($F$320:$AJ$320,"P6")*ROWS($A$323:$A$347),0)),"")</f>
        <v/>
      </c>
      <c r="AQ334" s="6" t="str" cm="1">
        <f t="array" ref="AQ334">IFERROR((SUMPRODUCT(($A$323:$A$347=AQ$321)*($F$320:$AJ$320="")*$F$323:$AJ$347)+IF(AQ$321="P6",SUMPRODUCT(($F$320:$AJ$320="P6")*$F$323:$AJ$347),0))/(SUMPRODUCT(($A$323:$A$347=AQ$321)*($F$320:$AJ$320=""))+IF(AQ$321="P6",COUNTIF($F$320:$AJ$320,"P6")*ROWS($A$323:$A$347),0)),"")</f>
        <v/>
      </c>
      <c r="AR334" s="6" cm="1">
        <f t="array" ref="AR334">IFERROR((SUMPRODUCT(($A$323:$A$347=AR$321)*($F$320:$AJ$320="")*$F$323:$AJ$347)+IF(AR$321="P6",SUMPRODUCT(($F$320:$AJ$320="P6")*$F$323:$AJ$347),0))/(SUMPRODUCT(($A$323:$A$347=AR$321)*($F$320:$AJ$320=""))+IF(AR$321="P6",COUNTIF($F$320:$AJ$320,"P6")*ROWS($A$323:$A$347),0)),"")</f>
        <v>0.91613466970387281</v>
      </c>
    </row>
    <row r="335" spans="1:44" ht="14.25" customHeight="1" x14ac:dyDescent="0.35">
      <c r="A335" s="1" t="s">
        <v>13</v>
      </c>
      <c r="B335" s="1" t="s">
        <v>14</v>
      </c>
      <c r="C335" s="1" t="s">
        <v>13</v>
      </c>
      <c r="D335" s="1" t="s">
        <v>16</v>
      </c>
      <c r="E335" s="1" t="s">
        <v>31</v>
      </c>
      <c r="F335" s="1">
        <v>0.85829999999999995</v>
      </c>
      <c r="G335" s="1">
        <v>0.83919999999999995</v>
      </c>
      <c r="H335" s="1">
        <v>0.77242</v>
      </c>
      <c r="I335" s="1">
        <v>0.79934000000000005</v>
      </c>
      <c r="J335" s="1">
        <v>0.85904000000000003</v>
      </c>
      <c r="K335" s="1">
        <v>0.85033000000000003</v>
      </c>
      <c r="L335" s="1">
        <v>0.88471999999999995</v>
      </c>
      <c r="M335" s="1">
        <v>0.85829999999999995</v>
      </c>
      <c r="N335" s="1">
        <v>0.83919999999999995</v>
      </c>
      <c r="O335" s="1">
        <v>0.77242</v>
      </c>
      <c r="P335" s="1">
        <v>0.79934000000000005</v>
      </c>
      <c r="Q335" s="1">
        <v>0.85995999999999995</v>
      </c>
      <c r="R335" s="1">
        <v>0.85033000000000003</v>
      </c>
      <c r="S335" s="1">
        <v>0.88471999999999995</v>
      </c>
      <c r="T335" s="1">
        <v>0.85829999999999995</v>
      </c>
      <c r="U335" s="1">
        <v>0.83919999999999995</v>
      </c>
      <c r="V335" s="1">
        <v>0.77242</v>
      </c>
      <c r="W335" s="1">
        <v>0.79934000000000005</v>
      </c>
      <c r="X335" s="1">
        <v>0.85904000000000003</v>
      </c>
      <c r="Y335" s="1">
        <v>0.85033000000000003</v>
      </c>
      <c r="Z335" s="1">
        <v>0.88471999999999995</v>
      </c>
      <c r="AA335" s="1">
        <v>0.85829999999999995</v>
      </c>
      <c r="AB335" s="1">
        <v>0.83919999999999995</v>
      </c>
      <c r="AC335" s="1">
        <v>0.77242</v>
      </c>
      <c r="AD335" s="1">
        <v>0.79934000000000005</v>
      </c>
      <c r="AE335" s="1">
        <v>0.85904000000000003</v>
      </c>
      <c r="AF335" s="1">
        <v>0.85033000000000003</v>
      </c>
      <c r="AG335" s="1">
        <v>0.88471999999999995</v>
      </c>
      <c r="AH335" s="1">
        <v>0.85829999999999995</v>
      </c>
      <c r="AI335" s="1">
        <v>0.83919999999999995</v>
      </c>
      <c r="AJ335" s="1">
        <v>0.77242</v>
      </c>
      <c r="AL335" s="4" t="s">
        <v>25</v>
      </c>
      <c r="AM335" s="6" cm="1">
        <f t="array" ref="AM335">IFERROR((SUMPRODUCT(($A$323:$A$347=AM$321)*($F$320:$AJ$320="")*$F$323:$AJ$347)+IF(AM$321="P6",SUMPRODUCT(($F$320:$AJ$320="P6")*$F$323:$AJ$347),0))/(SUMPRODUCT(($A$323:$A$347=AM$321)*($F$320:$AJ$320=""))+IF(AM$321="P6",COUNTIF($F$320:$AJ$320,"P6")*ROWS($A$323:$A$347),0)),"")</f>
        <v>0.92903211640211691</v>
      </c>
      <c r="AN335" s="6" t="str" cm="1">
        <f t="array" ref="AN335">IFERROR((SUMPRODUCT(($A$323:$A$347=AN$321)*($F$320:$AJ$320="")*$F$323:$AJ$347)+IF(AN$321="P6",SUMPRODUCT(($F$320:$AJ$320="P6")*$F$323:$AJ$347),0))/(SUMPRODUCT(($A$323:$A$347=AN$321)*($F$320:$AJ$320=""))+IF(AN$321="P6",COUNTIF($F$320:$AJ$320,"P6")*ROWS($A$323:$A$347),0)),"")</f>
        <v/>
      </c>
      <c r="AO335" s="6" cm="1">
        <f t="array" ref="AO335">IFERROR((SUMPRODUCT(($A$323:$A$347=AO$321)*($F$320:$AJ$320="")*$F$323:$AJ$347)+IF(AO$321="P6",SUMPRODUCT(($F$320:$AJ$320="P6")*$F$323:$AJ$347),0))/(SUMPRODUCT(($A$323:$A$347=AO$321)*($F$320:$AJ$320=""))+IF(AO$321="P6",COUNTIF($F$320:$AJ$320,"P6")*ROWS($A$323:$A$347),0)),"")</f>
        <v>1.0944657823129249</v>
      </c>
      <c r="AP335" s="6" t="str" cm="1">
        <f t="array" ref="AP335">IFERROR((SUMPRODUCT(($A$323:$A$347=AP$321)*($F$320:$AJ$320="")*$F$323:$AJ$347)+IF(AP$321="P6",SUMPRODUCT(($F$320:$AJ$320="P6")*$F$323:$AJ$347),0))/(SUMPRODUCT(($A$323:$A$347=AP$321)*($F$320:$AJ$320=""))+IF(AP$321="P6",COUNTIF($F$320:$AJ$320,"P6")*ROWS($A$323:$A$347),0)),"")</f>
        <v/>
      </c>
      <c r="AQ335" s="6" t="str" cm="1">
        <f t="array" ref="AQ335">IFERROR((SUMPRODUCT(($A$323:$A$347=AQ$321)*($F$320:$AJ$320="")*$F$323:$AJ$347)+IF(AQ$321="P6",SUMPRODUCT(($F$320:$AJ$320="P6")*$F$323:$AJ$347),0))/(SUMPRODUCT(($A$323:$A$347=AQ$321)*($F$320:$AJ$320=""))+IF(AQ$321="P6",COUNTIF($F$320:$AJ$320,"P6")*ROWS($A$323:$A$347),0)),"")</f>
        <v/>
      </c>
      <c r="AR335" s="6" cm="1">
        <f t="array" ref="AR335">IFERROR((SUMPRODUCT(($A$323:$A$347=AR$321)*($F$320:$AJ$320="")*$F$323:$AJ$347)+IF(AR$321="P6",SUMPRODUCT(($F$320:$AJ$320="P6")*$F$323:$AJ$347),0))/(SUMPRODUCT(($A$323:$A$347=AR$321)*($F$320:$AJ$320=""))+IF(AR$321="P6",COUNTIF($F$320:$AJ$320,"P6")*ROWS($A$323:$A$347),0)),"")</f>
        <v>0.91613466970387281</v>
      </c>
    </row>
    <row r="336" spans="1:44" ht="14.25" customHeight="1" x14ac:dyDescent="0.35">
      <c r="A336" s="1" t="s">
        <v>13</v>
      </c>
      <c r="B336" s="1" t="s">
        <v>14</v>
      </c>
      <c r="C336" s="1" t="s">
        <v>13</v>
      </c>
      <c r="D336" s="1" t="s">
        <v>16</v>
      </c>
      <c r="E336" s="1" t="s">
        <v>32</v>
      </c>
      <c r="F336" s="1">
        <v>0.83650999999999998</v>
      </c>
      <c r="G336" s="1">
        <v>0.81921999999999995</v>
      </c>
      <c r="H336" s="1">
        <v>0.75592999999999999</v>
      </c>
      <c r="I336" s="1">
        <v>0.79849999999999999</v>
      </c>
      <c r="J336" s="1">
        <v>0.85116000000000003</v>
      </c>
      <c r="K336" s="1">
        <v>0.85657000000000005</v>
      </c>
      <c r="L336" s="1">
        <v>0.85367999999999999</v>
      </c>
      <c r="M336" s="1">
        <v>0.83650999999999998</v>
      </c>
      <c r="N336" s="1">
        <v>0.81921999999999995</v>
      </c>
      <c r="O336" s="1">
        <v>0.75592999999999999</v>
      </c>
      <c r="P336" s="1">
        <v>0.79849999999999999</v>
      </c>
      <c r="Q336" s="1">
        <v>0.84691000000000005</v>
      </c>
      <c r="R336" s="1">
        <v>0.85657000000000005</v>
      </c>
      <c r="S336" s="1">
        <v>0.85367999999999999</v>
      </c>
      <c r="T336" s="1">
        <v>0.83650999999999998</v>
      </c>
      <c r="U336" s="1">
        <v>0.81921999999999995</v>
      </c>
      <c r="V336" s="1">
        <v>0.75592999999999999</v>
      </c>
      <c r="W336" s="1">
        <v>0.79849999999999999</v>
      </c>
      <c r="X336" s="1">
        <v>0.85116000000000003</v>
      </c>
      <c r="Y336" s="1">
        <v>0.85657000000000005</v>
      </c>
      <c r="Z336" s="1">
        <v>0.85367999999999999</v>
      </c>
      <c r="AA336" s="1">
        <v>0.83650999999999998</v>
      </c>
      <c r="AB336" s="1">
        <v>0.81921999999999995</v>
      </c>
      <c r="AC336" s="1">
        <v>0.75592999999999999</v>
      </c>
      <c r="AD336" s="1">
        <v>0.79849999999999999</v>
      </c>
      <c r="AE336" s="1">
        <v>0.85116000000000003</v>
      </c>
      <c r="AF336" s="1">
        <v>0.85657000000000005</v>
      </c>
      <c r="AG336" s="1">
        <v>0.85367999999999999</v>
      </c>
      <c r="AH336" s="1">
        <v>0.83650999999999998</v>
      </c>
      <c r="AI336" s="1">
        <v>0.81921999999999995</v>
      </c>
      <c r="AJ336" s="1">
        <v>0.75592999999999999</v>
      </c>
      <c r="AL336" s="4" t="s">
        <v>27</v>
      </c>
      <c r="AM336" s="6" cm="1">
        <f t="array" ref="AM336">IFERROR((SUMPRODUCT(($A$323:$A$347=AM$321)*($F$320:$AJ$320="")*$F$323:$AJ$347)+IF(AM$321="P6",SUMPRODUCT(($F$320:$AJ$320="P6")*$F$323:$AJ$347),0))/(SUMPRODUCT(($A$323:$A$347=AM$321)*($F$320:$AJ$320=""))+IF(AM$321="P6",COUNTIF($F$320:$AJ$320,"P6")*ROWS($A$323:$A$347),0)),"")</f>
        <v>0.92903211640211691</v>
      </c>
      <c r="AN336" s="6" t="str" cm="1">
        <f t="array" ref="AN336">IFERROR((SUMPRODUCT(($A$323:$A$347=AN$321)*($F$320:$AJ$320="")*$F$323:$AJ$347)+IF(AN$321="P6",SUMPRODUCT(($F$320:$AJ$320="P6")*$F$323:$AJ$347),0))/(SUMPRODUCT(($A$323:$A$347=AN$321)*($F$320:$AJ$320=""))+IF(AN$321="P6",COUNTIF($F$320:$AJ$320,"P6")*ROWS($A$323:$A$347),0)),"")</f>
        <v/>
      </c>
      <c r="AO336" s="6" cm="1">
        <f t="array" ref="AO336">IFERROR((SUMPRODUCT(($A$323:$A$347=AO$321)*($F$320:$AJ$320="")*$F$323:$AJ$347)+IF(AO$321="P6",SUMPRODUCT(($F$320:$AJ$320="P6")*$F$323:$AJ$347),0))/(SUMPRODUCT(($A$323:$A$347=AO$321)*($F$320:$AJ$320=""))+IF(AO$321="P6",COUNTIF($F$320:$AJ$320,"P6")*ROWS($A$323:$A$347),0)),"")</f>
        <v>1.0944657823129249</v>
      </c>
      <c r="AP336" s="6" t="str" cm="1">
        <f t="array" ref="AP336">IFERROR((SUMPRODUCT(($A$323:$A$347=AP$321)*($F$320:$AJ$320="")*$F$323:$AJ$347)+IF(AP$321="P6",SUMPRODUCT(($F$320:$AJ$320="P6")*$F$323:$AJ$347),0))/(SUMPRODUCT(($A$323:$A$347=AP$321)*($F$320:$AJ$320=""))+IF(AP$321="P6",COUNTIF($F$320:$AJ$320,"P6")*ROWS($A$323:$A$347),0)),"")</f>
        <v/>
      </c>
      <c r="AQ336" s="6" t="str" cm="1">
        <f t="array" ref="AQ336">IFERROR((SUMPRODUCT(($A$323:$A$347=AQ$321)*($F$320:$AJ$320="")*$F$323:$AJ$347)+IF(AQ$321="P6",SUMPRODUCT(($F$320:$AJ$320="P6")*$F$323:$AJ$347),0))/(SUMPRODUCT(($A$323:$A$347=AQ$321)*($F$320:$AJ$320=""))+IF(AQ$321="P6",COUNTIF($F$320:$AJ$320,"P6")*ROWS($A$323:$A$347),0)),"")</f>
        <v/>
      </c>
      <c r="AR336" s="6" cm="1">
        <f t="array" ref="AR336">IFERROR((SUMPRODUCT(($A$323:$A$347=AR$321)*($F$320:$AJ$320="")*$F$323:$AJ$347)+IF(AR$321="P6",SUMPRODUCT(($F$320:$AJ$320="P6")*$F$323:$AJ$347),0))/(SUMPRODUCT(($A$323:$A$347=AR$321)*($F$320:$AJ$320=""))+IF(AR$321="P6",COUNTIF($F$320:$AJ$320,"P6")*ROWS($A$323:$A$347),0)),"")</f>
        <v>0.91613466970387281</v>
      </c>
    </row>
    <row r="337" spans="1:44" ht="14.25" customHeight="1" x14ac:dyDescent="0.35">
      <c r="A337" s="1" t="s">
        <v>13</v>
      </c>
      <c r="B337" s="1" t="s">
        <v>14</v>
      </c>
      <c r="C337" s="1" t="s">
        <v>14</v>
      </c>
      <c r="D337" s="1" t="s">
        <v>17</v>
      </c>
      <c r="E337" s="1" t="s">
        <v>33</v>
      </c>
      <c r="F337" s="1">
        <v>0.95491999999999999</v>
      </c>
      <c r="G337" s="1">
        <v>0.95516000000000001</v>
      </c>
      <c r="H337" s="1">
        <v>0.75458000000000003</v>
      </c>
      <c r="I337" s="1">
        <v>0.79605999999999999</v>
      </c>
      <c r="J337" s="1">
        <v>0.97243000000000002</v>
      </c>
      <c r="K337" s="1">
        <v>1.0131399999999999</v>
      </c>
      <c r="L337" s="1">
        <v>1.00132</v>
      </c>
      <c r="M337" s="1">
        <v>0.95491999999999999</v>
      </c>
      <c r="N337" s="1">
        <v>0.95516000000000001</v>
      </c>
      <c r="O337" s="1">
        <v>0.75458000000000003</v>
      </c>
      <c r="P337" s="1">
        <v>0.79605999999999999</v>
      </c>
      <c r="Q337" s="1">
        <v>0.84689000000000003</v>
      </c>
      <c r="R337" s="1">
        <v>1.0131399999999999</v>
      </c>
      <c r="S337" s="1">
        <v>1.00132</v>
      </c>
      <c r="T337" s="1">
        <v>0.95491999999999999</v>
      </c>
      <c r="U337" s="1">
        <v>0.95516000000000001</v>
      </c>
      <c r="V337" s="1">
        <v>0.75458000000000003</v>
      </c>
      <c r="W337" s="1">
        <v>0.79605999999999999</v>
      </c>
      <c r="X337" s="1">
        <v>0.97243000000000002</v>
      </c>
      <c r="Y337" s="1">
        <v>1.0131399999999999</v>
      </c>
      <c r="Z337" s="1">
        <v>1.00132</v>
      </c>
      <c r="AA337" s="1">
        <v>0.95491999999999999</v>
      </c>
      <c r="AB337" s="1">
        <v>0.95516000000000001</v>
      </c>
      <c r="AC337" s="1">
        <v>0.75458000000000003</v>
      </c>
      <c r="AD337" s="1">
        <v>0.79605999999999999</v>
      </c>
      <c r="AE337" s="1">
        <v>0.97243000000000002</v>
      </c>
      <c r="AF337" s="1">
        <v>1.0131399999999999</v>
      </c>
      <c r="AG337" s="1">
        <v>1.00132</v>
      </c>
      <c r="AH337" s="1">
        <v>0.95491999999999999</v>
      </c>
      <c r="AI337" s="1">
        <v>0.95516000000000001</v>
      </c>
      <c r="AJ337" s="1">
        <v>0.75458000000000003</v>
      </c>
      <c r="AL337" s="4" t="s">
        <v>29</v>
      </c>
      <c r="AM337" s="6" cm="1">
        <f t="array" ref="AM337">IFERROR((SUMPRODUCT(($A$323:$A$347=AM$321)*($F$320:$AJ$320="")*$F$323:$AJ$347)+IF(AM$321="P6",SUMPRODUCT(($F$320:$AJ$320="P6")*$F$323:$AJ$347),0))/(SUMPRODUCT(($A$323:$A$347=AM$321)*($F$320:$AJ$320=""))+IF(AM$321="P6",COUNTIF($F$320:$AJ$320,"P6")*ROWS($A$323:$A$347),0)),"")</f>
        <v>0.92903211640211691</v>
      </c>
      <c r="AN337" s="6" t="str" cm="1">
        <f t="array" ref="AN337">IFERROR((SUMPRODUCT(($A$323:$A$347=AN$321)*($F$320:$AJ$320="")*$F$323:$AJ$347)+IF(AN$321="P6",SUMPRODUCT(($F$320:$AJ$320="P6")*$F$323:$AJ$347),0))/(SUMPRODUCT(($A$323:$A$347=AN$321)*($F$320:$AJ$320=""))+IF(AN$321="P6",COUNTIF($F$320:$AJ$320,"P6")*ROWS($A$323:$A$347),0)),"")</f>
        <v/>
      </c>
      <c r="AO337" s="6" cm="1">
        <f t="array" ref="AO337">IFERROR((SUMPRODUCT(($A$323:$A$347=AO$321)*($F$320:$AJ$320="")*$F$323:$AJ$347)+IF(AO$321="P6",SUMPRODUCT(($F$320:$AJ$320="P6")*$F$323:$AJ$347),0))/(SUMPRODUCT(($A$323:$A$347=AO$321)*($F$320:$AJ$320=""))+IF(AO$321="P6",COUNTIF($F$320:$AJ$320,"P6")*ROWS($A$323:$A$347),0)),"")</f>
        <v>1.0944657823129249</v>
      </c>
      <c r="AP337" s="6" t="str" cm="1">
        <f t="array" ref="AP337">IFERROR((SUMPRODUCT(($A$323:$A$347=AP$321)*($F$320:$AJ$320="")*$F$323:$AJ$347)+IF(AP$321="P6",SUMPRODUCT(($F$320:$AJ$320="P6")*$F$323:$AJ$347),0))/(SUMPRODUCT(($A$323:$A$347=AP$321)*($F$320:$AJ$320=""))+IF(AP$321="P6",COUNTIF($F$320:$AJ$320,"P6")*ROWS($A$323:$A$347),0)),"")</f>
        <v/>
      </c>
      <c r="AQ337" s="6" t="str" cm="1">
        <f t="array" ref="AQ337">IFERROR((SUMPRODUCT(($A$323:$A$347=AQ$321)*($F$320:$AJ$320="")*$F$323:$AJ$347)+IF(AQ$321="P6",SUMPRODUCT(($F$320:$AJ$320="P6")*$F$323:$AJ$347),0))/(SUMPRODUCT(($A$323:$A$347=AQ$321)*($F$320:$AJ$320=""))+IF(AQ$321="P6",COUNTIF($F$320:$AJ$320,"P6")*ROWS($A$323:$A$347),0)),"")</f>
        <v/>
      </c>
      <c r="AR337" s="6" cm="1">
        <f t="array" ref="AR337">IFERROR((SUMPRODUCT(($A$323:$A$347=AR$321)*($F$320:$AJ$320="")*$F$323:$AJ$347)+IF(AR$321="P6",SUMPRODUCT(($F$320:$AJ$320="P6")*$F$323:$AJ$347),0))/(SUMPRODUCT(($A$323:$A$347=AR$321)*($F$320:$AJ$320=""))+IF(AR$321="P6",COUNTIF($F$320:$AJ$320,"P6")*ROWS($A$323:$A$347),0)),"")</f>
        <v>0.91613466970387281</v>
      </c>
    </row>
    <row r="338" spans="1:44" ht="14.25" customHeight="1" x14ac:dyDescent="0.35">
      <c r="A338" s="1" t="s">
        <v>15</v>
      </c>
      <c r="B338" s="1" t="s">
        <v>15</v>
      </c>
      <c r="C338" s="1" t="s">
        <v>14</v>
      </c>
      <c r="D338" s="1" t="s">
        <v>17</v>
      </c>
      <c r="E338" s="1" t="s">
        <v>34</v>
      </c>
      <c r="F338" s="1">
        <v>0.99258000000000002</v>
      </c>
      <c r="G338" s="1">
        <v>1.0009300000000001</v>
      </c>
      <c r="H338" s="1">
        <v>0.79954000000000003</v>
      </c>
      <c r="I338" s="1">
        <v>0.82099999999999995</v>
      </c>
      <c r="J338" s="1">
        <v>1.0117499999999999</v>
      </c>
      <c r="K338" s="1">
        <v>1.07639</v>
      </c>
      <c r="L338" s="1">
        <v>1.0417400000000001</v>
      </c>
      <c r="M338" s="1">
        <v>0.99258000000000002</v>
      </c>
      <c r="N338" s="1">
        <v>1.0009300000000001</v>
      </c>
      <c r="O338" s="1">
        <v>0.79954000000000003</v>
      </c>
      <c r="P338" s="1">
        <v>0.82099999999999995</v>
      </c>
      <c r="Q338" s="1">
        <v>0.88678999999999997</v>
      </c>
      <c r="R338" s="1">
        <v>1.07639</v>
      </c>
      <c r="S338" s="1">
        <v>1.0417400000000001</v>
      </c>
      <c r="T338" s="1">
        <v>0.99258000000000002</v>
      </c>
      <c r="U338" s="1">
        <v>1.0009300000000001</v>
      </c>
      <c r="V338" s="1">
        <v>0.79954000000000003</v>
      </c>
      <c r="W338" s="1">
        <v>0.82099999999999995</v>
      </c>
      <c r="X338" s="1">
        <v>1.0117499999999999</v>
      </c>
      <c r="Y338" s="1">
        <v>1.07639</v>
      </c>
      <c r="Z338" s="1">
        <v>1.0417400000000001</v>
      </c>
      <c r="AA338" s="1">
        <v>0.99258000000000002</v>
      </c>
      <c r="AB338" s="1">
        <v>1.0009300000000001</v>
      </c>
      <c r="AC338" s="1">
        <v>0.79954000000000003</v>
      </c>
      <c r="AD338" s="1">
        <v>0.82099999999999995</v>
      </c>
      <c r="AE338" s="1">
        <v>1.0117499999999999</v>
      </c>
      <c r="AF338" s="1">
        <v>1.07639</v>
      </c>
      <c r="AG338" s="1">
        <v>1.0417400000000001</v>
      </c>
      <c r="AH338" s="1">
        <v>0.99258000000000002</v>
      </c>
      <c r="AI338" s="1">
        <v>1.0009300000000001</v>
      </c>
      <c r="AJ338" s="1">
        <v>0.79954000000000003</v>
      </c>
      <c r="AL338" s="10"/>
      <c r="AM338" s="10"/>
      <c r="AN338" s="10"/>
      <c r="AO338" s="10"/>
      <c r="AP338" s="10"/>
      <c r="AQ338" s="10"/>
      <c r="AR338" s="10"/>
    </row>
    <row r="339" spans="1:44" ht="14.25" customHeight="1" x14ac:dyDescent="0.35">
      <c r="A339" s="1" t="s">
        <v>15</v>
      </c>
      <c r="B339" s="1" t="s">
        <v>15</v>
      </c>
      <c r="C339" s="1" t="s">
        <v>14</v>
      </c>
      <c r="D339" s="1" t="s">
        <v>17</v>
      </c>
      <c r="E339" s="1" t="s">
        <v>35</v>
      </c>
      <c r="F339" s="1">
        <v>1.03359</v>
      </c>
      <c r="G339" s="1">
        <v>1.0425800000000001</v>
      </c>
      <c r="H339" s="1">
        <v>0.85641</v>
      </c>
      <c r="I339" s="1">
        <v>0.84548999999999996</v>
      </c>
      <c r="J339" s="1">
        <v>1.0605599999999999</v>
      </c>
      <c r="K339" s="1">
        <v>1.11097</v>
      </c>
      <c r="L339" s="1">
        <v>1.0825899999999999</v>
      </c>
      <c r="M339" s="1">
        <v>1.03359</v>
      </c>
      <c r="N339" s="1">
        <v>1.0425800000000001</v>
      </c>
      <c r="O339" s="1">
        <v>0.85641</v>
      </c>
      <c r="P339" s="1">
        <v>0.84548999999999996</v>
      </c>
      <c r="Q339" s="1">
        <v>0.93179999999999996</v>
      </c>
      <c r="R339" s="1">
        <v>1.11097</v>
      </c>
      <c r="S339" s="1">
        <v>1.0825899999999999</v>
      </c>
      <c r="T339" s="1">
        <v>1.03359</v>
      </c>
      <c r="U339" s="1">
        <v>1.0425800000000001</v>
      </c>
      <c r="V339" s="1">
        <v>0.85641</v>
      </c>
      <c r="W339" s="1">
        <v>0.84548999999999996</v>
      </c>
      <c r="X339" s="1">
        <v>1.0605599999999999</v>
      </c>
      <c r="Y339" s="1">
        <v>1.11097</v>
      </c>
      <c r="Z339" s="1">
        <v>1.0825899999999999</v>
      </c>
      <c r="AA339" s="1">
        <v>1.03359</v>
      </c>
      <c r="AB339" s="1">
        <v>1.0425800000000001</v>
      </c>
      <c r="AC339" s="1">
        <v>0.85641</v>
      </c>
      <c r="AD339" s="1">
        <v>0.84548999999999996</v>
      </c>
      <c r="AE339" s="1">
        <v>1.0605599999999999</v>
      </c>
      <c r="AF339" s="1">
        <v>1.11097</v>
      </c>
      <c r="AG339" s="1">
        <v>1.0825899999999999</v>
      </c>
      <c r="AH339" s="1">
        <v>1.03359</v>
      </c>
      <c r="AI339" s="1">
        <v>1.0425800000000001</v>
      </c>
      <c r="AJ339" s="1">
        <v>0.85641</v>
      </c>
      <c r="AL339" s="10"/>
      <c r="AM339" s="10"/>
      <c r="AN339" s="10"/>
      <c r="AO339" s="10"/>
      <c r="AP339" s="10"/>
      <c r="AQ339" s="10"/>
      <c r="AR339" s="10"/>
    </row>
    <row r="340" spans="1:44" ht="14.25" customHeight="1" x14ac:dyDescent="0.35">
      <c r="A340" s="1" t="s">
        <v>15</v>
      </c>
      <c r="B340" s="1" t="s">
        <v>15</v>
      </c>
      <c r="C340" s="1" t="s">
        <v>14</v>
      </c>
      <c r="D340" s="1" t="s">
        <v>17</v>
      </c>
      <c r="E340" s="1" t="s">
        <v>36</v>
      </c>
      <c r="F340" s="1">
        <v>1.0537799999999999</v>
      </c>
      <c r="G340" s="1">
        <v>1.07196</v>
      </c>
      <c r="H340" s="1">
        <v>0.87941000000000003</v>
      </c>
      <c r="I340" s="1">
        <v>0.92008999999999996</v>
      </c>
      <c r="J340" s="1">
        <v>1.0621799999999999</v>
      </c>
      <c r="K340" s="1">
        <v>1.11866</v>
      </c>
      <c r="L340" s="1">
        <v>1.0616300000000001</v>
      </c>
      <c r="M340" s="1">
        <v>1.0537799999999999</v>
      </c>
      <c r="N340" s="1">
        <v>1.07196</v>
      </c>
      <c r="O340" s="1">
        <v>0.87941000000000003</v>
      </c>
      <c r="P340" s="1">
        <v>0.92008999999999996</v>
      </c>
      <c r="Q340" s="1">
        <v>0.95233999999999996</v>
      </c>
      <c r="R340" s="1">
        <v>1.11866</v>
      </c>
      <c r="S340" s="1">
        <v>1.0616300000000001</v>
      </c>
      <c r="T340" s="1">
        <v>1.0537799999999999</v>
      </c>
      <c r="U340" s="1">
        <v>1.07196</v>
      </c>
      <c r="V340" s="1">
        <v>0.87941000000000003</v>
      </c>
      <c r="W340" s="1">
        <v>0.92008999999999996</v>
      </c>
      <c r="X340" s="1">
        <v>1.0621799999999999</v>
      </c>
      <c r="Y340" s="1">
        <v>1.11866</v>
      </c>
      <c r="Z340" s="1">
        <v>1.0616300000000001</v>
      </c>
      <c r="AA340" s="1">
        <v>1.0537799999999999</v>
      </c>
      <c r="AB340" s="1">
        <v>1.07196</v>
      </c>
      <c r="AC340" s="1">
        <v>0.87941000000000003</v>
      </c>
      <c r="AD340" s="1">
        <v>0.92008999999999996</v>
      </c>
      <c r="AE340" s="1">
        <v>1.0621799999999999</v>
      </c>
      <c r="AF340" s="1">
        <v>1.11866</v>
      </c>
      <c r="AG340" s="1">
        <v>1.0616300000000001</v>
      </c>
      <c r="AH340" s="1">
        <v>1.0537799999999999</v>
      </c>
      <c r="AI340" s="1">
        <v>1.07196</v>
      </c>
      <c r="AJ340" s="1">
        <v>0.87941000000000003</v>
      </c>
      <c r="AL340" s="14" t="s">
        <v>145</v>
      </c>
      <c r="AM340" s="14"/>
      <c r="AN340" s="14"/>
      <c r="AO340" s="14"/>
      <c r="AP340" s="14"/>
      <c r="AQ340" s="14"/>
      <c r="AR340" s="14"/>
    </row>
    <row r="341" spans="1:44" ht="14.25" customHeight="1" x14ac:dyDescent="0.35">
      <c r="A341" s="1" t="s">
        <v>13</v>
      </c>
      <c r="B341" s="1" t="s">
        <v>14</v>
      </c>
      <c r="C341" s="1" t="s">
        <v>13</v>
      </c>
      <c r="D341" s="1" t="s">
        <v>16</v>
      </c>
      <c r="E341" s="1" t="s">
        <v>37</v>
      </c>
      <c r="F341" s="1">
        <v>0.93303000000000003</v>
      </c>
      <c r="G341" s="1">
        <v>0.98272999999999999</v>
      </c>
      <c r="H341" s="1">
        <v>0.93532999999999999</v>
      </c>
      <c r="I341" s="1">
        <v>0.95345000000000002</v>
      </c>
      <c r="J341" s="1">
        <v>0.94206000000000001</v>
      </c>
      <c r="K341" s="1">
        <v>0.95148999999999995</v>
      </c>
      <c r="L341" s="1">
        <v>0.95016</v>
      </c>
      <c r="M341" s="1">
        <v>0.93303000000000003</v>
      </c>
      <c r="N341" s="1">
        <v>0.98272999999999999</v>
      </c>
      <c r="O341" s="1">
        <v>0.93532999999999999</v>
      </c>
      <c r="P341" s="1">
        <v>0.95345000000000002</v>
      </c>
      <c r="Q341" s="1">
        <v>0.94743999999999995</v>
      </c>
      <c r="R341" s="1">
        <v>0.95148999999999995</v>
      </c>
      <c r="S341" s="1">
        <v>0.95016</v>
      </c>
      <c r="T341" s="1">
        <v>0.93303000000000003</v>
      </c>
      <c r="U341" s="1">
        <v>0.98272999999999999</v>
      </c>
      <c r="V341" s="1">
        <v>0.93532999999999999</v>
      </c>
      <c r="W341" s="1">
        <v>0.95345000000000002</v>
      </c>
      <c r="X341" s="1">
        <v>0.94206000000000001</v>
      </c>
      <c r="Y341" s="1">
        <v>0.95148999999999995</v>
      </c>
      <c r="Z341" s="1">
        <v>0.95016</v>
      </c>
      <c r="AA341" s="1">
        <v>0.93303000000000003</v>
      </c>
      <c r="AB341" s="1">
        <v>0.98272999999999999</v>
      </c>
      <c r="AC341" s="1">
        <v>0.93532999999999999</v>
      </c>
      <c r="AD341" s="1">
        <v>0.95345000000000002</v>
      </c>
      <c r="AE341" s="1">
        <v>0.94206000000000001</v>
      </c>
      <c r="AF341" s="1">
        <v>0.95148999999999995</v>
      </c>
      <c r="AG341" s="1">
        <v>0.95016</v>
      </c>
      <c r="AH341" s="1">
        <v>0.93303000000000003</v>
      </c>
      <c r="AI341" s="1">
        <v>0.98272999999999999</v>
      </c>
      <c r="AJ341" s="1">
        <v>0.93532999999999999</v>
      </c>
      <c r="AL341" s="4"/>
      <c r="AM341" s="4" t="s">
        <v>13</v>
      </c>
      <c r="AN341" s="4" t="s">
        <v>14</v>
      </c>
      <c r="AO341" s="4" t="s">
        <v>15</v>
      </c>
      <c r="AP341" s="4" t="s">
        <v>16</v>
      </c>
      <c r="AQ341" s="4" t="s">
        <v>17</v>
      </c>
      <c r="AR341" s="4" t="s">
        <v>7</v>
      </c>
    </row>
    <row r="342" spans="1:44" ht="14.25" customHeight="1" x14ac:dyDescent="0.35">
      <c r="A342" s="1" t="s">
        <v>13</v>
      </c>
      <c r="B342" s="1" t="s">
        <v>14</v>
      </c>
      <c r="C342" s="1" t="s">
        <v>13</v>
      </c>
      <c r="D342" s="1" t="s">
        <v>16</v>
      </c>
      <c r="E342" s="1" t="s">
        <v>38</v>
      </c>
      <c r="F342" s="1">
        <v>0.95904</v>
      </c>
      <c r="G342" s="1">
        <v>1.02685</v>
      </c>
      <c r="H342" s="1">
        <v>0.98277999999999999</v>
      </c>
      <c r="I342" s="1">
        <v>0.99653000000000003</v>
      </c>
      <c r="J342" s="1">
        <v>0.98860999999999999</v>
      </c>
      <c r="K342" s="1">
        <v>0.99078999999999995</v>
      </c>
      <c r="L342" s="1">
        <v>0.97180999999999995</v>
      </c>
      <c r="M342" s="1">
        <v>0.95904</v>
      </c>
      <c r="N342" s="1">
        <v>1.02685</v>
      </c>
      <c r="O342" s="1">
        <v>0.98277999999999999</v>
      </c>
      <c r="P342" s="1">
        <v>0.99653000000000003</v>
      </c>
      <c r="Q342" s="1">
        <v>0.95852999999999999</v>
      </c>
      <c r="R342" s="1">
        <v>0.99078999999999995</v>
      </c>
      <c r="S342" s="1">
        <v>0.97180999999999995</v>
      </c>
      <c r="T342" s="1">
        <v>0.95904</v>
      </c>
      <c r="U342" s="1">
        <v>1.02685</v>
      </c>
      <c r="V342" s="1">
        <v>0.98277999999999999</v>
      </c>
      <c r="W342" s="1">
        <v>0.99653000000000003</v>
      </c>
      <c r="X342" s="1">
        <v>0.98860999999999999</v>
      </c>
      <c r="Y342" s="1">
        <v>0.99078999999999995</v>
      </c>
      <c r="Z342" s="1">
        <v>0.97180999999999995</v>
      </c>
      <c r="AA342" s="1">
        <v>0.95904</v>
      </c>
      <c r="AB342" s="1">
        <v>1.02685</v>
      </c>
      <c r="AC342" s="1">
        <v>0.98277999999999999</v>
      </c>
      <c r="AD342" s="1">
        <v>0.99653000000000003</v>
      </c>
      <c r="AE342" s="1">
        <v>0.98860999999999999</v>
      </c>
      <c r="AF342" s="1">
        <v>0.99078999999999995</v>
      </c>
      <c r="AG342" s="1">
        <v>0.97180999999999995</v>
      </c>
      <c r="AH342" s="1">
        <v>0.95904</v>
      </c>
      <c r="AI342" s="1">
        <v>1.02685</v>
      </c>
      <c r="AJ342" s="1">
        <v>0.98277999999999999</v>
      </c>
      <c r="AL342" s="4" t="s">
        <v>19</v>
      </c>
      <c r="AM342" s="6" cm="1">
        <f t="array" ref="AM342">IFERROR((SUMPRODUCT(($C$323:$C$347=AM$321)*($F$319:$AJ$319="")*$F$323:$AJ$347)+IF(AM$321="P3",SUMPRODUCT(($F$319:$AJ$319="P3")*$F$323:$AJ$347),0))/(SUMPRODUCT(($C$323:$C$347=AM$321)*($F$319:$AJ$319=""))+IF(AM$321="P3",COUNTIF($F$319:$AJ$319,"P3")*ROWS($C$323:$C$347),0)),"")</f>
        <v>0.9229853571428579</v>
      </c>
      <c r="AN342" s="6" cm="1">
        <f t="array" ref="AN342">IFERROR((SUMPRODUCT(($C$323:$C$347=AN$321)*($F$319:$AJ$319="")*$F$323:$AJ$347)+IF(AN$321="P3",SUMPRODUCT(($F$319:$AJ$319="P3")*$F$323:$AJ$347),0))/(SUMPRODUCT(($C$323:$C$347=AN$321)*($F$319:$AJ$319=""))+IF(AN$321="P3",COUNTIF($F$319:$AJ$319,"P3")*ROWS($C$323:$C$347),0)),"")</f>
        <v>1.0798333333333336</v>
      </c>
      <c r="AO342" s="6" cm="1">
        <f t="array" ref="AO342">IFERROR((SUMPRODUCT(($C$323:$C$347=AO$321)*($F$319:$AJ$319="")*$F$323:$AJ$347)+IF(AO$321="P3",SUMPRODUCT(($F$319:$AJ$319="P3")*$F$323:$AJ$347),0))/(SUMPRODUCT(($C$323:$C$347=AO$321)*($F$319:$AJ$319=""))+IF(AO$321="P3",COUNTIF($F$319:$AJ$319,"P3")*ROWS($C$323:$C$347),0)),"")</f>
        <v>0.91613466970387281</v>
      </c>
      <c r="AP342" s="6" t="str" cm="1">
        <f t="array" ref="AP342">IFERROR((SUMPRODUCT(($C$323:$C$347=AP$321)*($F$319:$AJ$319="")*$F$323:$AJ$347)+IF(AP$321="P3",SUMPRODUCT(($F$319:$AJ$319="P3")*$F$323:$AJ$347),0))/(SUMPRODUCT(($C$323:$C$347=AP$321)*($F$319:$AJ$319=""))+IF(AP$321="P3",COUNTIF($F$319:$AJ$319,"P3")*ROWS($C$323:$C$347),0)),"")</f>
        <v/>
      </c>
      <c r="AQ342" s="6" t="str" cm="1">
        <f t="array" ref="AQ342">IFERROR((SUMPRODUCT(($C$323:$C$347=AQ$321)*($F$319:$AJ$319="")*$F$323:$AJ$347)+IF(AQ$321="P3",SUMPRODUCT(($F$319:$AJ$319="P3")*$F$323:$AJ$347),0))/(SUMPRODUCT(($C$323:$C$347=AQ$321)*($F$319:$AJ$319=""))+IF(AQ$321="P3",COUNTIF($F$319:$AJ$319,"P3")*ROWS($C$323:$C$347),0)),"")</f>
        <v/>
      </c>
      <c r="AR342" s="6" t="str" cm="1">
        <f t="array" ref="AR342">IFERROR((SUMPRODUCT(($C$323:$C$347=AR$321)*($F$319:$AJ$319="")*$F$323:$AJ$347)+IF(AR$321="P3",SUMPRODUCT(($F$319:$AJ$319="P3")*$F$323:$AJ$347),0))/(SUMPRODUCT(($C$323:$C$347=AR$321)*($F$319:$AJ$319=""))+IF(AR$321="P3",COUNTIF($F$319:$AJ$319,"P3")*ROWS($C$323:$C$347),0)),"")</f>
        <v/>
      </c>
    </row>
    <row r="343" spans="1:44" ht="14.25" customHeight="1" x14ac:dyDescent="0.35">
      <c r="A343" s="1" t="s">
        <v>13</v>
      </c>
      <c r="B343" s="1" t="s">
        <v>14</v>
      </c>
      <c r="C343" s="1" t="s">
        <v>13</v>
      </c>
      <c r="D343" s="1" t="s">
        <v>16</v>
      </c>
      <c r="E343" s="1" t="s">
        <v>39</v>
      </c>
      <c r="F343" s="1">
        <v>0.98250999999999999</v>
      </c>
      <c r="G343" s="1">
        <v>1.0159</v>
      </c>
      <c r="H343" s="1">
        <v>0.96016999999999997</v>
      </c>
      <c r="I343" s="1">
        <v>1.00864</v>
      </c>
      <c r="J343" s="1">
        <v>0.99365000000000003</v>
      </c>
      <c r="K343" s="1">
        <v>0.99150000000000005</v>
      </c>
      <c r="L343" s="1">
        <v>0.97443000000000002</v>
      </c>
      <c r="M343" s="1">
        <v>0.98250999999999999</v>
      </c>
      <c r="N343" s="1">
        <v>1.0159</v>
      </c>
      <c r="O343" s="1">
        <v>0.96016999999999997</v>
      </c>
      <c r="P343" s="1">
        <v>1.00864</v>
      </c>
      <c r="Q343" s="1">
        <v>0.93666000000000005</v>
      </c>
      <c r="R343" s="1">
        <v>0.99150000000000005</v>
      </c>
      <c r="S343" s="1">
        <v>0.97443000000000002</v>
      </c>
      <c r="T343" s="1">
        <v>0.98250999999999999</v>
      </c>
      <c r="U343" s="1">
        <v>1.0159</v>
      </c>
      <c r="V343" s="1">
        <v>0.96016999999999997</v>
      </c>
      <c r="W343" s="1">
        <v>1.00864</v>
      </c>
      <c r="X343" s="1">
        <v>0.99365000000000003</v>
      </c>
      <c r="Y343" s="1">
        <v>0.99150000000000005</v>
      </c>
      <c r="Z343" s="1">
        <v>0.97443000000000002</v>
      </c>
      <c r="AA343" s="1">
        <v>0.98250999999999999</v>
      </c>
      <c r="AB343" s="1">
        <v>1.0159</v>
      </c>
      <c r="AC343" s="1">
        <v>0.96016999999999997</v>
      </c>
      <c r="AD343" s="1">
        <v>1.00864</v>
      </c>
      <c r="AE343" s="1">
        <v>0.99365000000000003</v>
      </c>
      <c r="AF343" s="1">
        <v>0.99150000000000005</v>
      </c>
      <c r="AG343" s="1">
        <v>0.97443000000000002</v>
      </c>
      <c r="AH343" s="1">
        <v>0.98250999999999999</v>
      </c>
      <c r="AI343" s="1">
        <v>1.0159</v>
      </c>
      <c r="AJ343" s="1">
        <v>0.96016999999999997</v>
      </c>
      <c r="AL343" s="4" t="s">
        <v>21</v>
      </c>
      <c r="AM343" s="6" t="str" cm="1">
        <f t="array" ref="AM343">IFERROR((SUMPRODUCT(($B$323:$B$347=AM$321)*($F$320:$AJ$320="")*$F$323:$AJ$347)+IF(AM$321="P6",SUMPRODUCT(($F$320:$AJ$320="P6")*$F$323:$AJ$347),0))/(SUMPRODUCT(($B$323:$B$347=AM$321)*($F$320:$AJ$320=""))+IF(AM$321="P6",COUNTIF($F$320:$AJ$320,"P6")*ROWS($B$323:$B$347),0)),"")</f>
        <v/>
      </c>
      <c r="AN343" s="6" cm="1">
        <f t="array" ref="AN343">IFERROR((SUMPRODUCT(($B$323:$B$347=AN$321)*($F$320:$AJ$320="")*$F$323:$AJ$347)+IF(AN$321="P6",SUMPRODUCT(($F$320:$AJ$320="P6")*$F$323:$AJ$347),0))/(SUMPRODUCT(($B$323:$B$347=AN$321)*($F$320:$AJ$320=""))+IF(AN$321="P6",COUNTIF($F$320:$AJ$320,"P6")*ROWS($B$323:$B$347),0)),"")</f>
        <v>0.92903211640211691</v>
      </c>
      <c r="AO343" s="6" cm="1">
        <f t="array" ref="AO343">IFERROR((SUMPRODUCT(($B$323:$B$347=AO$321)*($F$320:$AJ$320="")*$F$323:$AJ$347)+IF(AO$321="P6",SUMPRODUCT(($F$320:$AJ$320="P6")*$F$323:$AJ$347),0))/(SUMPRODUCT(($B$323:$B$347=AO$321)*($F$320:$AJ$320=""))+IF(AO$321="P6",COUNTIF($F$320:$AJ$320,"P6")*ROWS($B$323:$B$347),0)),"")</f>
        <v>1.0944657823129249</v>
      </c>
      <c r="AP343" s="6" t="str" cm="1">
        <f t="array" ref="AP343">IFERROR((SUMPRODUCT(($B$323:$B$347=AP$321)*($F$320:$AJ$320="")*$F$323:$AJ$347)+IF(AP$321="P6",SUMPRODUCT(($F$320:$AJ$320="P6")*$F$323:$AJ$347),0))/(SUMPRODUCT(($B$323:$B$347=AP$321)*($F$320:$AJ$320=""))+IF(AP$321="P6",COUNTIF($F$320:$AJ$320,"P6")*ROWS($B$323:$B$347),0)),"")</f>
        <v/>
      </c>
      <c r="AQ343" s="6" t="str" cm="1">
        <f t="array" ref="AQ343">IFERROR((SUMPRODUCT(($B$323:$B$347=AQ$321)*($F$320:$AJ$320="")*$F$323:$AJ$347)+IF(AQ$321="P6",SUMPRODUCT(($F$320:$AJ$320="P6")*$F$323:$AJ$347),0))/(SUMPRODUCT(($B$323:$B$347=AQ$321)*($F$320:$AJ$320=""))+IF(AQ$321="P6",COUNTIF($F$320:$AJ$320,"P6")*ROWS($B$323:$B$347),0)),"")</f>
        <v/>
      </c>
      <c r="AR343" s="6" cm="1">
        <f t="array" ref="AR343">IFERROR((SUMPRODUCT(($B$323:$B$347=AR$321)*($F$320:$AJ$320="")*$F$323:$AJ$347)+IF(AR$321="P6",SUMPRODUCT(($F$320:$AJ$320="P6")*$F$323:$AJ$347),0))/(SUMPRODUCT(($B$323:$B$347=AR$321)*($F$320:$AJ$320=""))+IF(AR$321="P6",COUNTIF($F$320:$AJ$320,"P6")*ROWS($B$323:$B$347),0)),"")</f>
        <v>0.91613466970387281</v>
      </c>
    </row>
    <row r="344" spans="1:44" ht="14.25" customHeight="1" x14ac:dyDescent="0.35">
      <c r="A344" s="1" t="s">
        <v>13</v>
      </c>
      <c r="B344" s="1" t="s">
        <v>14</v>
      </c>
      <c r="C344" s="1" t="s">
        <v>13</v>
      </c>
      <c r="D344" s="1" t="s">
        <v>16</v>
      </c>
      <c r="E344" s="1" t="s">
        <v>40</v>
      </c>
      <c r="F344" s="1">
        <v>1.0048600000000001</v>
      </c>
      <c r="G344" s="1">
        <v>1.03423</v>
      </c>
      <c r="H344" s="1">
        <v>0.96845000000000003</v>
      </c>
      <c r="I344" s="1">
        <v>1.0095799999999999</v>
      </c>
      <c r="J344" s="1">
        <v>1.0252300000000001</v>
      </c>
      <c r="K344" s="1">
        <v>1.0200199999999999</v>
      </c>
      <c r="L344" s="1">
        <v>1.00675</v>
      </c>
      <c r="M344" s="1">
        <v>1.0048600000000001</v>
      </c>
      <c r="N344" s="1">
        <v>1.03423</v>
      </c>
      <c r="O344" s="1">
        <v>0.96845000000000003</v>
      </c>
      <c r="P344" s="1">
        <v>1.0095799999999999</v>
      </c>
      <c r="Q344" s="1">
        <v>0.93361000000000005</v>
      </c>
      <c r="R344" s="1">
        <v>1.0200199999999999</v>
      </c>
      <c r="S344" s="1">
        <v>1.00675</v>
      </c>
      <c r="T344" s="1">
        <v>1.0048600000000001</v>
      </c>
      <c r="U344" s="1">
        <v>1.03423</v>
      </c>
      <c r="V344" s="1">
        <v>0.96845000000000003</v>
      </c>
      <c r="W344" s="1">
        <v>1.0095799999999999</v>
      </c>
      <c r="X344" s="1">
        <v>1.0252300000000001</v>
      </c>
      <c r="Y344" s="1">
        <v>1.0200199999999999</v>
      </c>
      <c r="Z344" s="1">
        <v>1.00675</v>
      </c>
      <c r="AA344" s="1">
        <v>1.0048600000000001</v>
      </c>
      <c r="AB344" s="1">
        <v>1.03423</v>
      </c>
      <c r="AC344" s="1">
        <v>0.96845000000000003</v>
      </c>
      <c r="AD344" s="1">
        <v>1.0095799999999999</v>
      </c>
      <c r="AE344" s="1">
        <v>1.0252300000000001</v>
      </c>
      <c r="AF344" s="1">
        <v>1.0200199999999999</v>
      </c>
      <c r="AG344" s="1">
        <v>1.00675</v>
      </c>
      <c r="AH344" s="1">
        <v>1.0048600000000001</v>
      </c>
      <c r="AI344" s="1">
        <v>1.03423</v>
      </c>
      <c r="AJ344" s="1">
        <v>0.96845000000000003</v>
      </c>
      <c r="AL344" s="4" t="s">
        <v>23</v>
      </c>
      <c r="AM344" s="6" t="str" cm="1">
        <f t="array" ref="AM344">IFERROR((SUMPRODUCT(($B$323:$B$347=AM$321)*($F$320:$AJ$320="")*$F$323:$AJ$347)+IF(AM$321="P6",SUMPRODUCT(($F$320:$AJ$320="P6")*$F$323:$AJ$347),0))/(SUMPRODUCT(($B$323:$B$347=AM$321)*($F$320:$AJ$320=""))+IF(AM$321="P6",COUNTIF($F$320:$AJ$320,"P6")*ROWS($B$323:$B$347),0)),"")</f>
        <v/>
      </c>
      <c r="AN344" s="6" cm="1">
        <f t="array" ref="AN344">IFERROR((SUMPRODUCT(($B$323:$B$347=AN$321)*($F$320:$AJ$320="")*$F$323:$AJ$347)+IF(AN$321="P6",SUMPRODUCT(($F$320:$AJ$320="P6")*$F$323:$AJ$347),0))/(SUMPRODUCT(($B$323:$B$347=AN$321)*($F$320:$AJ$320=""))+IF(AN$321="P6",COUNTIF($F$320:$AJ$320,"P6")*ROWS($B$323:$B$347),0)),"")</f>
        <v>0.92903211640211691</v>
      </c>
      <c r="AO344" s="6" cm="1">
        <f t="array" ref="AO344">IFERROR((SUMPRODUCT(($B$323:$B$347=AO$321)*($F$320:$AJ$320="")*$F$323:$AJ$347)+IF(AO$321="P6",SUMPRODUCT(($F$320:$AJ$320="P6")*$F$323:$AJ$347),0))/(SUMPRODUCT(($B$323:$B$347=AO$321)*($F$320:$AJ$320=""))+IF(AO$321="P6",COUNTIF($F$320:$AJ$320,"P6")*ROWS($B$323:$B$347),0)),"")</f>
        <v>1.0944657823129249</v>
      </c>
      <c r="AP344" s="6" t="str" cm="1">
        <f t="array" ref="AP344">IFERROR((SUMPRODUCT(($B$323:$B$347=AP$321)*($F$320:$AJ$320="")*$F$323:$AJ$347)+IF(AP$321="P6",SUMPRODUCT(($F$320:$AJ$320="P6")*$F$323:$AJ$347),0))/(SUMPRODUCT(($B$323:$B$347=AP$321)*($F$320:$AJ$320=""))+IF(AP$321="P6",COUNTIF($F$320:$AJ$320,"P6")*ROWS($B$323:$B$347),0)),"")</f>
        <v/>
      </c>
      <c r="AQ344" s="6" t="str" cm="1">
        <f t="array" ref="AQ344">IFERROR((SUMPRODUCT(($B$323:$B$347=AQ$321)*($F$320:$AJ$320="")*$F$323:$AJ$347)+IF(AQ$321="P6",SUMPRODUCT(($F$320:$AJ$320="P6")*$F$323:$AJ$347),0))/(SUMPRODUCT(($B$323:$B$347=AQ$321)*($F$320:$AJ$320=""))+IF(AQ$321="P6",COUNTIF($F$320:$AJ$320,"P6")*ROWS($B$323:$B$347),0)),"")</f>
        <v/>
      </c>
      <c r="AR344" s="6" cm="1">
        <f t="array" ref="AR344">IFERROR((SUMPRODUCT(($B$323:$B$347=AR$321)*($F$320:$AJ$320="")*$F$323:$AJ$347)+IF(AR$321="P6",SUMPRODUCT(($F$320:$AJ$320="P6")*$F$323:$AJ$347),0))/(SUMPRODUCT(($B$323:$B$347=AR$321)*($F$320:$AJ$320=""))+IF(AR$321="P6",COUNTIF($F$320:$AJ$320,"P6")*ROWS($B$323:$B$347),0)),"")</f>
        <v>0.91613466970387281</v>
      </c>
    </row>
    <row r="345" spans="1:44" ht="14.25" customHeight="1" x14ac:dyDescent="0.35">
      <c r="A345" s="1" t="s">
        <v>15</v>
      </c>
      <c r="B345" s="1" t="s">
        <v>15</v>
      </c>
      <c r="C345" s="1" t="s">
        <v>14</v>
      </c>
      <c r="D345" s="1" t="s">
        <v>17</v>
      </c>
      <c r="E345" s="1" t="s">
        <v>41</v>
      </c>
      <c r="F345" s="1">
        <v>1.2087300000000001</v>
      </c>
      <c r="G345" s="1">
        <v>1.2276499999999999</v>
      </c>
      <c r="H345" s="1">
        <v>0.99151</v>
      </c>
      <c r="I345" s="1">
        <v>1.0243899999999999</v>
      </c>
      <c r="J345" s="1">
        <v>1.21576</v>
      </c>
      <c r="K345" s="1">
        <v>1.2169300000000001</v>
      </c>
      <c r="L345" s="1">
        <v>1.19757</v>
      </c>
      <c r="M345" s="1">
        <v>1.2087300000000001</v>
      </c>
      <c r="N345" s="1">
        <v>1.2276499999999999</v>
      </c>
      <c r="O345" s="1">
        <v>0.99151</v>
      </c>
      <c r="P345" s="1">
        <v>1.0243899999999999</v>
      </c>
      <c r="Q345" s="1">
        <v>0.95104999999999995</v>
      </c>
      <c r="R345" s="1">
        <v>1.2169300000000001</v>
      </c>
      <c r="S345" s="1">
        <v>1.19757</v>
      </c>
      <c r="T345" s="1">
        <v>1.2087300000000001</v>
      </c>
      <c r="U345" s="1">
        <v>1.2276499999999999</v>
      </c>
      <c r="V345" s="1">
        <v>0.99151</v>
      </c>
      <c r="W345" s="1">
        <v>1.0243899999999999</v>
      </c>
      <c r="X345" s="1">
        <v>1.21576</v>
      </c>
      <c r="Y345" s="1">
        <v>1.2169300000000001</v>
      </c>
      <c r="Z345" s="1">
        <v>1.19757</v>
      </c>
      <c r="AA345" s="1">
        <v>1.2087300000000001</v>
      </c>
      <c r="AB345" s="1">
        <v>1.2276499999999999</v>
      </c>
      <c r="AC345" s="1">
        <v>0.99151</v>
      </c>
      <c r="AD345" s="1">
        <v>1.0243899999999999</v>
      </c>
      <c r="AE345" s="1">
        <v>1.21576</v>
      </c>
      <c r="AF345" s="1">
        <v>1.2169300000000001</v>
      </c>
      <c r="AG345" s="1">
        <v>1.19757</v>
      </c>
      <c r="AH345" s="1">
        <v>1.2087300000000001</v>
      </c>
      <c r="AI345" s="1">
        <v>1.2276499999999999</v>
      </c>
      <c r="AJ345" s="1">
        <v>0.99151</v>
      </c>
      <c r="AL345" s="4" t="s">
        <v>25</v>
      </c>
      <c r="AM345" s="6" t="str" cm="1">
        <f t="array" ref="AM345">IFERROR((SUMPRODUCT(($B$323:$B$347=AM$321)*($F$320:$AJ$320="")*$F$323:$AJ$347)+IF(AM$321="P6",SUMPRODUCT(($F$320:$AJ$320="P6")*$F$323:$AJ$347),0))/(SUMPRODUCT(($B$323:$B$347=AM$321)*($F$320:$AJ$320=""))+IF(AM$321="P6",COUNTIF($F$320:$AJ$320,"P6")*ROWS($B$323:$B$347),0)),"")</f>
        <v/>
      </c>
      <c r="AN345" s="6" cm="1">
        <f t="array" ref="AN345">IFERROR((SUMPRODUCT(($B$323:$B$347=AN$321)*($F$320:$AJ$320="")*$F$323:$AJ$347)+IF(AN$321="P6",SUMPRODUCT(($F$320:$AJ$320="P6")*$F$323:$AJ$347),0))/(SUMPRODUCT(($B$323:$B$347=AN$321)*($F$320:$AJ$320=""))+IF(AN$321="P6",COUNTIF($F$320:$AJ$320,"P6")*ROWS($B$323:$B$347),0)),"")</f>
        <v>0.92903211640211691</v>
      </c>
      <c r="AO345" s="6" cm="1">
        <f t="array" ref="AO345">IFERROR((SUMPRODUCT(($B$323:$B$347=AO$321)*($F$320:$AJ$320="")*$F$323:$AJ$347)+IF(AO$321="P6",SUMPRODUCT(($F$320:$AJ$320="P6")*$F$323:$AJ$347),0))/(SUMPRODUCT(($B$323:$B$347=AO$321)*($F$320:$AJ$320=""))+IF(AO$321="P6",COUNTIF($F$320:$AJ$320,"P6")*ROWS($B$323:$B$347),0)),"")</f>
        <v>1.0944657823129249</v>
      </c>
      <c r="AP345" s="6" t="str" cm="1">
        <f t="array" ref="AP345">IFERROR((SUMPRODUCT(($B$323:$B$347=AP$321)*($F$320:$AJ$320="")*$F$323:$AJ$347)+IF(AP$321="P6",SUMPRODUCT(($F$320:$AJ$320="P6")*$F$323:$AJ$347),0))/(SUMPRODUCT(($B$323:$B$347=AP$321)*($F$320:$AJ$320=""))+IF(AP$321="P6",COUNTIF($F$320:$AJ$320,"P6")*ROWS($B$323:$B$347),0)),"")</f>
        <v/>
      </c>
      <c r="AQ345" s="6" t="str" cm="1">
        <f t="array" ref="AQ345">IFERROR((SUMPRODUCT(($B$323:$B$347=AQ$321)*($F$320:$AJ$320="")*$F$323:$AJ$347)+IF(AQ$321="P6",SUMPRODUCT(($F$320:$AJ$320="P6")*$F$323:$AJ$347),0))/(SUMPRODUCT(($B$323:$B$347=AQ$321)*($F$320:$AJ$320=""))+IF(AQ$321="P6",COUNTIF($F$320:$AJ$320,"P6")*ROWS($B$323:$B$347),0)),"")</f>
        <v/>
      </c>
      <c r="AR345" s="6" cm="1">
        <f t="array" ref="AR345">IFERROR((SUMPRODUCT(($B$323:$B$347=AR$321)*($F$320:$AJ$320="")*$F$323:$AJ$347)+IF(AR$321="P6",SUMPRODUCT(($F$320:$AJ$320="P6")*$F$323:$AJ$347),0))/(SUMPRODUCT(($B$323:$B$347=AR$321)*($F$320:$AJ$320=""))+IF(AR$321="P6",COUNTIF($F$320:$AJ$320,"P6")*ROWS($B$323:$B$347),0)),"")</f>
        <v>0.91613466970387281</v>
      </c>
    </row>
    <row r="346" spans="1:44" ht="14.25" customHeight="1" x14ac:dyDescent="0.35">
      <c r="A346" s="1" t="s">
        <v>15</v>
      </c>
      <c r="B346" s="1" t="s">
        <v>15</v>
      </c>
      <c r="C346" s="1" t="s">
        <v>14</v>
      </c>
      <c r="D346" s="1" t="s">
        <v>17</v>
      </c>
      <c r="E346" s="1" t="s">
        <v>42</v>
      </c>
      <c r="F346" s="1">
        <v>1.2584599999999999</v>
      </c>
      <c r="G346" s="1">
        <v>1.26115</v>
      </c>
      <c r="H346" s="1">
        <v>1.0105900000000001</v>
      </c>
      <c r="I346" s="1">
        <v>1.04295</v>
      </c>
      <c r="J346" s="1">
        <v>1.26728</v>
      </c>
      <c r="K346" s="1">
        <v>1.26671</v>
      </c>
      <c r="L346" s="1">
        <v>1.26139</v>
      </c>
      <c r="M346" s="1">
        <v>1.2584599999999999</v>
      </c>
      <c r="N346" s="1">
        <v>1.26115</v>
      </c>
      <c r="O346" s="1">
        <v>1.0105900000000001</v>
      </c>
      <c r="P346" s="1">
        <v>1.04295</v>
      </c>
      <c r="Q346" s="1">
        <v>0.98250000000000004</v>
      </c>
      <c r="R346" s="1">
        <v>1.26671</v>
      </c>
      <c r="S346" s="1">
        <v>1.26139</v>
      </c>
      <c r="T346" s="1">
        <v>1.2584599999999999</v>
      </c>
      <c r="U346" s="1">
        <v>1.26115</v>
      </c>
      <c r="V346" s="1">
        <v>1.0105900000000001</v>
      </c>
      <c r="W346" s="1">
        <v>1.04295</v>
      </c>
      <c r="X346" s="1">
        <v>1.26728</v>
      </c>
      <c r="Y346" s="1">
        <v>1.26671</v>
      </c>
      <c r="Z346" s="1">
        <v>1.26139</v>
      </c>
      <c r="AA346" s="1">
        <v>1.2584599999999999</v>
      </c>
      <c r="AB346" s="1">
        <v>1.26115</v>
      </c>
      <c r="AC346" s="1">
        <v>1.0105900000000001</v>
      </c>
      <c r="AD346" s="1">
        <v>1.04295</v>
      </c>
      <c r="AE346" s="1">
        <v>1.26728</v>
      </c>
      <c r="AF346" s="1">
        <v>1.26671</v>
      </c>
      <c r="AG346" s="1">
        <v>1.26139</v>
      </c>
      <c r="AH346" s="1">
        <v>1.2584599999999999</v>
      </c>
      <c r="AI346" s="1">
        <v>1.26115</v>
      </c>
      <c r="AJ346" s="1">
        <v>1.0105900000000001</v>
      </c>
      <c r="AL346" s="4" t="s">
        <v>27</v>
      </c>
      <c r="AM346" s="6" t="str" cm="1">
        <f t="array" ref="AM346">IFERROR((SUMPRODUCT(($B$323:$B$347=AM$321)*($F$320:$AJ$320="")*$F$323:$AJ$347)+IF(AM$321="P6",SUMPRODUCT(($F$320:$AJ$320="P6")*$F$323:$AJ$347),0))/(SUMPRODUCT(($B$323:$B$347=AM$321)*($F$320:$AJ$320=""))+IF(AM$321="P6",COUNTIF($F$320:$AJ$320,"P6")*ROWS($B$323:$B$347),0)),"")</f>
        <v/>
      </c>
      <c r="AN346" s="6" cm="1">
        <f t="array" ref="AN346">IFERROR((SUMPRODUCT(($B$323:$B$347=AN$321)*($F$320:$AJ$320="")*$F$323:$AJ$347)+IF(AN$321="P6",SUMPRODUCT(($F$320:$AJ$320="P6")*$F$323:$AJ$347),0))/(SUMPRODUCT(($B$323:$B$347=AN$321)*($F$320:$AJ$320=""))+IF(AN$321="P6",COUNTIF($F$320:$AJ$320,"P6")*ROWS($B$323:$B$347),0)),"")</f>
        <v>0.92903211640211691</v>
      </c>
      <c r="AO346" s="6" cm="1">
        <f t="array" ref="AO346">IFERROR((SUMPRODUCT(($B$323:$B$347=AO$321)*($F$320:$AJ$320="")*$F$323:$AJ$347)+IF(AO$321="P6",SUMPRODUCT(($F$320:$AJ$320="P6")*$F$323:$AJ$347),0))/(SUMPRODUCT(($B$323:$B$347=AO$321)*($F$320:$AJ$320=""))+IF(AO$321="P6",COUNTIF($F$320:$AJ$320,"P6")*ROWS($B$323:$B$347),0)),"")</f>
        <v>1.0944657823129249</v>
      </c>
      <c r="AP346" s="6" t="str" cm="1">
        <f t="array" ref="AP346">IFERROR((SUMPRODUCT(($B$323:$B$347=AP$321)*($F$320:$AJ$320="")*$F$323:$AJ$347)+IF(AP$321="P6",SUMPRODUCT(($F$320:$AJ$320="P6")*$F$323:$AJ$347),0))/(SUMPRODUCT(($B$323:$B$347=AP$321)*($F$320:$AJ$320=""))+IF(AP$321="P6",COUNTIF($F$320:$AJ$320,"P6")*ROWS($B$323:$B$347),0)),"")</f>
        <v/>
      </c>
      <c r="AQ346" s="6" t="str" cm="1">
        <f t="array" ref="AQ346">IFERROR((SUMPRODUCT(($B$323:$B$347=AQ$321)*($F$320:$AJ$320="")*$F$323:$AJ$347)+IF(AQ$321="P6",SUMPRODUCT(($F$320:$AJ$320="P6")*$F$323:$AJ$347),0))/(SUMPRODUCT(($B$323:$B$347=AQ$321)*($F$320:$AJ$320=""))+IF(AQ$321="P6",COUNTIF($F$320:$AJ$320,"P6")*ROWS($B$323:$B$347),0)),"")</f>
        <v/>
      </c>
      <c r="AR346" s="6" cm="1">
        <f t="array" ref="AR346">IFERROR((SUMPRODUCT(($B$323:$B$347=AR$321)*($F$320:$AJ$320="")*$F$323:$AJ$347)+IF(AR$321="P6",SUMPRODUCT(($F$320:$AJ$320="P6")*$F$323:$AJ$347),0))/(SUMPRODUCT(($B$323:$B$347=AR$321)*($F$320:$AJ$320=""))+IF(AR$321="P6",COUNTIF($F$320:$AJ$320,"P6")*ROWS($B$323:$B$347),0)),"")</f>
        <v>0.91613466970387281</v>
      </c>
    </row>
    <row r="347" spans="1:44" ht="14.25" customHeight="1" x14ac:dyDescent="0.35">
      <c r="A347" s="1" t="s">
        <v>7</v>
      </c>
      <c r="B347" s="1" t="s">
        <v>7</v>
      </c>
      <c r="C347" s="9" t="s">
        <v>15</v>
      </c>
      <c r="D347" s="9" t="s">
        <v>7</v>
      </c>
      <c r="E347" s="9" t="s">
        <v>53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P347" s="9">
        <v>0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  <c r="Z347" s="9">
        <v>0</v>
      </c>
      <c r="AA347" s="9">
        <v>0</v>
      </c>
      <c r="AB347" s="9">
        <v>0</v>
      </c>
      <c r="AC347" s="9">
        <v>0</v>
      </c>
      <c r="AD347" s="9">
        <v>1.1073999999999999</v>
      </c>
      <c r="AE347" s="9">
        <v>0</v>
      </c>
      <c r="AF347" s="9">
        <v>0</v>
      </c>
      <c r="AG347" s="9">
        <v>0</v>
      </c>
      <c r="AH347" s="9">
        <v>0</v>
      </c>
      <c r="AI347" s="9">
        <v>0</v>
      </c>
      <c r="AJ347" s="9">
        <v>0</v>
      </c>
      <c r="AL347" s="4" t="s">
        <v>29</v>
      </c>
      <c r="AM347" s="6" t="str" cm="1">
        <f t="array" ref="AM347">IFERROR((SUMPRODUCT(($B$323:$B$347=AM$321)*($F$320:$AJ$320="")*$F$323:$AJ$347)+IF(AM$321="P6",SUMPRODUCT(($F$320:$AJ$320="P6")*$F$323:$AJ$347),0))/(SUMPRODUCT(($B$323:$B$347=AM$321)*($F$320:$AJ$320=""))+IF(AM$321="P6",COUNTIF($F$320:$AJ$320,"P6")*ROWS($B$323:$B$347),0)),"")</f>
        <v/>
      </c>
      <c r="AN347" s="6" cm="1">
        <f t="array" ref="AN347">IFERROR((SUMPRODUCT(($B$323:$B$347=AN$321)*($F$320:$AJ$320="")*$F$323:$AJ$347)+IF(AN$321="P6",SUMPRODUCT(($F$320:$AJ$320="P6")*$F$323:$AJ$347),0))/(SUMPRODUCT(($B$323:$B$347=AN$321)*($F$320:$AJ$320=""))+IF(AN$321="P6",COUNTIF($F$320:$AJ$320,"P6")*ROWS($B$323:$B$347),0)),"")</f>
        <v>0.92903211640211691</v>
      </c>
      <c r="AO347" s="6" cm="1">
        <f t="array" ref="AO347">IFERROR((SUMPRODUCT(($B$323:$B$347=AO$321)*($F$320:$AJ$320="")*$F$323:$AJ$347)+IF(AO$321="P6",SUMPRODUCT(($F$320:$AJ$320="P6")*$F$323:$AJ$347),0))/(SUMPRODUCT(($B$323:$B$347=AO$321)*($F$320:$AJ$320=""))+IF(AO$321="P6",COUNTIF($F$320:$AJ$320,"P6")*ROWS($B$323:$B$347),0)),"")</f>
        <v>1.0944657823129249</v>
      </c>
      <c r="AP347" s="6" t="str" cm="1">
        <f t="array" ref="AP347">IFERROR((SUMPRODUCT(($B$323:$B$347=AP$321)*($F$320:$AJ$320="")*$F$323:$AJ$347)+IF(AP$321="P6",SUMPRODUCT(($F$320:$AJ$320="P6")*$F$323:$AJ$347),0))/(SUMPRODUCT(($B$323:$B$347=AP$321)*($F$320:$AJ$320=""))+IF(AP$321="P6",COUNTIF($F$320:$AJ$320,"P6")*ROWS($B$323:$B$347),0)),"")</f>
        <v/>
      </c>
      <c r="AQ347" s="6" t="str" cm="1">
        <f t="array" ref="AQ347">IFERROR((SUMPRODUCT(($B$323:$B$347=AQ$321)*($F$320:$AJ$320="")*$F$323:$AJ$347)+IF(AQ$321="P6",SUMPRODUCT(($F$320:$AJ$320="P6")*$F$323:$AJ$347),0))/(SUMPRODUCT(($B$323:$B$347=AQ$321)*($F$320:$AJ$320=""))+IF(AQ$321="P6",COUNTIF($F$320:$AJ$320,"P6")*ROWS($B$323:$B$347),0)),"")</f>
        <v/>
      </c>
      <c r="AR347" s="6" cm="1">
        <f t="array" ref="AR347">IFERROR((SUMPRODUCT(($B$323:$B$347=AR$321)*($F$320:$AJ$320="")*$F$323:$AJ$347)+IF(AR$321="P6",SUMPRODUCT(($F$320:$AJ$320="P6")*$F$323:$AJ$347),0))/(SUMPRODUCT(($B$323:$B$347=AR$321)*($F$320:$AJ$320=""))+IF(AR$321="P6",COUNTIF($F$320:$AJ$320,"P6")*ROWS($B$323:$B$347),0)),"")</f>
        <v>0.91613466970387281</v>
      </c>
    </row>
    <row r="351" spans="1:44" ht="14.25" customHeight="1" x14ac:dyDescent="0.35">
      <c r="A351" s="15" t="s">
        <v>70</v>
      </c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</row>
    <row r="352" spans="1:44" ht="14.25" customHeight="1" x14ac:dyDescent="0.3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</row>
    <row r="353" spans="1:44" ht="14.25" customHeight="1" x14ac:dyDescent="0.35">
      <c r="AL353" s="10"/>
      <c r="AM353" s="10"/>
      <c r="AN353" s="10"/>
      <c r="AO353" s="10"/>
      <c r="AP353" s="10"/>
      <c r="AQ353" s="10"/>
      <c r="AR353" s="10"/>
    </row>
    <row r="354" spans="1:44" ht="14.25" customHeight="1" x14ac:dyDescent="0.35">
      <c r="F354" s="1" t="str">
        <f>IF(OR(F356="S",F356="D"),"P3","")</f>
        <v>P3</v>
      </c>
      <c r="G354" s="1" t="str">
        <f t="shared" ref="G354:AI354" si="36">IF(OR(G356="S",G356="D"),"P3","")</f>
        <v/>
      </c>
      <c r="H354" s="1" t="str">
        <f t="shared" si="36"/>
        <v/>
      </c>
      <c r="I354" s="1" t="str">
        <f t="shared" si="36"/>
        <v/>
      </c>
      <c r="J354" s="1" t="str">
        <f t="shared" si="36"/>
        <v/>
      </c>
      <c r="K354" s="1" t="str">
        <f t="shared" si="36"/>
        <v/>
      </c>
      <c r="L354" s="1" t="str">
        <f t="shared" si="36"/>
        <v>P3</v>
      </c>
      <c r="M354" s="1" t="str">
        <f t="shared" si="36"/>
        <v>P3</v>
      </c>
      <c r="N354" s="1" t="str">
        <f t="shared" si="36"/>
        <v/>
      </c>
      <c r="O354" s="1" t="str">
        <f t="shared" si="36"/>
        <v/>
      </c>
      <c r="P354" s="1" t="str">
        <f t="shared" si="36"/>
        <v/>
      </c>
      <c r="Q354" s="1" t="str">
        <f t="shared" si="36"/>
        <v/>
      </c>
      <c r="R354" s="1" t="str">
        <f t="shared" si="36"/>
        <v/>
      </c>
      <c r="S354" s="1" t="str">
        <f t="shared" si="36"/>
        <v>P3</v>
      </c>
      <c r="T354" s="1" t="str">
        <f t="shared" si="36"/>
        <v>P3</v>
      </c>
      <c r="U354" s="1" t="str">
        <f t="shared" si="36"/>
        <v/>
      </c>
      <c r="V354" s="1" t="str">
        <f t="shared" si="36"/>
        <v/>
      </c>
      <c r="W354" s="1" t="str">
        <f t="shared" si="36"/>
        <v/>
      </c>
      <c r="X354" s="1" t="str">
        <f t="shared" si="36"/>
        <v/>
      </c>
      <c r="Y354" s="1" t="str">
        <f t="shared" si="36"/>
        <v/>
      </c>
      <c r="Z354" s="1" t="str">
        <f t="shared" si="36"/>
        <v>P3</v>
      </c>
      <c r="AA354" s="1" t="str">
        <f t="shared" si="36"/>
        <v>P3</v>
      </c>
      <c r="AB354" s="1" t="str">
        <f t="shared" si="36"/>
        <v/>
      </c>
      <c r="AC354" s="1" t="str">
        <f t="shared" si="36"/>
        <v/>
      </c>
      <c r="AD354" s="1" t="str">
        <f t="shared" si="36"/>
        <v/>
      </c>
      <c r="AE354" s="1" t="str">
        <f t="shared" si="36"/>
        <v/>
      </c>
      <c r="AF354" s="1" t="str">
        <f t="shared" si="36"/>
        <v/>
      </c>
      <c r="AG354" s="1" t="str">
        <f t="shared" si="36"/>
        <v>P3</v>
      </c>
      <c r="AH354" s="1" t="str">
        <f t="shared" si="36"/>
        <v>P3</v>
      </c>
      <c r="AI354" s="1" t="str">
        <f t="shared" si="36"/>
        <v/>
      </c>
      <c r="AL354" s="10"/>
      <c r="AM354" s="10"/>
      <c r="AN354" s="10"/>
      <c r="AO354" s="10"/>
      <c r="AP354" s="10"/>
      <c r="AQ354" s="10"/>
      <c r="AR354" s="10"/>
    </row>
    <row r="355" spans="1:44" ht="14.25" customHeight="1" x14ac:dyDescent="0.35">
      <c r="F355" s="1" t="str">
        <f>IF(OR(F356="S",F356="D"),"P6","")</f>
        <v>P6</v>
      </c>
      <c r="G355" s="1" t="str">
        <f t="shared" ref="G355:AI355" si="37">IF(OR(G356="S",G356="D"),"P6","")</f>
        <v/>
      </c>
      <c r="H355" s="1" t="str">
        <f t="shared" si="37"/>
        <v/>
      </c>
      <c r="I355" s="1" t="str">
        <f t="shared" si="37"/>
        <v/>
      </c>
      <c r="J355" s="1" t="str">
        <f t="shared" si="37"/>
        <v/>
      </c>
      <c r="K355" s="1" t="str">
        <f t="shared" si="37"/>
        <v/>
      </c>
      <c r="L355" s="1" t="str">
        <f t="shared" si="37"/>
        <v>P6</v>
      </c>
      <c r="M355" s="1" t="str">
        <f t="shared" si="37"/>
        <v>P6</v>
      </c>
      <c r="N355" s="1" t="str">
        <f t="shared" si="37"/>
        <v/>
      </c>
      <c r="O355" s="1" t="str">
        <f t="shared" si="37"/>
        <v/>
      </c>
      <c r="P355" s="1" t="str">
        <f t="shared" si="37"/>
        <v/>
      </c>
      <c r="Q355" s="1" t="str">
        <f t="shared" si="37"/>
        <v/>
      </c>
      <c r="R355" s="1" t="str">
        <f t="shared" si="37"/>
        <v/>
      </c>
      <c r="S355" s="1" t="str">
        <f t="shared" si="37"/>
        <v>P6</v>
      </c>
      <c r="T355" s="1" t="str">
        <f t="shared" si="37"/>
        <v>P6</v>
      </c>
      <c r="U355" s="1" t="str">
        <f t="shared" si="37"/>
        <v/>
      </c>
      <c r="V355" s="1" t="str">
        <f t="shared" si="37"/>
        <v/>
      </c>
      <c r="W355" s="1" t="str">
        <f t="shared" si="37"/>
        <v/>
      </c>
      <c r="X355" s="1" t="str">
        <f t="shared" si="37"/>
        <v/>
      </c>
      <c r="Y355" s="1" t="str">
        <f t="shared" si="37"/>
        <v/>
      </c>
      <c r="Z355" s="1" t="str">
        <f t="shared" si="37"/>
        <v>P6</v>
      </c>
      <c r="AA355" s="1" t="str">
        <f t="shared" si="37"/>
        <v>P6</v>
      </c>
      <c r="AB355" s="1" t="str">
        <f t="shared" si="37"/>
        <v/>
      </c>
      <c r="AC355" s="1" t="str">
        <f t="shared" si="37"/>
        <v/>
      </c>
      <c r="AD355" s="1" t="str">
        <f t="shared" si="37"/>
        <v/>
      </c>
      <c r="AE355" s="1" t="str">
        <f t="shared" si="37"/>
        <v/>
      </c>
      <c r="AF355" s="1" t="str">
        <f t="shared" si="37"/>
        <v/>
      </c>
      <c r="AG355" s="1" t="str">
        <f t="shared" si="37"/>
        <v>P6</v>
      </c>
      <c r="AH355" s="1" t="str">
        <f t="shared" si="37"/>
        <v>P6</v>
      </c>
      <c r="AI355" s="1" t="str">
        <f t="shared" si="37"/>
        <v/>
      </c>
      <c r="AL355" s="14" t="s">
        <v>146</v>
      </c>
      <c r="AM355" s="14"/>
      <c r="AN355" s="14"/>
      <c r="AO355" s="14"/>
      <c r="AP355" s="14"/>
      <c r="AQ355" s="14"/>
      <c r="AR355" s="14"/>
    </row>
    <row r="356" spans="1:44" ht="14.25" customHeight="1" x14ac:dyDescent="0.35">
      <c r="F356" s="1" t="str">
        <f>CHOOSE(WEEKDAY(F357,2),"L","M","X","J","V","S","D")</f>
        <v>D</v>
      </c>
      <c r="G356" s="1" t="str">
        <f t="shared" ref="G356:AI356" si="38">CHOOSE(WEEKDAY(G357,2),"L","M","X","J","V","S","D")</f>
        <v>L</v>
      </c>
      <c r="H356" s="1" t="str">
        <f t="shared" si="38"/>
        <v>M</v>
      </c>
      <c r="I356" s="1" t="str">
        <f t="shared" si="38"/>
        <v>X</v>
      </c>
      <c r="J356" s="1" t="str">
        <f t="shared" si="38"/>
        <v>J</v>
      </c>
      <c r="K356" s="1" t="str">
        <f t="shared" si="38"/>
        <v>V</v>
      </c>
      <c r="L356" s="1" t="str">
        <f t="shared" si="38"/>
        <v>S</v>
      </c>
      <c r="M356" s="1" t="str">
        <f t="shared" si="38"/>
        <v>D</v>
      </c>
      <c r="N356" s="1" t="str">
        <f t="shared" si="38"/>
        <v>L</v>
      </c>
      <c r="O356" s="1" t="str">
        <f t="shared" si="38"/>
        <v>M</v>
      </c>
      <c r="P356" s="1" t="str">
        <f t="shared" si="38"/>
        <v>X</v>
      </c>
      <c r="Q356" s="1" t="str">
        <f t="shared" si="38"/>
        <v>J</v>
      </c>
      <c r="R356" s="1" t="str">
        <f t="shared" si="38"/>
        <v>V</v>
      </c>
      <c r="S356" s="1" t="str">
        <f t="shared" si="38"/>
        <v>S</v>
      </c>
      <c r="T356" s="1" t="str">
        <f t="shared" si="38"/>
        <v>D</v>
      </c>
      <c r="U356" s="1" t="str">
        <f t="shared" si="38"/>
        <v>L</v>
      </c>
      <c r="V356" s="1" t="str">
        <f t="shared" si="38"/>
        <v>M</v>
      </c>
      <c r="W356" s="1" t="str">
        <f t="shared" si="38"/>
        <v>X</v>
      </c>
      <c r="X356" s="1" t="str">
        <f t="shared" si="38"/>
        <v>J</v>
      </c>
      <c r="Y356" s="1" t="str">
        <f t="shared" si="38"/>
        <v>V</v>
      </c>
      <c r="Z356" s="1" t="str">
        <f t="shared" si="38"/>
        <v>S</v>
      </c>
      <c r="AA356" s="1" t="str">
        <f t="shared" si="38"/>
        <v>D</v>
      </c>
      <c r="AB356" s="1" t="str">
        <f t="shared" si="38"/>
        <v>L</v>
      </c>
      <c r="AC356" s="1" t="str">
        <f t="shared" si="38"/>
        <v>M</v>
      </c>
      <c r="AD356" s="1" t="str">
        <f t="shared" si="38"/>
        <v>X</v>
      </c>
      <c r="AE356" s="1" t="str">
        <f t="shared" si="38"/>
        <v>J</v>
      </c>
      <c r="AF356" s="1" t="str">
        <f t="shared" si="38"/>
        <v>V</v>
      </c>
      <c r="AG356" s="1" t="str">
        <f t="shared" si="38"/>
        <v>S</v>
      </c>
      <c r="AH356" s="1" t="str">
        <f t="shared" si="38"/>
        <v>D</v>
      </c>
      <c r="AI356" s="1" t="str">
        <f t="shared" si="38"/>
        <v>L</v>
      </c>
      <c r="AL356" s="4"/>
      <c r="AM356" s="4" t="s">
        <v>13</v>
      </c>
      <c r="AN356" s="4" t="s">
        <v>14</v>
      </c>
      <c r="AO356" s="4" t="s">
        <v>15</v>
      </c>
      <c r="AP356" s="4" t="s">
        <v>16</v>
      </c>
      <c r="AQ356" s="4" t="s">
        <v>17</v>
      </c>
      <c r="AR356" s="4" t="s">
        <v>7</v>
      </c>
    </row>
    <row r="357" spans="1:44" ht="14.25" customHeight="1" x14ac:dyDescent="0.35">
      <c r="A357" s="3" t="s">
        <v>76</v>
      </c>
      <c r="B357" s="3" t="s">
        <v>77</v>
      </c>
      <c r="C357" s="3" t="s">
        <v>75</v>
      </c>
      <c r="D357" s="3" t="s">
        <v>74</v>
      </c>
      <c r="F357" s="8">
        <v>46327</v>
      </c>
      <c r="G357" s="8">
        <v>46328</v>
      </c>
      <c r="H357" s="8">
        <v>46329</v>
      </c>
      <c r="I357" s="8">
        <v>46330</v>
      </c>
      <c r="J357" s="8">
        <v>46331</v>
      </c>
      <c r="K357" s="8">
        <v>46332</v>
      </c>
      <c r="L357" s="8">
        <v>46333</v>
      </c>
      <c r="M357" s="8">
        <v>46334</v>
      </c>
      <c r="N357" s="8">
        <v>46335</v>
      </c>
      <c r="O357" s="8">
        <v>46336</v>
      </c>
      <c r="P357" s="8">
        <v>46337</v>
      </c>
      <c r="Q357" s="8">
        <v>46338</v>
      </c>
      <c r="R357" s="8">
        <v>46339</v>
      </c>
      <c r="S357" s="8">
        <v>46340</v>
      </c>
      <c r="T357" s="8">
        <v>46341</v>
      </c>
      <c r="U357" s="8">
        <v>46342</v>
      </c>
      <c r="V357" s="8">
        <v>46343</v>
      </c>
      <c r="W357" s="8">
        <v>46344</v>
      </c>
      <c r="X357" s="8">
        <v>46345</v>
      </c>
      <c r="Y357" s="8">
        <v>46346</v>
      </c>
      <c r="Z357" s="8">
        <v>46347</v>
      </c>
      <c r="AA357" s="8">
        <v>46348</v>
      </c>
      <c r="AB357" s="8">
        <v>46349</v>
      </c>
      <c r="AC357" s="8">
        <v>46350</v>
      </c>
      <c r="AD357" s="8">
        <v>46351</v>
      </c>
      <c r="AE357" s="8">
        <v>46352</v>
      </c>
      <c r="AF357" s="8">
        <v>46353</v>
      </c>
      <c r="AG357" s="8">
        <v>46354</v>
      </c>
      <c r="AH357" s="8">
        <v>46355</v>
      </c>
      <c r="AI357" s="8">
        <v>46356</v>
      </c>
      <c r="AL357" s="4" t="s">
        <v>19</v>
      </c>
      <c r="AM357" s="6" cm="1">
        <f t="array" ref="AM357">IFERROR((SUMPRODUCT(($C$358:$C$381=AM$356)*($F$354:$AI$354="")*$F$358:$AI$381)+IF(AM$356="P3",SUMPRODUCT(($F$354:$AI$354="P3")*$F$358:$AI$381),0))/(SUMPRODUCT(($C$358:$C$381=AM$356)*($F$354:$AI$354=""))+IF(AM$356="P3",COUNTIF($F$354:$AI$354,"P3")*ROWS($C$358:$C$381),0)),"")</f>
        <v>0.96739119047619104</v>
      </c>
      <c r="AN357" s="6" cm="1">
        <f t="array" ref="AN357">IFERROR((SUMPRODUCT(($C$358:$C$381=AN$356)*($F$354:$AI$354="")*$F$358:$AI$381)+IF(AN$356="P3",SUMPRODUCT(($F$354:$AI$354="P3")*$F$358:$AI$381),0))/(SUMPRODUCT(($C$358:$C$381=AN$356)*($F$354:$AI$354=""))+IF(AN$356="P3",COUNTIF($F$354:$AI$354,"P3")*ROWS($C$358:$C$381),0)),"")</f>
        <v>1.0188320238095245</v>
      </c>
      <c r="AO357" s="6" cm="1">
        <f t="array" ref="AO357">IFERROR((SUMPRODUCT(($C$358:$C$381=AO$356)*($F$354:$AI$354="")*$F$358:$AI$381)+IF(AO$356="P3",SUMPRODUCT(($F$354:$AI$354="P3")*$F$358:$AI$381),0))/(SUMPRODUCT(($C$358:$C$381=AO$356)*($F$354:$AI$354=""))+IF(AO$356="P3",COUNTIF($F$354:$AI$354,"P3")*ROWS($C$358:$C$381),0)),"")</f>
        <v>1.047857109375</v>
      </c>
      <c r="AP357" s="6" t="str" cm="1">
        <f t="array" ref="AP357">IFERROR((SUMPRODUCT(($C$358:$C$381=AP$356)*($F$354:$AI$354="")*$F$358:$AI$381)+IF(AP$356="P3",SUMPRODUCT(($F$354:$AI$354="P3")*$F$358:$AI$381),0))/(SUMPRODUCT(($C$358:$C$381=AP$356)*($F$354:$AI$354=""))+IF(AP$356="P3",COUNTIF($F$354:$AI$354,"P3")*ROWS($C$358:$C$381),0)),"")</f>
        <v/>
      </c>
      <c r="AQ357" s="6" t="str" cm="1">
        <f t="array" ref="AQ357">IFERROR((SUMPRODUCT(($C$358:$C$381=AQ$356)*($F$354:$AI$354="")*$F$358:$AI$381)+IF(AQ$356="P3",SUMPRODUCT(($F$354:$AI$354="P3")*$F$358:$AI$381),0))/(SUMPRODUCT(($C$358:$C$381=AQ$356)*($F$354:$AI$354=""))+IF(AQ$356="P3",COUNTIF($F$354:$AI$354,"P3")*ROWS($C$358:$C$381),0)),"")</f>
        <v/>
      </c>
      <c r="AR357" s="6" t="str" cm="1">
        <f t="array" ref="AR357">IFERROR((SUMPRODUCT(($C$358:$C$381=AR$356)*($F$354:$AI$354="")*$F$358:$AI$381)+IF(AR$356="P3",SUMPRODUCT(($F$354:$AI$354="P3")*$F$358:$AI$381),0))/(SUMPRODUCT(($C$358:$C$381=AR$356)*($F$354:$AI$354=""))+IF(AR$356="P3",COUNTIF($F$354:$AI$354,"P3")*ROWS($C$358:$C$381),0)),"")</f>
        <v/>
      </c>
    </row>
    <row r="358" spans="1:44" ht="14.25" customHeight="1" x14ac:dyDescent="0.35">
      <c r="A358" s="1" t="s">
        <v>7</v>
      </c>
      <c r="B358" s="1" t="s">
        <v>7</v>
      </c>
      <c r="C358" s="1" t="s">
        <v>15</v>
      </c>
      <c r="D358" s="1" t="s">
        <v>7</v>
      </c>
      <c r="E358" s="1" t="s">
        <v>8</v>
      </c>
      <c r="F358" s="1">
        <v>1.13364</v>
      </c>
      <c r="G358" s="1">
        <v>1.1066499999999999</v>
      </c>
      <c r="H358" s="1">
        <v>1.0680499999999999</v>
      </c>
      <c r="I358" s="1">
        <v>1.07674</v>
      </c>
      <c r="J358" s="1">
        <v>1.09151</v>
      </c>
      <c r="K358" s="1">
        <v>1.07544</v>
      </c>
      <c r="L358" s="1">
        <v>1.07602</v>
      </c>
      <c r="M358" s="1">
        <v>1.08188</v>
      </c>
      <c r="N358" s="1">
        <v>1.1066499999999999</v>
      </c>
      <c r="O358" s="1">
        <v>1.0680499999999999</v>
      </c>
      <c r="P358" s="1">
        <v>1.07674</v>
      </c>
      <c r="Q358" s="1">
        <v>1.09151</v>
      </c>
      <c r="R358" s="1">
        <v>1.07544</v>
      </c>
      <c r="S358" s="1">
        <v>1.07602</v>
      </c>
      <c r="T358" s="1">
        <v>1.08188</v>
      </c>
      <c r="U358" s="1">
        <v>1.1066499999999999</v>
      </c>
      <c r="V358" s="1">
        <v>1.0680499999999999</v>
      </c>
      <c r="W358" s="1">
        <v>1.07674</v>
      </c>
      <c r="X358" s="1">
        <v>1.09151</v>
      </c>
      <c r="Y358" s="1">
        <v>1.07544</v>
      </c>
      <c r="Z358" s="1">
        <v>1.07602</v>
      </c>
      <c r="AA358" s="1">
        <v>1.08188</v>
      </c>
      <c r="AB358" s="1">
        <v>1.1066499999999999</v>
      </c>
      <c r="AC358" s="1">
        <v>1.0680499999999999</v>
      </c>
      <c r="AD358" s="1">
        <v>1.07674</v>
      </c>
      <c r="AE358" s="1">
        <v>1.09151</v>
      </c>
      <c r="AF358" s="1">
        <v>1.07544</v>
      </c>
      <c r="AG358" s="1">
        <v>1.07602</v>
      </c>
      <c r="AH358" s="1">
        <v>1.08188</v>
      </c>
      <c r="AI358" s="1">
        <v>1.1066499999999999</v>
      </c>
      <c r="AL358" s="4" t="s">
        <v>21</v>
      </c>
      <c r="AM358" s="6" t="str" cm="1">
        <f t="array" ref="AM358">IFERROR((SUMPRODUCT(($D$358:$D$381=AM$356)*($F$355:$AI$355="")*$F$358:$AI$381)+IF(AM$356="P6",SUMPRODUCT(($F$355:$AI$355="P6")*$F$358:$AI$381),0))/(SUMPRODUCT(($D$358:$D$381=AM$356)*($F$355:$AI$355=""))+IF(AM$356="P6",COUNTIF($F$355:$AI$355,"P6")*ROWS($D$358:$D$381),0)),"")</f>
        <v/>
      </c>
      <c r="AN358" s="6" cm="1">
        <f t="array" ref="AN358">IFERROR((SUMPRODUCT(($D$358:$D$381=AN$356)*($F$355:$AI$355="")*$F$358:$AI$381)+IF(AN$356="P6",SUMPRODUCT(($F$355:$AI$355="P6")*$F$358:$AI$381),0))/(SUMPRODUCT(($D$358:$D$381=AN$356)*($F$355:$AI$355=""))+IF(AN$356="P6",COUNTIF($F$355:$AI$355,"P6")*ROWS($D$358:$D$381),0)),"")</f>
        <v>0.96138322751322791</v>
      </c>
      <c r="AO358" s="6" cm="1">
        <f t="array" ref="AO358">IFERROR((SUMPRODUCT(($D$358:$D$381=AO$356)*($F$355:$AI$355="")*$F$358:$AI$381)+IF(AO$356="P6",SUMPRODUCT(($F$355:$AI$355="P6")*$F$358:$AI$381),0))/(SUMPRODUCT(($D$358:$D$381=AO$356)*($F$355:$AI$355=""))+IF(AO$356="P6",COUNTIF($F$355:$AI$355,"P6")*ROWS($D$358:$D$381),0)),"")</f>
        <v>1.0339052380952383</v>
      </c>
      <c r="AP358" s="6" t="str" cm="1">
        <f t="array" ref="AP358">IFERROR((SUMPRODUCT(($D$358:$D$381=AP$356)*($F$355:$AI$355="")*$F$358:$AI$381)+IF(AP$356="P6",SUMPRODUCT(($F$355:$AI$355="P6")*$F$358:$AI$381),0))/(SUMPRODUCT(($D$358:$D$381=AP$356)*($F$355:$AI$355=""))+IF(AP$356="P6",COUNTIF($F$355:$AI$355,"P6")*ROWS($D$358:$D$381),0)),"")</f>
        <v/>
      </c>
      <c r="AQ358" s="6" t="str" cm="1">
        <f t="array" ref="AQ358">IFERROR((SUMPRODUCT(($D$358:$D$381=AQ$356)*($F$355:$AI$355="")*$F$358:$AI$381)+IF(AQ$356="P6",SUMPRODUCT(($F$355:$AI$355="P6")*$F$358:$AI$381),0))/(SUMPRODUCT(($D$358:$D$381=AQ$356)*($F$355:$AI$355=""))+IF(AQ$356="P6",COUNTIF($F$355:$AI$355,"P6")*ROWS($D$358:$D$381),0)),"")</f>
        <v/>
      </c>
      <c r="AR358" s="6" cm="1">
        <f t="array" ref="AR358">IFERROR((SUMPRODUCT(($D$358:$D$381=AR$356)*($F$355:$AI$355="")*$F$358:$AI$381)+IF(AR$356="P6",SUMPRODUCT(($F$355:$AI$355="P6")*$F$358:$AI$381),0))/(SUMPRODUCT(($D$358:$D$381=AR$356)*($F$355:$AI$355=""))+IF(AR$356="P6",COUNTIF($F$355:$AI$355,"P6")*ROWS($D$358:$D$381),0)),"")</f>
        <v>1.047857109375</v>
      </c>
    </row>
    <row r="359" spans="1:44" ht="14.25" customHeight="1" x14ac:dyDescent="0.35">
      <c r="A359" s="1" t="s">
        <v>7</v>
      </c>
      <c r="B359" s="1" t="s">
        <v>7</v>
      </c>
      <c r="C359" s="1" t="s">
        <v>15</v>
      </c>
      <c r="D359" s="1" t="s">
        <v>7</v>
      </c>
      <c r="E359" s="1" t="s">
        <v>9</v>
      </c>
      <c r="F359" s="1">
        <v>1.16926</v>
      </c>
      <c r="G359" s="1">
        <v>1.1425099999999999</v>
      </c>
      <c r="H359" s="1">
        <v>1.0942000000000001</v>
      </c>
      <c r="I359" s="1">
        <v>1.11134</v>
      </c>
      <c r="J359" s="1">
        <v>1.1246100000000001</v>
      </c>
      <c r="K359" s="1">
        <v>1.1041099999999999</v>
      </c>
      <c r="L359" s="1">
        <v>1.1104400000000001</v>
      </c>
      <c r="M359" s="1">
        <v>1.1192800000000001</v>
      </c>
      <c r="N359" s="1">
        <v>1.1425099999999999</v>
      </c>
      <c r="O359" s="1">
        <v>1.0942000000000001</v>
      </c>
      <c r="P359" s="1">
        <v>1.11134</v>
      </c>
      <c r="Q359" s="1">
        <v>1.1246100000000001</v>
      </c>
      <c r="R359" s="1">
        <v>1.1041099999999999</v>
      </c>
      <c r="S359" s="1">
        <v>1.1104400000000001</v>
      </c>
      <c r="T359" s="1">
        <v>1.1192800000000001</v>
      </c>
      <c r="U359" s="1">
        <v>1.1425099999999999</v>
      </c>
      <c r="V359" s="1">
        <v>1.0942000000000001</v>
      </c>
      <c r="W359" s="1">
        <v>1.11134</v>
      </c>
      <c r="X359" s="1">
        <v>1.1246100000000001</v>
      </c>
      <c r="Y359" s="1">
        <v>1.1041099999999999</v>
      </c>
      <c r="Z359" s="1">
        <v>1.1104400000000001</v>
      </c>
      <c r="AA359" s="1">
        <v>1.1192800000000001</v>
      </c>
      <c r="AB359" s="1">
        <v>1.1425099999999999</v>
      </c>
      <c r="AC359" s="1">
        <v>1.0942000000000001</v>
      </c>
      <c r="AD359" s="1">
        <v>1.11134</v>
      </c>
      <c r="AE359" s="1">
        <v>1.1246100000000001</v>
      </c>
      <c r="AF359" s="1">
        <v>1.1041099999999999</v>
      </c>
      <c r="AG359" s="1">
        <v>1.1104400000000001</v>
      </c>
      <c r="AH359" s="1">
        <v>1.1192800000000001</v>
      </c>
      <c r="AI359" s="1">
        <v>1.1425099999999999</v>
      </c>
      <c r="AL359" s="4" t="s">
        <v>23</v>
      </c>
      <c r="AM359" s="6" t="str" cm="1">
        <f t="array" ref="AM359">IFERROR((SUMPRODUCT(($D$358:$D$381=AM$356)*($F$355:$AI$355="")*$F$358:$AI$381)+IF(AM$356="P6",SUMPRODUCT(($F$355:$AI$355="P6")*$F$358:$AI$381),0))/(SUMPRODUCT(($D$358:$D$381=AM$356)*($F$355:$AI$355=""))+IF(AM$356="P6",COUNTIF($F$355:$AI$355,"P6")*ROWS($D$358:$D$381),0)),"")</f>
        <v/>
      </c>
      <c r="AN359" s="6" cm="1">
        <f t="array" ref="AN359">IFERROR((SUMPRODUCT(($D$358:$D$381=AN$356)*($F$355:$AI$355="")*$F$358:$AI$381)+IF(AN$356="P6",SUMPRODUCT(($F$355:$AI$355="P6")*$F$358:$AI$381),0))/(SUMPRODUCT(($D$358:$D$381=AN$356)*($F$355:$AI$355=""))+IF(AN$356="P6",COUNTIF($F$355:$AI$355,"P6")*ROWS($D$358:$D$381),0)),"")</f>
        <v>0.96138322751322791</v>
      </c>
      <c r="AO359" s="5" cm="1">
        <f t="array" ref="AO359">IFERROR((SUMPRODUCT(($D$358:$D$381=AO$356)*($F$355:$AI$355="")*$F$358:$AI$381)+IF(AO$356="P6",SUMPRODUCT(($F$355:$AI$355="P6")*$F$358:$AI$381),0))/(SUMPRODUCT(($D$358:$D$381=AO$356)*($F$355:$AI$355=""))+IF(AO$356="P6",COUNTIF($F$355:$AI$355,"P6")*ROWS($D$358:$D$381),0)),"")</f>
        <v>1.0339052380952383</v>
      </c>
      <c r="AP359" s="5" t="str" cm="1">
        <f t="array" ref="AP359">IFERROR((SUMPRODUCT(($D$358:$D$381=AP$356)*($F$355:$AI$355="")*$F$358:$AI$381)+IF(AP$356="P6",SUMPRODUCT(($F$355:$AI$355="P6")*$F$358:$AI$381),0))/(SUMPRODUCT(($D$358:$D$381=AP$356)*($F$355:$AI$355=""))+IF(AP$356="P6",COUNTIF($F$355:$AI$355,"P6")*ROWS($D$358:$D$381),0)),"")</f>
        <v/>
      </c>
      <c r="AQ359" s="5" t="str" cm="1">
        <f t="array" ref="AQ359">IFERROR((SUMPRODUCT(($D$358:$D$381=AQ$356)*($F$355:$AI$355="")*$F$358:$AI$381)+IF(AQ$356="P6",SUMPRODUCT(($F$355:$AI$355="P6")*$F$358:$AI$381),0))/(SUMPRODUCT(($D$358:$D$381=AQ$356)*($F$355:$AI$355=""))+IF(AQ$356="P6",COUNTIF($F$355:$AI$355,"P6")*ROWS($D$358:$D$381),0)),"")</f>
        <v/>
      </c>
      <c r="AR359" s="6" cm="1">
        <f t="array" ref="AR359">IFERROR((SUMPRODUCT(($D$358:$D$381=AR$356)*($F$355:$AI$355="")*$F$358:$AI$381)+IF(AR$356="P6",SUMPRODUCT(($F$355:$AI$355="P6")*$F$358:$AI$381),0))/(SUMPRODUCT(($D$358:$D$381=AR$356)*($F$355:$AI$355=""))+IF(AR$356="P6",COUNTIF($F$355:$AI$355,"P6")*ROWS($D$358:$D$381),0)),"")</f>
        <v>1.047857109375</v>
      </c>
    </row>
    <row r="360" spans="1:44" ht="14.25" customHeight="1" x14ac:dyDescent="0.35">
      <c r="A360" s="1" t="s">
        <v>7</v>
      </c>
      <c r="B360" s="1" t="s">
        <v>7</v>
      </c>
      <c r="C360" s="1" t="s">
        <v>15</v>
      </c>
      <c r="D360" s="1" t="s">
        <v>7</v>
      </c>
      <c r="E360" s="1" t="s">
        <v>10</v>
      </c>
      <c r="F360" s="1">
        <v>1.19059</v>
      </c>
      <c r="G360" s="1">
        <v>1.16865</v>
      </c>
      <c r="H360" s="1">
        <v>1.1097900000000001</v>
      </c>
      <c r="I360" s="1">
        <v>1.1268400000000001</v>
      </c>
      <c r="J360" s="1">
        <v>1.1356599999999999</v>
      </c>
      <c r="K360" s="1">
        <v>1.12748</v>
      </c>
      <c r="L360" s="1">
        <v>1.12188</v>
      </c>
      <c r="M360" s="1">
        <v>1.149</v>
      </c>
      <c r="N360" s="1">
        <v>1.16865</v>
      </c>
      <c r="O360" s="1">
        <v>1.1097900000000001</v>
      </c>
      <c r="P360" s="1">
        <v>1.1268400000000001</v>
      </c>
      <c r="Q360" s="1">
        <v>1.1356599999999999</v>
      </c>
      <c r="R360" s="1">
        <v>1.12748</v>
      </c>
      <c r="S360" s="1">
        <v>1.12188</v>
      </c>
      <c r="T360" s="1">
        <v>1.149</v>
      </c>
      <c r="U360" s="1">
        <v>1.16865</v>
      </c>
      <c r="V360" s="1">
        <v>1.1097900000000001</v>
      </c>
      <c r="W360" s="1">
        <v>1.1268400000000001</v>
      </c>
      <c r="X360" s="1">
        <v>1.1356599999999999</v>
      </c>
      <c r="Y360" s="1">
        <v>1.12748</v>
      </c>
      <c r="Z360" s="1">
        <v>1.12188</v>
      </c>
      <c r="AA360" s="1">
        <v>1.149</v>
      </c>
      <c r="AB360" s="1">
        <v>1.16865</v>
      </c>
      <c r="AC360" s="1">
        <v>1.1097900000000001</v>
      </c>
      <c r="AD360" s="1">
        <v>1.1268400000000001</v>
      </c>
      <c r="AE360" s="1">
        <v>1.1356599999999999</v>
      </c>
      <c r="AF360" s="1">
        <v>1.12748</v>
      </c>
      <c r="AG360" s="1">
        <v>1.12188</v>
      </c>
      <c r="AH360" s="1">
        <v>1.149</v>
      </c>
      <c r="AI360" s="1">
        <v>1.16865</v>
      </c>
      <c r="AL360" s="4" t="s">
        <v>25</v>
      </c>
      <c r="AM360" s="6" t="str" cm="1">
        <f t="array" ref="AM360">IFERROR((SUMPRODUCT(($D$358:$D$381=AM$356)*($F$355:$AI$355="")*$F$358:$AI$381)+IF(AM$356="P6",SUMPRODUCT(($F$355:$AI$355="P6")*$F$358:$AI$381),0))/(SUMPRODUCT(($D$358:$D$381=AM$356)*($F$355:$AI$355=""))+IF(AM$356="P6",COUNTIF($F$355:$AI$355,"P6")*ROWS($D$358:$D$381),0)),"")</f>
        <v/>
      </c>
      <c r="AN360" s="6" cm="1">
        <f t="array" ref="AN360">IFERROR((SUMPRODUCT(($D$358:$D$381=AN$356)*($F$355:$AI$355="")*$F$358:$AI$381)+IF(AN$356="P6",SUMPRODUCT(($F$355:$AI$355="P6")*$F$358:$AI$381),0))/(SUMPRODUCT(($D$358:$D$381=AN$356)*($F$355:$AI$355=""))+IF(AN$356="P6",COUNTIF($F$355:$AI$355,"P6")*ROWS($D$358:$D$381),0)),"")</f>
        <v>0.96138322751322791</v>
      </c>
      <c r="AO360" s="5" cm="1">
        <f t="array" ref="AO360">IFERROR((SUMPRODUCT(($D$358:$D$381=AO$356)*($F$355:$AI$355="")*$F$358:$AI$381)+IF(AO$356="P6",SUMPRODUCT(($F$355:$AI$355="P6")*$F$358:$AI$381),0))/(SUMPRODUCT(($D$358:$D$381=AO$356)*($F$355:$AI$355=""))+IF(AO$356="P6",COUNTIF($F$355:$AI$355,"P6")*ROWS($D$358:$D$381),0)),"")</f>
        <v>1.0339052380952383</v>
      </c>
      <c r="AP360" s="5" t="str" cm="1">
        <f t="array" ref="AP360">IFERROR((SUMPRODUCT(($D$358:$D$381=AP$356)*($F$355:$AI$355="")*$F$358:$AI$381)+IF(AP$356="P6",SUMPRODUCT(($F$355:$AI$355="P6")*$F$358:$AI$381),0))/(SUMPRODUCT(($D$358:$D$381=AP$356)*($F$355:$AI$355=""))+IF(AP$356="P6",COUNTIF($F$355:$AI$355,"P6")*ROWS($D$358:$D$381),0)),"")</f>
        <v/>
      </c>
      <c r="AQ360" s="5" t="str" cm="1">
        <f t="array" ref="AQ360">IFERROR((SUMPRODUCT(($D$358:$D$381=AQ$356)*($F$355:$AI$355="")*$F$358:$AI$381)+IF(AQ$356="P6",SUMPRODUCT(($F$355:$AI$355="P6")*$F$358:$AI$381),0))/(SUMPRODUCT(($D$358:$D$381=AQ$356)*($F$355:$AI$355=""))+IF(AQ$356="P6",COUNTIF($F$355:$AI$355,"P6")*ROWS($D$358:$D$381),0)),"")</f>
        <v/>
      </c>
      <c r="AR360" s="6" cm="1">
        <f t="array" ref="AR360">IFERROR((SUMPRODUCT(($D$358:$D$381=AR$356)*($F$355:$AI$355="")*$F$358:$AI$381)+IF(AR$356="P6",SUMPRODUCT(($F$355:$AI$355="P6")*$F$358:$AI$381),0))/(SUMPRODUCT(($D$358:$D$381=AR$356)*($F$355:$AI$355=""))+IF(AR$356="P6",COUNTIF($F$355:$AI$355,"P6")*ROWS($D$358:$D$381),0)),"")</f>
        <v>1.047857109375</v>
      </c>
    </row>
    <row r="361" spans="1:44" ht="14.25" customHeight="1" x14ac:dyDescent="0.35">
      <c r="A361" s="1" t="s">
        <v>7</v>
      </c>
      <c r="B361" s="1" t="s">
        <v>7</v>
      </c>
      <c r="C361" s="1" t="s">
        <v>15</v>
      </c>
      <c r="D361" s="1" t="s">
        <v>7</v>
      </c>
      <c r="E361" s="1" t="s">
        <v>11</v>
      </c>
      <c r="F361" s="1">
        <v>1.21936</v>
      </c>
      <c r="G361" s="1">
        <v>1.17188</v>
      </c>
      <c r="H361" s="1">
        <v>1.11622</v>
      </c>
      <c r="I361" s="1">
        <v>1.12459</v>
      </c>
      <c r="J361" s="1">
        <v>1.1403099999999999</v>
      </c>
      <c r="K361" s="1">
        <v>1.13202</v>
      </c>
      <c r="L361" s="1">
        <v>1.1456200000000001</v>
      </c>
      <c r="M361" s="1">
        <v>1.16628</v>
      </c>
      <c r="N361" s="1">
        <v>1.17188</v>
      </c>
      <c r="O361" s="1">
        <v>1.11622</v>
      </c>
      <c r="P361" s="1">
        <v>1.12459</v>
      </c>
      <c r="Q361" s="1">
        <v>1.1403099999999999</v>
      </c>
      <c r="R361" s="1">
        <v>1.13202</v>
      </c>
      <c r="S361" s="1">
        <v>1.1456200000000001</v>
      </c>
      <c r="T361" s="1">
        <v>1.16628</v>
      </c>
      <c r="U361" s="1">
        <v>1.17188</v>
      </c>
      <c r="V361" s="1">
        <v>1.11622</v>
      </c>
      <c r="W361" s="1">
        <v>1.12459</v>
      </c>
      <c r="X361" s="1">
        <v>1.1403099999999999</v>
      </c>
      <c r="Y361" s="1">
        <v>1.13202</v>
      </c>
      <c r="Z361" s="1">
        <v>1.1456200000000001</v>
      </c>
      <c r="AA361" s="1">
        <v>1.16628</v>
      </c>
      <c r="AB361" s="1">
        <v>1.17188</v>
      </c>
      <c r="AC361" s="1">
        <v>1.11622</v>
      </c>
      <c r="AD361" s="1">
        <v>1.12459</v>
      </c>
      <c r="AE361" s="1">
        <v>1.1403099999999999</v>
      </c>
      <c r="AF361" s="1">
        <v>1.13202</v>
      </c>
      <c r="AG361" s="1">
        <v>1.1456200000000001</v>
      </c>
      <c r="AH361" s="1">
        <v>1.16628</v>
      </c>
      <c r="AI361" s="1">
        <v>1.17188</v>
      </c>
      <c r="AL361" s="4" t="s">
        <v>27</v>
      </c>
      <c r="AM361" s="6" t="str" cm="1">
        <f t="array" ref="AM361">IFERROR((SUMPRODUCT(($D$358:$D$381=AM$356)*($F$355:$AI$355="")*$F$358:$AI$381)+IF(AM$356="P6",SUMPRODUCT(($F$355:$AI$355="P6")*$F$358:$AI$381),0))/(SUMPRODUCT(($D$358:$D$381=AM$356)*($F$355:$AI$355=""))+IF(AM$356="P6",COUNTIF($F$355:$AI$355,"P6")*ROWS($D$358:$D$381),0)),"")</f>
        <v/>
      </c>
      <c r="AN361" s="6" cm="1">
        <f t="array" ref="AN361">IFERROR((SUMPRODUCT(($D$358:$D$381=AN$356)*($F$355:$AI$355="")*$F$358:$AI$381)+IF(AN$356="P6",SUMPRODUCT(($F$355:$AI$355="P6")*$F$358:$AI$381),0))/(SUMPRODUCT(($D$358:$D$381=AN$356)*($F$355:$AI$355=""))+IF(AN$356="P6",COUNTIF($F$355:$AI$355,"P6")*ROWS($D$358:$D$381),0)),"")</f>
        <v>0.96138322751322791</v>
      </c>
      <c r="AO361" s="5" cm="1">
        <f t="array" ref="AO361">IFERROR((SUMPRODUCT(($D$358:$D$381=AO$356)*($F$355:$AI$355="")*$F$358:$AI$381)+IF(AO$356="P6",SUMPRODUCT(($F$355:$AI$355="P6")*$F$358:$AI$381),0))/(SUMPRODUCT(($D$358:$D$381=AO$356)*($F$355:$AI$355=""))+IF(AO$356="P6",COUNTIF($F$355:$AI$355,"P6")*ROWS($D$358:$D$381),0)),"")</f>
        <v>1.0339052380952383</v>
      </c>
      <c r="AP361" s="5" t="str" cm="1">
        <f t="array" ref="AP361">IFERROR((SUMPRODUCT(($D$358:$D$381=AP$356)*($F$355:$AI$355="")*$F$358:$AI$381)+IF(AP$356="P6",SUMPRODUCT(($F$355:$AI$355="P6")*$F$358:$AI$381),0))/(SUMPRODUCT(($D$358:$D$381=AP$356)*($F$355:$AI$355=""))+IF(AP$356="P6",COUNTIF($F$355:$AI$355,"P6")*ROWS($D$358:$D$381),0)),"")</f>
        <v/>
      </c>
      <c r="AQ361" s="5" t="str" cm="1">
        <f t="array" ref="AQ361">IFERROR((SUMPRODUCT(($D$358:$D$381=AQ$356)*($F$355:$AI$355="")*$F$358:$AI$381)+IF(AQ$356="P6",SUMPRODUCT(($F$355:$AI$355="P6")*$F$358:$AI$381),0))/(SUMPRODUCT(($D$358:$D$381=AQ$356)*($F$355:$AI$355=""))+IF(AQ$356="P6",COUNTIF($F$355:$AI$355,"P6")*ROWS($D$358:$D$381),0)),"")</f>
        <v/>
      </c>
      <c r="AR361" s="6" cm="1">
        <f t="array" ref="AR361">IFERROR((SUMPRODUCT(($D$358:$D$381=AR$356)*($F$355:$AI$355="")*$F$358:$AI$381)+IF(AR$356="P6",SUMPRODUCT(($F$355:$AI$355="P6")*$F$358:$AI$381),0))/(SUMPRODUCT(($D$358:$D$381=AR$356)*($F$355:$AI$355=""))+IF(AR$356="P6",COUNTIF($F$355:$AI$355,"P6")*ROWS($D$358:$D$381),0)),"")</f>
        <v>1.047857109375</v>
      </c>
    </row>
    <row r="362" spans="1:44" ht="14.25" customHeight="1" x14ac:dyDescent="0.35">
      <c r="A362" s="1" t="s">
        <v>7</v>
      </c>
      <c r="B362" s="1" t="s">
        <v>7</v>
      </c>
      <c r="C362" s="1" t="s">
        <v>15</v>
      </c>
      <c r="D362" s="1" t="s">
        <v>7</v>
      </c>
      <c r="E362" s="1" t="s">
        <v>12</v>
      </c>
      <c r="F362" s="1">
        <v>1.2155100000000001</v>
      </c>
      <c r="G362" s="1">
        <v>1.1615599999999999</v>
      </c>
      <c r="H362" s="1">
        <v>1.12514</v>
      </c>
      <c r="I362" s="1">
        <v>1.1147100000000001</v>
      </c>
      <c r="J362" s="1">
        <v>1.13056</v>
      </c>
      <c r="K362" s="1">
        <v>1.1227199999999999</v>
      </c>
      <c r="L362" s="1">
        <v>1.1450800000000001</v>
      </c>
      <c r="M362" s="1">
        <v>1.17302</v>
      </c>
      <c r="N362" s="1">
        <v>1.1615599999999999</v>
      </c>
      <c r="O362" s="1">
        <v>1.12514</v>
      </c>
      <c r="P362" s="1">
        <v>1.1147100000000001</v>
      </c>
      <c r="Q362" s="1">
        <v>1.13056</v>
      </c>
      <c r="R362" s="1">
        <v>1.1227199999999999</v>
      </c>
      <c r="S362" s="1">
        <v>1.1450800000000001</v>
      </c>
      <c r="T362" s="1">
        <v>1.17302</v>
      </c>
      <c r="U362" s="1">
        <v>1.1615599999999999</v>
      </c>
      <c r="V362" s="1">
        <v>1.12514</v>
      </c>
      <c r="W362" s="1">
        <v>1.1147100000000001</v>
      </c>
      <c r="X362" s="1">
        <v>1.13056</v>
      </c>
      <c r="Y362" s="1">
        <v>1.1227199999999999</v>
      </c>
      <c r="Z362" s="1">
        <v>1.1450800000000001</v>
      </c>
      <c r="AA362" s="1">
        <v>1.17302</v>
      </c>
      <c r="AB362" s="1">
        <v>1.1615599999999999</v>
      </c>
      <c r="AC362" s="1">
        <v>1.12514</v>
      </c>
      <c r="AD362" s="1">
        <v>1.1147100000000001</v>
      </c>
      <c r="AE362" s="1">
        <v>1.13056</v>
      </c>
      <c r="AF362" s="1">
        <v>1.1227199999999999</v>
      </c>
      <c r="AG362" s="1">
        <v>1.1450800000000001</v>
      </c>
      <c r="AH362" s="1">
        <v>1.17302</v>
      </c>
      <c r="AI362" s="1">
        <v>1.1615599999999999</v>
      </c>
      <c r="AL362" s="4" t="s">
        <v>29</v>
      </c>
      <c r="AM362" s="6" t="str" cm="1">
        <f t="array" ref="AM362">IFERROR((SUMPRODUCT(($D$358:$D$381=AM$356)*($F$355:$AI$355="")*$F$358:$AI$381)+IF(AM$356="P6",SUMPRODUCT(($F$355:$AI$355="P6")*$F$358:$AI$381),0))/(SUMPRODUCT(($D$358:$D$381=AM$356)*($F$355:$AI$355=""))+IF(AM$356="P6",COUNTIF($F$355:$AI$355,"P6")*ROWS($D$358:$D$381),0)),"")</f>
        <v/>
      </c>
      <c r="AN362" s="6" cm="1">
        <f t="array" ref="AN362">IFERROR((SUMPRODUCT(($D$358:$D$381=AN$356)*($F$355:$AI$355="")*$F$358:$AI$381)+IF(AN$356="P6",SUMPRODUCT(($F$355:$AI$355="P6")*$F$358:$AI$381),0))/(SUMPRODUCT(($D$358:$D$381=AN$356)*($F$355:$AI$355=""))+IF(AN$356="P6",COUNTIF($F$355:$AI$355,"P6")*ROWS($D$358:$D$381),0)),"")</f>
        <v>0.96138322751322791</v>
      </c>
      <c r="AO362" s="5" cm="1">
        <f t="array" ref="AO362">IFERROR((SUMPRODUCT(($D$358:$D$381=AO$356)*($F$355:$AI$355="")*$F$358:$AI$381)+IF(AO$356="P6",SUMPRODUCT(($F$355:$AI$355="P6")*$F$358:$AI$381),0))/(SUMPRODUCT(($D$358:$D$381=AO$356)*($F$355:$AI$355=""))+IF(AO$356="P6",COUNTIF($F$355:$AI$355,"P6")*ROWS($D$358:$D$381),0)),"")</f>
        <v>1.0339052380952383</v>
      </c>
      <c r="AP362" s="5" t="str" cm="1">
        <f t="array" ref="AP362">IFERROR((SUMPRODUCT(($D$358:$D$381=AP$356)*($F$355:$AI$355="")*$F$358:$AI$381)+IF(AP$356="P6",SUMPRODUCT(($F$355:$AI$355="P6")*$F$358:$AI$381),0))/(SUMPRODUCT(($D$358:$D$381=AP$356)*($F$355:$AI$355=""))+IF(AP$356="P6",COUNTIF($F$355:$AI$355,"P6")*ROWS($D$358:$D$381),0)),"")</f>
        <v/>
      </c>
      <c r="AQ362" s="5" t="str" cm="1">
        <f t="array" ref="AQ362">IFERROR((SUMPRODUCT(($D$358:$D$381=AQ$356)*($F$355:$AI$355="")*$F$358:$AI$381)+IF(AQ$356="P6",SUMPRODUCT(($F$355:$AI$355="P6")*$F$358:$AI$381),0))/(SUMPRODUCT(($D$358:$D$381=AQ$356)*($F$355:$AI$355=""))+IF(AQ$356="P6",COUNTIF($F$355:$AI$355,"P6")*ROWS($D$358:$D$381),0)),"")</f>
        <v/>
      </c>
      <c r="AR362" s="6" cm="1">
        <f t="array" ref="AR362">IFERROR((SUMPRODUCT(($D$358:$D$381=AR$356)*($F$355:$AI$355="")*$F$358:$AI$381)+IF(AR$356="P6",SUMPRODUCT(($F$355:$AI$355="P6")*$F$358:$AI$381),0))/(SUMPRODUCT(($D$358:$D$381=AR$356)*($F$355:$AI$355=""))+IF(AR$356="P6",COUNTIF($F$355:$AI$355,"P6")*ROWS($D$358:$D$381),0)),"")</f>
        <v>1.047857109375</v>
      </c>
    </row>
    <row r="363" spans="1:44" ht="14.25" customHeight="1" x14ac:dyDescent="0.35">
      <c r="A363" s="1" t="s">
        <v>7</v>
      </c>
      <c r="B363" s="1" t="s">
        <v>7</v>
      </c>
      <c r="C363" s="1" t="s">
        <v>15</v>
      </c>
      <c r="D363" s="1" t="s">
        <v>7</v>
      </c>
      <c r="E363" s="1" t="s">
        <v>18</v>
      </c>
      <c r="F363" s="1">
        <v>1.19682</v>
      </c>
      <c r="G363" s="1">
        <v>1.1114299999999999</v>
      </c>
      <c r="H363" s="1">
        <v>1.0906800000000001</v>
      </c>
      <c r="I363" s="1">
        <v>1.0812600000000001</v>
      </c>
      <c r="J363" s="1">
        <v>1.1098699999999999</v>
      </c>
      <c r="K363" s="1">
        <v>1.0904199999999999</v>
      </c>
      <c r="L363" s="1">
        <v>1.1492199999999999</v>
      </c>
      <c r="M363" s="1">
        <v>1.15601</v>
      </c>
      <c r="N363" s="1">
        <v>1.1114299999999999</v>
      </c>
      <c r="O363" s="1">
        <v>1.0906800000000001</v>
      </c>
      <c r="P363" s="1">
        <v>1.0812600000000001</v>
      </c>
      <c r="Q363" s="1">
        <v>1.1098699999999999</v>
      </c>
      <c r="R363" s="1">
        <v>1.0904199999999999</v>
      </c>
      <c r="S363" s="1">
        <v>1.1492199999999999</v>
      </c>
      <c r="T363" s="1">
        <v>1.15601</v>
      </c>
      <c r="U363" s="1">
        <v>1.1114299999999999</v>
      </c>
      <c r="V363" s="1">
        <v>1.0906800000000001</v>
      </c>
      <c r="W363" s="1">
        <v>1.0812600000000001</v>
      </c>
      <c r="X363" s="1">
        <v>1.1098699999999999</v>
      </c>
      <c r="Y363" s="1">
        <v>1.0904199999999999</v>
      </c>
      <c r="Z363" s="1">
        <v>1.1492199999999999</v>
      </c>
      <c r="AA363" s="1">
        <v>1.15601</v>
      </c>
      <c r="AB363" s="1">
        <v>1.1114299999999999</v>
      </c>
      <c r="AC363" s="1">
        <v>1.0906800000000001</v>
      </c>
      <c r="AD363" s="1">
        <v>1.0812600000000001</v>
      </c>
      <c r="AE363" s="1">
        <v>1.1098699999999999</v>
      </c>
      <c r="AF363" s="1">
        <v>1.0904199999999999</v>
      </c>
      <c r="AG363" s="1">
        <v>1.1492199999999999</v>
      </c>
      <c r="AH363" s="1">
        <v>1.15601</v>
      </c>
      <c r="AI363" s="1">
        <v>1.1114299999999999</v>
      </c>
      <c r="AL363" s="10"/>
      <c r="AM363" s="10"/>
      <c r="AN363" s="10"/>
      <c r="AO363" s="10"/>
      <c r="AP363" s="10"/>
      <c r="AQ363" s="10"/>
      <c r="AR363" s="10"/>
    </row>
    <row r="364" spans="1:44" ht="14.25" customHeight="1" x14ac:dyDescent="0.35">
      <c r="A364" s="1" t="s">
        <v>7</v>
      </c>
      <c r="B364" s="1" t="s">
        <v>7</v>
      </c>
      <c r="C364" s="1" t="s">
        <v>15</v>
      </c>
      <c r="D364" s="1" t="s">
        <v>7</v>
      </c>
      <c r="E364" s="1" t="s">
        <v>20</v>
      </c>
      <c r="F364" s="1">
        <v>1.16594</v>
      </c>
      <c r="G364" s="1">
        <v>0.98985000000000001</v>
      </c>
      <c r="H364" s="1">
        <v>0.98784000000000005</v>
      </c>
      <c r="I364" s="1">
        <v>0.99678999999999995</v>
      </c>
      <c r="J364" s="1">
        <v>1.0020199999999999</v>
      </c>
      <c r="K364" s="1">
        <v>0.99938000000000005</v>
      </c>
      <c r="L364" s="1">
        <v>1.0894200000000001</v>
      </c>
      <c r="M364" s="1">
        <v>1.11358</v>
      </c>
      <c r="N364" s="1">
        <v>0.98985000000000001</v>
      </c>
      <c r="O364" s="1">
        <v>0.98784000000000005</v>
      </c>
      <c r="P364" s="1">
        <v>0.99678999999999995</v>
      </c>
      <c r="Q364" s="1">
        <v>1.0020199999999999</v>
      </c>
      <c r="R364" s="1">
        <v>0.99938000000000005</v>
      </c>
      <c r="S364" s="1">
        <v>1.0894200000000001</v>
      </c>
      <c r="T364" s="1">
        <v>1.11358</v>
      </c>
      <c r="U364" s="1">
        <v>0.98985000000000001</v>
      </c>
      <c r="V364" s="1">
        <v>0.98784000000000005</v>
      </c>
      <c r="W364" s="1">
        <v>0.99678999999999995</v>
      </c>
      <c r="X364" s="1">
        <v>1.0020199999999999</v>
      </c>
      <c r="Y364" s="1">
        <v>0.99938000000000005</v>
      </c>
      <c r="Z364" s="1">
        <v>1.0894200000000001</v>
      </c>
      <c r="AA364" s="1">
        <v>1.11358</v>
      </c>
      <c r="AB364" s="1">
        <v>0.98985000000000001</v>
      </c>
      <c r="AC364" s="1">
        <v>0.98784000000000005</v>
      </c>
      <c r="AD364" s="1">
        <v>0.99678999999999995</v>
      </c>
      <c r="AE364" s="1">
        <v>1.0020199999999999</v>
      </c>
      <c r="AF364" s="1">
        <v>0.99938000000000005</v>
      </c>
      <c r="AG364" s="1">
        <v>1.0894200000000001</v>
      </c>
      <c r="AH364" s="1">
        <v>1.11358</v>
      </c>
      <c r="AI364" s="1">
        <v>0.98985000000000001</v>
      </c>
      <c r="AL364" s="10"/>
      <c r="AM364" s="10"/>
      <c r="AN364" s="10"/>
      <c r="AO364" s="10"/>
      <c r="AP364" s="10"/>
      <c r="AQ364" s="10"/>
      <c r="AR364" s="10"/>
    </row>
    <row r="365" spans="1:44" ht="14.25" customHeight="1" x14ac:dyDescent="0.35">
      <c r="A365" s="1" t="s">
        <v>7</v>
      </c>
      <c r="B365" s="1" t="s">
        <v>7</v>
      </c>
      <c r="C365" s="1" t="s">
        <v>15</v>
      </c>
      <c r="D365" s="1" t="s">
        <v>7</v>
      </c>
      <c r="E365" s="1" t="s">
        <v>22</v>
      </c>
      <c r="F365" s="1">
        <v>1.1321000000000001</v>
      </c>
      <c r="G365" s="1">
        <v>0.89749000000000001</v>
      </c>
      <c r="H365" s="1">
        <v>0.90627000000000002</v>
      </c>
      <c r="I365" s="1">
        <v>0.92832000000000003</v>
      </c>
      <c r="J365" s="1">
        <v>0.92959000000000003</v>
      </c>
      <c r="K365" s="1">
        <v>0.92120000000000002</v>
      </c>
      <c r="L365" s="1">
        <v>1.0344599999999999</v>
      </c>
      <c r="M365" s="1">
        <v>1.0768200000000001</v>
      </c>
      <c r="N365" s="1">
        <v>0.89749000000000001</v>
      </c>
      <c r="O365" s="1">
        <v>0.90627000000000002</v>
      </c>
      <c r="P365" s="1">
        <v>0.92832000000000003</v>
      </c>
      <c r="Q365" s="1">
        <v>0.92959000000000003</v>
      </c>
      <c r="R365" s="1">
        <v>0.92120000000000002</v>
      </c>
      <c r="S365" s="1">
        <v>1.0344599999999999</v>
      </c>
      <c r="T365" s="1">
        <v>1.0768200000000001</v>
      </c>
      <c r="U365" s="1">
        <v>0.89749000000000001</v>
      </c>
      <c r="V365" s="1">
        <v>0.90627000000000002</v>
      </c>
      <c r="W365" s="1">
        <v>0.92832000000000003</v>
      </c>
      <c r="X365" s="1">
        <v>0.92959000000000003</v>
      </c>
      <c r="Y365" s="1">
        <v>0.92120000000000002</v>
      </c>
      <c r="Z365" s="1">
        <v>1.0344599999999999</v>
      </c>
      <c r="AA365" s="1">
        <v>1.0768200000000001</v>
      </c>
      <c r="AB365" s="1">
        <v>0.89749000000000001</v>
      </c>
      <c r="AC365" s="1">
        <v>0.90627000000000002</v>
      </c>
      <c r="AD365" s="1">
        <v>0.92832000000000003</v>
      </c>
      <c r="AE365" s="1">
        <v>0.92959000000000003</v>
      </c>
      <c r="AF365" s="1">
        <v>0.92120000000000002</v>
      </c>
      <c r="AG365" s="1">
        <v>1.0344599999999999</v>
      </c>
      <c r="AH365" s="1">
        <v>1.0768200000000001</v>
      </c>
      <c r="AI365" s="1">
        <v>0.89749000000000001</v>
      </c>
      <c r="AL365" s="14" t="s">
        <v>147</v>
      </c>
      <c r="AM365" s="14"/>
      <c r="AN365" s="14"/>
      <c r="AO365" s="14"/>
      <c r="AP365" s="14"/>
      <c r="AQ365" s="14"/>
      <c r="AR365" s="14"/>
    </row>
    <row r="366" spans="1:44" ht="14.25" customHeight="1" x14ac:dyDescent="0.35">
      <c r="A366" s="1" t="s">
        <v>15</v>
      </c>
      <c r="B366" s="1" t="s">
        <v>17</v>
      </c>
      <c r="C366" s="1" t="s">
        <v>14</v>
      </c>
      <c r="D366" s="1" t="s">
        <v>15</v>
      </c>
      <c r="E366" s="1" t="s">
        <v>24</v>
      </c>
      <c r="F366" s="1">
        <v>1.0414600000000001</v>
      </c>
      <c r="G366" s="1">
        <v>0.97243999999999997</v>
      </c>
      <c r="H366" s="1">
        <v>0.97297</v>
      </c>
      <c r="I366" s="1">
        <v>1.0143899999999999</v>
      </c>
      <c r="J366" s="1">
        <v>1.0137100000000001</v>
      </c>
      <c r="K366" s="1">
        <v>0.99946000000000002</v>
      </c>
      <c r="L366" s="1">
        <v>0.98404999999999998</v>
      </c>
      <c r="M366" s="1">
        <v>1.04528</v>
      </c>
      <c r="N366" s="1">
        <v>0.97243999999999997</v>
      </c>
      <c r="O366" s="1">
        <v>0.97297</v>
      </c>
      <c r="P366" s="1">
        <v>1.0143899999999999</v>
      </c>
      <c r="Q366" s="1">
        <v>1.0137100000000001</v>
      </c>
      <c r="R366" s="1">
        <v>0.99946000000000002</v>
      </c>
      <c r="S366" s="1">
        <v>0.98404999999999998</v>
      </c>
      <c r="T366" s="1">
        <v>1.04528</v>
      </c>
      <c r="U366" s="1">
        <v>0.97243999999999997</v>
      </c>
      <c r="V366" s="1">
        <v>0.97297</v>
      </c>
      <c r="W366" s="1">
        <v>1.0143899999999999</v>
      </c>
      <c r="X366" s="1">
        <v>1.0137100000000001</v>
      </c>
      <c r="Y366" s="1">
        <v>0.99946000000000002</v>
      </c>
      <c r="Z366" s="1">
        <v>0.98404999999999998</v>
      </c>
      <c r="AA366" s="1">
        <v>1.04528</v>
      </c>
      <c r="AB366" s="1">
        <v>0.97243999999999997</v>
      </c>
      <c r="AC366" s="1">
        <v>0.97297</v>
      </c>
      <c r="AD366" s="1">
        <v>1.0143899999999999</v>
      </c>
      <c r="AE366" s="1">
        <v>1.0137100000000001</v>
      </c>
      <c r="AF366" s="1">
        <v>0.99946000000000002</v>
      </c>
      <c r="AG366" s="1">
        <v>0.98404999999999998</v>
      </c>
      <c r="AH366" s="1">
        <v>1.04528</v>
      </c>
      <c r="AI366" s="1">
        <v>0.97243999999999997</v>
      </c>
      <c r="AL366" s="4"/>
      <c r="AM366" s="4" t="s">
        <v>13</v>
      </c>
      <c r="AN366" s="4" t="s">
        <v>14</v>
      </c>
      <c r="AO366" s="4" t="s">
        <v>15</v>
      </c>
      <c r="AP366" s="4" t="s">
        <v>16</v>
      </c>
      <c r="AQ366" s="4" t="s">
        <v>17</v>
      </c>
      <c r="AR366" s="4" t="s">
        <v>7</v>
      </c>
    </row>
    <row r="367" spans="1:44" ht="14.25" customHeight="1" x14ac:dyDescent="0.35">
      <c r="A367" s="1" t="s">
        <v>15</v>
      </c>
      <c r="B367" s="1" t="s">
        <v>17</v>
      </c>
      <c r="C367" s="1" t="s">
        <v>14</v>
      </c>
      <c r="D367" s="1" t="s">
        <v>14</v>
      </c>
      <c r="E367" s="1" t="s">
        <v>26</v>
      </c>
      <c r="F367" s="1">
        <v>0.91056000000000004</v>
      </c>
      <c r="G367" s="1">
        <v>0.90019000000000005</v>
      </c>
      <c r="H367" s="1">
        <v>0.87441999999999998</v>
      </c>
      <c r="I367" s="1">
        <v>0.93535000000000001</v>
      </c>
      <c r="J367" s="1">
        <v>0.94147999999999998</v>
      </c>
      <c r="K367" s="1">
        <v>0.91844000000000003</v>
      </c>
      <c r="L367" s="1">
        <v>0.90634999999999999</v>
      </c>
      <c r="M367" s="1">
        <v>0.99133000000000004</v>
      </c>
      <c r="N367" s="1">
        <v>0.90019000000000005</v>
      </c>
      <c r="O367" s="1">
        <v>0.87441999999999998</v>
      </c>
      <c r="P367" s="1">
        <v>0.93535000000000001</v>
      </c>
      <c r="Q367" s="1">
        <v>0.94147999999999998</v>
      </c>
      <c r="R367" s="1">
        <v>0.91844000000000003</v>
      </c>
      <c r="S367" s="1">
        <v>0.90634999999999999</v>
      </c>
      <c r="T367" s="1">
        <v>0.99133000000000004</v>
      </c>
      <c r="U367" s="1">
        <v>0.90019000000000005</v>
      </c>
      <c r="V367" s="1">
        <v>0.87441999999999998</v>
      </c>
      <c r="W367" s="1">
        <v>0.93535000000000001</v>
      </c>
      <c r="X367" s="1">
        <v>0.94147999999999998</v>
      </c>
      <c r="Y367" s="1">
        <v>0.91844000000000003</v>
      </c>
      <c r="Z367" s="1">
        <v>0.90634999999999999</v>
      </c>
      <c r="AA367" s="1">
        <v>0.99133000000000004</v>
      </c>
      <c r="AB367" s="1">
        <v>0.90019000000000005</v>
      </c>
      <c r="AC367" s="1">
        <v>0.87441999999999998</v>
      </c>
      <c r="AD367" s="1">
        <v>0.93535000000000001</v>
      </c>
      <c r="AE367" s="1">
        <v>0.94147999999999998</v>
      </c>
      <c r="AF367" s="1">
        <v>0.91844000000000003</v>
      </c>
      <c r="AG367" s="1">
        <v>0.90634999999999999</v>
      </c>
      <c r="AH367" s="1">
        <v>0.99133000000000004</v>
      </c>
      <c r="AI367" s="1">
        <v>0.90019000000000005</v>
      </c>
      <c r="AL367" s="4" t="s">
        <v>19</v>
      </c>
      <c r="AM367" s="6" cm="1">
        <f t="array" ref="AM367">IFERROR((SUMPRODUCT(($C$358:$C$381=AM$356)*($F$354:$AI$354="")*$F$358:$AI$381)+IF(AM$356="P3",SUMPRODUCT(($F$354:$AI$354="P3")*$F$358:$AI$381),0))/(SUMPRODUCT(($C$358:$C$381=AM$356)*($F$354:$AI$354=""))+IF(AM$356="P3",COUNTIF($F$354:$AI$354,"P3")*ROWS($C$358:$C$381),0)),"")</f>
        <v>0.96739119047619104</v>
      </c>
      <c r="AN367" s="6" cm="1">
        <f t="array" ref="AN367">IFERROR((SUMPRODUCT(($C$358:$C$381=AN$356)*($F$354:$AI$354="")*$F$358:$AI$381)+IF(AN$356="P3",SUMPRODUCT(($F$354:$AI$354="P3")*$F$358:$AI$381),0))/(SUMPRODUCT(($C$358:$C$381=AN$356)*($F$354:$AI$354=""))+IF(AN$356="P3",COUNTIF($F$354:$AI$354,"P3")*ROWS($C$358:$C$381),0)),"")</f>
        <v>1.0188320238095245</v>
      </c>
      <c r="AO367" s="6" cm="1">
        <f t="array" ref="AO367">IFERROR((SUMPRODUCT(($C$358:$C$381=AO$356)*($F$354:$AI$354="")*$F$358:$AI$381)+IF(AO$356="P3",SUMPRODUCT(($F$354:$AI$354="P3")*$F$358:$AI$381),0))/(SUMPRODUCT(($C$358:$C$381=AO$356)*($F$354:$AI$354=""))+IF(AO$356="P3",COUNTIF($F$354:$AI$354,"P3")*ROWS($C$358:$C$381),0)),"")</f>
        <v>1.047857109375</v>
      </c>
      <c r="AP367" s="6" t="str" cm="1">
        <f t="array" ref="AP367">IFERROR((SUMPRODUCT(($C$358:$C$381=AP$356)*($F$354:$AI$354="")*$F$358:$AI$381)+IF(AP$356="P3",SUMPRODUCT(($F$354:$AI$354="P3")*$F$358:$AI$381),0))/(SUMPRODUCT(($C$358:$C$381=AP$356)*($F$354:$AI$354=""))+IF(AP$356="P3",COUNTIF($F$354:$AI$354,"P3")*ROWS($C$358:$C$381),0)),"")</f>
        <v/>
      </c>
      <c r="AQ367" s="6" t="str" cm="1">
        <f t="array" ref="AQ367">IFERROR((SUMPRODUCT(($C$358:$C$381=AQ$356)*($F$354:$AI$354="")*$F$358:$AI$381)+IF(AQ$356="P3",SUMPRODUCT(($F$354:$AI$354="P3")*$F$358:$AI$381),0))/(SUMPRODUCT(($C$358:$C$381=AQ$356)*($F$354:$AI$354=""))+IF(AQ$356="P3",COUNTIF($F$354:$AI$354,"P3")*ROWS($C$358:$C$381),0)),"")</f>
        <v/>
      </c>
      <c r="AR367" s="6" t="str" cm="1">
        <f t="array" ref="AR367">IFERROR((SUMPRODUCT(($C$358:$C$381=AR$356)*($F$354:$AI$354="")*$F$358:$AI$381)+IF(AR$356="P3",SUMPRODUCT(($F$354:$AI$354="P3")*$F$358:$AI$381),0))/(SUMPRODUCT(($C$358:$C$381=AR$356)*($F$354:$AI$354=""))+IF(AR$356="P3",COUNTIF($F$354:$AI$354,"P3")*ROWS($C$358:$C$381),0)),"")</f>
        <v/>
      </c>
    </row>
    <row r="368" spans="1:44" ht="14.25" customHeight="1" x14ac:dyDescent="0.35">
      <c r="A368" s="1" t="s">
        <v>14</v>
      </c>
      <c r="B368" s="1" t="s">
        <v>16</v>
      </c>
      <c r="C368" s="1" t="s">
        <v>13</v>
      </c>
      <c r="D368" s="1" t="s">
        <v>14</v>
      </c>
      <c r="E368" s="1" t="s">
        <v>28</v>
      </c>
      <c r="F368" s="1">
        <v>0.86319999999999997</v>
      </c>
      <c r="G368" s="1">
        <v>0.85436999999999996</v>
      </c>
      <c r="H368" s="1">
        <v>0.84419999999999995</v>
      </c>
      <c r="I368" s="1">
        <v>0.93037000000000003</v>
      </c>
      <c r="J368" s="1">
        <v>0.92186000000000001</v>
      </c>
      <c r="K368" s="1">
        <v>0.88119000000000003</v>
      </c>
      <c r="L368" s="1">
        <v>0.86743999999999999</v>
      </c>
      <c r="M368" s="1">
        <v>0.95628000000000002</v>
      </c>
      <c r="N368" s="1">
        <v>0.85436999999999996</v>
      </c>
      <c r="O368" s="1">
        <v>0.84419999999999995</v>
      </c>
      <c r="P368" s="1">
        <v>0.93037000000000003</v>
      </c>
      <c r="Q368" s="1">
        <v>0.92186000000000001</v>
      </c>
      <c r="R368" s="1">
        <v>0.88119000000000003</v>
      </c>
      <c r="S368" s="1">
        <v>0.86743999999999999</v>
      </c>
      <c r="T368" s="1">
        <v>0.95628000000000002</v>
      </c>
      <c r="U368" s="1">
        <v>0.85436999999999996</v>
      </c>
      <c r="V368" s="1">
        <v>0.84419999999999995</v>
      </c>
      <c r="W368" s="1">
        <v>0.93037000000000003</v>
      </c>
      <c r="X368" s="1">
        <v>0.92186000000000001</v>
      </c>
      <c r="Y368" s="1">
        <v>0.88119000000000003</v>
      </c>
      <c r="Z368" s="1">
        <v>0.86743999999999999</v>
      </c>
      <c r="AA368" s="1">
        <v>0.95628000000000002</v>
      </c>
      <c r="AB368" s="1">
        <v>0.85436999999999996</v>
      </c>
      <c r="AC368" s="1">
        <v>0.84419999999999995</v>
      </c>
      <c r="AD368" s="1">
        <v>0.93037000000000003</v>
      </c>
      <c r="AE368" s="1">
        <v>0.92186000000000001</v>
      </c>
      <c r="AF368" s="1">
        <v>0.88119000000000003</v>
      </c>
      <c r="AG368" s="1">
        <v>0.86743999999999999</v>
      </c>
      <c r="AH368" s="1">
        <v>0.95628000000000002</v>
      </c>
      <c r="AI368" s="1">
        <v>0.85436999999999996</v>
      </c>
      <c r="AL368" s="4" t="s">
        <v>21</v>
      </c>
      <c r="AM368" s="6" t="str" cm="1">
        <f t="array" ref="AM368">IFERROR((SUMPRODUCT(($A$358:$A$381=AM$356)*($F$355:$AI$355="")*$F$358:$AI$381)+IF(AM$356="P6",SUMPRODUCT(($F$355:$AI$355="P6")*$F$358:$AI$381),0))/(SUMPRODUCT(($A$358:$A$381=AM$356)*($F$355:$AI$355=""))+IF(AM$356="P6",COUNTIF($F$355:$AI$355,"P6")*ROWS($A$358:$A$381),0)),"")</f>
        <v/>
      </c>
      <c r="AN368" s="6" cm="1">
        <f t="array" ref="AN368">IFERROR((SUMPRODUCT(($A$358:$A$381=AN$356)*($F$355:$AI$355="")*$F$358:$AI$381)+IF(AN$356="P6",SUMPRODUCT(($F$355:$AI$355="P6")*$F$358:$AI$381),0))/(SUMPRODUCT(($A$358:$A$381=AN$356)*($F$355:$AI$355=""))+IF(AN$356="P6",COUNTIF($F$355:$AI$355,"P6")*ROWS($A$358:$A$381),0)),"")</f>
        <v>0.9636735449735454</v>
      </c>
      <c r="AO368" s="6" cm="1">
        <f t="array" ref="AO368">IFERROR((SUMPRODUCT(($A$358:$A$381=AO$356)*($F$355:$AI$355="")*$F$358:$AI$381)+IF(AO$356="P6",SUMPRODUCT(($F$355:$AI$355="P6")*$F$358:$AI$381),0))/(SUMPRODUCT(($A$358:$A$381=AO$356)*($F$355:$AI$355=""))+IF(AO$356="P6",COUNTIF($F$355:$AI$355,"P6")*ROWS($A$358:$A$381),0)),"")</f>
        <v>1.0309605442176872</v>
      </c>
      <c r="AP368" s="6" t="str" cm="1">
        <f t="array" ref="AP368">IFERROR((SUMPRODUCT(($A$358:$A$381=AP$356)*($F$355:$AI$355="")*$F$358:$AI$381)+IF(AP$356="P6",SUMPRODUCT(($F$355:$AI$355="P6")*$F$358:$AI$381),0))/(SUMPRODUCT(($A$358:$A$381=AP$356)*($F$355:$AI$355=""))+IF(AP$356="P6",COUNTIF($F$355:$AI$355,"P6")*ROWS($A$358:$A$381),0)),"")</f>
        <v/>
      </c>
      <c r="AQ368" s="6" t="str" cm="1">
        <f t="array" ref="AQ368">IFERROR((SUMPRODUCT(($A$358:$A$381=AQ$356)*($F$355:$AI$355="")*$F$358:$AI$381)+IF(AQ$356="P6",SUMPRODUCT(($F$355:$AI$355="P6")*$F$358:$AI$381),0))/(SUMPRODUCT(($A$358:$A$381=AQ$356)*($F$355:$AI$355=""))+IF(AQ$356="P6",COUNTIF($F$355:$AI$355,"P6")*ROWS($A$358:$A$381),0)),"")</f>
        <v/>
      </c>
      <c r="AR368" s="6" cm="1">
        <f t="array" ref="AR368">IFERROR((SUMPRODUCT(($A$358:$A$381=AR$356)*($F$355:$AI$355="")*$F$358:$AI$381)+IF(AR$356="P6",SUMPRODUCT(($F$355:$AI$355="P6")*$F$358:$AI$381),0))/(SUMPRODUCT(($A$358:$A$381=AR$356)*($F$355:$AI$355=""))+IF(AR$356="P6",COUNTIF($F$355:$AI$355,"P6")*ROWS($A$358:$A$381),0)),"")</f>
        <v>1.047857109375</v>
      </c>
    </row>
    <row r="369" spans="1:44" ht="14.25" customHeight="1" x14ac:dyDescent="0.35">
      <c r="A369" s="1" t="s">
        <v>14</v>
      </c>
      <c r="B369" s="1" t="s">
        <v>16</v>
      </c>
      <c r="C369" s="1" t="s">
        <v>13</v>
      </c>
      <c r="D369" s="1" t="s">
        <v>14</v>
      </c>
      <c r="E369" s="1" t="s">
        <v>30</v>
      </c>
      <c r="F369" s="1">
        <v>0.84950000000000003</v>
      </c>
      <c r="G369" s="1">
        <v>0.84408000000000005</v>
      </c>
      <c r="H369" s="1">
        <v>0.83147000000000004</v>
      </c>
      <c r="I369" s="1">
        <v>0.92601999999999995</v>
      </c>
      <c r="J369" s="1">
        <v>0.91329000000000005</v>
      </c>
      <c r="K369" s="1">
        <v>0.87822</v>
      </c>
      <c r="L369" s="1">
        <v>0.86809000000000003</v>
      </c>
      <c r="M369" s="1">
        <v>0.91483000000000003</v>
      </c>
      <c r="N369" s="1">
        <v>0.84408000000000005</v>
      </c>
      <c r="O369" s="1">
        <v>0.83147000000000004</v>
      </c>
      <c r="P369" s="1">
        <v>0.92601999999999995</v>
      </c>
      <c r="Q369" s="1">
        <v>0.91329000000000005</v>
      </c>
      <c r="R369" s="1">
        <v>0.87822</v>
      </c>
      <c r="S369" s="1">
        <v>0.86809000000000003</v>
      </c>
      <c r="T369" s="1">
        <v>0.91483000000000003</v>
      </c>
      <c r="U369" s="1">
        <v>0.84408000000000005</v>
      </c>
      <c r="V369" s="1">
        <v>0.83147000000000004</v>
      </c>
      <c r="W369" s="1">
        <v>0.92601999999999995</v>
      </c>
      <c r="X369" s="1">
        <v>0.91329000000000005</v>
      </c>
      <c r="Y369" s="1">
        <v>0.87822</v>
      </c>
      <c r="Z369" s="1">
        <v>0.86809000000000003</v>
      </c>
      <c r="AA369" s="1">
        <v>0.91483000000000003</v>
      </c>
      <c r="AB369" s="1">
        <v>0.84408000000000005</v>
      </c>
      <c r="AC369" s="1">
        <v>0.83147000000000004</v>
      </c>
      <c r="AD369" s="1">
        <v>0.92601999999999995</v>
      </c>
      <c r="AE369" s="1">
        <v>0.91329000000000005</v>
      </c>
      <c r="AF369" s="1">
        <v>0.87822</v>
      </c>
      <c r="AG369" s="1">
        <v>0.86809000000000003</v>
      </c>
      <c r="AH369" s="1">
        <v>0.91483000000000003</v>
      </c>
      <c r="AI369" s="1">
        <v>0.84408000000000005</v>
      </c>
      <c r="AL369" s="4" t="s">
        <v>23</v>
      </c>
      <c r="AM369" s="6" t="str" cm="1">
        <f t="array" ref="AM369">IFERROR((SUMPRODUCT(($A$358:$A$381=AM$356)*($F$355:$AI$355="")*$F$358:$AI$381)+IF(AM$356="P6",SUMPRODUCT(($F$355:$AI$355="P6")*$F$358:$AI$381),0))/(SUMPRODUCT(($A$358:$A$381=AM$356)*($F$355:$AI$355=""))+IF(AM$356="P6",COUNTIF($F$355:$AI$355,"P6")*ROWS($A$358:$A$381),0)),"")</f>
        <v/>
      </c>
      <c r="AN369" s="6" cm="1">
        <f t="array" ref="AN369">IFERROR((SUMPRODUCT(($A$358:$A$381=AN$356)*($F$355:$AI$355="")*$F$358:$AI$381)+IF(AN$356="P6",SUMPRODUCT(($F$355:$AI$355="P6")*$F$358:$AI$381),0))/(SUMPRODUCT(($A$358:$A$381=AN$356)*($F$355:$AI$355=""))+IF(AN$356="P6",COUNTIF($F$355:$AI$355,"P6")*ROWS($A$358:$A$381),0)),"")</f>
        <v>0.9636735449735454</v>
      </c>
      <c r="AO369" s="6" cm="1">
        <f t="array" ref="AO369">IFERROR((SUMPRODUCT(($A$358:$A$381=AO$356)*($F$355:$AI$355="")*$F$358:$AI$381)+IF(AO$356="P6",SUMPRODUCT(($F$355:$AI$355="P6")*$F$358:$AI$381),0))/(SUMPRODUCT(($A$358:$A$381=AO$356)*($F$355:$AI$355=""))+IF(AO$356="P6",COUNTIF($F$355:$AI$355,"P6")*ROWS($A$358:$A$381),0)),"")</f>
        <v>1.0309605442176872</v>
      </c>
      <c r="AP369" s="6" t="str" cm="1">
        <f t="array" ref="AP369">IFERROR((SUMPRODUCT(($A$358:$A$381=AP$356)*($F$355:$AI$355="")*$F$358:$AI$381)+IF(AP$356="P6",SUMPRODUCT(($F$355:$AI$355="P6")*$F$358:$AI$381),0))/(SUMPRODUCT(($A$358:$A$381=AP$356)*($F$355:$AI$355=""))+IF(AP$356="P6",COUNTIF($F$355:$AI$355,"P6")*ROWS($A$358:$A$381),0)),"")</f>
        <v/>
      </c>
      <c r="AQ369" s="6" t="str" cm="1">
        <f t="array" ref="AQ369">IFERROR((SUMPRODUCT(($A$358:$A$381=AQ$356)*($F$355:$AI$355="")*$F$358:$AI$381)+IF(AQ$356="P6",SUMPRODUCT(($F$355:$AI$355="P6")*$F$358:$AI$381),0))/(SUMPRODUCT(($A$358:$A$381=AQ$356)*($F$355:$AI$355=""))+IF(AQ$356="P6",COUNTIF($F$355:$AI$355,"P6")*ROWS($A$358:$A$381),0)),"")</f>
        <v/>
      </c>
      <c r="AR369" s="6" cm="1">
        <f t="array" ref="AR369">IFERROR((SUMPRODUCT(($A$358:$A$381=AR$356)*($F$355:$AI$355="")*$F$358:$AI$381)+IF(AR$356="P6",SUMPRODUCT(($F$355:$AI$355="P6")*$F$358:$AI$381),0))/(SUMPRODUCT(($A$358:$A$381=AR$356)*($F$355:$AI$355=""))+IF(AR$356="P6",COUNTIF($F$355:$AI$355,"P6")*ROWS($A$358:$A$381),0)),"")</f>
        <v>1.047857109375</v>
      </c>
    </row>
    <row r="370" spans="1:44" ht="14.25" customHeight="1" x14ac:dyDescent="0.35">
      <c r="A370" s="1" t="s">
        <v>14</v>
      </c>
      <c r="B370" s="1" t="s">
        <v>16</v>
      </c>
      <c r="C370" s="1" t="s">
        <v>13</v>
      </c>
      <c r="D370" s="1" t="s">
        <v>14</v>
      </c>
      <c r="E370" s="1" t="s">
        <v>31</v>
      </c>
      <c r="F370" s="1">
        <v>0.84735000000000005</v>
      </c>
      <c r="G370" s="1">
        <v>0.84406999999999999</v>
      </c>
      <c r="H370" s="1">
        <v>0.82767999999999997</v>
      </c>
      <c r="I370" s="1">
        <v>0.92935000000000001</v>
      </c>
      <c r="J370" s="1">
        <v>0.91496999999999995</v>
      </c>
      <c r="K370" s="1">
        <v>0.87475999999999998</v>
      </c>
      <c r="L370" s="1">
        <v>0.88871</v>
      </c>
      <c r="M370" s="1">
        <v>0.89895000000000003</v>
      </c>
      <c r="N370" s="1">
        <v>0.84406999999999999</v>
      </c>
      <c r="O370" s="1">
        <v>0.82767999999999997</v>
      </c>
      <c r="P370" s="1">
        <v>0.92935000000000001</v>
      </c>
      <c r="Q370" s="1">
        <v>0.91496999999999995</v>
      </c>
      <c r="R370" s="1">
        <v>0.87475999999999998</v>
      </c>
      <c r="S370" s="1">
        <v>0.88871</v>
      </c>
      <c r="T370" s="1">
        <v>0.89895000000000003</v>
      </c>
      <c r="U370" s="1">
        <v>0.84406999999999999</v>
      </c>
      <c r="V370" s="1">
        <v>0.82767999999999997</v>
      </c>
      <c r="W370" s="1">
        <v>0.92935000000000001</v>
      </c>
      <c r="X370" s="1">
        <v>0.91496999999999995</v>
      </c>
      <c r="Y370" s="1">
        <v>0.87475999999999998</v>
      </c>
      <c r="Z370" s="1">
        <v>0.88871</v>
      </c>
      <c r="AA370" s="1">
        <v>0.89895000000000003</v>
      </c>
      <c r="AB370" s="1">
        <v>0.84406999999999999</v>
      </c>
      <c r="AC370" s="1">
        <v>0.82767999999999997</v>
      </c>
      <c r="AD370" s="1">
        <v>0.92935000000000001</v>
      </c>
      <c r="AE370" s="1">
        <v>0.91496999999999995</v>
      </c>
      <c r="AF370" s="1">
        <v>0.87475999999999998</v>
      </c>
      <c r="AG370" s="1">
        <v>0.88871</v>
      </c>
      <c r="AH370" s="1">
        <v>0.89895000000000003</v>
      </c>
      <c r="AI370" s="1">
        <v>0.84406999999999999</v>
      </c>
      <c r="AL370" s="4" t="s">
        <v>25</v>
      </c>
      <c r="AM370" s="6" t="str" cm="1">
        <f t="array" ref="AM370">IFERROR((SUMPRODUCT(($A$358:$A$381=AM$356)*($F$355:$AI$355="")*$F$358:$AI$381)+IF(AM$356="P6",SUMPRODUCT(($F$355:$AI$355="P6")*$F$358:$AI$381),0))/(SUMPRODUCT(($A$358:$A$381=AM$356)*($F$355:$AI$355=""))+IF(AM$356="P6",COUNTIF($F$355:$AI$355,"P6")*ROWS($A$358:$A$381),0)),"")</f>
        <v/>
      </c>
      <c r="AN370" s="6" cm="1">
        <f t="array" ref="AN370">IFERROR((SUMPRODUCT(($A$358:$A$381=AN$356)*($F$355:$AI$355="")*$F$358:$AI$381)+IF(AN$356="P6",SUMPRODUCT(($F$355:$AI$355="P6")*$F$358:$AI$381),0))/(SUMPRODUCT(($A$358:$A$381=AN$356)*($F$355:$AI$355=""))+IF(AN$356="P6",COUNTIF($F$355:$AI$355,"P6")*ROWS($A$358:$A$381),0)),"")</f>
        <v>0.9636735449735454</v>
      </c>
      <c r="AO370" s="6" cm="1">
        <f t="array" ref="AO370">IFERROR((SUMPRODUCT(($A$358:$A$381=AO$356)*($F$355:$AI$355="")*$F$358:$AI$381)+IF(AO$356="P6",SUMPRODUCT(($F$355:$AI$355="P6")*$F$358:$AI$381),0))/(SUMPRODUCT(($A$358:$A$381=AO$356)*($F$355:$AI$355=""))+IF(AO$356="P6",COUNTIF($F$355:$AI$355,"P6")*ROWS($A$358:$A$381),0)),"")</f>
        <v>1.0309605442176872</v>
      </c>
      <c r="AP370" s="6" t="str" cm="1">
        <f t="array" ref="AP370">IFERROR((SUMPRODUCT(($A$358:$A$381=AP$356)*($F$355:$AI$355="")*$F$358:$AI$381)+IF(AP$356="P6",SUMPRODUCT(($F$355:$AI$355="P6")*$F$358:$AI$381),0))/(SUMPRODUCT(($A$358:$A$381=AP$356)*($F$355:$AI$355=""))+IF(AP$356="P6",COUNTIF($F$355:$AI$355,"P6")*ROWS($A$358:$A$381),0)),"")</f>
        <v/>
      </c>
      <c r="AQ370" s="6" t="str" cm="1">
        <f t="array" ref="AQ370">IFERROR((SUMPRODUCT(($A$358:$A$381=AQ$356)*($F$355:$AI$355="")*$F$358:$AI$381)+IF(AQ$356="P6",SUMPRODUCT(($F$355:$AI$355="P6")*$F$358:$AI$381),0))/(SUMPRODUCT(($A$358:$A$381=AQ$356)*($F$355:$AI$355=""))+IF(AQ$356="P6",COUNTIF($F$355:$AI$355,"P6")*ROWS($A$358:$A$381),0)),"")</f>
        <v/>
      </c>
      <c r="AR370" s="6" cm="1">
        <f t="array" ref="AR370">IFERROR((SUMPRODUCT(($A$358:$A$381=AR$356)*($F$355:$AI$355="")*$F$358:$AI$381)+IF(AR$356="P6",SUMPRODUCT(($F$355:$AI$355="P6")*$F$358:$AI$381),0))/(SUMPRODUCT(($A$358:$A$381=AR$356)*($F$355:$AI$355=""))+IF(AR$356="P6",COUNTIF($F$355:$AI$355,"P6")*ROWS($A$358:$A$381),0)),"")</f>
        <v>1.047857109375</v>
      </c>
    </row>
    <row r="371" spans="1:44" ht="14.25" customHeight="1" x14ac:dyDescent="0.35">
      <c r="A371" s="1" t="s">
        <v>14</v>
      </c>
      <c r="B371" s="1" t="s">
        <v>16</v>
      </c>
      <c r="C371" s="1" t="s">
        <v>13</v>
      </c>
      <c r="D371" s="1" t="s">
        <v>14</v>
      </c>
      <c r="E371" s="1" t="s">
        <v>32</v>
      </c>
      <c r="F371" s="1">
        <v>0.85136999999999996</v>
      </c>
      <c r="G371" s="1">
        <v>0.85033999999999998</v>
      </c>
      <c r="H371" s="1">
        <v>0.84340999999999999</v>
      </c>
      <c r="I371" s="1">
        <v>0.93444000000000005</v>
      </c>
      <c r="J371" s="1">
        <v>0.92188000000000003</v>
      </c>
      <c r="K371" s="1">
        <v>0.89273999999999998</v>
      </c>
      <c r="L371" s="1">
        <v>0.89197000000000004</v>
      </c>
      <c r="M371" s="1">
        <v>0.89041999999999999</v>
      </c>
      <c r="N371" s="1">
        <v>0.85033999999999998</v>
      </c>
      <c r="O371" s="1">
        <v>0.84340999999999999</v>
      </c>
      <c r="P371" s="1">
        <v>0.93444000000000005</v>
      </c>
      <c r="Q371" s="1">
        <v>0.92188000000000003</v>
      </c>
      <c r="R371" s="1">
        <v>0.89273999999999998</v>
      </c>
      <c r="S371" s="1">
        <v>0.89197000000000004</v>
      </c>
      <c r="T371" s="1">
        <v>0.89041999999999999</v>
      </c>
      <c r="U371" s="1">
        <v>0.85033999999999998</v>
      </c>
      <c r="V371" s="1">
        <v>0.84340999999999999</v>
      </c>
      <c r="W371" s="1">
        <v>0.93444000000000005</v>
      </c>
      <c r="X371" s="1">
        <v>0.92188000000000003</v>
      </c>
      <c r="Y371" s="1">
        <v>0.89273999999999998</v>
      </c>
      <c r="Z371" s="1">
        <v>0.89197000000000004</v>
      </c>
      <c r="AA371" s="1">
        <v>0.89041999999999999</v>
      </c>
      <c r="AB371" s="1">
        <v>0.85033999999999998</v>
      </c>
      <c r="AC371" s="1">
        <v>0.84340999999999999</v>
      </c>
      <c r="AD371" s="1">
        <v>0.93444000000000005</v>
      </c>
      <c r="AE371" s="1">
        <v>0.92188000000000003</v>
      </c>
      <c r="AF371" s="1">
        <v>0.89273999999999998</v>
      </c>
      <c r="AG371" s="1">
        <v>0.89197000000000004</v>
      </c>
      <c r="AH371" s="1">
        <v>0.89041999999999999</v>
      </c>
      <c r="AI371" s="1">
        <v>0.85033999999999998</v>
      </c>
      <c r="AL371" s="4" t="s">
        <v>27</v>
      </c>
      <c r="AM371" s="6" t="str" cm="1">
        <f t="array" ref="AM371">IFERROR((SUMPRODUCT(($A$358:$A$381=AM$356)*($F$355:$AI$355="")*$F$358:$AI$381)+IF(AM$356="P6",SUMPRODUCT(($F$355:$AI$355="P6")*$F$358:$AI$381),0))/(SUMPRODUCT(($A$358:$A$381=AM$356)*($F$355:$AI$355=""))+IF(AM$356="P6",COUNTIF($F$355:$AI$355,"P6")*ROWS($A$358:$A$381),0)),"")</f>
        <v/>
      </c>
      <c r="AN371" s="6" cm="1">
        <f t="array" ref="AN371">IFERROR((SUMPRODUCT(($A$358:$A$381=AN$356)*($F$355:$AI$355="")*$F$358:$AI$381)+IF(AN$356="P6",SUMPRODUCT(($F$355:$AI$355="P6")*$F$358:$AI$381),0))/(SUMPRODUCT(($A$358:$A$381=AN$356)*($F$355:$AI$355=""))+IF(AN$356="P6",COUNTIF($F$355:$AI$355,"P6")*ROWS($A$358:$A$381),0)),"")</f>
        <v>0.9636735449735454</v>
      </c>
      <c r="AO371" s="6" cm="1">
        <f t="array" ref="AO371">IFERROR((SUMPRODUCT(($A$358:$A$381=AO$356)*($F$355:$AI$355="")*$F$358:$AI$381)+IF(AO$356="P6",SUMPRODUCT(($F$355:$AI$355="P6")*$F$358:$AI$381),0))/(SUMPRODUCT(($A$358:$A$381=AO$356)*($F$355:$AI$355=""))+IF(AO$356="P6",COUNTIF($F$355:$AI$355,"P6")*ROWS($A$358:$A$381),0)),"")</f>
        <v>1.0309605442176872</v>
      </c>
      <c r="AP371" s="6" t="str" cm="1">
        <f t="array" ref="AP371">IFERROR((SUMPRODUCT(($A$358:$A$381=AP$356)*($F$355:$AI$355="")*$F$358:$AI$381)+IF(AP$356="P6",SUMPRODUCT(($F$355:$AI$355="P6")*$F$358:$AI$381),0))/(SUMPRODUCT(($A$358:$A$381=AP$356)*($F$355:$AI$355=""))+IF(AP$356="P6",COUNTIF($F$355:$AI$355,"P6")*ROWS($A$358:$A$381),0)),"")</f>
        <v/>
      </c>
      <c r="AQ371" s="6" t="str" cm="1">
        <f t="array" ref="AQ371">IFERROR((SUMPRODUCT(($A$358:$A$381=AQ$356)*($F$355:$AI$355="")*$F$358:$AI$381)+IF(AQ$356="P6",SUMPRODUCT(($F$355:$AI$355="P6")*$F$358:$AI$381),0))/(SUMPRODUCT(($A$358:$A$381=AQ$356)*($F$355:$AI$355=""))+IF(AQ$356="P6",COUNTIF($F$355:$AI$355,"P6")*ROWS($A$358:$A$381),0)),"")</f>
        <v/>
      </c>
      <c r="AR371" s="6" cm="1">
        <f t="array" ref="AR371">IFERROR((SUMPRODUCT(($A$358:$A$381=AR$356)*($F$355:$AI$355="")*$F$358:$AI$381)+IF(AR$356="P6",SUMPRODUCT(($F$355:$AI$355="P6")*$F$358:$AI$381),0))/(SUMPRODUCT(($A$358:$A$381=AR$356)*($F$355:$AI$355=""))+IF(AR$356="P6",COUNTIF($F$355:$AI$355,"P6")*ROWS($A$358:$A$381),0)),"")</f>
        <v>1.047857109375</v>
      </c>
    </row>
    <row r="372" spans="1:44" ht="14.25" customHeight="1" x14ac:dyDescent="0.35">
      <c r="A372" s="1" t="s">
        <v>14</v>
      </c>
      <c r="B372" s="1" t="s">
        <v>16</v>
      </c>
      <c r="C372" s="1" t="s">
        <v>14</v>
      </c>
      <c r="D372" s="1" t="s">
        <v>15</v>
      </c>
      <c r="E372" s="1" t="s">
        <v>33</v>
      </c>
      <c r="F372" s="1">
        <v>0.85409000000000002</v>
      </c>
      <c r="G372" s="1">
        <v>0.89114000000000004</v>
      </c>
      <c r="H372" s="1">
        <v>0.89878000000000002</v>
      </c>
      <c r="I372" s="1">
        <v>0.98563000000000001</v>
      </c>
      <c r="J372" s="1">
        <v>0.95921000000000001</v>
      </c>
      <c r="K372" s="1">
        <v>0.9456</v>
      </c>
      <c r="L372" s="1">
        <v>0.92261000000000004</v>
      </c>
      <c r="M372" s="1">
        <v>0.90388999999999997</v>
      </c>
      <c r="N372" s="1">
        <v>0.89114000000000004</v>
      </c>
      <c r="O372" s="1">
        <v>0.89878000000000002</v>
      </c>
      <c r="P372" s="1">
        <v>0.98563000000000001</v>
      </c>
      <c r="Q372" s="1">
        <v>0.95921000000000001</v>
      </c>
      <c r="R372" s="1">
        <v>0.9456</v>
      </c>
      <c r="S372" s="1">
        <v>0.92261000000000004</v>
      </c>
      <c r="T372" s="1">
        <v>0.90388999999999997</v>
      </c>
      <c r="U372" s="1">
        <v>0.89114000000000004</v>
      </c>
      <c r="V372" s="1">
        <v>0.89878000000000002</v>
      </c>
      <c r="W372" s="1">
        <v>0.98563000000000001</v>
      </c>
      <c r="X372" s="1">
        <v>0.95921000000000001</v>
      </c>
      <c r="Y372" s="1">
        <v>0.9456</v>
      </c>
      <c r="Z372" s="1">
        <v>0.92261000000000004</v>
      </c>
      <c r="AA372" s="1">
        <v>0.90388999999999997</v>
      </c>
      <c r="AB372" s="1">
        <v>0.89114000000000004</v>
      </c>
      <c r="AC372" s="1">
        <v>0.89878000000000002</v>
      </c>
      <c r="AD372" s="1">
        <v>0.98563000000000001</v>
      </c>
      <c r="AE372" s="1">
        <v>0.95921000000000001</v>
      </c>
      <c r="AF372" s="1">
        <v>0.9456</v>
      </c>
      <c r="AG372" s="1">
        <v>0.92261000000000004</v>
      </c>
      <c r="AH372" s="1">
        <v>0.90388999999999997</v>
      </c>
      <c r="AI372" s="1">
        <v>0.89114000000000004</v>
      </c>
      <c r="AL372" s="4" t="s">
        <v>29</v>
      </c>
      <c r="AM372" s="6" t="str" cm="1">
        <f t="array" ref="AM372">IFERROR((SUMPRODUCT(($A$358:$A$381=AM$356)*($F$355:$AI$355="")*$F$358:$AI$381)+IF(AM$356="P6",SUMPRODUCT(($F$355:$AI$355="P6")*$F$358:$AI$381),0))/(SUMPRODUCT(($A$358:$A$381=AM$356)*($F$355:$AI$355=""))+IF(AM$356="P6",COUNTIF($F$355:$AI$355,"P6")*ROWS($A$358:$A$381),0)),"")</f>
        <v/>
      </c>
      <c r="AN372" s="6" cm="1">
        <f t="array" ref="AN372">IFERROR((SUMPRODUCT(($A$358:$A$381=AN$356)*($F$355:$AI$355="")*$F$358:$AI$381)+IF(AN$356="P6",SUMPRODUCT(($F$355:$AI$355="P6")*$F$358:$AI$381),0))/(SUMPRODUCT(($A$358:$A$381=AN$356)*($F$355:$AI$355=""))+IF(AN$356="P6",COUNTIF($F$355:$AI$355,"P6")*ROWS($A$358:$A$381),0)),"")</f>
        <v>0.9636735449735454</v>
      </c>
      <c r="AO372" s="6" cm="1">
        <f t="array" ref="AO372">IFERROR((SUMPRODUCT(($A$358:$A$381=AO$356)*($F$355:$AI$355="")*$F$358:$AI$381)+IF(AO$356="P6",SUMPRODUCT(($F$355:$AI$355="P6")*$F$358:$AI$381),0))/(SUMPRODUCT(($A$358:$A$381=AO$356)*($F$355:$AI$355=""))+IF(AO$356="P6",COUNTIF($F$355:$AI$355,"P6")*ROWS($A$358:$A$381),0)),"")</f>
        <v>1.0309605442176872</v>
      </c>
      <c r="AP372" s="6" t="str" cm="1">
        <f t="array" ref="AP372">IFERROR((SUMPRODUCT(($A$358:$A$381=AP$356)*($F$355:$AI$355="")*$F$358:$AI$381)+IF(AP$356="P6",SUMPRODUCT(($F$355:$AI$355="P6")*$F$358:$AI$381),0))/(SUMPRODUCT(($A$358:$A$381=AP$356)*($F$355:$AI$355=""))+IF(AP$356="P6",COUNTIF($F$355:$AI$355,"P6")*ROWS($A$358:$A$381),0)),"")</f>
        <v/>
      </c>
      <c r="AQ372" s="6" t="str" cm="1">
        <f t="array" ref="AQ372">IFERROR((SUMPRODUCT(($A$358:$A$381=AQ$356)*($F$355:$AI$355="")*$F$358:$AI$381)+IF(AQ$356="P6",SUMPRODUCT(($F$355:$AI$355="P6")*$F$358:$AI$381),0))/(SUMPRODUCT(($A$358:$A$381=AQ$356)*($F$355:$AI$355=""))+IF(AQ$356="P6",COUNTIF($F$355:$AI$355,"P6")*ROWS($A$358:$A$381),0)),"")</f>
        <v/>
      </c>
      <c r="AR372" s="6" cm="1">
        <f t="array" ref="AR372">IFERROR((SUMPRODUCT(($A$358:$A$381=AR$356)*($F$355:$AI$355="")*$F$358:$AI$381)+IF(AR$356="P6",SUMPRODUCT(($F$355:$AI$355="P6")*$F$358:$AI$381),0))/(SUMPRODUCT(($A$358:$A$381=AR$356)*($F$355:$AI$355=""))+IF(AR$356="P6",COUNTIF($F$355:$AI$355,"P6")*ROWS($A$358:$A$381),0)),"")</f>
        <v>1.047857109375</v>
      </c>
    </row>
    <row r="373" spans="1:44" ht="14.25" customHeight="1" x14ac:dyDescent="0.35">
      <c r="A373" s="1" t="s">
        <v>15</v>
      </c>
      <c r="B373" s="1" t="s">
        <v>17</v>
      </c>
      <c r="C373" s="1" t="s">
        <v>14</v>
      </c>
      <c r="D373" s="1" t="s">
        <v>15</v>
      </c>
      <c r="E373" s="1" t="s">
        <v>34</v>
      </c>
      <c r="F373" s="1">
        <v>0.91022999999999998</v>
      </c>
      <c r="G373" s="1">
        <v>0.93335000000000001</v>
      </c>
      <c r="H373" s="1">
        <v>0.93535000000000001</v>
      </c>
      <c r="I373" s="1">
        <v>1.0207999999999999</v>
      </c>
      <c r="J373" s="1">
        <v>0.99560999999999999</v>
      </c>
      <c r="K373" s="1">
        <v>0.97650000000000003</v>
      </c>
      <c r="L373" s="1">
        <v>0.96238000000000001</v>
      </c>
      <c r="M373" s="1">
        <v>0.95655999999999997</v>
      </c>
      <c r="N373" s="1">
        <v>0.93335000000000001</v>
      </c>
      <c r="O373" s="1">
        <v>0.93535000000000001</v>
      </c>
      <c r="P373" s="1">
        <v>1.0207999999999999</v>
      </c>
      <c r="Q373" s="1">
        <v>0.99560999999999999</v>
      </c>
      <c r="R373" s="1">
        <v>0.97650000000000003</v>
      </c>
      <c r="S373" s="1">
        <v>0.96238000000000001</v>
      </c>
      <c r="T373" s="1">
        <v>0.95655999999999997</v>
      </c>
      <c r="U373" s="1">
        <v>0.93335000000000001</v>
      </c>
      <c r="V373" s="1">
        <v>0.93535000000000001</v>
      </c>
      <c r="W373" s="1">
        <v>1.0207999999999999</v>
      </c>
      <c r="X373" s="1">
        <v>0.99560999999999999</v>
      </c>
      <c r="Y373" s="1">
        <v>0.97650000000000003</v>
      </c>
      <c r="Z373" s="1">
        <v>0.96238000000000001</v>
      </c>
      <c r="AA373" s="1">
        <v>0.95655999999999997</v>
      </c>
      <c r="AB373" s="1">
        <v>0.93335000000000001</v>
      </c>
      <c r="AC373" s="1">
        <v>0.93535000000000001</v>
      </c>
      <c r="AD373" s="1">
        <v>1.0207999999999999</v>
      </c>
      <c r="AE373" s="1">
        <v>0.99560999999999999</v>
      </c>
      <c r="AF373" s="1">
        <v>0.97650000000000003</v>
      </c>
      <c r="AG373" s="1">
        <v>0.96238000000000001</v>
      </c>
      <c r="AH373" s="1">
        <v>0.95655999999999997</v>
      </c>
      <c r="AI373" s="1">
        <v>0.93335000000000001</v>
      </c>
      <c r="AL373" s="10"/>
      <c r="AM373" s="10"/>
      <c r="AN373" s="10"/>
      <c r="AO373" s="10"/>
      <c r="AP373" s="10"/>
      <c r="AQ373" s="10"/>
      <c r="AR373" s="10"/>
    </row>
    <row r="374" spans="1:44" ht="14.25" customHeight="1" x14ac:dyDescent="0.35">
      <c r="A374" s="1" t="s">
        <v>15</v>
      </c>
      <c r="B374" s="1" t="s">
        <v>17</v>
      </c>
      <c r="C374" s="1" t="s">
        <v>14</v>
      </c>
      <c r="D374" s="1" t="s">
        <v>15</v>
      </c>
      <c r="E374" s="1" t="s">
        <v>35</v>
      </c>
      <c r="F374" s="1">
        <v>0.96201000000000003</v>
      </c>
      <c r="G374" s="1">
        <v>0.94162999999999997</v>
      </c>
      <c r="H374" s="1">
        <v>0.96540000000000004</v>
      </c>
      <c r="I374" s="1">
        <v>1.0109300000000001</v>
      </c>
      <c r="J374" s="1">
        <v>1.00814</v>
      </c>
      <c r="K374" s="1">
        <v>0.99736999999999998</v>
      </c>
      <c r="L374" s="1">
        <v>0.97197999999999996</v>
      </c>
      <c r="M374" s="1">
        <v>0.99534</v>
      </c>
      <c r="N374" s="1">
        <v>0.94162999999999997</v>
      </c>
      <c r="O374" s="1">
        <v>0.96540000000000004</v>
      </c>
      <c r="P374" s="1">
        <v>1.0109300000000001</v>
      </c>
      <c r="Q374" s="1">
        <v>1.00814</v>
      </c>
      <c r="R374" s="1">
        <v>0.99736999999999998</v>
      </c>
      <c r="S374" s="1">
        <v>0.97197999999999996</v>
      </c>
      <c r="T374" s="1">
        <v>0.99534</v>
      </c>
      <c r="U374" s="1">
        <v>0.94162999999999997</v>
      </c>
      <c r="V374" s="1">
        <v>0.96540000000000004</v>
      </c>
      <c r="W374" s="1">
        <v>1.0109300000000001</v>
      </c>
      <c r="X374" s="1">
        <v>1.00814</v>
      </c>
      <c r="Y374" s="1">
        <v>0.99736999999999998</v>
      </c>
      <c r="Z374" s="1">
        <v>0.97197999999999996</v>
      </c>
      <c r="AA374" s="1">
        <v>0.99534</v>
      </c>
      <c r="AB374" s="1">
        <v>0.94162999999999997</v>
      </c>
      <c r="AC374" s="1">
        <v>0.96540000000000004</v>
      </c>
      <c r="AD374" s="1">
        <v>1.0109300000000001</v>
      </c>
      <c r="AE374" s="1">
        <v>1.00814</v>
      </c>
      <c r="AF374" s="1">
        <v>0.99736999999999998</v>
      </c>
      <c r="AG374" s="1">
        <v>0.97197999999999996</v>
      </c>
      <c r="AH374" s="1">
        <v>0.99534</v>
      </c>
      <c r="AI374" s="1">
        <v>0.94162999999999997</v>
      </c>
      <c r="AL374" s="10"/>
      <c r="AM374" s="10"/>
      <c r="AN374" s="10"/>
      <c r="AO374" s="10"/>
      <c r="AP374" s="10"/>
      <c r="AQ374" s="10"/>
      <c r="AR374" s="10"/>
    </row>
    <row r="375" spans="1:44" ht="14.25" customHeight="1" x14ac:dyDescent="0.35">
      <c r="A375" s="1" t="s">
        <v>15</v>
      </c>
      <c r="B375" s="1" t="s">
        <v>17</v>
      </c>
      <c r="C375" s="1" t="s">
        <v>14</v>
      </c>
      <c r="D375" s="1" t="s">
        <v>15</v>
      </c>
      <c r="E375" s="1" t="s">
        <v>36</v>
      </c>
      <c r="F375" s="1">
        <v>1.0225599999999999</v>
      </c>
      <c r="G375" s="1">
        <v>0.97884000000000004</v>
      </c>
      <c r="H375" s="1">
        <v>1.0105</v>
      </c>
      <c r="I375" s="1">
        <v>1.0293399999999999</v>
      </c>
      <c r="J375" s="1">
        <v>1.03931</v>
      </c>
      <c r="K375" s="1">
        <v>1.0195000000000001</v>
      </c>
      <c r="L375" s="1">
        <v>0.99033000000000004</v>
      </c>
      <c r="M375" s="1">
        <v>1.022</v>
      </c>
      <c r="N375" s="1">
        <v>0.97884000000000004</v>
      </c>
      <c r="O375" s="1">
        <v>1.0105</v>
      </c>
      <c r="P375" s="1">
        <v>1.0293399999999999</v>
      </c>
      <c r="Q375" s="1">
        <v>1.03931</v>
      </c>
      <c r="R375" s="1">
        <v>1.0195000000000001</v>
      </c>
      <c r="S375" s="1">
        <v>0.99033000000000004</v>
      </c>
      <c r="T375" s="1">
        <v>1.022</v>
      </c>
      <c r="U375" s="1">
        <v>0.97884000000000004</v>
      </c>
      <c r="V375" s="1">
        <v>1.0105</v>
      </c>
      <c r="W375" s="1">
        <v>1.0293399999999999</v>
      </c>
      <c r="X375" s="1">
        <v>1.03931</v>
      </c>
      <c r="Y375" s="1">
        <v>1.0195000000000001</v>
      </c>
      <c r="Z375" s="1">
        <v>0.99033000000000004</v>
      </c>
      <c r="AA375" s="1">
        <v>1.022</v>
      </c>
      <c r="AB375" s="1">
        <v>0.97884000000000004</v>
      </c>
      <c r="AC375" s="1">
        <v>1.0105</v>
      </c>
      <c r="AD375" s="1">
        <v>1.0293399999999999</v>
      </c>
      <c r="AE375" s="1">
        <v>1.03931</v>
      </c>
      <c r="AF375" s="1">
        <v>1.0195000000000001</v>
      </c>
      <c r="AG375" s="1">
        <v>0.99033000000000004</v>
      </c>
      <c r="AH375" s="1">
        <v>1.022</v>
      </c>
      <c r="AI375" s="1">
        <v>0.97884000000000004</v>
      </c>
      <c r="AL375" s="14" t="s">
        <v>148</v>
      </c>
      <c r="AM375" s="14"/>
      <c r="AN375" s="14"/>
      <c r="AO375" s="14"/>
      <c r="AP375" s="14"/>
      <c r="AQ375" s="14"/>
      <c r="AR375" s="14"/>
    </row>
    <row r="376" spans="1:44" ht="14.25" customHeight="1" x14ac:dyDescent="0.35">
      <c r="A376" s="1" t="s">
        <v>14</v>
      </c>
      <c r="B376" s="1" t="s">
        <v>16</v>
      </c>
      <c r="C376" s="1" t="s">
        <v>13</v>
      </c>
      <c r="D376" s="1" t="s">
        <v>14</v>
      </c>
      <c r="E376" s="1" t="s">
        <v>37</v>
      </c>
      <c r="F376" s="1">
        <v>1.0189600000000001</v>
      </c>
      <c r="G376" s="1">
        <v>0.98912999999999995</v>
      </c>
      <c r="H376" s="1">
        <v>1.01105</v>
      </c>
      <c r="I376" s="1">
        <v>1.02369</v>
      </c>
      <c r="J376" s="1">
        <v>1.0397099999999999</v>
      </c>
      <c r="K376" s="1">
        <v>1.01549</v>
      </c>
      <c r="L376" s="1">
        <v>1.0000500000000001</v>
      </c>
      <c r="M376" s="1">
        <v>1.0113799999999999</v>
      </c>
      <c r="N376" s="1">
        <v>0.98912999999999995</v>
      </c>
      <c r="O376" s="1">
        <v>1.01105</v>
      </c>
      <c r="P376" s="1">
        <v>1.02369</v>
      </c>
      <c r="Q376" s="1">
        <v>1.0397099999999999</v>
      </c>
      <c r="R376" s="1">
        <v>1.01549</v>
      </c>
      <c r="S376" s="1">
        <v>1.0000500000000001</v>
      </c>
      <c r="T376" s="1">
        <v>1.0113799999999999</v>
      </c>
      <c r="U376" s="1">
        <v>0.98912999999999995</v>
      </c>
      <c r="V376" s="1">
        <v>1.01105</v>
      </c>
      <c r="W376" s="1">
        <v>1.02369</v>
      </c>
      <c r="X376" s="1">
        <v>1.0397099999999999</v>
      </c>
      <c r="Y376" s="1">
        <v>1.01549</v>
      </c>
      <c r="Z376" s="1">
        <v>1.0000500000000001</v>
      </c>
      <c r="AA376" s="1">
        <v>1.0113799999999999</v>
      </c>
      <c r="AB376" s="1">
        <v>0.98912999999999995</v>
      </c>
      <c r="AC376" s="1">
        <v>1.01105</v>
      </c>
      <c r="AD376" s="1">
        <v>1.02369</v>
      </c>
      <c r="AE376" s="1">
        <v>1.0397099999999999</v>
      </c>
      <c r="AF376" s="1">
        <v>1.01549</v>
      </c>
      <c r="AG376" s="1">
        <v>1.0000500000000001</v>
      </c>
      <c r="AH376" s="1">
        <v>1.0113799999999999</v>
      </c>
      <c r="AI376" s="1">
        <v>0.98912999999999995</v>
      </c>
      <c r="AL376" s="4"/>
      <c r="AM376" s="4" t="s">
        <v>13</v>
      </c>
      <c r="AN376" s="4" t="s">
        <v>14</v>
      </c>
      <c r="AO376" s="4" t="s">
        <v>15</v>
      </c>
      <c r="AP376" s="4" t="s">
        <v>16</v>
      </c>
      <c r="AQ376" s="4" t="s">
        <v>17</v>
      </c>
      <c r="AR376" s="4" t="s">
        <v>7</v>
      </c>
    </row>
    <row r="377" spans="1:44" ht="14.25" customHeight="1" x14ac:dyDescent="0.35">
      <c r="A377" s="1" t="s">
        <v>14</v>
      </c>
      <c r="B377" s="1" t="s">
        <v>16</v>
      </c>
      <c r="C377" s="1" t="s">
        <v>13</v>
      </c>
      <c r="D377" s="1" t="s">
        <v>14</v>
      </c>
      <c r="E377" s="1" t="s">
        <v>38</v>
      </c>
      <c r="F377" s="1">
        <v>1.02579</v>
      </c>
      <c r="G377" s="1">
        <v>1.01698</v>
      </c>
      <c r="H377" s="1">
        <v>1.03729</v>
      </c>
      <c r="I377" s="1">
        <v>1.05149</v>
      </c>
      <c r="J377" s="1">
        <v>1.0659000000000001</v>
      </c>
      <c r="K377" s="1">
        <v>1.04379</v>
      </c>
      <c r="L377" s="1">
        <v>1.0184899999999999</v>
      </c>
      <c r="M377" s="1">
        <v>1.0445199999999999</v>
      </c>
      <c r="N377" s="1">
        <v>1.01698</v>
      </c>
      <c r="O377" s="1">
        <v>1.03729</v>
      </c>
      <c r="P377" s="1">
        <v>1.05149</v>
      </c>
      <c r="Q377" s="1">
        <v>1.0659000000000001</v>
      </c>
      <c r="R377" s="1">
        <v>1.04379</v>
      </c>
      <c r="S377" s="1">
        <v>1.0184899999999999</v>
      </c>
      <c r="T377" s="1">
        <v>1.0445199999999999</v>
      </c>
      <c r="U377" s="1">
        <v>1.01698</v>
      </c>
      <c r="V377" s="1">
        <v>1.03729</v>
      </c>
      <c r="W377" s="1">
        <v>1.05149</v>
      </c>
      <c r="X377" s="1">
        <v>1.0659000000000001</v>
      </c>
      <c r="Y377" s="1">
        <v>1.04379</v>
      </c>
      <c r="Z377" s="1">
        <v>1.0184899999999999</v>
      </c>
      <c r="AA377" s="1">
        <v>1.0445199999999999</v>
      </c>
      <c r="AB377" s="1">
        <v>1.01698</v>
      </c>
      <c r="AC377" s="1">
        <v>1.03729</v>
      </c>
      <c r="AD377" s="1">
        <v>1.05149</v>
      </c>
      <c r="AE377" s="1">
        <v>1.0659000000000001</v>
      </c>
      <c r="AF377" s="1">
        <v>1.04379</v>
      </c>
      <c r="AG377" s="1">
        <v>1.0184899999999999</v>
      </c>
      <c r="AH377" s="1">
        <v>1.0445199999999999</v>
      </c>
      <c r="AI377" s="1">
        <v>1.01698</v>
      </c>
      <c r="AL377" s="4" t="s">
        <v>19</v>
      </c>
      <c r="AM377" s="6" cm="1">
        <f t="array" ref="AM377">IFERROR((SUMPRODUCT(($C$358:$C$381=AM$356)*($F$354:$AI$354="")*$F$358:$AI$381)+IF(AM$356="P3",SUMPRODUCT(($F$354:$AI$354="P3")*$F$358:$AI$381),0))/(SUMPRODUCT(($C$358:$C$381=AM$356)*($F$354:$AI$354=""))+IF(AM$356="P3",COUNTIF($F$354:$AI$354,"P3")*ROWS($C$358:$C$381),0)),"")</f>
        <v>0.96739119047619104</v>
      </c>
      <c r="AN377" s="6" cm="1">
        <f t="array" ref="AN377">IFERROR((SUMPRODUCT(($C$358:$C$381=AN$356)*($F$354:$AI$354="")*$F$358:$AI$381)+IF(AN$356="P3",SUMPRODUCT(($F$354:$AI$354="P3")*$F$358:$AI$381),0))/(SUMPRODUCT(($C$358:$C$381=AN$356)*($F$354:$AI$354=""))+IF(AN$356="P3",COUNTIF($F$354:$AI$354,"P3")*ROWS($C$358:$C$381),0)),"")</f>
        <v>1.0188320238095245</v>
      </c>
      <c r="AO377" s="6" cm="1">
        <f t="array" ref="AO377">IFERROR((SUMPRODUCT(($C$358:$C$381=AO$356)*($F$354:$AI$354="")*$F$358:$AI$381)+IF(AO$356="P3",SUMPRODUCT(($F$354:$AI$354="P3")*$F$358:$AI$381),0))/(SUMPRODUCT(($C$358:$C$381=AO$356)*($F$354:$AI$354=""))+IF(AO$356="P3",COUNTIF($F$354:$AI$354,"P3")*ROWS($C$358:$C$381),0)),"")</f>
        <v>1.047857109375</v>
      </c>
      <c r="AP377" s="6" t="str" cm="1">
        <f t="array" ref="AP377">IFERROR((SUMPRODUCT(($C$358:$C$381=AP$356)*($F$354:$AI$354="")*$F$358:$AI$381)+IF(AP$356="P3",SUMPRODUCT(($F$354:$AI$354="P3")*$F$358:$AI$381),0))/(SUMPRODUCT(($C$358:$C$381=AP$356)*($F$354:$AI$354=""))+IF(AP$356="P3",COUNTIF($F$354:$AI$354,"P3")*ROWS($C$358:$C$381),0)),"")</f>
        <v/>
      </c>
      <c r="AQ377" s="6" t="str" cm="1">
        <f t="array" ref="AQ377">IFERROR((SUMPRODUCT(($C$358:$C$381=AQ$356)*($F$354:$AI$354="")*$F$358:$AI$381)+IF(AQ$356="P3",SUMPRODUCT(($F$354:$AI$354="P3")*$F$358:$AI$381),0))/(SUMPRODUCT(($C$358:$C$381=AQ$356)*($F$354:$AI$354=""))+IF(AQ$356="P3",COUNTIF($F$354:$AI$354,"P3")*ROWS($C$358:$C$381),0)),"")</f>
        <v/>
      </c>
      <c r="AR377" s="6" t="str" cm="1">
        <f t="array" ref="AR377">IFERROR((SUMPRODUCT(($C$358:$C$381=AR$356)*($F$354:$AI$354="")*$F$358:$AI$381)+IF(AR$356="P3",SUMPRODUCT(($F$354:$AI$354="P3")*$F$358:$AI$381),0))/(SUMPRODUCT(($C$358:$C$381=AR$356)*($F$354:$AI$354=""))+IF(AR$356="P3",COUNTIF($F$354:$AI$354,"P3")*ROWS($C$358:$C$381),0)),"")</f>
        <v/>
      </c>
    </row>
    <row r="378" spans="1:44" ht="14.25" customHeight="1" x14ac:dyDescent="0.35">
      <c r="A378" s="1" t="s">
        <v>14</v>
      </c>
      <c r="B378" s="1" t="s">
        <v>16</v>
      </c>
      <c r="C378" s="1" t="s">
        <v>13</v>
      </c>
      <c r="D378" s="1" t="s">
        <v>14</v>
      </c>
      <c r="E378" s="1" t="s">
        <v>39</v>
      </c>
      <c r="F378" s="1">
        <v>1.03254</v>
      </c>
      <c r="G378" s="1">
        <v>1.0402499999999999</v>
      </c>
      <c r="H378" s="1">
        <v>1.0630200000000001</v>
      </c>
      <c r="I378" s="1">
        <v>1.06833</v>
      </c>
      <c r="J378" s="1">
        <v>1.0924</v>
      </c>
      <c r="K378" s="1">
        <v>1.0789200000000001</v>
      </c>
      <c r="L378" s="1">
        <v>1.0240800000000001</v>
      </c>
      <c r="M378" s="1">
        <v>1.0357000000000001</v>
      </c>
      <c r="N378" s="1">
        <v>1.0402499999999999</v>
      </c>
      <c r="O378" s="1">
        <v>1.0630200000000001</v>
      </c>
      <c r="P378" s="1">
        <v>1.06833</v>
      </c>
      <c r="Q378" s="1">
        <v>1.0924</v>
      </c>
      <c r="R378" s="1">
        <v>1.0789200000000001</v>
      </c>
      <c r="S378" s="1">
        <v>1.0240800000000001</v>
      </c>
      <c r="T378" s="1">
        <v>1.0357000000000001</v>
      </c>
      <c r="U378" s="1">
        <v>1.0402499999999999</v>
      </c>
      <c r="V378" s="1">
        <v>1.0630200000000001</v>
      </c>
      <c r="W378" s="1">
        <v>1.06833</v>
      </c>
      <c r="X378" s="1">
        <v>1.0924</v>
      </c>
      <c r="Y378" s="1">
        <v>1.0789200000000001</v>
      </c>
      <c r="Z378" s="1">
        <v>1.0240800000000001</v>
      </c>
      <c r="AA378" s="1">
        <v>1.0357000000000001</v>
      </c>
      <c r="AB378" s="1">
        <v>1.0402499999999999</v>
      </c>
      <c r="AC378" s="1">
        <v>1.0630200000000001</v>
      </c>
      <c r="AD378" s="1">
        <v>1.06833</v>
      </c>
      <c r="AE378" s="1">
        <v>1.0924</v>
      </c>
      <c r="AF378" s="1">
        <v>1.0789200000000001</v>
      </c>
      <c r="AG378" s="1">
        <v>1.0240800000000001</v>
      </c>
      <c r="AH378" s="1">
        <v>1.0357000000000001</v>
      </c>
      <c r="AI378" s="1">
        <v>1.0402499999999999</v>
      </c>
      <c r="AL378" s="4" t="s">
        <v>21</v>
      </c>
      <c r="AM378" s="6" t="str" cm="1">
        <f t="array" ref="AM378">IFERROR((SUMPRODUCT(($B$358:$B$381=AM$356)*($F$355:$AI$355="")*$F$358:$AI$381)+IF(AM$356="P6",SUMPRODUCT(($F$355:$AI$355="P6")*$F$358:$AI$381),0))/(SUMPRODUCT(($B$358:$B$381=AM$356)*($F$355:$AI$355=""))+IF(AM$356="P6",COUNTIF($F$355:$AI$355,"P6")*ROWS($B$358:$B$381),0)),"")</f>
        <v/>
      </c>
      <c r="AN378" s="6" t="str" cm="1">
        <f t="array" ref="AN378">IFERROR((SUMPRODUCT(($B$358:$B$381=AN$356)*($F$355:$AI$355="")*$F$358:$AI$381)+IF(AN$356="P6",SUMPRODUCT(($F$355:$AI$355="P6")*$F$358:$AI$381),0))/(SUMPRODUCT(($B$358:$B$381=AN$356)*($F$355:$AI$355=""))+IF(AN$356="P6",COUNTIF($F$355:$AI$355,"P6")*ROWS($B$358:$B$381),0)),"")</f>
        <v/>
      </c>
      <c r="AO378" s="6" t="str" cm="1">
        <f t="array" ref="AO378">IFERROR((SUMPRODUCT(($B$358:$B$381=AO$356)*($F$355:$AI$355="")*$F$358:$AI$381)+IF(AO$356="P6",SUMPRODUCT(($F$355:$AI$355="P6")*$F$358:$AI$381),0))/(SUMPRODUCT(($B$358:$B$381=AO$356)*($F$355:$AI$355=""))+IF(AO$356="P6",COUNTIF($F$355:$AI$355,"P6")*ROWS($B$358:$B$381),0)),"")</f>
        <v/>
      </c>
      <c r="AP378" s="6" cm="1">
        <f t="array" ref="AP378">IFERROR((SUMPRODUCT(($B$358:$B$381=AP$356)*($F$355:$AI$355="")*$F$358:$AI$381)+IF(AP$356="P6",SUMPRODUCT(($F$355:$AI$355="P6")*$F$358:$AI$381),0))/(SUMPRODUCT(($B$358:$B$381=AP$356)*($F$355:$AI$355=""))+IF(AP$356="P6",COUNTIF($F$355:$AI$355,"P6")*ROWS($B$358:$B$381),0)),"")</f>
        <v>0.9636735449735454</v>
      </c>
      <c r="AQ378" s="6" cm="1">
        <f t="array" ref="AQ378">IFERROR((SUMPRODUCT(($B$358:$B$381=AQ$356)*($F$355:$AI$355="")*$F$358:$AI$381)+IF(AQ$356="P6",SUMPRODUCT(($F$355:$AI$355="P6")*$F$358:$AI$381),0))/(SUMPRODUCT(($B$358:$B$381=AQ$356)*($F$355:$AI$355=""))+IF(AQ$356="P6",COUNTIF($F$355:$AI$355,"P6")*ROWS($B$358:$B$381),0)),"")</f>
        <v>1.0309605442176872</v>
      </c>
      <c r="AR378" s="6" cm="1">
        <f t="array" ref="AR378">IFERROR((SUMPRODUCT(($B$358:$B$381=AR$356)*($F$355:$AI$355="")*$F$358:$AI$381)+IF(AR$356="P6",SUMPRODUCT(($F$355:$AI$355="P6")*$F$358:$AI$381),0))/(SUMPRODUCT(($B$358:$B$381=AR$356)*($F$355:$AI$355=""))+IF(AR$356="P6",COUNTIF($F$355:$AI$355,"P6")*ROWS($B$358:$B$381),0)),"")</f>
        <v>1.047857109375</v>
      </c>
    </row>
    <row r="379" spans="1:44" ht="14.25" customHeight="1" x14ac:dyDescent="0.35">
      <c r="A379" s="1" t="s">
        <v>14</v>
      </c>
      <c r="B379" s="1" t="s">
        <v>16</v>
      </c>
      <c r="C379" s="1" t="s">
        <v>13</v>
      </c>
      <c r="D379" s="1" t="s">
        <v>14</v>
      </c>
      <c r="E379" s="1" t="s">
        <v>40</v>
      </c>
      <c r="F379" s="1">
        <v>1.0365</v>
      </c>
      <c r="G379" s="1">
        <v>1.06246</v>
      </c>
      <c r="H379" s="1">
        <v>1.08484</v>
      </c>
      <c r="I379" s="1">
        <v>1.08674</v>
      </c>
      <c r="J379" s="1">
        <v>1.11294</v>
      </c>
      <c r="K379" s="1">
        <v>1.11188</v>
      </c>
      <c r="L379" s="1">
        <v>1.0359</v>
      </c>
      <c r="M379" s="1">
        <v>1.0266</v>
      </c>
      <c r="N379" s="1">
        <v>1.06246</v>
      </c>
      <c r="O379" s="1">
        <v>1.08484</v>
      </c>
      <c r="P379" s="1">
        <v>1.08674</v>
      </c>
      <c r="Q379" s="1">
        <v>1.11294</v>
      </c>
      <c r="R379" s="1">
        <v>1.11188</v>
      </c>
      <c r="S379" s="1">
        <v>1.0359</v>
      </c>
      <c r="T379" s="1">
        <v>1.0266</v>
      </c>
      <c r="U379" s="1">
        <v>1.06246</v>
      </c>
      <c r="V379" s="1">
        <v>1.08484</v>
      </c>
      <c r="W379" s="1">
        <v>1.08674</v>
      </c>
      <c r="X379" s="1">
        <v>1.11294</v>
      </c>
      <c r="Y379" s="1">
        <v>1.11188</v>
      </c>
      <c r="Z379" s="1">
        <v>1.0359</v>
      </c>
      <c r="AA379" s="1">
        <v>1.0266</v>
      </c>
      <c r="AB379" s="1">
        <v>1.06246</v>
      </c>
      <c r="AC379" s="1">
        <v>1.08484</v>
      </c>
      <c r="AD379" s="1">
        <v>1.08674</v>
      </c>
      <c r="AE379" s="1">
        <v>1.11294</v>
      </c>
      <c r="AF379" s="1">
        <v>1.11188</v>
      </c>
      <c r="AG379" s="1">
        <v>1.0359</v>
      </c>
      <c r="AH379" s="1">
        <v>1.0266</v>
      </c>
      <c r="AI379" s="1">
        <v>1.06246</v>
      </c>
      <c r="AL379" s="4" t="s">
        <v>23</v>
      </c>
      <c r="AM379" s="6" t="str" cm="1">
        <f t="array" ref="AM379">IFERROR((SUMPRODUCT(($B$358:$B$381=AM$356)*($F$355:$AI$355="")*$F$358:$AI$381)+IF(AM$356="P6",SUMPRODUCT(($F$355:$AI$355="P6")*$F$358:$AI$381),0))/(SUMPRODUCT(($B$358:$B$381=AM$356)*($F$355:$AI$355=""))+IF(AM$356="P6",COUNTIF($F$355:$AI$355,"P6")*ROWS($B$358:$B$381),0)),"")</f>
        <v/>
      </c>
      <c r="AN379" s="6" t="str" cm="1">
        <f t="array" ref="AN379">IFERROR((SUMPRODUCT(($B$358:$B$381=AN$356)*($F$355:$AI$355="")*$F$358:$AI$381)+IF(AN$356="P6",SUMPRODUCT(($F$355:$AI$355="P6")*$F$358:$AI$381),0))/(SUMPRODUCT(($B$358:$B$381=AN$356)*($F$355:$AI$355=""))+IF(AN$356="P6",COUNTIF($F$355:$AI$355,"P6")*ROWS($B$358:$B$381),0)),"")</f>
        <v/>
      </c>
      <c r="AO379" s="6" t="str" cm="1">
        <f t="array" ref="AO379">IFERROR((SUMPRODUCT(($B$358:$B$381=AO$356)*($F$355:$AI$355="")*$F$358:$AI$381)+IF(AO$356="P6",SUMPRODUCT(($F$355:$AI$355="P6")*$F$358:$AI$381),0))/(SUMPRODUCT(($B$358:$B$381=AO$356)*($F$355:$AI$355=""))+IF(AO$356="P6",COUNTIF($F$355:$AI$355,"P6")*ROWS($B$358:$B$381),0)),"")</f>
        <v/>
      </c>
      <c r="AP379" s="6" cm="1">
        <f t="array" ref="AP379">IFERROR((SUMPRODUCT(($B$358:$B$381=AP$356)*($F$355:$AI$355="")*$F$358:$AI$381)+IF(AP$356="P6",SUMPRODUCT(($F$355:$AI$355="P6")*$F$358:$AI$381),0))/(SUMPRODUCT(($B$358:$B$381=AP$356)*($F$355:$AI$355=""))+IF(AP$356="P6",COUNTIF($F$355:$AI$355,"P6")*ROWS($B$358:$B$381),0)),"")</f>
        <v>0.9636735449735454</v>
      </c>
      <c r="AQ379" s="6" cm="1">
        <f t="array" ref="AQ379">IFERROR((SUMPRODUCT(($B$358:$B$381=AQ$356)*($F$355:$AI$355="")*$F$358:$AI$381)+IF(AQ$356="P6",SUMPRODUCT(($F$355:$AI$355="P6")*$F$358:$AI$381),0))/(SUMPRODUCT(($B$358:$B$381=AQ$356)*($F$355:$AI$355=""))+IF(AQ$356="P6",COUNTIF($F$355:$AI$355,"P6")*ROWS($B$358:$B$381),0)),"")</f>
        <v>1.0309605442176872</v>
      </c>
      <c r="AR379" s="6" cm="1">
        <f t="array" ref="AR379">IFERROR((SUMPRODUCT(($B$358:$B$381=AR$356)*($F$355:$AI$355="")*$F$358:$AI$381)+IF(AR$356="P6",SUMPRODUCT(($F$355:$AI$355="P6")*$F$358:$AI$381),0))/(SUMPRODUCT(($B$358:$B$381=AR$356)*($F$355:$AI$355=""))+IF(AR$356="P6",COUNTIF($F$355:$AI$355,"P6")*ROWS($B$358:$B$381),0)),"")</f>
        <v>1.047857109375</v>
      </c>
    </row>
    <row r="380" spans="1:44" ht="14.25" customHeight="1" x14ac:dyDescent="0.35">
      <c r="A380" s="1" t="s">
        <v>15</v>
      </c>
      <c r="B380" s="1" t="s">
        <v>17</v>
      </c>
      <c r="C380" s="1" t="s">
        <v>14</v>
      </c>
      <c r="D380" s="1" t="s">
        <v>15</v>
      </c>
      <c r="E380" s="1" t="s">
        <v>41</v>
      </c>
      <c r="F380" s="1">
        <v>1.0561199999999999</v>
      </c>
      <c r="G380" s="1">
        <v>1.1298600000000001</v>
      </c>
      <c r="H380" s="1">
        <v>1.1495500000000001</v>
      </c>
      <c r="I380" s="1">
        <v>1.14937</v>
      </c>
      <c r="J380" s="1">
        <v>1.1641600000000001</v>
      </c>
      <c r="K380" s="1">
        <v>1.17743</v>
      </c>
      <c r="L380" s="1">
        <v>1.0392999999999999</v>
      </c>
      <c r="M380" s="1">
        <v>1.05067</v>
      </c>
      <c r="N380" s="1">
        <v>1.1298600000000001</v>
      </c>
      <c r="O380" s="1">
        <v>1.1495500000000001</v>
      </c>
      <c r="P380" s="1">
        <v>1.14937</v>
      </c>
      <c r="Q380" s="1">
        <v>1.1641600000000001</v>
      </c>
      <c r="R380" s="1">
        <v>1.17743</v>
      </c>
      <c r="S380" s="1">
        <v>1.0392999999999999</v>
      </c>
      <c r="T380" s="1">
        <v>1.05067</v>
      </c>
      <c r="U380" s="1">
        <v>1.1298600000000001</v>
      </c>
      <c r="V380" s="1">
        <v>1.1495500000000001</v>
      </c>
      <c r="W380" s="1">
        <v>1.14937</v>
      </c>
      <c r="X380" s="1">
        <v>1.1641600000000001</v>
      </c>
      <c r="Y380" s="1">
        <v>1.17743</v>
      </c>
      <c r="Z380" s="1">
        <v>1.0392999999999999</v>
      </c>
      <c r="AA380" s="1">
        <v>1.05067</v>
      </c>
      <c r="AB380" s="1">
        <v>1.1298600000000001</v>
      </c>
      <c r="AC380" s="1">
        <v>1.1495500000000001</v>
      </c>
      <c r="AD380" s="1">
        <v>1.14937</v>
      </c>
      <c r="AE380" s="1">
        <v>1.1641600000000001</v>
      </c>
      <c r="AF380" s="1">
        <v>1.17743</v>
      </c>
      <c r="AG380" s="1">
        <v>1.0392999999999999</v>
      </c>
      <c r="AH380" s="1">
        <v>1.05067</v>
      </c>
      <c r="AI380" s="1">
        <v>1.1298600000000001</v>
      </c>
      <c r="AL380" s="4" t="s">
        <v>25</v>
      </c>
      <c r="AM380" s="6" t="str" cm="1">
        <f t="array" ref="AM380">IFERROR((SUMPRODUCT(($B$358:$B$381=AM$356)*($F$355:$AI$355="")*$F$358:$AI$381)+IF(AM$356="P6",SUMPRODUCT(($F$355:$AI$355="P6")*$F$358:$AI$381),0))/(SUMPRODUCT(($B$358:$B$381=AM$356)*($F$355:$AI$355=""))+IF(AM$356="P6",COUNTIF($F$355:$AI$355,"P6")*ROWS($B$358:$B$381),0)),"")</f>
        <v/>
      </c>
      <c r="AN380" s="6" t="str" cm="1">
        <f t="array" ref="AN380">IFERROR((SUMPRODUCT(($B$358:$B$381=AN$356)*($F$355:$AI$355="")*$F$358:$AI$381)+IF(AN$356="P6",SUMPRODUCT(($F$355:$AI$355="P6")*$F$358:$AI$381),0))/(SUMPRODUCT(($B$358:$B$381=AN$356)*($F$355:$AI$355=""))+IF(AN$356="P6",COUNTIF($F$355:$AI$355,"P6")*ROWS($B$358:$B$381),0)),"")</f>
        <v/>
      </c>
      <c r="AO380" s="6" t="str" cm="1">
        <f t="array" ref="AO380">IFERROR((SUMPRODUCT(($B$358:$B$381=AO$356)*($F$355:$AI$355="")*$F$358:$AI$381)+IF(AO$356="P6",SUMPRODUCT(($F$355:$AI$355="P6")*$F$358:$AI$381),0))/(SUMPRODUCT(($B$358:$B$381=AO$356)*($F$355:$AI$355=""))+IF(AO$356="P6",COUNTIF($F$355:$AI$355,"P6")*ROWS($B$358:$B$381),0)),"")</f>
        <v/>
      </c>
      <c r="AP380" s="6" cm="1">
        <f t="array" ref="AP380">IFERROR((SUMPRODUCT(($B$358:$B$381=AP$356)*($F$355:$AI$355="")*$F$358:$AI$381)+IF(AP$356="P6",SUMPRODUCT(($F$355:$AI$355="P6")*$F$358:$AI$381),0))/(SUMPRODUCT(($B$358:$B$381=AP$356)*($F$355:$AI$355=""))+IF(AP$356="P6",COUNTIF($F$355:$AI$355,"P6")*ROWS($B$358:$B$381),0)),"")</f>
        <v>0.9636735449735454</v>
      </c>
      <c r="AQ380" s="6" cm="1">
        <f t="array" ref="AQ380">IFERROR((SUMPRODUCT(($B$358:$B$381=AQ$356)*($F$355:$AI$355="")*$F$358:$AI$381)+IF(AQ$356="P6",SUMPRODUCT(($F$355:$AI$355="P6")*$F$358:$AI$381),0))/(SUMPRODUCT(($B$358:$B$381=AQ$356)*($F$355:$AI$355=""))+IF(AQ$356="P6",COUNTIF($F$355:$AI$355,"P6")*ROWS($B$358:$B$381),0)),"")</f>
        <v>1.0309605442176872</v>
      </c>
      <c r="AR380" s="6" cm="1">
        <f t="array" ref="AR380">IFERROR((SUMPRODUCT(($B$358:$B$381=AR$356)*($F$355:$AI$355="")*$F$358:$AI$381)+IF(AR$356="P6",SUMPRODUCT(($F$355:$AI$355="P6")*$F$358:$AI$381),0))/(SUMPRODUCT(($B$358:$B$381=AR$356)*($F$355:$AI$355=""))+IF(AR$356="P6",COUNTIF($F$355:$AI$355,"P6")*ROWS($B$358:$B$381),0)),"")</f>
        <v>1.047857109375</v>
      </c>
    </row>
    <row r="381" spans="1:44" ht="14.25" customHeight="1" x14ac:dyDescent="0.35">
      <c r="A381" s="1" t="s">
        <v>15</v>
      </c>
      <c r="B381" s="1" t="s">
        <v>17</v>
      </c>
      <c r="C381" s="1" t="s">
        <v>14</v>
      </c>
      <c r="D381" s="1" t="s">
        <v>15</v>
      </c>
      <c r="E381" s="1" t="s">
        <v>42</v>
      </c>
      <c r="F381" s="1">
        <v>1.08809</v>
      </c>
      <c r="G381" s="1">
        <v>1.17069</v>
      </c>
      <c r="H381" s="1">
        <v>1.1906600000000001</v>
      </c>
      <c r="I381" s="1">
        <v>1.19767</v>
      </c>
      <c r="J381" s="1">
        <v>1.1930799999999999</v>
      </c>
      <c r="K381" s="1">
        <v>1.20316</v>
      </c>
      <c r="L381" s="1">
        <v>1.06128</v>
      </c>
      <c r="M381" s="1">
        <v>1.07792</v>
      </c>
      <c r="N381" s="1">
        <v>1.17069</v>
      </c>
      <c r="O381" s="1">
        <v>1.1906600000000001</v>
      </c>
      <c r="P381" s="1">
        <v>1.19767</v>
      </c>
      <c r="Q381" s="1">
        <v>1.1930799999999999</v>
      </c>
      <c r="R381" s="1">
        <v>1.20316</v>
      </c>
      <c r="S381" s="1">
        <v>1.06128</v>
      </c>
      <c r="T381" s="1">
        <v>1.07792</v>
      </c>
      <c r="U381" s="1">
        <v>1.17069</v>
      </c>
      <c r="V381" s="1">
        <v>1.1906600000000001</v>
      </c>
      <c r="W381" s="1">
        <v>1.19767</v>
      </c>
      <c r="X381" s="1">
        <v>1.1930799999999999</v>
      </c>
      <c r="Y381" s="1">
        <v>1.20316</v>
      </c>
      <c r="Z381" s="1">
        <v>1.06128</v>
      </c>
      <c r="AA381" s="1">
        <v>1.07792</v>
      </c>
      <c r="AB381" s="1">
        <v>1.17069</v>
      </c>
      <c r="AC381" s="1">
        <v>1.1906600000000001</v>
      </c>
      <c r="AD381" s="1">
        <v>1.19767</v>
      </c>
      <c r="AE381" s="1">
        <v>1.1930799999999999</v>
      </c>
      <c r="AF381" s="1">
        <v>1.20316</v>
      </c>
      <c r="AG381" s="1">
        <v>1.06128</v>
      </c>
      <c r="AH381" s="1">
        <v>1.07792</v>
      </c>
      <c r="AI381" s="1">
        <v>1.17069</v>
      </c>
      <c r="AL381" s="4" t="s">
        <v>27</v>
      </c>
      <c r="AM381" s="6" t="str" cm="1">
        <f t="array" ref="AM381">IFERROR((SUMPRODUCT(($B$358:$B$381=AM$356)*($F$355:$AI$355="")*$F$358:$AI$381)+IF(AM$356="P6",SUMPRODUCT(($F$355:$AI$355="P6")*$F$358:$AI$381),0))/(SUMPRODUCT(($B$358:$B$381=AM$356)*($F$355:$AI$355=""))+IF(AM$356="P6",COUNTIF($F$355:$AI$355,"P6")*ROWS($B$358:$B$381),0)),"")</f>
        <v/>
      </c>
      <c r="AN381" s="6" t="str" cm="1">
        <f t="array" ref="AN381">IFERROR((SUMPRODUCT(($B$358:$B$381=AN$356)*($F$355:$AI$355="")*$F$358:$AI$381)+IF(AN$356="P6",SUMPRODUCT(($F$355:$AI$355="P6")*$F$358:$AI$381),0))/(SUMPRODUCT(($B$358:$B$381=AN$356)*($F$355:$AI$355=""))+IF(AN$356="P6",COUNTIF($F$355:$AI$355,"P6")*ROWS($B$358:$B$381),0)),"")</f>
        <v/>
      </c>
      <c r="AO381" s="6" t="str" cm="1">
        <f t="array" ref="AO381">IFERROR((SUMPRODUCT(($B$358:$B$381=AO$356)*($F$355:$AI$355="")*$F$358:$AI$381)+IF(AO$356="P6",SUMPRODUCT(($F$355:$AI$355="P6")*$F$358:$AI$381),0))/(SUMPRODUCT(($B$358:$B$381=AO$356)*($F$355:$AI$355=""))+IF(AO$356="P6",COUNTIF($F$355:$AI$355,"P6")*ROWS($B$358:$B$381),0)),"")</f>
        <v/>
      </c>
      <c r="AP381" s="6" cm="1">
        <f t="array" ref="AP381">IFERROR((SUMPRODUCT(($B$358:$B$381=AP$356)*($F$355:$AI$355="")*$F$358:$AI$381)+IF(AP$356="P6",SUMPRODUCT(($F$355:$AI$355="P6")*$F$358:$AI$381),0))/(SUMPRODUCT(($B$358:$B$381=AP$356)*($F$355:$AI$355=""))+IF(AP$356="P6",COUNTIF($F$355:$AI$355,"P6")*ROWS($B$358:$B$381),0)),"")</f>
        <v>0.9636735449735454</v>
      </c>
      <c r="AQ381" s="6" cm="1">
        <f t="array" ref="AQ381">IFERROR((SUMPRODUCT(($B$358:$B$381=AQ$356)*($F$355:$AI$355="")*$F$358:$AI$381)+IF(AQ$356="P6",SUMPRODUCT(($F$355:$AI$355="P6")*$F$358:$AI$381),0))/(SUMPRODUCT(($B$358:$B$381=AQ$356)*($F$355:$AI$355=""))+IF(AQ$356="P6",COUNTIF($F$355:$AI$355,"P6")*ROWS($B$358:$B$381),0)),"")</f>
        <v>1.0309605442176872</v>
      </c>
      <c r="AR381" s="6" cm="1">
        <f t="array" ref="AR381">IFERROR((SUMPRODUCT(($B$358:$B$381=AR$356)*($F$355:$AI$355="")*$F$358:$AI$381)+IF(AR$356="P6",SUMPRODUCT(($F$355:$AI$355="P6")*$F$358:$AI$381),0))/(SUMPRODUCT(($B$358:$B$381=AR$356)*($F$355:$AI$355=""))+IF(AR$356="P6",COUNTIF($F$355:$AI$355,"P6")*ROWS($B$358:$B$381),0)),"")</f>
        <v>1.047857109375</v>
      </c>
    </row>
    <row r="382" spans="1:44" ht="14.25" customHeight="1" x14ac:dyDescent="0.35">
      <c r="AL382" s="4" t="s">
        <v>29</v>
      </c>
      <c r="AM382" s="6" t="str" cm="1">
        <f t="array" ref="AM382">IFERROR((SUMPRODUCT(($B$358:$B$381=AM$356)*($F$355:$AI$355="")*$F$358:$AI$381)+IF(AM$356="P6",SUMPRODUCT(($F$355:$AI$355="P6")*$F$358:$AI$381),0))/(SUMPRODUCT(($B$358:$B$381=AM$356)*($F$355:$AI$355=""))+IF(AM$356="P6",COUNTIF($F$355:$AI$355,"P6")*ROWS($B$358:$B$381),0)),"")</f>
        <v/>
      </c>
      <c r="AN382" s="6" t="str" cm="1">
        <f t="array" ref="AN382">IFERROR((SUMPRODUCT(($B$358:$B$381=AN$356)*($F$355:$AI$355="")*$F$358:$AI$381)+IF(AN$356="P6",SUMPRODUCT(($F$355:$AI$355="P6")*$F$358:$AI$381),0))/(SUMPRODUCT(($B$358:$B$381=AN$356)*($F$355:$AI$355=""))+IF(AN$356="P6",COUNTIF($F$355:$AI$355,"P6")*ROWS($B$358:$B$381),0)),"")</f>
        <v/>
      </c>
      <c r="AO382" s="6" t="str" cm="1">
        <f t="array" ref="AO382">IFERROR((SUMPRODUCT(($B$358:$B$381=AO$356)*($F$355:$AI$355="")*$F$358:$AI$381)+IF(AO$356="P6",SUMPRODUCT(($F$355:$AI$355="P6")*$F$358:$AI$381),0))/(SUMPRODUCT(($B$358:$B$381=AO$356)*($F$355:$AI$355=""))+IF(AO$356="P6",COUNTIF($F$355:$AI$355,"P6")*ROWS($B$358:$B$381),0)),"")</f>
        <v/>
      </c>
      <c r="AP382" s="6" cm="1">
        <f t="array" ref="AP382">IFERROR((SUMPRODUCT(($B$358:$B$381=AP$356)*($F$355:$AI$355="")*$F$358:$AI$381)+IF(AP$356="P6",SUMPRODUCT(($F$355:$AI$355="P6")*$F$358:$AI$381),0))/(SUMPRODUCT(($B$358:$B$381=AP$356)*($F$355:$AI$355=""))+IF(AP$356="P6",COUNTIF($F$355:$AI$355,"P6")*ROWS($B$358:$B$381),0)),"")</f>
        <v>0.9636735449735454</v>
      </c>
      <c r="AQ382" s="6" cm="1">
        <f t="array" ref="AQ382">IFERROR((SUMPRODUCT(($B$358:$B$381=AQ$356)*($F$355:$AI$355="")*$F$358:$AI$381)+IF(AQ$356="P6",SUMPRODUCT(($F$355:$AI$355="P6")*$F$358:$AI$381),0))/(SUMPRODUCT(($B$358:$B$381=AQ$356)*($F$355:$AI$355=""))+IF(AQ$356="P6",COUNTIF($F$355:$AI$355,"P6")*ROWS($B$358:$B$381),0)),"")</f>
        <v>1.0309605442176872</v>
      </c>
      <c r="AR382" s="6" cm="1">
        <f t="array" ref="AR382">IFERROR((SUMPRODUCT(($B$358:$B$381=AR$356)*($F$355:$AI$355="")*$F$358:$AI$381)+IF(AR$356="P6",SUMPRODUCT(($F$355:$AI$355="P6")*$F$358:$AI$381),0))/(SUMPRODUCT(($B$358:$B$381=AR$356)*($F$355:$AI$355=""))+IF(AR$356="P6",COUNTIF($F$355:$AI$355,"P6")*ROWS($B$358:$B$381),0)),"")</f>
        <v>1.047857109375</v>
      </c>
    </row>
    <row r="386" spans="1:44" ht="14.25" customHeight="1" x14ac:dyDescent="0.35">
      <c r="A386" s="15" t="s">
        <v>71</v>
      </c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</row>
    <row r="387" spans="1:44" ht="14.25" customHeight="1" x14ac:dyDescent="0.3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</row>
    <row r="388" spans="1:44" ht="14.25" customHeight="1" x14ac:dyDescent="0.35">
      <c r="AL388" s="10"/>
      <c r="AM388" s="10"/>
      <c r="AN388" s="10"/>
      <c r="AO388" s="10"/>
      <c r="AP388" s="10"/>
      <c r="AQ388" s="10"/>
      <c r="AR388" s="10"/>
    </row>
    <row r="389" spans="1:44" ht="14.25" customHeight="1" x14ac:dyDescent="0.35">
      <c r="F389" s="1" t="str">
        <f>IF(OR(F391="S",F391="D",F392=DATE(2026,12,8),F392=DATE(2026,12,25)),"P3","")</f>
        <v/>
      </c>
      <c r="G389" s="1" t="str">
        <f t="shared" ref="G389:AJ389" si="39">IF(OR(G391="S",G391="D",G392=DATE(2026,12,8),G392=DATE(2026,12,25)),"P3","")</f>
        <v/>
      </c>
      <c r="H389" s="1" t="str">
        <f t="shared" si="39"/>
        <v/>
      </c>
      <c r="I389" s="1" t="str">
        <f t="shared" si="39"/>
        <v/>
      </c>
      <c r="J389" s="1" t="str">
        <f t="shared" si="39"/>
        <v>P3</v>
      </c>
      <c r="K389" s="1" t="str">
        <f t="shared" si="39"/>
        <v>P3</v>
      </c>
      <c r="L389" s="1" t="str">
        <f t="shared" si="39"/>
        <v/>
      </c>
      <c r="M389" s="1" t="str">
        <f t="shared" si="39"/>
        <v>P3</v>
      </c>
      <c r="N389" s="1" t="str">
        <f t="shared" si="39"/>
        <v/>
      </c>
      <c r="O389" s="1" t="str">
        <f t="shared" si="39"/>
        <v/>
      </c>
      <c r="P389" s="1" t="str">
        <f t="shared" si="39"/>
        <v/>
      </c>
      <c r="Q389" s="1" t="str">
        <f t="shared" si="39"/>
        <v>P3</v>
      </c>
      <c r="R389" s="1" t="str">
        <f t="shared" si="39"/>
        <v>P3</v>
      </c>
      <c r="S389" s="1" t="str">
        <f t="shared" si="39"/>
        <v/>
      </c>
      <c r="T389" s="1" t="str">
        <f t="shared" si="39"/>
        <v/>
      </c>
      <c r="U389" s="1" t="str">
        <f t="shared" si="39"/>
        <v/>
      </c>
      <c r="V389" s="1" t="str">
        <f t="shared" si="39"/>
        <v/>
      </c>
      <c r="W389" s="1" t="str">
        <f t="shared" si="39"/>
        <v/>
      </c>
      <c r="X389" s="1" t="str">
        <f t="shared" si="39"/>
        <v>P3</v>
      </c>
      <c r="Y389" s="1" t="str">
        <f t="shared" si="39"/>
        <v>P3</v>
      </c>
      <c r="Z389" s="1" t="str">
        <f t="shared" si="39"/>
        <v/>
      </c>
      <c r="AA389" s="1" t="str">
        <f t="shared" si="39"/>
        <v/>
      </c>
      <c r="AB389" s="1" t="str">
        <f t="shared" si="39"/>
        <v/>
      </c>
      <c r="AC389" s="1" t="str">
        <f t="shared" si="39"/>
        <v/>
      </c>
      <c r="AD389" s="1" t="str">
        <f t="shared" si="39"/>
        <v>P3</v>
      </c>
      <c r="AE389" s="1" t="str">
        <f t="shared" si="39"/>
        <v>P3</v>
      </c>
      <c r="AF389" s="1" t="str">
        <f t="shared" si="39"/>
        <v>P3</v>
      </c>
      <c r="AG389" s="1" t="str">
        <f t="shared" si="39"/>
        <v/>
      </c>
      <c r="AH389" s="1" t="str">
        <f t="shared" si="39"/>
        <v/>
      </c>
      <c r="AI389" s="1" t="str">
        <f t="shared" si="39"/>
        <v/>
      </c>
      <c r="AJ389" s="1" t="str">
        <f t="shared" si="39"/>
        <v/>
      </c>
      <c r="AL389" s="10"/>
      <c r="AM389" s="10"/>
      <c r="AN389" s="10"/>
      <c r="AO389" s="10"/>
      <c r="AP389" s="10"/>
      <c r="AQ389" s="10"/>
      <c r="AR389" s="10"/>
    </row>
    <row r="390" spans="1:44" ht="14.25" customHeight="1" x14ac:dyDescent="0.35">
      <c r="F390" s="1" t="str">
        <f>IF(OR(F391="S",F391="D",F392=DATE(2026,12,8),F392=DATE(2026,12,25)),"P6","")</f>
        <v/>
      </c>
      <c r="G390" s="1" t="str">
        <f t="shared" ref="G390:AJ390" si="40">IF(OR(G391="S",G391="D",G392=DATE(2026,12,8),G392=DATE(2026,12,25)),"P6","")</f>
        <v/>
      </c>
      <c r="H390" s="1" t="str">
        <f t="shared" si="40"/>
        <v/>
      </c>
      <c r="I390" s="1" t="str">
        <f t="shared" si="40"/>
        <v/>
      </c>
      <c r="J390" s="1" t="str">
        <f t="shared" si="40"/>
        <v>P6</v>
      </c>
      <c r="K390" s="1" t="str">
        <f t="shared" si="40"/>
        <v>P6</v>
      </c>
      <c r="L390" s="1" t="str">
        <f t="shared" si="40"/>
        <v/>
      </c>
      <c r="M390" s="1" t="str">
        <f t="shared" si="40"/>
        <v>P6</v>
      </c>
      <c r="N390" s="1" t="str">
        <f t="shared" si="40"/>
        <v/>
      </c>
      <c r="O390" s="1" t="str">
        <f t="shared" si="40"/>
        <v/>
      </c>
      <c r="P390" s="1" t="str">
        <f t="shared" si="40"/>
        <v/>
      </c>
      <c r="Q390" s="1" t="str">
        <f t="shared" si="40"/>
        <v>P6</v>
      </c>
      <c r="R390" s="1" t="str">
        <f t="shared" si="40"/>
        <v>P6</v>
      </c>
      <c r="S390" s="1" t="str">
        <f t="shared" si="40"/>
        <v/>
      </c>
      <c r="T390" s="1" t="str">
        <f t="shared" si="40"/>
        <v/>
      </c>
      <c r="U390" s="1" t="str">
        <f t="shared" si="40"/>
        <v/>
      </c>
      <c r="V390" s="1" t="str">
        <f t="shared" si="40"/>
        <v/>
      </c>
      <c r="W390" s="1" t="str">
        <f t="shared" si="40"/>
        <v/>
      </c>
      <c r="X390" s="1" t="str">
        <f t="shared" si="40"/>
        <v>P6</v>
      </c>
      <c r="Y390" s="1" t="str">
        <f t="shared" si="40"/>
        <v>P6</v>
      </c>
      <c r="Z390" s="1" t="str">
        <f t="shared" si="40"/>
        <v/>
      </c>
      <c r="AA390" s="1" t="str">
        <f t="shared" si="40"/>
        <v/>
      </c>
      <c r="AB390" s="1" t="str">
        <f t="shared" si="40"/>
        <v/>
      </c>
      <c r="AC390" s="1" t="str">
        <f t="shared" si="40"/>
        <v/>
      </c>
      <c r="AD390" s="1" t="str">
        <f t="shared" si="40"/>
        <v>P6</v>
      </c>
      <c r="AE390" s="1" t="str">
        <f t="shared" si="40"/>
        <v>P6</v>
      </c>
      <c r="AF390" s="1" t="str">
        <f t="shared" si="40"/>
        <v>P6</v>
      </c>
      <c r="AG390" s="1" t="str">
        <f t="shared" si="40"/>
        <v/>
      </c>
      <c r="AH390" s="1" t="str">
        <f t="shared" si="40"/>
        <v/>
      </c>
      <c r="AI390" s="1" t="str">
        <f t="shared" si="40"/>
        <v/>
      </c>
      <c r="AJ390" s="1" t="str">
        <f t="shared" si="40"/>
        <v/>
      </c>
      <c r="AL390" s="14" t="s">
        <v>149</v>
      </c>
      <c r="AM390" s="14"/>
      <c r="AN390" s="14"/>
      <c r="AO390" s="14"/>
      <c r="AP390" s="14"/>
      <c r="AQ390" s="14"/>
      <c r="AR390" s="14"/>
    </row>
    <row r="391" spans="1:44" ht="14.25" customHeight="1" x14ac:dyDescent="0.35">
      <c r="F391" s="1" t="str">
        <f>CHOOSE(WEEKDAY(F392,2),"L","M","X","J","V","S","D")</f>
        <v>M</v>
      </c>
      <c r="G391" s="1" t="str">
        <f t="shared" ref="G391:AJ391" si="41">CHOOSE(WEEKDAY(G392,2),"L","M","X","J","V","S","D")</f>
        <v>X</v>
      </c>
      <c r="H391" s="1" t="str">
        <f t="shared" si="41"/>
        <v>J</v>
      </c>
      <c r="I391" s="1" t="str">
        <f t="shared" si="41"/>
        <v>V</v>
      </c>
      <c r="J391" s="1" t="str">
        <f t="shared" si="41"/>
        <v>S</v>
      </c>
      <c r="K391" s="1" t="str">
        <f t="shared" si="41"/>
        <v>D</v>
      </c>
      <c r="L391" s="1" t="str">
        <f t="shared" si="41"/>
        <v>L</v>
      </c>
      <c r="M391" s="1" t="str">
        <f t="shared" si="41"/>
        <v>M</v>
      </c>
      <c r="N391" s="1" t="str">
        <f t="shared" si="41"/>
        <v>X</v>
      </c>
      <c r="O391" s="1" t="str">
        <f t="shared" si="41"/>
        <v>J</v>
      </c>
      <c r="P391" s="1" t="str">
        <f t="shared" si="41"/>
        <v>V</v>
      </c>
      <c r="Q391" s="1" t="str">
        <f t="shared" si="41"/>
        <v>S</v>
      </c>
      <c r="R391" s="1" t="str">
        <f t="shared" si="41"/>
        <v>D</v>
      </c>
      <c r="S391" s="1" t="str">
        <f t="shared" si="41"/>
        <v>L</v>
      </c>
      <c r="T391" s="1" t="str">
        <f t="shared" si="41"/>
        <v>M</v>
      </c>
      <c r="U391" s="1" t="str">
        <f t="shared" si="41"/>
        <v>X</v>
      </c>
      <c r="V391" s="1" t="str">
        <f t="shared" si="41"/>
        <v>J</v>
      </c>
      <c r="W391" s="1" t="str">
        <f t="shared" si="41"/>
        <v>V</v>
      </c>
      <c r="X391" s="1" t="str">
        <f t="shared" si="41"/>
        <v>S</v>
      </c>
      <c r="Y391" s="1" t="str">
        <f t="shared" si="41"/>
        <v>D</v>
      </c>
      <c r="Z391" s="1" t="str">
        <f t="shared" si="41"/>
        <v>L</v>
      </c>
      <c r="AA391" s="1" t="str">
        <f t="shared" si="41"/>
        <v>M</v>
      </c>
      <c r="AB391" s="1" t="str">
        <f t="shared" si="41"/>
        <v>X</v>
      </c>
      <c r="AC391" s="1" t="str">
        <f t="shared" si="41"/>
        <v>J</v>
      </c>
      <c r="AD391" s="1" t="str">
        <f t="shared" si="41"/>
        <v>V</v>
      </c>
      <c r="AE391" s="1" t="str">
        <f t="shared" si="41"/>
        <v>S</v>
      </c>
      <c r="AF391" s="1" t="str">
        <f t="shared" si="41"/>
        <v>D</v>
      </c>
      <c r="AG391" s="1" t="str">
        <f t="shared" si="41"/>
        <v>L</v>
      </c>
      <c r="AH391" s="1" t="str">
        <f t="shared" si="41"/>
        <v>M</v>
      </c>
      <c r="AI391" s="1" t="str">
        <f t="shared" si="41"/>
        <v>X</v>
      </c>
      <c r="AJ391" s="1" t="str">
        <f t="shared" si="41"/>
        <v>J</v>
      </c>
      <c r="AL391" s="4"/>
      <c r="AM391" s="4" t="s">
        <v>13</v>
      </c>
      <c r="AN391" s="4" t="s">
        <v>14</v>
      </c>
      <c r="AO391" s="4" t="s">
        <v>15</v>
      </c>
      <c r="AP391" s="4" t="s">
        <v>16</v>
      </c>
      <c r="AQ391" s="4" t="s">
        <v>17</v>
      </c>
      <c r="AR391" s="4" t="s">
        <v>7</v>
      </c>
    </row>
    <row r="392" spans="1:44" ht="14.25" customHeight="1" x14ac:dyDescent="0.35">
      <c r="A392" s="3" t="s">
        <v>76</v>
      </c>
      <c r="B392" s="3" t="s">
        <v>77</v>
      </c>
      <c r="C392" s="3" t="s">
        <v>75</v>
      </c>
      <c r="D392" s="3" t="s">
        <v>74</v>
      </c>
      <c r="F392" s="8">
        <v>46357</v>
      </c>
      <c r="G392" s="8">
        <v>46358</v>
      </c>
      <c r="H392" s="8">
        <v>46359</v>
      </c>
      <c r="I392" s="8">
        <v>46360</v>
      </c>
      <c r="J392" s="8">
        <v>46361</v>
      </c>
      <c r="K392" s="8">
        <v>46362</v>
      </c>
      <c r="L392" s="8">
        <v>46363</v>
      </c>
      <c r="M392" s="8">
        <v>46364</v>
      </c>
      <c r="N392" s="8">
        <v>46365</v>
      </c>
      <c r="O392" s="8">
        <v>46366</v>
      </c>
      <c r="P392" s="8">
        <v>46367</v>
      </c>
      <c r="Q392" s="8">
        <v>46368</v>
      </c>
      <c r="R392" s="8">
        <v>46369</v>
      </c>
      <c r="S392" s="8">
        <v>46370</v>
      </c>
      <c r="T392" s="8">
        <v>46371</v>
      </c>
      <c r="U392" s="8">
        <v>46372</v>
      </c>
      <c r="V392" s="8">
        <v>46373</v>
      </c>
      <c r="W392" s="8">
        <v>46374</v>
      </c>
      <c r="X392" s="8">
        <v>46375</v>
      </c>
      <c r="Y392" s="8">
        <v>46376</v>
      </c>
      <c r="Z392" s="8">
        <v>46377</v>
      </c>
      <c r="AA392" s="8">
        <v>46378</v>
      </c>
      <c r="AB392" s="8">
        <v>46379</v>
      </c>
      <c r="AC392" s="8">
        <v>46380</v>
      </c>
      <c r="AD392" s="8">
        <v>46381</v>
      </c>
      <c r="AE392" s="8">
        <v>46382</v>
      </c>
      <c r="AF392" s="8">
        <v>46383</v>
      </c>
      <c r="AG392" s="8">
        <v>46384</v>
      </c>
      <c r="AH392" s="8">
        <v>46385</v>
      </c>
      <c r="AI392" s="8">
        <v>46386</v>
      </c>
      <c r="AJ392" s="8">
        <v>46387</v>
      </c>
      <c r="AL392" s="4" t="s">
        <v>19</v>
      </c>
      <c r="AM392" s="6" cm="1">
        <f t="array" ref="AM392">IFERROR((SUMPRODUCT(($C$393:$C$416=AM$391)*($F$389:$AJ$389="")*$F$393:$AJ$416)+IF(AM$391="P3",SUMPRODUCT(($F$389:$AJ$389="P3")*$F$393:$AJ$416),0))/(SUMPRODUCT(($C$393:$C$416=AM$391)*($F$389:$AJ$389=""))+IF(AM$391="P3",COUNTIF($F$389:$AJ$389,"P3")*ROWS($C$393:$C$416),0)),"")</f>
        <v>1.0707953571428579</v>
      </c>
      <c r="AN392" s="6" cm="1">
        <f t="array" ref="AN392">IFERROR((SUMPRODUCT(($C$393:$C$416=AN$391)*($F$389:$AJ$389="")*$F$393:$AJ$416)+IF(AN$391="P3",SUMPRODUCT(($F$389:$AJ$389="P3")*$F$393:$AJ$416),0))/(SUMPRODUCT(($C$393:$C$416=AN$391)*($F$389:$AJ$389=""))+IF(AN$391="P3",COUNTIF($F$389:$AJ$389,"P3")*ROWS($C$393:$C$416),0)),"")</f>
        <v>1.1041360714285708</v>
      </c>
      <c r="AO392" s="6" cm="1">
        <f t="array" ref="AO392">IFERROR((SUMPRODUCT(($C$393:$C$416=AO$391)*($F$389:$AJ$389="")*$F$393:$AJ$416)+IF(AO$391="P3",SUMPRODUCT(($F$389:$AJ$389="P3")*$F$393:$AJ$416),0))/(SUMPRODUCT(($C$393:$C$416=AO$391)*($F$389:$AJ$389=""))+IF(AO$391="P3",COUNTIF($F$389:$AJ$389,"P3")*ROWS($C$393:$C$416),0)),"")</f>
        <v>1.1824037990196086</v>
      </c>
      <c r="AP392" s="6" t="str" cm="1">
        <f t="array" ref="AP392">IFERROR((SUMPRODUCT(($C$393:$C$416=AP$391)*($F$389:$AJ$389="")*$F$393:$AJ$416)+IF(AP$391="P3",SUMPRODUCT(($F$389:$AJ$389="P3")*$F$393:$AJ$416),0))/(SUMPRODUCT(($C$393:$C$416=AP$391)*($F$389:$AJ$389=""))+IF(AP$391="P3",COUNTIF($F$389:$AJ$389,"P3")*ROWS($C$393:$C$416),0)),"")</f>
        <v/>
      </c>
      <c r="AQ392" s="6" t="str" cm="1">
        <f t="array" ref="AQ392">IFERROR((SUMPRODUCT(($C$393:$C$416=AQ$391)*($F$389:$AJ$389="")*$F$393:$AJ$416)+IF(AQ$391="P3",SUMPRODUCT(($F$389:$AJ$389="P3")*$F$393:$AJ$416),0))/(SUMPRODUCT(($C$393:$C$416=AQ$391)*($F$389:$AJ$389=""))+IF(AQ$391="P3",COUNTIF($F$389:$AJ$389,"P3")*ROWS($C$393:$C$416),0)),"")</f>
        <v/>
      </c>
      <c r="AR392" s="6" t="str" cm="1">
        <f t="array" ref="AR392">IFERROR((SUMPRODUCT(($C$393:$C$416=AR$391)*($F$389:$AJ$389="")*$F$393:$AJ$416)+IF(AR$391="P3",SUMPRODUCT(($F$389:$AJ$389="P3")*$F$393:$AJ$416),0))/(SUMPRODUCT(($C$393:$C$416=AR$391)*($F$389:$AJ$389=""))+IF(AR$391="P3",COUNTIF($F$389:$AJ$389,"P3")*ROWS($C$393:$C$416),0)),"")</f>
        <v/>
      </c>
    </row>
    <row r="393" spans="1:44" ht="14.25" customHeight="1" x14ac:dyDescent="0.35">
      <c r="A393" s="1" t="s">
        <v>7</v>
      </c>
      <c r="B393" s="1" t="s">
        <v>7</v>
      </c>
      <c r="C393" s="1" t="s">
        <v>15</v>
      </c>
      <c r="D393" s="1" t="s">
        <v>7</v>
      </c>
      <c r="E393" s="1" t="s">
        <v>8</v>
      </c>
      <c r="F393" s="1">
        <v>1.20394</v>
      </c>
      <c r="G393" s="1">
        <v>1.1164400000000001</v>
      </c>
      <c r="H393" s="1">
        <v>1.1860599999999999</v>
      </c>
      <c r="I393" s="1">
        <v>1.19296</v>
      </c>
      <c r="J393" s="1">
        <v>1.1958200000000001</v>
      </c>
      <c r="K393" s="1">
        <v>1.20591</v>
      </c>
      <c r="L393" s="1">
        <v>1.2345600000000001</v>
      </c>
      <c r="M393" s="1">
        <v>1.27359</v>
      </c>
      <c r="N393" s="1">
        <v>1.1164400000000001</v>
      </c>
      <c r="O393" s="1">
        <v>1.1860599999999999</v>
      </c>
      <c r="P393" s="1">
        <v>1.19296</v>
      </c>
      <c r="Q393" s="1">
        <v>1.1958200000000001</v>
      </c>
      <c r="R393" s="1">
        <v>1.24892</v>
      </c>
      <c r="S393" s="1">
        <v>1.2345600000000001</v>
      </c>
      <c r="T393" s="1">
        <v>1.20394</v>
      </c>
      <c r="U393" s="1">
        <v>1.1164400000000001</v>
      </c>
      <c r="V393" s="1">
        <v>1.1860599999999999</v>
      </c>
      <c r="W393" s="1">
        <v>1.19296</v>
      </c>
      <c r="X393" s="1">
        <v>1.1958200000000001</v>
      </c>
      <c r="Y393" s="1">
        <v>1.24892</v>
      </c>
      <c r="Z393" s="1">
        <v>1.2345600000000001</v>
      </c>
      <c r="AA393" s="1">
        <v>1.20394</v>
      </c>
      <c r="AB393" s="1">
        <v>1.1164400000000001</v>
      </c>
      <c r="AC393" s="1">
        <v>1.1860599999999999</v>
      </c>
      <c r="AD393" s="1">
        <v>1.3502099999999999</v>
      </c>
      <c r="AE393" s="1">
        <v>1.1958200000000001</v>
      </c>
      <c r="AF393" s="1">
        <v>1.24892</v>
      </c>
      <c r="AG393" s="1">
        <v>1.2345600000000001</v>
      </c>
      <c r="AH393" s="1">
        <v>1.20394</v>
      </c>
      <c r="AI393" s="1">
        <v>1.1164400000000001</v>
      </c>
      <c r="AJ393" s="1">
        <v>1.1860599999999999</v>
      </c>
      <c r="AL393" s="4" t="s">
        <v>21</v>
      </c>
      <c r="AM393" s="6" cm="1">
        <f t="array" ref="AM393">IFERROR((SUMPRODUCT(($D$393:$D$416=AM$391)*($F$390:$AJ$390="")*$F$393:$AJ$416)+IF(AM$391="P6",SUMPRODUCT(($F$390:$AJ$390="P6")*$F$393:$AJ$416),0))/(SUMPRODUCT(($D$393:$D$416=AM$391)*($F$390:$AJ$390=""))+IF(AM$391="P6",COUNTIF($F$390:$AJ$390,"P6")*ROWS($D$393:$D$416),0)),"")</f>
        <v>1.0660673015873021</v>
      </c>
      <c r="AN393" s="6" cm="1">
        <f t="array" ref="AN393">IFERROR((SUMPRODUCT(($D$393:$D$416=AN$391)*($F$390:$AJ$390="")*$F$393:$AJ$416)+IF(AN$391="P6",SUMPRODUCT(($F$390:$AJ$390="P6")*$F$393:$AJ$416),0))/(SUMPRODUCT(($D$393:$D$416=AN$391)*($F$390:$AJ$390=""))+IF(AN$391="P6",COUNTIF($F$390:$AJ$390,"P6")*ROWS($D$393:$D$416),0)),"")</f>
        <v>1.1149779591836735</v>
      </c>
      <c r="AO393" s="6" t="str" cm="1">
        <f t="array" ref="AO393">IFERROR((SUMPRODUCT(($D$393:$D$416=AO$391)*($F$390:$AJ$390="")*$F$393:$AJ$416)+IF(AO$391="P6",SUMPRODUCT(($F$390:$AJ$390="P6")*$F$393:$AJ$416),0))/(SUMPRODUCT(($D$393:$D$416=AO$391)*($F$390:$AJ$390=""))+IF(AO$391="P6",COUNTIF($F$390:$AJ$390,"P6")*ROWS($D$393:$D$416),0)),"")</f>
        <v/>
      </c>
      <c r="AP393" s="6" t="str" cm="1">
        <f t="array" ref="AP393">IFERROR((SUMPRODUCT(($D$393:$D$416=AP$391)*($F$390:$AJ$390="")*$F$393:$AJ$416)+IF(AP$391="P6",SUMPRODUCT(($F$390:$AJ$390="P6")*$F$393:$AJ$416),0))/(SUMPRODUCT(($D$393:$D$416=AP$391)*($F$390:$AJ$390=""))+IF(AP$391="P6",COUNTIF($F$390:$AJ$390,"P6")*ROWS($D$393:$D$416),0)),"")</f>
        <v/>
      </c>
      <c r="AQ393" s="6" t="str" cm="1">
        <f t="array" ref="AQ393">IFERROR((SUMPRODUCT(($D$393:$D$416=AQ$391)*($F$390:$AJ$390="")*$F$393:$AJ$416)+IF(AQ$391="P6",SUMPRODUCT(($F$390:$AJ$390="P6")*$F$393:$AJ$416),0))/(SUMPRODUCT(($D$393:$D$416=AQ$391)*($F$390:$AJ$390=""))+IF(AQ$391="P6",COUNTIF($F$390:$AJ$390,"P6")*ROWS($D$393:$D$416),0)),"")</f>
        <v/>
      </c>
      <c r="AR393" s="6" cm="1">
        <f t="array" ref="AR393">IFERROR((SUMPRODUCT(($D$393:$D$416=AR$391)*($F$390:$AJ$390="")*$F$393:$AJ$416)+IF(AR$391="P6",SUMPRODUCT(($F$390:$AJ$390="P6")*$F$393:$AJ$416),0))/(SUMPRODUCT(($D$393:$D$416=AR$391)*($F$390:$AJ$390=""))+IF(AR$391="P6",COUNTIF($F$390:$AJ$390,"P6")*ROWS($D$393:$D$416),0)),"")</f>
        <v>1.1824037990196086</v>
      </c>
    </row>
    <row r="394" spans="1:44" ht="14.25" customHeight="1" x14ac:dyDescent="0.35">
      <c r="A394" s="1" t="s">
        <v>7</v>
      </c>
      <c r="B394" s="1" t="s">
        <v>7</v>
      </c>
      <c r="C394" s="1" t="s">
        <v>15</v>
      </c>
      <c r="D394" s="1" t="s">
        <v>7</v>
      </c>
      <c r="E394" s="1" t="s">
        <v>9</v>
      </c>
      <c r="F394" s="1">
        <v>1.25299</v>
      </c>
      <c r="G394" s="1">
        <v>1.1477299999999999</v>
      </c>
      <c r="H394" s="1">
        <v>1.2229300000000001</v>
      </c>
      <c r="I394" s="1">
        <v>1.2319599999999999</v>
      </c>
      <c r="J394" s="1">
        <v>1.24251</v>
      </c>
      <c r="K394" s="1">
        <v>1.25085</v>
      </c>
      <c r="L394" s="1">
        <v>1.2906500000000001</v>
      </c>
      <c r="M394" s="1">
        <v>1.3292600000000001</v>
      </c>
      <c r="N394" s="1">
        <v>1.1477299999999999</v>
      </c>
      <c r="O394" s="1">
        <v>1.2229300000000001</v>
      </c>
      <c r="P394" s="1">
        <v>1.2319599999999999</v>
      </c>
      <c r="Q394" s="1">
        <v>1.24251</v>
      </c>
      <c r="R394" s="1">
        <v>1.2901499999999999</v>
      </c>
      <c r="S394" s="1">
        <v>1.2906500000000001</v>
      </c>
      <c r="T394" s="1">
        <v>1.25299</v>
      </c>
      <c r="U394" s="1">
        <v>1.1477299999999999</v>
      </c>
      <c r="V394" s="1">
        <v>1.2229300000000001</v>
      </c>
      <c r="W394" s="1">
        <v>1.2319599999999999</v>
      </c>
      <c r="X394" s="1">
        <v>1.24251</v>
      </c>
      <c r="Y394" s="1">
        <v>1.2901499999999999</v>
      </c>
      <c r="Z394" s="1">
        <v>1.2906500000000001</v>
      </c>
      <c r="AA394" s="1">
        <v>1.25299</v>
      </c>
      <c r="AB394" s="1">
        <v>1.1477299999999999</v>
      </c>
      <c r="AC394" s="1">
        <v>1.2229300000000001</v>
      </c>
      <c r="AD394" s="1">
        <v>1.4013899999999999</v>
      </c>
      <c r="AE394" s="1">
        <v>1.24251</v>
      </c>
      <c r="AF394" s="1">
        <v>1.2901499999999999</v>
      </c>
      <c r="AG394" s="1">
        <v>1.2906500000000001</v>
      </c>
      <c r="AH394" s="1">
        <v>1.25299</v>
      </c>
      <c r="AI394" s="1">
        <v>1.1477299999999999</v>
      </c>
      <c r="AJ394" s="1">
        <v>1.2229300000000001</v>
      </c>
      <c r="AL394" s="4" t="s">
        <v>23</v>
      </c>
      <c r="AM394" s="6" cm="1">
        <f t="array" ref="AM394">IFERROR((SUMPRODUCT(($D$393:$D$416=AM$391)*($F$390:$AJ$390="")*$F$393:$AJ$416)+IF(AM$391="P6",SUMPRODUCT(($F$390:$AJ$390="P6")*$F$393:$AJ$416),0))/(SUMPRODUCT(($D$393:$D$416=AM$391)*($F$390:$AJ$390=""))+IF(AM$391="P6",COUNTIF($F$390:$AJ$390,"P6")*ROWS($D$393:$D$416),0)),"")</f>
        <v>1.0660673015873021</v>
      </c>
      <c r="AN394" s="6" cm="1">
        <f t="array" ref="AN394">IFERROR((SUMPRODUCT(($D$393:$D$416=AN$391)*($F$390:$AJ$390="")*$F$393:$AJ$416)+IF(AN$391="P6",SUMPRODUCT(($F$390:$AJ$390="P6")*$F$393:$AJ$416),0))/(SUMPRODUCT(($D$393:$D$416=AN$391)*($F$390:$AJ$390=""))+IF(AN$391="P6",COUNTIF($F$390:$AJ$390,"P6")*ROWS($D$393:$D$416),0)),"")</f>
        <v>1.1149779591836735</v>
      </c>
      <c r="AO394" s="5" t="str" cm="1">
        <f t="array" ref="AO394">IFERROR((SUMPRODUCT(($D$393:$D$416=AO$391)*($F$390:$AJ$390="")*$F$393:$AJ$416)+IF(AO$391="P6",SUMPRODUCT(($F$390:$AJ$390="P6")*$F$393:$AJ$416),0))/(SUMPRODUCT(($D$393:$D$416=AO$391)*($F$390:$AJ$390=""))+IF(AO$391="P6",COUNTIF($F$390:$AJ$390,"P6")*ROWS($D$393:$D$416),0)),"")</f>
        <v/>
      </c>
      <c r="AP394" s="5" t="str" cm="1">
        <f t="array" ref="AP394">IFERROR((SUMPRODUCT(($D$393:$D$416=AP$391)*($F$390:$AJ$390="")*$F$393:$AJ$416)+IF(AP$391="P6",SUMPRODUCT(($F$390:$AJ$390="P6")*$F$393:$AJ$416),0))/(SUMPRODUCT(($D$393:$D$416=AP$391)*($F$390:$AJ$390=""))+IF(AP$391="P6",COUNTIF($F$390:$AJ$390,"P6")*ROWS($D$393:$D$416),0)),"")</f>
        <v/>
      </c>
      <c r="AQ394" s="5" t="str" cm="1">
        <f t="array" ref="AQ394">IFERROR((SUMPRODUCT(($D$393:$D$416=AQ$391)*($F$390:$AJ$390="")*$F$393:$AJ$416)+IF(AQ$391="P6",SUMPRODUCT(($F$390:$AJ$390="P6")*$F$393:$AJ$416),0))/(SUMPRODUCT(($D$393:$D$416=AQ$391)*($F$390:$AJ$390=""))+IF(AQ$391="P6",COUNTIF($F$390:$AJ$390,"P6")*ROWS($D$393:$D$416),0)),"")</f>
        <v/>
      </c>
      <c r="AR394" s="6" cm="1">
        <f t="array" ref="AR394">IFERROR((SUMPRODUCT(($D$393:$D$416=AR$391)*($F$390:$AJ$390="")*$F$393:$AJ$416)+IF(AR$391="P6",SUMPRODUCT(($F$390:$AJ$390="P6")*$F$393:$AJ$416),0))/(SUMPRODUCT(($D$393:$D$416=AR$391)*($F$390:$AJ$390=""))+IF(AR$391="P6",COUNTIF($F$390:$AJ$390,"P6")*ROWS($D$393:$D$416),0)),"")</f>
        <v>1.1824037990196086</v>
      </c>
    </row>
    <row r="395" spans="1:44" ht="14.25" customHeight="1" x14ac:dyDescent="0.35">
      <c r="A395" s="1" t="s">
        <v>7</v>
      </c>
      <c r="B395" s="1" t="s">
        <v>7</v>
      </c>
      <c r="C395" s="1" t="s">
        <v>15</v>
      </c>
      <c r="D395" s="1" t="s">
        <v>7</v>
      </c>
      <c r="E395" s="1" t="s">
        <v>10</v>
      </c>
      <c r="F395" s="1">
        <v>1.28746</v>
      </c>
      <c r="G395" s="1">
        <v>1.17937</v>
      </c>
      <c r="H395" s="1">
        <v>1.2582500000000001</v>
      </c>
      <c r="I395" s="1">
        <v>1.2790299999999999</v>
      </c>
      <c r="J395" s="1">
        <v>1.2816399999999999</v>
      </c>
      <c r="K395" s="1">
        <v>1.30053</v>
      </c>
      <c r="L395" s="1">
        <v>1.3046800000000001</v>
      </c>
      <c r="M395" s="1">
        <v>1.355</v>
      </c>
      <c r="N395" s="1">
        <v>1.17937</v>
      </c>
      <c r="O395" s="1">
        <v>1.2582500000000001</v>
      </c>
      <c r="P395" s="1">
        <v>1.2790299999999999</v>
      </c>
      <c r="Q395" s="1">
        <v>1.2816399999999999</v>
      </c>
      <c r="R395" s="1">
        <v>1.33954</v>
      </c>
      <c r="S395" s="1">
        <v>1.3046800000000001</v>
      </c>
      <c r="T395" s="1">
        <v>1.28746</v>
      </c>
      <c r="U395" s="1">
        <v>1.17937</v>
      </c>
      <c r="V395" s="1">
        <v>1.2582500000000001</v>
      </c>
      <c r="W395" s="1">
        <v>1.2790299999999999</v>
      </c>
      <c r="X395" s="1">
        <v>1.2816399999999999</v>
      </c>
      <c r="Y395" s="1">
        <v>1.33954</v>
      </c>
      <c r="Z395" s="1">
        <v>1.3046800000000001</v>
      </c>
      <c r="AA395" s="1">
        <v>1.28746</v>
      </c>
      <c r="AB395" s="1">
        <v>1.17937</v>
      </c>
      <c r="AC395" s="1">
        <v>1.2582500000000001</v>
      </c>
      <c r="AD395" s="1">
        <v>1.46702</v>
      </c>
      <c r="AE395" s="1">
        <v>1.2816399999999999</v>
      </c>
      <c r="AF395" s="1">
        <v>1.33954</v>
      </c>
      <c r="AG395" s="1">
        <v>1.3046800000000001</v>
      </c>
      <c r="AH395" s="1">
        <v>1.28746</v>
      </c>
      <c r="AI395" s="1">
        <v>1.17937</v>
      </c>
      <c r="AJ395" s="1">
        <v>1.2582500000000001</v>
      </c>
      <c r="AL395" s="4" t="s">
        <v>25</v>
      </c>
      <c r="AM395" s="6" cm="1">
        <f t="array" ref="AM395">IFERROR((SUMPRODUCT(($D$393:$D$416=AM$391)*($F$390:$AJ$390="")*$F$393:$AJ$416)+IF(AM$391="P6",SUMPRODUCT(($F$390:$AJ$390="P6")*$F$393:$AJ$416),0))/(SUMPRODUCT(($D$393:$D$416=AM$391)*($F$390:$AJ$390=""))+IF(AM$391="P6",COUNTIF($F$390:$AJ$390,"P6")*ROWS($D$393:$D$416),0)),"")</f>
        <v>1.0660673015873021</v>
      </c>
      <c r="AN395" s="6" cm="1">
        <f t="array" ref="AN395">IFERROR((SUMPRODUCT(($D$393:$D$416=AN$391)*($F$390:$AJ$390="")*$F$393:$AJ$416)+IF(AN$391="P6",SUMPRODUCT(($F$390:$AJ$390="P6")*$F$393:$AJ$416),0))/(SUMPRODUCT(($D$393:$D$416=AN$391)*($F$390:$AJ$390=""))+IF(AN$391="P6",COUNTIF($F$390:$AJ$390,"P6")*ROWS($D$393:$D$416),0)),"")</f>
        <v>1.1149779591836735</v>
      </c>
      <c r="AO395" s="5" t="str" cm="1">
        <f t="array" ref="AO395">IFERROR((SUMPRODUCT(($D$393:$D$416=AO$391)*($F$390:$AJ$390="")*$F$393:$AJ$416)+IF(AO$391="P6",SUMPRODUCT(($F$390:$AJ$390="P6")*$F$393:$AJ$416),0))/(SUMPRODUCT(($D$393:$D$416=AO$391)*($F$390:$AJ$390=""))+IF(AO$391="P6",COUNTIF($F$390:$AJ$390,"P6")*ROWS($D$393:$D$416),0)),"")</f>
        <v/>
      </c>
      <c r="AP395" s="5" t="str" cm="1">
        <f t="array" ref="AP395">IFERROR((SUMPRODUCT(($D$393:$D$416=AP$391)*($F$390:$AJ$390="")*$F$393:$AJ$416)+IF(AP$391="P6",SUMPRODUCT(($F$390:$AJ$390="P6")*$F$393:$AJ$416),0))/(SUMPRODUCT(($D$393:$D$416=AP$391)*($F$390:$AJ$390=""))+IF(AP$391="P6",COUNTIF($F$390:$AJ$390,"P6")*ROWS($D$393:$D$416),0)),"")</f>
        <v/>
      </c>
      <c r="AQ395" s="5" t="str" cm="1">
        <f t="array" ref="AQ395">IFERROR((SUMPRODUCT(($D$393:$D$416=AQ$391)*($F$390:$AJ$390="")*$F$393:$AJ$416)+IF(AQ$391="P6",SUMPRODUCT(($F$390:$AJ$390="P6")*$F$393:$AJ$416),0))/(SUMPRODUCT(($D$393:$D$416=AQ$391)*($F$390:$AJ$390=""))+IF(AQ$391="P6",COUNTIF($F$390:$AJ$390,"P6")*ROWS($D$393:$D$416),0)),"")</f>
        <v/>
      </c>
      <c r="AR395" s="6" cm="1">
        <f t="array" ref="AR395">IFERROR((SUMPRODUCT(($D$393:$D$416=AR$391)*($F$390:$AJ$390="")*$F$393:$AJ$416)+IF(AR$391="P6",SUMPRODUCT(($F$390:$AJ$390="P6")*$F$393:$AJ$416),0))/(SUMPRODUCT(($D$393:$D$416=AR$391)*($F$390:$AJ$390=""))+IF(AR$391="P6",COUNTIF($F$390:$AJ$390,"P6")*ROWS($D$393:$D$416),0)),"")</f>
        <v>1.1824037990196086</v>
      </c>
    </row>
    <row r="396" spans="1:44" ht="14.25" customHeight="1" x14ac:dyDescent="0.35">
      <c r="A396" s="1" t="s">
        <v>7</v>
      </c>
      <c r="B396" s="1" t="s">
        <v>7</v>
      </c>
      <c r="C396" s="1" t="s">
        <v>15</v>
      </c>
      <c r="D396" s="1" t="s">
        <v>7</v>
      </c>
      <c r="E396" s="1" t="s">
        <v>11</v>
      </c>
      <c r="F396" s="1">
        <v>1.3047800000000001</v>
      </c>
      <c r="G396" s="1">
        <v>1.1951499999999999</v>
      </c>
      <c r="H396" s="1">
        <v>1.27556</v>
      </c>
      <c r="I396" s="1">
        <v>1.30521</v>
      </c>
      <c r="J396" s="1">
        <v>1.31579</v>
      </c>
      <c r="K396" s="1">
        <v>1.3147800000000001</v>
      </c>
      <c r="L396" s="1">
        <v>1.30796</v>
      </c>
      <c r="M396" s="1">
        <v>1.3825099999999999</v>
      </c>
      <c r="N396" s="1">
        <v>1.1951499999999999</v>
      </c>
      <c r="O396" s="1">
        <v>1.27556</v>
      </c>
      <c r="P396" s="1">
        <v>1.30521</v>
      </c>
      <c r="Q396" s="1">
        <v>1.31579</v>
      </c>
      <c r="R396" s="1">
        <v>1.36375</v>
      </c>
      <c r="S396" s="1">
        <v>1.30796</v>
      </c>
      <c r="T396" s="1">
        <v>1.3047800000000001</v>
      </c>
      <c r="U396" s="1">
        <v>1.1951499999999999</v>
      </c>
      <c r="V396" s="1">
        <v>1.27556</v>
      </c>
      <c r="W396" s="1">
        <v>1.30521</v>
      </c>
      <c r="X396" s="1">
        <v>1.31579</v>
      </c>
      <c r="Y396" s="1">
        <v>1.36375</v>
      </c>
      <c r="Z396" s="1">
        <v>1.30796</v>
      </c>
      <c r="AA396" s="1">
        <v>1.3047800000000001</v>
      </c>
      <c r="AB396" s="1">
        <v>1.1951499999999999</v>
      </c>
      <c r="AC396" s="1">
        <v>1.27556</v>
      </c>
      <c r="AD396" s="1">
        <v>1.5304599999999999</v>
      </c>
      <c r="AE396" s="1">
        <v>1.31579</v>
      </c>
      <c r="AF396" s="1">
        <v>1.36375</v>
      </c>
      <c r="AG396" s="1">
        <v>1.30796</v>
      </c>
      <c r="AH396" s="1">
        <v>1.3047800000000001</v>
      </c>
      <c r="AI396" s="1">
        <v>1.1951499999999999</v>
      </c>
      <c r="AJ396" s="1">
        <v>1.27556</v>
      </c>
      <c r="AL396" s="4" t="s">
        <v>27</v>
      </c>
      <c r="AM396" s="6" cm="1">
        <f t="array" ref="AM396">IFERROR((SUMPRODUCT(($D$393:$D$416=AM$391)*($F$390:$AJ$390="")*$F$393:$AJ$416)+IF(AM$391="P6",SUMPRODUCT(($F$390:$AJ$390="P6")*$F$393:$AJ$416),0))/(SUMPRODUCT(($D$393:$D$416=AM$391)*($F$390:$AJ$390=""))+IF(AM$391="P6",COUNTIF($F$390:$AJ$390,"P6")*ROWS($D$393:$D$416),0)),"")</f>
        <v>1.0660673015873021</v>
      </c>
      <c r="AN396" s="6" cm="1">
        <f t="array" ref="AN396">IFERROR((SUMPRODUCT(($D$393:$D$416=AN$391)*($F$390:$AJ$390="")*$F$393:$AJ$416)+IF(AN$391="P6",SUMPRODUCT(($F$390:$AJ$390="P6")*$F$393:$AJ$416),0))/(SUMPRODUCT(($D$393:$D$416=AN$391)*($F$390:$AJ$390=""))+IF(AN$391="P6",COUNTIF($F$390:$AJ$390,"P6")*ROWS($D$393:$D$416),0)),"")</f>
        <v>1.1149779591836735</v>
      </c>
      <c r="AO396" s="5" t="str" cm="1">
        <f t="array" ref="AO396">IFERROR((SUMPRODUCT(($D$393:$D$416=AO$391)*($F$390:$AJ$390="")*$F$393:$AJ$416)+IF(AO$391="P6",SUMPRODUCT(($F$390:$AJ$390="P6")*$F$393:$AJ$416),0))/(SUMPRODUCT(($D$393:$D$416=AO$391)*($F$390:$AJ$390=""))+IF(AO$391="P6",COUNTIF($F$390:$AJ$390,"P6")*ROWS($D$393:$D$416),0)),"")</f>
        <v/>
      </c>
      <c r="AP396" s="5" t="str" cm="1">
        <f t="array" ref="AP396">IFERROR((SUMPRODUCT(($D$393:$D$416=AP$391)*($F$390:$AJ$390="")*$F$393:$AJ$416)+IF(AP$391="P6",SUMPRODUCT(($F$390:$AJ$390="P6")*$F$393:$AJ$416),0))/(SUMPRODUCT(($D$393:$D$416=AP$391)*($F$390:$AJ$390=""))+IF(AP$391="P6",COUNTIF($F$390:$AJ$390,"P6")*ROWS($D$393:$D$416),0)),"")</f>
        <v/>
      </c>
      <c r="AQ396" s="5" t="str" cm="1">
        <f t="array" ref="AQ396">IFERROR((SUMPRODUCT(($D$393:$D$416=AQ$391)*($F$390:$AJ$390="")*$F$393:$AJ$416)+IF(AQ$391="P6",SUMPRODUCT(($F$390:$AJ$390="P6")*$F$393:$AJ$416),0))/(SUMPRODUCT(($D$393:$D$416=AQ$391)*($F$390:$AJ$390=""))+IF(AQ$391="P6",COUNTIF($F$390:$AJ$390,"P6")*ROWS($D$393:$D$416),0)),"")</f>
        <v/>
      </c>
      <c r="AR396" s="6" cm="1">
        <f t="array" ref="AR396">IFERROR((SUMPRODUCT(($D$393:$D$416=AR$391)*($F$390:$AJ$390="")*$F$393:$AJ$416)+IF(AR$391="P6",SUMPRODUCT(($F$390:$AJ$390="P6")*$F$393:$AJ$416),0))/(SUMPRODUCT(($D$393:$D$416=AR$391)*($F$390:$AJ$390=""))+IF(AR$391="P6",COUNTIF($F$390:$AJ$390,"P6")*ROWS($D$393:$D$416),0)),"")</f>
        <v>1.1824037990196086</v>
      </c>
    </row>
    <row r="397" spans="1:44" ht="14.25" customHeight="1" x14ac:dyDescent="0.35">
      <c r="A397" s="1" t="s">
        <v>7</v>
      </c>
      <c r="B397" s="1" t="s">
        <v>7</v>
      </c>
      <c r="C397" s="1" t="s">
        <v>15</v>
      </c>
      <c r="D397" s="1" t="s">
        <v>7</v>
      </c>
      <c r="E397" s="1" t="s">
        <v>12</v>
      </c>
      <c r="F397" s="1">
        <v>1.29799</v>
      </c>
      <c r="G397" s="1">
        <v>1.20099</v>
      </c>
      <c r="H397" s="1">
        <v>1.26271</v>
      </c>
      <c r="I397" s="1">
        <v>1.30209</v>
      </c>
      <c r="J397" s="1">
        <v>1.3292900000000001</v>
      </c>
      <c r="K397" s="1">
        <v>1.33782</v>
      </c>
      <c r="L397" s="1">
        <v>1.3003499999999999</v>
      </c>
      <c r="M397" s="1">
        <v>1.38666</v>
      </c>
      <c r="N397" s="1">
        <v>1.20099</v>
      </c>
      <c r="O397" s="1">
        <v>1.26271</v>
      </c>
      <c r="P397" s="1">
        <v>1.30209</v>
      </c>
      <c r="Q397" s="1">
        <v>1.3292900000000001</v>
      </c>
      <c r="R397" s="1">
        <v>1.3736999999999999</v>
      </c>
      <c r="S397" s="1">
        <v>1.3003499999999999</v>
      </c>
      <c r="T397" s="1">
        <v>1.29799</v>
      </c>
      <c r="U397" s="1">
        <v>1.20099</v>
      </c>
      <c r="V397" s="1">
        <v>1.26271</v>
      </c>
      <c r="W397" s="1">
        <v>1.30209</v>
      </c>
      <c r="X397" s="1">
        <v>1.3292900000000001</v>
      </c>
      <c r="Y397" s="1">
        <v>1.3736999999999999</v>
      </c>
      <c r="Z397" s="1">
        <v>1.3003499999999999</v>
      </c>
      <c r="AA397" s="1">
        <v>1.29799</v>
      </c>
      <c r="AB397" s="1">
        <v>1.20099</v>
      </c>
      <c r="AC397" s="1">
        <v>1.26271</v>
      </c>
      <c r="AD397" s="1">
        <v>1.55155</v>
      </c>
      <c r="AE397" s="1">
        <v>1.3292900000000001</v>
      </c>
      <c r="AF397" s="1">
        <v>1.3736999999999999</v>
      </c>
      <c r="AG397" s="1">
        <v>1.3003499999999999</v>
      </c>
      <c r="AH397" s="1">
        <v>1.29799</v>
      </c>
      <c r="AI397" s="1">
        <v>1.20099</v>
      </c>
      <c r="AJ397" s="1">
        <v>1.26271</v>
      </c>
      <c r="AL397" s="4" t="s">
        <v>29</v>
      </c>
      <c r="AM397" s="6" cm="1">
        <f t="array" ref="AM397">IFERROR((SUMPRODUCT(($D$393:$D$416=AM$391)*($F$390:$AJ$390="")*$F$393:$AJ$416)+IF(AM$391="P6",SUMPRODUCT(($F$390:$AJ$390="P6")*$F$393:$AJ$416),0))/(SUMPRODUCT(($D$393:$D$416=AM$391)*($F$390:$AJ$390=""))+IF(AM$391="P6",COUNTIF($F$390:$AJ$390,"P6")*ROWS($D$393:$D$416),0)),"")</f>
        <v>1.0660673015873021</v>
      </c>
      <c r="AN397" s="6" cm="1">
        <f t="array" ref="AN397">IFERROR((SUMPRODUCT(($D$393:$D$416=AN$391)*($F$390:$AJ$390="")*$F$393:$AJ$416)+IF(AN$391="P6",SUMPRODUCT(($F$390:$AJ$390="P6")*$F$393:$AJ$416),0))/(SUMPRODUCT(($D$393:$D$416=AN$391)*($F$390:$AJ$390=""))+IF(AN$391="P6",COUNTIF($F$390:$AJ$390,"P6")*ROWS($D$393:$D$416),0)),"")</f>
        <v>1.1149779591836735</v>
      </c>
      <c r="AO397" s="5" t="str" cm="1">
        <f t="array" ref="AO397">IFERROR((SUMPRODUCT(($D$393:$D$416=AO$391)*($F$390:$AJ$390="")*$F$393:$AJ$416)+IF(AO$391="P6",SUMPRODUCT(($F$390:$AJ$390="P6")*$F$393:$AJ$416),0))/(SUMPRODUCT(($D$393:$D$416=AO$391)*($F$390:$AJ$390=""))+IF(AO$391="P6",COUNTIF($F$390:$AJ$390,"P6")*ROWS($D$393:$D$416),0)),"")</f>
        <v/>
      </c>
      <c r="AP397" s="5" t="str" cm="1">
        <f t="array" ref="AP397">IFERROR((SUMPRODUCT(($D$393:$D$416=AP$391)*($F$390:$AJ$390="")*$F$393:$AJ$416)+IF(AP$391="P6",SUMPRODUCT(($F$390:$AJ$390="P6")*$F$393:$AJ$416),0))/(SUMPRODUCT(($D$393:$D$416=AP$391)*($F$390:$AJ$390=""))+IF(AP$391="P6",COUNTIF($F$390:$AJ$390,"P6")*ROWS($D$393:$D$416),0)),"")</f>
        <v/>
      </c>
      <c r="AQ397" s="5" t="str" cm="1">
        <f t="array" ref="AQ397">IFERROR((SUMPRODUCT(($D$393:$D$416=AQ$391)*($F$390:$AJ$390="")*$F$393:$AJ$416)+IF(AQ$391="P6",SUMPRODUCT(($F$390:$AJ$390="P6")*$F$393:$AJ$416),0))/(SUMPRODUCT(($D$393:$D$416=AQ$391)*($F$390:$AJ$390=""))+IF(AQ$391="P6",COUNTIF($F$390:$AJ$390,"P6")*ROWS($D$393:$D$416),0)),"")</f>
        <v/>
      </c>
      <c r="AR397" s="6" cm="1">
        <f t="array" ref="AR397">IFERROR((SUMPRODUCT(($D$393:$D$416=AR$391)*($F$390:$AJ$390="")*$F$393:$AJ$416)+IF(AR$391="P6",SUMPRODUCT(($F$390:$AJ$390="P6")*$F$393:$AJ$416),0))/(SUMPRODUCT(($D$393:$D$416=AR$391)*($F$390:$AJ$390=""))+IF(AR$391="P6",COUNTIF($F$390:$AJ$390,"P6")*ROWS($D$393:$D$416),0)),"")</f>
        <v>1.1824037990196086</v>
      </c>
    </row>
    <row r="398" spans="1:44" ht="14.25" customHeight="1" x14ac:dyDescent="0.35">
      <c r="A398" s="1" t="s">
        <v>7</v>
      </c>
      <c r="B398" s="1" t="s">
        <v>7</v>
      </c>
      <c r="C398" s="1" t="s">
        <v>15</v>
      </c>
      <c r="D398" s="1" t="s">
        <v>7</v>
      </c>
      <c r="E398" s="1" t="s">
        <v>18</v>
      </c>
      <c r="F398" s="1">
        <v>1.26576</v>
      </c>
      <c r="G398" s="1">
        <v>1.1758200000000001</v>
      </c>
      <c r="H398" s="1">
        <v>1.21879</v>
      </c>
      <c r="I398" s="1">
        <v>1.2519</v>
      </c>
      <c r="J398" s="1">
        <v>1.3155699999999999</v>
      </c>
      <c r="K398" s="1">
        <v>1.3428100000000001</v>
      </c>
      <c r="L398" s="1">
        <v>1.26573</v>
      </c>
      <c r="M398" s="1">
        <v>1.37548</v>
      </c>
      <c r="N398" s="1">
        <v>1.1758200000000001</v>
      </c>
      <c r="O398" s="1">
        <v>1.21879</v>
      </c>
      <c r="P398" s="1">
        <v>1.2519</v>
      </c>
      <c r="Q398" s="1">
        <v>1.3155699999999999</v>
      </c>
      <c r="R398" s="1">
        <v>1.3661300000000001</v>
      </c>
      <c r="S398" s="1">
        <v>1.26573</v>
      </c>
      <c r="T398" s="1">
        <v>1.26576</v>
      </c>
      <c r="U398" s="1">
        <v>1.1758200000000001</v>
      </c>
      <c r="V398" s="1">
        <v>1.21879</v>
      </c>
      <c r="W398" s="1">
        <v>1.2519</v>
      </c>
      <c r="X398" s="1">
        <v>1.3155699999999999</v>
      </c>
      <c r="Y398" s="1">
        <v>1.3661300000000001</v>
      </c>
      <c r="Z398" s="1">
        <v>1.26573</v>
      </c>
      <c r="AA398" s="1">
        <v>1.26576</v>
      </c>
      <c r="AB398" s="1">
        <v>1.1758200000000001</v>
      </c>
      <c r="AC398" s="1">
        <v>1.21879</v>
      </c>
      <c r="AD398" s="1">
        <v>1.55393</v>
      </c>
      <c r="AE398" s="1">
        <v>1.3155699999999999</v>
      </c>
      <c r="AF398" s="1">
        <v>1.3661300000000001</v>
      </c>
      <c r="AG398" s="1">
        <v>1.26573</v>
      </c>
      <c r="AH398" s="1">
        <v>1.26576</v>
      </c>
      <c r="AI398" s="1">
        <v>1.1758200000000001</v>
      </c>
      <c r="AJ398" s="1">
        <v>1.21879</v>
      </c>
      <c r="AL398" s="10"/>
      <c r="AM398" s="10"/>
      <c r="AN398" s="10"/>
      <c r="AO398" s="10"/>
      <c r="AP398" s="10"/>
      <c r="AQ398" s="10"/>
      <c r="AR398" s="10"/>
    </row>
    <row r="399" spans="1:44" ht="14.25" customHeight="1" x14ac:dyDescent="0.35">
      <c r="A399" s="1" t="s">
        <v>7</v>
      </c>
      <c r="B399" s="1" t="s">
        <v>7</v>
      </c>
      <c r="C399" s="1" t="s">
        <v>15</v>
      </c>
      <c r="D399" s="1" t="s">
        <v>7</v>
      </c>
      <c r="E399" s="1" t="s">
        <v>20</v>
      </c>
      <c r="F399" s="1">
        <v>1.15303</v>
      </c>
      <c r="G399" s="1">
        <v>1.0724199999999999</v>
      </c>
      <c r="H399" s="1">
        <v>1.1134599999999999</v>
      </c>
      <c r="I399" s="1">
        <v>1.12327</v>
      </c>
      <c r="J399" s="1">
        <v>1.24536</v>
      </c>
      <c r="K399" s="1">
        <v>1.3017799999999999</v>
      </c>
      <c r="L399" s="1">
        <v>1.1432899999999999</v>
      </c>
      <c r="M399" s="1">
        <v>1.3246100000000001</v>
      </c>
      <c r="N399" s="1">
        <v>1.0724199999999999</v>
      </c>
      <c r="O399" s="1">
        <v>1.1134599999999999</v>
      </c>
      <c r="P399" s="1">
        <v>1.12327</v>
      </c>
      <c r="Q399" s="1">
        <v>1.24536</v>
      </c>
      <c r="R399" s="1">
        <v>1.31464</v>
      </c>
      <c r="S399" s="1">
        <v>1.1432899999999999</v>
      </c>
      <c r="T399" s="1">
        <v>1.15303</v>
      </c>
      <c r="U399" s="1">
        <v>1.0724199999999999</v>
      </c>
      <c r="V399" s="1">
        <v>1.1134599999999999</v>
      </c>
      <c r="W399" s="1">
        <v>1.12327</v>
      </c>
      <c r="X399" s="1">
        <v>1.24536</v>
      </c>
      <c r="Y399" s="1">
        <v>1.31464</v>
      </c>
      <c r="Z399" s="1">
        <v>1.1432899999999999</v>
      </c>
      <c r="AA399" s="1">
        <v>1.15303</v>
      </c>
      <c r="AB399" s="1">
        <v>1.0724199999999999</v>
      </c>
      <c r="AC399" s="1">
        <v>1.1134599999999999</v>
      </c>
      <c r="AD399" s="1">
        <v>1.5317000000000001</v>
      </c>
      <c r="AE399" s="1">
        <v>1.24536</v>
      </c>
      <c r="AF399" s="1">
        <v>1.31464</v>
      </c>
      <c r="AG399" s="1">
        <v>1.1432899999999999</v>
      </c>
      <c r="AH399" s="1">
        <v>1.15303</v>
      </c>
      <c r="AI399" s="1">
        <v>1.0724199999999999</v>
      </c>
      <c r="AJ399" s="1">
        <v>1.1134599999999999</v>
      </c>
      <c r="AL399" s="10"/>
      <c r="AM399" s="10"/>
      <c r="AN399" s="10"/>
      <c r="AO399" s="10"/>
      <c r="AP399" s="10"/>
      <c r="AQ399" s="10"/>
      <c r="AR399" s="10"/>
    </row>
    <row r="400" spans="1:44" ht="14.25" customHeight="1" x14ac:dyDescent="0.35">
      <c r="A400" s="1" t="s">
        <v>7</v>
      </c>
      <c r="B400" s="1" t="s">
        <v>7</v>
      </c>
      <c r="C400" s="1" t="s">
        <v>15</v>
      </c>
      <c r="D400" s="1" t="s">
        <v>7</v>
      </c>
      <c r="E400" s="1" t="s">
        <v>22</v>
      </c>
      <c r="F400" s="1">
        <v>1.0395099999999999</v>
      </c>
      <c r="G400" s="1">
        <v>0.97062999999999999</v>
      </c>
      <c r="H400" s="1">
        <v>0.99502999999999997</v>
      </c>
      <c r="I400" s="1">
        <v>1.0088999999999999</v>
      </c>
      <c r="J400" s="1">
        <v>1.17394</v>
      </c>
      <c r="K400" s="1">
        <v>1.2468300000000001</v>
      </c>
      <c r="L400" s="1">
        <v>1.01081</v>
      </c>
      <c r="M400" s="1">
        <v>1.25824</v>
      </c>
      <c r="N400" s="1">
        <v>0.97062999999999999</v>
      </c>
      <c r="O400" s="1">
        <v>0.99502999999999997</v>
      </c>
      <c r="P400" s="1">
        <v>1.0088999999999999</v>
      </c>
      <c r="Q400" s="1">
        <v>1.17394</v>
      </c>
      <c r="R400" s="1">
        <v>1.2428399999999999</v>
      </c>
      <c r="S400" s="1">
        <v>1.01081</v>
      </c>
      <c r="T400" s="1">
        <v>1.0395099999999999</v>
      </c>
      <c r="U400" s="1">
        <v>0.97062999999999999</v>
      </c>
      <c r="V400" s="1">
        <v>0.99502999999999997</v>
      </c>
      <c r="W400" s="1">
        <v>1.0088999999999999</v>
      </c>
      <c r="X400" s="1">
        <v>1.17394</v>
      </c>
      <c r="Y400" s="1">
        <v>1.2428399999999999</v>
      </c>
      <c r="Z400" s="1">
        <v>1.01081</v>
      </c>
      <c r="AA400" s="1">
        <v>1.0395099999999999</v>
      </c>
      <c r="AB400" s="1">
        <v>0.97062999999999999</v>
      </c>
      <c r="AC400" s="1">
        <v>0.99502999999999997</v>
      </c>
      <c r="AD400" s="1">
        <v>1.4493199999999999</v>
      </c>
      <c r="AE400" s="1">
        <v>1.17394</v>
      </c>
      <c r="AF400" s="1">
        <v>1.2428399999999999</v>
      </c>
      <c r="AG400" s="1">
        <v>1.01081</v>
      </c>
      <c r="AH400" s="1">
        <v>1.0395099999999999</v>
      </c>
      <c r="AI400" s="1">
        <v>0.97062999999999999</v>
      </c>
      <c r="AJ400" s="1">
        <v>0.99502999999999997</v>
      </c>
      <c r="AL400" s="14" t="s">
        <v>150</v>
      </c>
      <c r="AM400" s="14"/>
      <c r="AN400" s="14"/>
      <c r="AO400" s="14"/>
      <c r="AP400" s="14"/>
      <c r="AQ400" s="14"/>
      <c r="AR400" s="14"/>
    </row>
    <row r="401" spans="1:44" ht="14.25" customHeight="1" x14ac:dyDescent="0.35">
      <c r="A401" s="1" t="s">
        <v>15</v>
      </c>
      <c r="B401" s="1" t="s">
        <v>16</v>
      </c>
      <c r="C401" s="1" t="s">
        <v>14</v>
      </c>
      <c r="D401" s="1" t="s">
        <v>14</v>
      </c>
      <c r="E401" s="1" t="s">
        <v>24</v>
      </c>
      <c r="F401" s="1">
        <v>1.1459999999999999</v>
      </c>
      <c r="G401" s="1">
        <v>1.05019</v>
      </c>
      <c r="H401" s="1">
        <v>1.0525</v>
      </c>
      <c r="I401" s="1">
        <v>1.05688</v>
      </c>
      <c r="J401" s="1">
        <v>1.12416</v>
      </c>
      <c r="K401" s="1">
        <v>1.21018</v>
      </c>
      <c r="L401" s="1">
        <v>1.0543499999999999</v>
      </c>
      <c r="M401" s="1">
        <v>1.2305600000000001</v>
      </c>
      <c r="N401" s="1">
        <v>1.05019</v>
      </c>
      <c r="O401" s="1">
        <v>1.0525</v>
      </c>
      <c r="P401" s="1">
        <v>1.05688</v>
      </c>
      <c r="Q401" s="1">
        <v>1.12416</v>
      </c>
      <c r="R401" s="1">
        <v>1.2101999999999999</v>
      </c>
      <c r="S401" s="1">
        <v>1.0543499999999999</v>
      </c>
      <c r="T401" s="1">
        <v>1.1459999999999999</v>
      </c>
      <c r="U401" s="1">
        <v>1.05019</v>
      </c>
      <c r="V401" s="1">
        <v>1.0525</v>
      </c>
      <c r="W401" s="1">
        <v>1.05688</v>
      </c>
      <c r="X401" s="1">
        <v>1.12416</v>
      </c>
      <c r="Y401" s="1">
        <v>1.2101999999999999</v>
      </c>
      <c r="Z401" s="1">
        <v>1.0543499999999999</v>
      </c>
      <c r="AA401" s="1">
        <v>1.1459999999999999</v>
      </c>
      <c r="AB401" s="1">
        <v>1.05019</v>
      </c>
      <c r="AC401" s="1">
        <v>1.0525</v>
      </c>
      <c r="AD401" s="1">
        <v>1.37965</v>
      </c>
      <c r="AE401" s="1">
        <v>1.12416</v>
      </c>
      <c r="AF401" s="1">
        <v>1.2101999999999999</v>
      </c>
      <c r="AG401" s="1">
        <v>1.0543499999999999</v>
      </c>
      <c r="AH401" s="1">
        <v>1.1459999999999999</v>
      </c>
      <c r="AI401" s="1">
        <v>1.05019</v>
      </c>
      <c r="AJ401" s="1">
        <v>1.0525</v>
      </c>
      <c r="AL401" s="4"/>
      <c r="AM401" s="4" t="s">
        <v>13</v>
      </c>
      <c r="AN401" s="4" t="s">
        <v>14</v>
      </c>
      <c r="AO401" s="4" t="s">
        <v>15</v>
      </c>
      <c r="AP401" s="4" t="s">
        <v>16</v>
      </c>
      <c r="AQ401" s="4" t="s">
        <v>17</v>
      </c>
      <c r="AR401" s="4" t="s">
        <v>7</v>
      </c>
    </row>
    <row r="402" spans="1:44" ht="14.25" customHeight="1" x14ac:dyDescent="0.35">
      <c r="A402" s="1" t="s">
        <v>15</v>
      </c>
      <c r="B402" s="1" t="s">
        <v>16</v>
      </c>
      <c r="C402" s="1" t="s">
        <v>14</v>
      </c>
      <c r="D402" s="1" t="s">
        <v>13</v>
      </c>
      <c r="E402" s="1" t="s">
        <v>26</v>
      </c>
      <c r="F402" s="1">
        <v>1.05037</v>
      </c>
      <c r="G402" s="1">
        <v>1.0248600000000001</v>
      </c>
      <c r="H402" s="1">
        <v>1.02092</v>
      </c>
      <c r="I402" s="1">
        <v>1.0207599999999999</v>
      </c>
      <c r="J402" s="1">
        <v>1.02895</v>
      </c>
      <c r="K402" s="1">
        <v>1.13202</v>
      </c>
      <c r="L402" s="1">
        <v>1.02511</v>
      </c>
      <c r="M402" s="1">
        <v>1.1536999999999999</v>
      </c>
      <c r="N402" s="1">
        <v>1.0248600000000001</v>
      </c>
      <c r="O402" s="1">
        <v>1.02092</v>
      </c>
      <c r="P402" s="1">
        <v>1.0207599999999999</v>
      </c>
      <c r="Q402" s="1">
        <v>1.02895</v>
      </c>
      <c r="R402" s="1">
        <v>1.10423</v>
      </c>
      <c r="S402" s="1">
        <v>1.02511</v>
      </c>
      <c r="T402" s="1">
        <v>1.05037</v>
      </c>
      <c r="U402" s="1">
        <v>1.0248600000000001</v>
      </c>
      <c r="V402" s="1">
        <v>1.02092</v>
      </c>
      <c r="W402" s="1">
        <v>1.0207599999999999</v>
      </c>
      <c r="X402" s="1">
        <v>1.02895</v>
      </c>
      <c r="Y402" s="1">
        <v>1.10423</v>
      </c>
      <c r="Z402" s="1">
        <v>1.02511</v>
      </c>
      <c r="AA402" s="1">
        <v>1.05037</v>
      </c>
      <c r="AB402" s="1">
        <v>1.0248600000000001</v>
      </c>
      <c r="AC402" s="1">
        <v>1.02092</v>
      </c>
      <c r="AD402" s="1">
        <v>1.2480899999999999</v>
      </c>
      <c r="AE402" s="1">
        <v>1.02895</v>
      </c>
      <c r="AF402" s="1">
        <v>1.10423</v>
      </c>
      <c r="AG402" s="1">
        <v>1.02511</v>
      </c>
      <c r="AH402" s="1">
        <v>1.05037</v>
      </c>
      <c r="AI402" s="1">
        <v>1.0248600000000001</v>
      </c>
      <c r="AJ402" s="1">
        <v>1.02092</v>
      </c>
      <c r="AL402" s="4" t="s">
        <v>19</v>
      </c>
      <c r="AM402" s="6" cm="1">
        <f t="array" ref="AM402">IFERROR((SUMPRODUCT(($C$393:$C$416=AM$391)*($F$389:$AJ$389="")*$F$393:$AJ$416)+IF(AM$391="P3",SUMPRODUCT(($F$389:$AJ$389="P3")*$F$393:$AJ$416),0))/(SUMPRODUCT(($C$393:$C$416=AM$391)*($F$389:$AJ$389=""))+IF(AM$391="P3",COUNTIF($F$389:$AJ$389,"P3")*ROWS($C$393:$C$416),0)),"")</f>
        <v>1.0707953571428579</v>
      </c>
      <c r="AN402" s="6" cm="1">
        <f t="array" ref="AN402">IFERROR((SUMPRODUCT(($C$393:$C$416=AN$391)*($F$389:$AJ$389="")*$F$393:$AJ$416)+IF(AN$391="P3",SUMPRODUCT(($F$389:$AJ$389="P3")*$F$393:$AJ$416),0))/(SUMPRODUCT(($C$393:$C$416=AN$391)*($F$389:$AJ$389=""))+IF(AN$391="P3",COUNTIF($F$389:$AJ$389,"P3")*ROWS($C$393:$C$416),0)),"")</f>
        <v>1.1041360714285708</v>
      </c>
      <c r="AO402" s="6" cm="1">
        <f t="array" ref="AO402">IFERROR((SUMPRODUCT(($C$393:$C$416=AO$391)*($F$389:$AJ$389="")*$F$393:$AJ$416)+IF(AO$391="P3",SUMPRODUCT(($F$389:$AJ$389="P3")*$F$393:$AJ$416),0))/(SUMPRODUCT(($C$393:$C$416=AO$391)*($F$389:$AJ$389=""))+IF(AO$391="P3",COUNTIF($F$389:$AJ$389,"P3")*ROWS($C$393:$C$416),0)),"")</f>
        <v>1.1824037990196086</v>
      </c>
      <c r="AP402" s="6" t="str" cm="1">
        <f t="array" ref="AP402">IFERROR((SUMPRODUCT(($C$393:$C$416=AP$391)*($F$389:$AJ$389="")*$F$393:$AJ$416)+IF(AP$391="P3",SUMPRODUCT(($F$389:$AJ$389="P3")*$F$393:$AJ$416),0))/(SUMPRODUCT(($C$393:$C$416=AP$391)*($F$389:$AJ$389=""))+IF(AP$391="P3",COUNTIF($F$389:$AJ$389,"P3")*ROWS($C$393:$C$416),0)),"")</f>
        <v/>
      </c>
      <c r="AQ402" s="6" t="str" cm="1">
        <f t="array" ref="AQ402">IFERROR((SUMPRODUCT(($C$393:$C$416=AQ$391)*($F$389:$AJ$389="")*$F$393:$AJ$416)+IF(AQ$391="P3",SUMPRODUCT(($F$389:$AJ$389="P3")*$F$393:$AJ$416),0))/(SUMPRODUCT(($C$393:$C$416=AQ$391)*($F$389:$AJ$389=""))+IF(AQ$391="P3",COUNTIF($F$389:$AJ$389,"P3")*ROWS($C$393:$C$416),0)),"")</f>
        <v/>
      </c>
      <c r="AR402" s="6" t="str" cm="1">
        <f t="array" ref="AR402">IFERROR((SUMPRODUCT(($C$393:$C$416=AR$391)*($F$389:$AJ$389="")*$F$393:$AJ$416)+IF(AR$391="P3",SUMPRODUCT(($F$389:$AJ$389="P3")*$F$393:$AJ$416),0))/(SUMPRODUCT(($C$393:$C$416=AR$391)*($F$389:$AJ$389=""))+IF(AR$391="P3",COUNTIF($F$389:$AJ$389,"P3")*ROWS($C$393:$C$416),0)),"")</f>
        <v/>
      </c>
    </row>
    <row r="403" spans="1:44" ht="14.25" customHeight="1" x14ac:dyDescent="0.35">
      <c r="A403" s="1" t="s">
        <v>14</v>
      </c>
      <c r="B403" s="1" t="s">
        <v>15</v>
      </c>
      <c r="C403" s="1" t="s">
        <v>13</v>
      </c>
      <c r="D403" s="1" t="s">
        <v>13</v>
      </c>
      <c r="E403" s="1" t="s">
        <v>28</v>
      </c>
      <c r="F403" s="1">
        <v>1.0032399999999999</v>
      </c>
      <c r="G403" s="1">
        <v>0.98719000000000001</v>
      </c>
      <c r="H403" s="1">
        <v>0.96465000000000001</v>
      </c>
      <c r="I403" s="1">
        <v>0.97723000000000004</v>
      </c>
      <c r="J403" s="1">
        <v>0.97091000000000005</v>
      </c>
      <c r="K403" s="1">
        <v>1.0738300000000001</v>
      </c>
      <c r="L403" s="1">
        <v>0.98392999999999997</v>
      </c>
      <c r="M403" s="1">
        <v>1.0915299999999999</v>
      </c>
      <c r="N403" s="1">
        <v>0.98719000000000001</v>
      </c>
      <c r="O403" s="1">
        <v>0.96465000000000001</v>
      </c>
      <c r="P403" s="1">
        <v>0.97723000000000004</v>
      </c>
      <c r="Q403" s="1">
        <v>0.97091000000000005</v>
      </c>
      <c r="R403" s="1">
        <v>1.0105900000000001</v>
      </c>
      <c r="S403" s="1">
        <v>0.98392999999999997</v>
      </c>
      <c r="T403" s="1">
        <v>1.0032399999999999</v>
      </c>
      <c r="U403" s="1">
        <v>0.98719000000000001</v>
      </c>
      <c r="V403" s="1">
        <v>0.96465000000000001</v>
      </c>
      <c r="W403" s="1">
        <v>0.97723000000000004</v>
      </c>
      <c r="X403" s="1">
        <v>0.97091000000000005</v>
      </c>
      <c r="Y403" s="1">
        <v>1.0105900000000001</v>
      </c>
      <c r="Z403" s="1">
        <v>0.98392999999999997</v>
      </c>
      <c r="AA403" s="1">
        <v>1.0032399999999999</v>
      </c>
      <c r="AB403" s="1">
        <v>0.98719000000000001</v>
      </c>
      <c r="AC403" s="1">
        <v>0.96465000000000001</v>
      </c>
      <c r="AD403" s="1">
        <v>1.1426000000000001</v>
      </c>
      <c r="AE403" s="1">
        <v>0.97091000000000005</v>
      </c>
      <c r="AF403" s="1">
        <v>1.0105900000000001</v>
      </c>
      <c r="AG403" s="1">
        <v>0.98392999999999997</v>
      </c>
      <c r="AH403" s="1">
        <v>1.0032399999999999</v>
      </c>
      <c r="AI403" s="1">
        <v>0.98719000000000001</v>
      </c>
      <c r="AJ403" s="1">
        <v>0.96465000000000001</v>
      </c>
      <c r="AL403" s="4" t="s">
        <v>21</v>
      </c>
      <c r="AM403" s="6" t="str" cm="1">
        <f t="array" ref="AM403">IFERROR((SUMPRODUCT(($A$393:$A$416=AM$391)*($F$390:$AJ$390="")*$F$393:$AJ$416)+IF(AM$391="P6",SUMPRODUCT(($F$390:$AJ$390="P6")*$F$393:$AJ$416),0))/(SUMPRODUCT(($A$393:$A$416=AM$391)*($F$390:$AJ$390=""))+IF(AM$391="P6",COUNTIF($F$390:$AJ$390,"P6")*ROWS($A$393:$A$416),0)),"")</f>
        <v/>
      </c>
      <c r="AN403" s="6" cm="1">
        <f t="array" ref="AN403">IFERROR((SUMPRODUCT(($A$393:$A$416=AN$391)*($F$390:$AJ$390="")*$F$393:$AJ$416)+IF(AN$391="P6",SUMPRODUCT(($F$390:$AJ$390="P6")*$F$393:$AJ$416),0))/(SUMPRODUCT(($A$393:$A$416=AN$391)*($F$390:$AJ$390=""))+IF(AN$391="P6",COUNTIF($F$390:$AJ$390,"P6")*ROWS($A$393:$A$416),0)),"")</f>
        <v>1.0655615873015876</v>
      </c>
      <c r="AO403" s="6" cm="1">
        <f t="array" ref="AO403">IFERROR((SUMPRODUCT(($A$393:$A$416=AO$391)*($F$390:$AJ$390="")*$F$393:$AJ$416)+IF(AO$391="P6",SUMPRODUCT(($F$390:$AJ$390="P6")*$F$393:$AJ$416),0))/(SUMPRODUCT(($A$393:$A$416=AO$391)*($F$390:$AJ$390=""))+IF(AO$391="P6",COUNTIF($F$390:$AJ$390,"P6")*ROWS($A$393:$A$416),0)),"")</f>
        <v>1.1156281632653058</v>
      </c>
      <c r="AP403" s="6" t="str" cm="1">
        <f t="array" ref="AP403">IFERROR((SUMPRODUCT(($A$393:$A$416=AP$391)*($F$390:$AJ$390="")*$F$393:$AJ$416)+IF(AP$391="P6",SUMPRODUCT(($F$390:$AJ$390="P6")*$F$393:$AJ$416),0))/(SUMPRODUCT(($A$393:$A$416=AP$391)*($F$390:$AJ$390=""))+IF(AP$391="P6",COUNTIF($F$390:$AJ$390,"P6")*ROWS($A$393:$A$416),0)),"")</f>
        <v/>
      </c>
      <c r="AQ403" s="6" t="str" cm="1">
        <f t="array" ref="AQ403">IFERROR((SUMPRODUCT(($A$393:$A$416=AQ$391)*($F$390:$AJ$390="")*$F$393:$AJ$416)+IF(AQ$391="P6",SUMPRODUCT(($F$390:$AJ$390="P6")*$F$393:$AJ$416),0))/(SUMPRODUCT(($A$393:$A$416=AQ$391)*($F$390:$AJ$390=""))+IF(AQ$391="P6",COUNTIF($F$390:$AJ$390,"P6")*ROWS($A$393:$A$416),0)),"")</f>
        <v/>
      </c>
      <c r="AR403" s="6" cm="1">
        <f t="array" ref="AR403">IFERROR((SUMPRODUCT(($A$393:$A$416=AR$391)*($F$390:$AJ$390="")*$F$393:$AJ$416)+IF(AR$391="P6",SUMPRODUCT(($F$390:$AJ$390="P6")*$F$393:$AJ$416),0))/(SUMPRODUCT(($A$393:$A$416=AR$391)*($F$390:$AJ$390=""))+IF(AR$391="P6",COUNTIF($F$390:$AJ$390,"P6")*ROWS($A$393:$A$416),0)),"")</f>
        <v>1.1824037990196086</v>
      </c>
    </row>
    <row r="404" spans="1:44" ht="14.25" customHeight="1" x14ac:dyDescent="0.35">
      <c r="A404" s="1" t="s">
        <v>14</v>
      </c>
      <c r="B404" s="1" t="s">
        <v>15</v>
      </c>
      <c r="C404" s="1" t="s">
        <v>13</v>
      </c>
      <c r="D404" s="1" t="s">
        <v>13</v>
      </c>
      <c r="E404" s="1" t="s">
        <v>30</v>
      </c>
      <c r="F404" s="1">
        <v>1.0057400000000001</v>
      </c>
      <c r="G404" s="1">
        <v>0.98373999999999995</v>
      </c>
      <c r="H404" s="1">
        <v>0.97448000000000001</v>
      </c>
      <c r="I404" s="1">
        <v>0.98460000000000003</v>
      </c>
      <c r="J404" s="1">
        <v>0.96242000000000005</v>
      </c>
      <c r="K404" s="1">
        <v>1.0552299999999999</v>
      </c>
      <c r="L404" s="1">
        <v>0.98848000000000003</v>
      </c>
      <c r="M404" s="1">
        <v>1.0633999999999999</v>
      </c>
      <c r="N404" s="1">
        <v>0.98373999999999995</v>
      </c>
      <c r="O404" s="1">
        <v>0.97448000000000001</v>
      </c>
      <c r="P404" s="1">
        <v>0.98460000000000003</v>
      </c>
      <c r="Q404" s="1">
        <v>0.96242000000000005</v>
      </c>
      <c r="R404" s="1">
        <v>1.0022899999999999</v>
      </c>
      <c r="S404" s="1">
        <v>0.98848000000000003</v>
      </c>
      <c r="T404" s="1">
        <v>1.0057400000000001</v>
      </c>
      <c r="U404" s="1">
        <v>0.98373999999999995</v>
      </c>
      <c r="V404" s="1">
        <v>0.97448000000000001</v>
      </c>
      <c r="W404" s="1">
        <v>0.98460000000000003</v>
      </c>
      <c r="X404" s="1">
        <v>0.96242000000000005</v>
      </c>
      <c r="Y404" s="1">
        <v>1.0022899999999999</v>
      </c>
      <c r="Z404" s="1">
        <v>0.98848000000000003</v>
      </c>
      <c r="AA404" s="1">
        <v>1.0057400000000001</v>
      </c>
      <c r="AB404" s="1">
        <v>0.98373999999999995</v>
      </c>
      <c r="AC404" s="1">
        <v>0.97448000000000001</v>
      </c>
      <c r="AD404" s="1">
        <v>1.07507</v>
      </c>
      <c r="AE404" s="1">
        <v>0.96242000000000005</v>
      </c>
      <c r="AF404" s="1">
        <v>1.0022899999999999</v>
      </c>
      <c r="AG404" s="1">
        <v>0.98848000000000003</v>
      </c>
      <c r="AH404" s="1">
        <v>1.0057400000000001</v>
      </c>
      <c r="AI404" s="1">
        <v>0.98373999999999995</v>
      </c>
      <c r="AJ404" s="1">
        <v>0.97448000000000001</v>
      </c>
      <c r="AL404" s="4" t="s">
        <v>23</v>
      </c>
      <c r="AM404" s="6" t="str" cm="1">
        <f t="array" ref="AM404">IFERROR((SUMPRODUCT(($A$393:$A$416=AM$391)*($F$390:$AJ$390="")*$F$393:$AJ$416)+IF(AM$391="P6",SUMPRODUCT(($F$390:$AJ$390="P6")*$F$393:$AJ$416),0))/(SUMPRODUCT(($A$393:$A$416=AM$391)*($F$390:$AJ$390=""))+IF(AM$391="P6",COUNTIF($F$390:$AJ$390,"P6")*ROWS($A$393:$A$416),0)),"")</f>
        <v/>
      </c>
      <c r="AN404" s="6" cm="1">
        <f t="array" ref="AN404">IFERROR((SUMPRODUCT(($A$393:$A$416=AN$391)*($F$390:$AJ$390="")*$F$393:$AJ$416)+IF(AN$391="P6",SUMPRODUCT(($F$390:$AJ$390="P6")*$F$393:$AJ$416),0))/(SUMPRODUCT(($A$393:$A$416=AN$391)*($F$390:$AJ$390=""))+IF(AN$391="P6",COUNTIF($F$390:$AJ$390,"P6")*ROWS($A$393:$A$416),0)),"")</f>
        <v>1.0655615873015876</v>
      </c>
      <c r="AO404" s="6" cm="1">
        <f t="array" ref="AO404">IFERROR((SUMPRODUCT(($A$393:$A$416=AO$391)*($F$390:$AJ$390="")*$F$393:$AJ$416)+IF(AO$391="P6",SUMPRODUCT(($F$390:$AJ$390="P6")*$F$393:$AJ$416),0))/(SUMPRODUCT(($A$393:$A$416=AO$391)*($F$390:$AJ$390=""))+IF(AO$391="P6",COUNTIF($F$390:$AJ$390,"P6")*ROWS($A$393:$A$416),0)),"")</f>
        <v>1.1156281632653058</v>
      </c>
      <c r="AP404" s="6" t="str" cm="1">
        <f t="array" ref="AP404">IFERROR((SUMPRODUCT(($A$393:$A$416=AP$391)*($F$390:$AJ$390="")*$F$393:$AJ$416)+IF(AP$391="P6",SUMPRODUCT(($F$390:$AJ$390="P6")*$F$393:$AJ$416),0))/(SUMPRODUCT(($A$393:$A$416=AP$391)*($F$390:$AJ$390=""))+IF(AP$391="P6",COUNTIF($F$390:$AJ$390,"P6")*ROWS($A$393:$A$416),0)),"")</f>
        <v/>
      </c>
      <c r="AQ404" s="6" t="str" cm="1">
        <f t="array" ref="AQ404">IFERROR((SUMPRODUCT(($A$393:$A$416=AQ$391)*($F$390:$AJ$390="")*$F$393:$AJ$416)+IF(AQ$391="P6",SUMPRODUCT(($F$390:$AJ$390="P6")*$F$393:$AJ$416),0))/(SUMPRODUCT(($A$393:$A$416=AQ$391)*($F$390:$AJ$390=""))+IF(AQ$391="P6",COUNTIF($F$390:$AJ$390,"P6")*ROWS($A$393:$A$416),0)),"")</f>
        <v/>
      </c>
      <c r="AR404" s="6" cm="1">
        <f t="array" ref="AR404">IFERROR((SUMPRODUCT(($A$393:$A$416=AR$391)*($F$390:$AJ$390="")*$F$393:$AJ$416)+IF(AR$391="P6",SUMPRODUCT(($F$390:$AJ$390="P6")*$F$393:$AJ$416),0))/(SUMPRODUCT(($A$393:$A$416=AR$391)*($F$390:$AJ$390=""))+IF(AR$391="P6",COUNTIF($F$390:$AJ$390,"P6")*ROWS($A$393:$A$416),0)),"")</f>
        <v>1.1824037990196086</v>
      </c>
    </row>
    <row r="405" spans="1:44" ht="14.25" customHeight="1" x14ac:dyDescent="0.35">
      <c r="A405" s="1" t="s">
        <v>14</v>
      </c>
      <c r="B405" s="1" t="s">
        <v>15</v>
      </c>
      <c r="C405" s="1" t="s">
        <v>13</v>
      </c>
      <c r="D405" s="1" t="s">
        <v>13</v>
      </c>
      <c r="E405" s="1" t="s">
        <v>31</v>
      </c>
      <c r="F405" s="1">
        <v>1.0103899999999999</v>
      </c>
      <c r="G405" s="1">
        <v>0.98382000000000003</v>
      </c>
      <c r="H405" s="1">
        <v>0.98443999999999998</v>
      </c>
      <c r="I405" s="1">
        <v>0.99224000000000001</v>
      </c>
      <c r="J405" s="1">
        <v>0.96274999999999999</v>
      </c>
      <c r="K405" s="1">
        <v>1.05298</v>
      </c>
      <c r="L405" s="1">
        <v>0.98792999999999997</v>
      </c>
      <c r="M405" s="1">
        <v>1.0652900000000001</v>
      </c>
      <c r="N405" s="1">
        <v>0.98382000000000003</v>
      </c>
      <c r="O405" s="1">
        <v>0.98443999999999998</v>
      </c>
      <c r="P405" s="1">
        <v>0.99224000000000001</v>
      </c>
      <c r="Q405" s="1">
        <v>0.96274999999999999</v>
      </c>
      <c r="R405" s="1">
        <v>1.00526</v>
      </c>
      <c r="S405" s="1">
        <v>0.98792999999999997</v>
      </c>
      <c r="T405" s="1">
        <v>1.0103899999999999</v>
      </c>
      <c r="U405" s="1">
        <v>0.98382000000000003</v>
      </c>
      <c r="V405" s="1">
        <v>0.98443999999999998</v>
      </c>
      <c r="W405" s="1">
        <v>0.99224000000000001</v>
      </c>
      <c r="X405" s="1">
        <v>0.96274999999999999</v>
      </c>
      <c r="Y405" s="1">
        <v>1.00526</v>
      </c>
      <c r="Z405" s="1">
        <v>0.98792999999999997</v>
      </c>
      <c r="AA405" s="1">
        <v>1.0103899999999999</v>
      </c>
      <c r="AB405" s="1">
        <v>0.98382000000000003</v>
      </c>
      <c r="AC405" s="1">
        <v>0.98443999999999998</v>
      </c>
      <c r="AD405" s="1">
        <v>1.0465199999999999</v>
      </c>
      <c r="AE405" s="1">
        <v>0.96274999999999999</v>
      </c>
      <c r="AF405" s="1">
        <v>1.00526</v>
      </c>
      <c r="AG405" s="1">
        <v>0.98792999999999997</v>
      </c>
      <c r="AH405" s="1">
        <v>1.0103899999999999</v>
      </c>
      <c r="AI405" s="1">
        <v>0.98382000000000003</v>
      </c>
      <c r="AJ405" s="1">
        <v>0.98443999999999998</v>
      </c>
      <c r="AL405" s="4" t="s">
        <v>25</v>
      </c>
      <c r="AM405" s="6" t="str" cm="1">
        <f t="array" ref="AM405">IFERROR((SUMPRODUCT(($A$393:$A$416=AM$391)*($F$390:$AJ$390="")*$F$393:$AJ$416)+IF(AM$391="P6",SUMPRODUCT(($F$390:$AJ$390="P6")*$F$393:$AJ$416),0))/(SUMPRODUCT(($A$393:$A$416=AM$391)*($F$390:$AJ$390=""))+IF(AM$391="P6",COUNTIF($F$390:$AJ$390,"P6")*ROWS($A$393:$A$416),0)),"")</f>
        <v/>
      </c>
      <c r="AN405" s="6" cm="1">
        <f t="array" ref="AN405">IFERROR((SUMPRODUCT(($A$393:$A$416=AN$391)*($F$390:$AJ$390="")*$F$393:$AJ$416)+IF(AN$391="P6",SUMPRODUCT(($F$390:$AJ$390="P6")*$F$393:$AJ$416),0))/(SUMPRODUCT(($A$393:$A$416=AN$391)*($F$390:$AJ$390=""))+IF(AN$391="P6",COUNTIF($F$390:$AJ$390,"P6")*ROWS($A$393:$A$416),0)),"")</f>
        <v>1.0655615873015876</v>
      </c>
      <c r="AO405" s="6" cm="1">
        <f t="array" ref="AO405">IFERROR((SUMPRODUCT(($A$393:$A$416=AO$391)*($F$390:$AJ$390="")*$F$393:$AJ$416)+IF(AO$391="P6",SUMPRODUCT(($F$390:$AJ$390="P6")*$F$393:$AJ$416),0))/(SUMPRODUCT(($A$393:$A$416=AO$391)*($F$390:$AJ$390=""))+IF(AO$391="P6",COUNTIF($F$390:$AJ$390,"P6")*ROWS($A$393:$A$416),0)),"")</f>
        <v>1.1156281632653058</v>
      </c>
      <c r="AP405" s="6" t="str" cm="1">
        <f t="array" ref="AP405">IFERROR((SUMPRODUCT(($A$393:$A$416=AP$391)*($F$390:$AJ$390="")*$F$393:$AJ$416)+IF(AP$391="P6",SUMPRODUCT(($F$390:$AJ$390="P6")*$F$393:$AJ$416),0))/(SUMPRODUCT(($A$393:$A$416=AP$391)*($F$390:$AJ$390=""))+IF(AP$391="P6",COUNTIF($F$390:$AJ$390,"P6")*ROWS($A$393:$A$416),0)),"")</f>
        <v/>
      </c>
      <c r="AQ405" s="6" t="str" cm="1">
        <f t="array" ref="AQ405">IFERROR((SUMPRODUCT(($A$393:$A$416=AQ$391)*($F$390:$AJ$390="")*$F$393:$AJ$416)+IF(AQ$391="P6",SUMPRODUCT(($F$390:$AJ$390="P6")*$F$393:$AJ$416),0))/(SUMPRODUCT(($A$393:$A$416=AQ$391)*($F$390:$AJ$390=""))+IF(AQ$391="P6",COUNTIF($F$390:$AJ$390,"P6")*ROWS($A$393:$A$416),0)),"")</f>
        <v/>
      </c>
      <c r="AR405" s="6" cm="1">
        <f t="array" ref="AR405">IFERROR((SUMPRODUCT(($A$393:$A$416=AR$391)*($F$390:$AJ$390="")*$F$393:$AJ$416)+IF(AR$391="P6",SUMPRODUCT(($F$390:$AJ$390="P6")*$F$393:$AJ$416),0))/(SUMPRODUCT(($A$393:$A$416=AR$391)*($F$390:$AJ$390=""))+IF(AR$391="P6",COUNTIF($F$390:$AJ$390,"P6")*ROWS($A$393:$A$416),0)),"")</f>
        <v>1.1824037990196086</v>
      </c>
    </row>
    <row r="406" spans="1:44" ht="14.25" customHeight="1" x14ac:dyDescent="0.35">
      <c r="A406" s="1" t="s">
        <v>14</v>
      </c>
      <c r="B406" s="1" t="s">
        <v>15</v>
      </c>
      <c r="C406" s="1" t="s">
        <v>13</v>
      </c>
      <c r="D406" s="1" t="s">
        <v>13</v>
      </c>
      <c r="E406" s="1" t="s">
        <v>32</v>
      </c>
      <c r="F406" s="1">
        <v>1.0180199999999999</v>
      </c>
      <c r="G406" s="1">
        <v>0.98801000000000005</v>
      </c>
      <c r="H406" s="1">
        <v>0.98695999999999995</v>
      </c>
      <c r="I406" s="1">
        <v>0.99651999999999996</v>
      </c>
      <c r="J406" s="1">
        <v>0.95916999999999997</v>
      </c>
      <c r="K406" s="1">
        <v>1.0521100000000001</v>
      </c>
      <c r="L406" s="1">
        <v>0.98968999999999996</v>
      </c>
      <c r="M406" s="1">
        <v>1.0599400000000001</v>
      </c>
      <c r="N406" s="1">
        <v>0.98801000000000005</v>
      </c>
      <c r="O406" s="1">
        <v>0.98695999999999995</v>
      </c>
      <c r="P406" s="1">
        <v>0.99651999999999996</v>
      </c>
      <c r="Q406" s="1">
        <v>0.95916999999999997</v>
      </c>
      <c r="R406" s="1">
        <v>0.98643000000000003</v>
      </c>
      <c r="S406" s="1">
        <v>0.98968999999999996</v>
      </c>
      <c r="T406" s="1">
        <v>1.0180199999999999</v>
      </c>
      <c r="U406" s="1">
        <v>0.98801000000000005</v>
      </c>
      <c r="V406" s="1">
        <v>0.98695999999999995</v>
      </c>
      <c r="W406" s="1">
        <v>0.99651999999999996</v>
      </c>
      <c r="X406" s="1">
        <v>0.95916999999999997</v>
      </c>
      <c r="Y406" s="1">
        <v>0.98643000000000003</v>
      </c>
      <c r="Z406" s="1">
        <v>0.98968999999999996</v>
      </c>
      <c r="AA406" s="1">
        <v>1.0180199999999999</v>
      </c>
      <c r="AB406" s="1">
        <v>0.98801000000000005</v>
      </c>
      <c r="AC406" s="1">
        <v>0.98695999999999995</v>
      </c>
      <c r="AD406" s="1">
        <v>1.02976</v>
      </c>
      <c r="AE406" s="1">
        <v>0.95916999999999997</v>
      </c>
      <c r="AF406" s="1">
        <v>0.98643000000000003</v>
      </c>
      <c r="AG406" s="1">
        <v>0.98968999999999996</v>
      </c>
      <c r="AH406" s="1">
        <v>1.0180199999999999</v>
      </c>
      <c r="AI406" s="1">
        <v>0.98801000000000005</v>
      </c>
      <c r="AJ406" s="1">
        <v>0.98695999999999995</v>
      </c>
      <c r="AL406" s="4" t="s">
        <v>27</v>
      </c>
      <c r="AM406" s="6" t="str" cm="1">
        <f t="array" ref="AM406">IFERROR((SUMPRODUCT(($A$393:$A$416=AM$391)*($F$390:$AJ$390="")*$F$393:$AJ$416)+IF(AM$391="P6",SUMPRODUCT(($F$390:$AJ$390="P6")*$F$393:$AJ$416),0))/(SUMPRODUCT(($A$393:$A$416=AM$391)*($F$390:$AJ$390=""))+IF(AM$391="P6",COUNTIF($F$390:$AJ$390,"P6")*ROWS($A$393:$A$416),0)),"")</f>
        <v/>
      </c>
      <c r="AN406" s="6" cm="1">
        <f t="array" ref="AN406">IFERROR((SUMPRODUCT(($A$393:$A$416=AN$391)*($F$390:$AJ$390="")*$F$393:$AJ$416)+IF(AN$391="P6",SUMPRODUCT(($F$390:$AJ$390="P6")*$F$393:$AJ$416),0))/(SUMPRODUCT(($A$393:$A$416=AN$391)*($F$390:$AJ$390=""))+IF(AN$391="P6",COUNTIF($F$390:$AJ$390,"P6")*ROWS($A$393:$A$416),0)),"")</f>
        <v>1.0655615873015876</v>
      </c>
      <c r="AO406" s="6" cm="1">
        <f t="array" ref="AO406">IFERROR((SUMPRODUCT(($A$393:$A$416=AO$391)*($F$390:$AJ$390="")*$F$393:$AJ$416)+IF(AO$391="P6",SUMPRODUCT(($F$390:$AJ$390="P6")*$F$393:$AJ$416),0))/(SUMPRODUCT(($A$393:$A$416=AO$391)*($F$390:$AJ$390=""))+IF(AO$391="P6",COUNTIF($F$390:$AJ$390,"P6")*ROWS($A$393:$A$416),0)),"")</f>
        <v>1.1156281632653058</v>
      </c>
      <c r="AP406" s="6" t="str" cm="1">
        <f t="array" ref="AP406">IFERROR((SUMPRODUCT(($A$393:$A$416=AP$391)*($F$390:$AJ$390="")*$F$393:$AJ$416)+IF(AP$391="P6",SUMPRODUCT(($F$390:$AJ$390="P6")*$F$393:$AJ$416),0))/(SUMPRODUCT(($A$393:$A$416=AP$391)*($F$390:$AJ$390=""))+IF(AP$391="P6",COUNTIF($F$390:$AJ$390,"P6")*ROWS($A$393:$A$416),0)),"")</f>
        <v/>
      </c>
      <c r="AQ406" s="6" t="str" cm="1">
        <f t="array" ref="AQ406">IFERROR((SUMPRODUCT(($A$393:$A$416=AQ$391)*($F$390:$AJ$390="")*$F$393:$AJ$416)+IF(AQ$391="P6",SUMPRODUCT(($F$390:$AJ$390="P6")*$F$393:$AJ$416),0))/(SUMPRODUCT(($A$393:$A$416=AQ$391)*($F$390:$AJ$390=""))+IF(AQ$391="P6",COUNTIF($F$390:$AJ$390,"P6")*ROWS($A$393:$A$416),0)),"")</f>
        <v/>
      </c>
      <c r="AR406" s="6" cm="1">
        <f t="array" ref="AR406">IFERROR((SUMPRODUCT(($A$393:$A$416=AR$391)*($F$390:$AJ$390="")*$F$393:$AJ$416)+IF(AR$391="P6",SUMPRODUCT(($F$390:$AJ$390="P6")*$F$393:$AJ$416),0))/(SUMPRODUCT(($A$393:$A$416=AR$391)*($F$390:$AJ$390=""))+IF(AR$391="P6",COUNTIF($F$390:$AJ$390,"P6")*ROWS($A$393:$A$416),0)),"")</f>
        <v>1.1824037990196086</v>
      </c>
    </row>
    <row r="407" spans="1:44" ht="14.25" customHeight="1" x14ac:dyDescent="0.35">
      <c r="A407" s="1" t="s">
        <v>14</v>
      </c>
      <c r="B407" s="1" t="s">
        <v>15</v>
      </c>
      <c r="C407" s="1" t="s">
        <v>14</v>
      </c>
      <c r="D407" s="1" t="s">
        <v>14</v>
      </c>
      <c r="E407" s="1" t="s">
        <v>33</v>
      </c>
      <c r="F407" s="1">
        <v>1.0484199999999999</v>
      </c>
      <c r="G407" s="1">
        <v>1.02138</v>
      </c>
      <c r="H407" s="1">
        <v>1.0128299999999999</v>
      </c>
      <c r="I407" s="1">
        <v>1.01129</v>
      </c>
      <c r="J407" s="1">
        <v>0.98292999999999997</v>
      </c>
      <c r="K407" s="1">
        <v>1.07525</v>
      </c>
      <c r="L407" s="1">
        <v>1.0247299999999999</v>
      </c>
      <c r="M407" s="1">
        <v>1.0903</v>
      </c>
      <c r="N407" s="1">
        <v>1.02138</v>
      </c>
      <c r="O407" s="1">
        <v>1.0128299999999999</v>
      </c>
      <c r="P407" s="1">
        <v>1.01129</v>
      </c>
      <c r="Q407" s="1">
        <v>0.98292999999999997</v>
      </c>
      <c r="R407" s="1">
        <v>1.00671</v>
      </c>
      <c r="S407" s="1">
        <v>1.0247299999999999</v>
      </c>
      <c r="T407" s="1">
        <v>1.0484199999999999</v>
      </c>
      <c r="U407" s="1">
        <v>1.02138</v>
      </c>
      <c r="V407" s="1">
        <v>1.0128299999999999</v>
      </c>
      <c r="W407" s="1">
        <v>1.01129</v>
      </c>
      <c r="X407" s="1">
        <v>0.98292999999999997</v>
      </c>
      <c r="Y407" s="1">
        <v>1.00671</v>
      </c>
      <c r="Z407" s="1">
        <v>1.0247299999999999</v>
      </c>
      <c r="AA407" s="1">
        <v>1.0484199999999999</v>
      </c>
      <c r="AB407" s="1">
        <v>1.02138</v>
      </c>
      <c r="AC407" s="1">
        <v>1.0128299999999999</v>
      </c>
      <c r="AD407" s="1">
        <v>1.0596699999999999</v>
      </c>
      <c r="AE407" s="1">
        <v>0.98292999999999997</v>
      </c>
      <c r="AF407" s="1">
        <v>1.00671</v>
      </c>
      <c r="AG407" s="1">
        <v>1.0247299999999999</v>
      </c>
      <c r="AH407" s="1">
        <v>1.0484199999999999</v>
      </c>
      <c r="AI407" s="1">
        <v>1.02138</v>
      </c>
      <c r="AJ407" s="1">
        <v>1.0128299999999999</v>
      </c>
      <c r="AL407" s="4" t="s">
        <v>29</v>
      </c>
      <c r="AM407" s="6" t="str" cm="1">
        <f t="array" ref="AM407">IFERROR((SUMPRODUCT(($A$393:$A$416=AM$391)*($F$390:$AJ$390="")*$F$393:$AJ$416)+IF(AM$391="P6",SUMPRODUCT(($F$390:$AJ$390="P6")*$F$393:$AJ$416),0))/(SUMPRODUCT(($A$393:$A$416=AM$391)*($F$390:$AJ$390=""))+IF(AM$391="P6",COUNTIF($F$390:$AJ$390,"P6")*ROWS($A$393:$A$416),0)),"")</f>
        <v/>
      </c>
      <c r="AN407" s="6" cm="1">
        <f t="array" ref="AN407">IFERROR((SUMPRODUCT(($A$393:$A$416=AN$391)*($F$390:$AJ$390="")*$F$393:$AJ$416)+IF(AN$391="P6",SUMPRODUCT(($F$390:$AJ$390="P6")*$F$393:$AJ$416),0))/(SUMPRODUCT(($A$393:$A$416=AN$391)*($F$390:$AJ$390=""))+IF(AN$391="P6",COUNTIF($F$390:$AJ$390,"P6")*ROWS($A$393:$A$416),0)),"")</f>
        <v>1.0655615873015876</v>
      </c>
      <c r="AO407" s="6" cm="1">
        <f t="array" ref="AO407">IFERROR((SUMPRODUCT(($A$393:$A$416=AO$391)*($F$390:$AJ$390="")*$F$393:$AJ$416)+IF(AO$391="P6",SUMPRODUCT(($F$390:$AJ$390="P6")*$F$393:$AJ$416),0))/(SUMPRODUCT(($A$393:$A$416=AO$391)*($F$390:$AJ$390=""))+IF(AO$391="P6",COUNTIF($F$390:$AJ$390,"P6")*ROWS($A$393:$A$416),0)),"")</f>
        <v>1.1156281632653058</v>
      </c>
      <c r="AP407" s="6" t="str" cm="1">
        <f t="array" ref="AP407">IFERROR((SUMPRODUCT(($A$393:$A$416=AP$391)*($F$390:$AJ$390="")*$F$393:$AJ$416)+IF(AP$391="P6",SUMPRODUCT(($F$390:$AJ$390="P6")*$F$393:$AJ$416),0))/(SUMPRODUCT(($A$393:$A$416=AP$391)*($F$390:$AJ$390=""))+IF(AP$391="P6",COUNTIF($F$390:$AJ$390,"P6")*ROWS($A$393:$A$416),0)),"")</f>
        <v/>
      </c>
      <c r="AQ407" s="6" t="str" cm="1">
        <f t="array" ref="AQ407">IFERROR((SUMPRODUCT(($A$393:$A$416=AQ$391)*($F$390:$AJ$390="")*$F$393:$AJ$416)+IF(AQ$391="P6",SUMPRODUCT(($F$390:$AJ$390="P6")*$F$393:$AJ$416),0))/(SUMPRODUCT(($A$393:$A$416=AQ$391)*($F$390:$AJ$390=""))+IF(AQ$391="P6",COUNTIF($F$390:$AJ$390,"P6")*ROWS($A$393:$A$416),0)),"")</f>
        <v/>
      </c>
      <c r="AR407" s="6" cm="1">
        <f t="array" ref="AR407">IFERROR((SUMPRODUCT(($A$393:$A$416=AR$391)*($F$390:$AJ$390="")*$F$393:$AJ$416)+IF(AR$391="P6",SUMPRODUCT(($F$390:$AJ$390="P6")*$F$393:$AJ$416),0))/(SUMPRODUCT(($A$393:$A$416=AR$391)*($F$390:$AJ$390=""))+IF(AR$391="P6",COUNTIF($F$390:$AJ$390,"P6")*ROWS($A$393:$A$416),0)),"")</f>
        <v>1.1824037990196086</v>
      </c>
    </row>
    <row r="408" spans="1:44" ht="14.25" customHeight="1" x14ac:dyDescent="0.35">
      <c r="A408" s="1" t="s">
        <v>15</v>
      </c>
      <c r="B408" s="1" t="s">
        <v>16</v>
      </c>
      <c r="C408" s="1" t="s">
        <v>14</v>
      </c>
      <c r="D408" s="1" t="s">
        <v>14</v>
      </c>
      <c r="E408" s="1" t="s">
        <v>34</v>
      </c>
      <c r="F408" s="1">
        <v>1.0863400000000001</v>
      </c>
      <c r="G408" s="1">
        <v>1.0431699999999999</v>
      </c>
      <c r="H408" s="1">
        <v>1.0477000000000001</v>
      </c>
      <c r="I408" s="1">
        <v>1.06419</v>
      </c>
      <c r="J408" s="1">
        <v>1.0451600000000001</v>
      </c>
      <c r="K408" s="1">
        <v>1.12832</v>
      </c>
      <c r="L408" s="1">
        <v>1.06464</v>
      </c>
      <c r="M408" s="1">
        <v>1.1476299999999999</v>
      </c>
      <c r="N408" s="1">
        <v>1.0431699999999999</v>
      </c>
      <c r="O408" s="1">
        <v>1.0477000000000001</v>
      </c>
      <c r="P408" s="1">
        <v>1.06419</v>
      </c>
      <c r="Q408" s="1">
        <v>1.0451600000000001</v>
      </c>
      <c r="R408" s="1">
        <v>1.0575000000000001</v>
      </c>
      <c r="S408" s="1">
        <v>1.06464</v>
      </c>
      <c r="T408" s="1">
        <v>1.0863400000000001</v>
      </c>
      <c r="U408" s="1">
        <v>1.0431699999999999</v>
      </c>
      <c r="V408" s="1">
        <v>1.0477000000000001</v>
      </c>
      <c r="W408" s="1">
        <v>1.06419</v>
      </c>
      <c r="X408" s="1">
        <v>1.0451600000000001</v>
      </c>
      <c r="Y408" s="1">
        <v>1.0575000000000001</v>
      </c>
      <c r="Z408" s="1">
        <v>1.06464</v>
      </c>
      <c r="AA408" s="1">
        <v>1.0863400000000001</v>
      </c>
      <c r="AB408" s="1">
        <v>1.0431699999999999</v>
      </c>
      <c r="AC408" s="1">
        <v>1.0477000000000001</v>
      </c>
      <c r="AD408" s="1">
        <v>1.1572100000000001</v>
      </c>
      <c r="AE408" s="1">
        <v>1.0451600000000001</v>
      </c>
      <c r="AF408" s="1">
        <v>1.0575000000000001</v>
      </c>
      <c r="AG408" s="1">
        <v>1.06464</v>
      </c>
      <c r="AH408" s="1">
        <v>1.0863400000000001</v>
      </c>
      <c r="AI408" s="1">
        <v>1.0431699999999999</v>
      </c>
      <c r="AJ408" s="1">
        <v>1.0477000000000001</v>
      </c>
      <c r="AL408" s="10"/>
      <c r="AM408" s="10"/>
      <c r="AN408" s="10"/>
      <c r="AO408" s="10"/>
      <c r="AP408" s="10"/>
      <c r="AQ408" s="10"/>
      <c r="AR408" s="10"/>
    </row>
    <row r="409" spans="1:44" ht="14.25" customHeight="1" x14ac:dyDescent="0.35">
      <c r="A409" s="1" t="s">
        <v>15</v>
      </c>
      <c r="B409" s="1" t="s">
        <v>16</v>
      </c>
      <c r="C409" s="1" t="s">
        <v>14</v>
      </c>
      <c r="D409" s="1" t="s">
        <v>14</v>
      </c>
      <c r="E409" s="1" t="s">
        <v>35</v>
      </c>
      <c r="F409" s="1">
        <v>1.09046</v>
      </c>
      <c r="G409" s="1">
        <v>1.0320199999999999</v>
      </c>
      <c r="H409" s="1">
        <v>1.0640499999999999</v>
      </c>
      <c r="I409" s="1">
        <v>1.07552</v>
      </c>
      <c r="J409" s="1">
        <v>1.08413</v>
      </c>
      <c r="K409" s="1">
        <v>1.1509</v>
      </c>
      <c r="L409" s="1">
        <v>1.05925</v>
      </c>
      <c r="M409" s="1">
        <v>1.1565300000000001</v>
      </c>
      <c r="N409" s="1">
        <v>1.0320199999999999</v>
      </c>
      <c r="O409" s="1">
        <v>1.0640499999999999</v>
      </c>
      <c r="P409" s="1">
        <v>1.07552</v>
      </c>
      <c r="Q409" s="1">
        <v>1.08413</v>
      </c>
      <c r="R409" s="1">
        <v>1.0958600000000001</v>
      </c>
      <c r="S409" s="1">
        <v>1.05925</v>
      </c>
      <c r="T409" s="1">
        <v>1.09046</v>
      </c>
      <c r="U409" s="1">
        <v>1.0320199999999999</v>
      </c>
      <c r="V409" s="1">
        <v>1.0640499999999999</v>
      </c>
      <c r="W409" s="1">
        <v>1.07552</v>
      </c>
      <c r="X409" s="1">
        <v>1.08413</v>
      </c>
      <c r="Y409" s="1">
        <v>1.0958600000000001</v>
      </c>
      <c r="Z409" s="1">
        <v>1.05925</v>
      </c>
      <c r="AA409" s="1">
        <v>1.09046</v>
      </c>
      <c r="AB409" s="1">
        <v>1.0320199999999999</v>
      </c>
      <c r="AC409" s="1">
        <v>1.0640499999999999</v>
      </c>
      <c r="AD409" s="1">
        <v>1.19815</v>
      </c>
      <c r="AE409" s="1">
        <v>1.08413</v>
      </c>
      <c r="AF409" s="1">
        <v>1.0958600000000001</v>
      </c>
      <c r="AG409" s="1">
        <v>1.05925</v>
      </c>
      <c r="AH409" s="1">
        <v>1.09046</v>
      </c>
      <c r="AI409" s="1">
        <v>1.0320199999999999</v>
      </c>
      <c r="AJ409" s="1">
        <v>1.0640499999999999</v>
      </c>
      <c r="AL409" s="10"/>
      <c r="AM409" s="10"/>
      <c r="AN409" s="10"/>
      <c r="AO409" s="10"/>
      <c r="AP409" s="10"/>
      <c r="AQ409" s="10"/>
      <c r="AR409" s="10"/>
    </row>
    <row r="410" spans="1:44" ht="14.25" customHeight="1" x14ac:dyDescent="0.35">
      <c r="A410" s="1" t="s">
        <v>15</v>
      </c>
      <c r="B410" s="1" t="s">
        <v>16</v>
      </c>
      <c r="C410" s="1" t="s">
        <v>14</v>
      </c>
      <c r="D410" s="1" t="s">
        <v>14</v>
      </c>
      <c r="E410" s="1" t="s">
        <v>36</v>
      </c>
      <c r="F410" s="1">
        <v>1.1064700000000001</v>
      </c>
      <c r="G410" s="1">
        <v>1.0381899999999999</v>
      </c>
      <c r="H410" s="1">
        <v>1.07386</v>
      </c>
      <c r="I410" s="1">
        <v>1.08125</v>
      </c>
      <c r="J410" s="1">
        <v>1.1028800000000001</v>
      </c>
      <c r="K410" s="1">
        <v>1.1834100000000001</v>
      </c>
      <c r="L410" s="1">
        <v>1.07247</v>
      </c>
      <c r="M410" s="1">
        <v>1.17997</v>
      </c>
      <c r="N410" s="1">
        <v>1.0381899999999999</v>
      </c>
      <c r="O410" s="1">
        <v>1.07386</v>
      </c>
      <c r="P410" s="1">
        <v>1.08125</v>
      </c>
      <c r="Q410" s="1">
        <v>1.1028800000000001</v>
      </c>
      <c r="R410" s="1">
        <v>1.1308400000000001</v>
      </c>
      <c r="S410" s="1">
        <v>1.07247</v>
      </c>
      <c r="T410" s="1">
        <v>1.1064700000000001</v>
      </c>
      <c r="U410" s="1">
        <v>1.0381899999999999</v>
      </c>
      <c r="V410" s="1">
        <v>1.07386</v>
      </c>
      <c r="W410" s="1">
        <v>1.08125</v>
      </c>
      <c r="X410" s="1">
        <v>1.1028800000000001</v>
      </c>
      <c r="Y410" s="1">
        <v>1.1308400000000001</v>
      </c>
      <c r="Z410" s="1">
        <v>1.07247</v>
      </c>
      <c r="AA410" s="1">
        <v>1.1064700000000001</v>
      </c>
      <c r="AB410" s="1">
        <v>1.0381899999999999</v>
      </c>
      <c r="AC410" s="1">
        <v>1.07386</v>
      </c>
      <c r="AD410" s="1">
        <v>1.2276899999999999</v>
      </c>
      <c r="AE410" s="1">
        <v>1.1028800000000001</v>
      </c>
      <c r="AF410" s="1">
        <v>1.1308400000000001</v>
      </c>
      <c r="AG410" s="1">
        <v>1.07247</v>
      </c>
      <c r="AH410" s="1">
        <v>1.1064700000000001</v>
      </c>
      <c r="AI410" s="1">
        <v>1.0381899999999999</v>
      </c>
      <c r="AJ410" s="1">
        <v>1.07386</v>
      </c>
      <c r="AL410" s="14" t="s">
        <v>151</v>
      </c>
      <c r="AM410" s="14"/>
      <c r="AN410" s="14"/>
      <c r="AO410" s="14"/>
      <c r="AP410" s="14"/>
      <c r="AQ410" s="14"/>
      <c r="AR410" s="14"/>
    </row>
    <row r="411" spans="1:44" ht="14.25" customHeight="1" x14ac:dyDescent="0.35">
      <c r="A411" s="1" t="s">
        <v>14</v>
      </c>
      <c r="B411" s="1" t="s">
        <v>15</v>
      </c>
      <c r="C411" s="1" t="s">
        <v>13</v>
      </c>
      <c r="D411" s="1" t="s">
        <v>13</v>
      </c>
      <c r="E411" s="1" t="s">
        <v>37</v>
      </c>
      <c r="F411" s="1">
        <v>1.1450499999999999</v>
      </c>
      <c r="G411" s="1">
        <v>1.0828599999999999</v>
      </c>
      <c r="H411" s="1">
        <v>1.1122300000000001</v>
      </c>
      <c r="I411" s="1">
        <v>1.11564</v>
      </c>
      <c r="J411" s="1">
        <v>1.1125100000000001</v>
      </c>
      <c r="K411" s="1">
        <v>1.1721699999999999</v>
      </c>
      <c r="L411" s="1">
        <v>1.1142799999999999</v>
      </c>
      <c r="M411" s="1">
        <v>1.1626399999999999</v>
      </c>
      <c r="N411" s="1">
        <v>1.0828599999999999</v>
      </c>
      <c r="O411" s="1">
        <v>1.1122300000000001</v>
      </c>
      <c r="P411" s="1">
        <v>1.11564</v>
      </c>
      <c r="Q411" s="1">
        <v>1.1125100000000001</v>
      </c>
      <c r="R411" s="1">
        <v>1.12859</v>
      </c>
      <c r="S411" s="1">
        <v>1.1142799999999999</v>
      </c>
      <c r="T411" s="1">
        <v>1.1450499999999999</v>
      </c>
      <c r="U411" s="1">
        <v>1.0828599999999999</v>
      </c>
      <c r="V411" s="1">
        <v>1.1122300000000001</v>
      </c>
      <c r="W411" s="1">
        <v>1.11564</v>
      </c>
      <c r="X411" s="1">
        <v>1.1125100000000001</v>
      </c>
      <c r="Y411" s="1">
        <v>1.12859</v>
      </c>
      <c r="Z411" s="1">
        <v>1.1142799999999999</v>
      </c>
      <c r="AA411" s="1">
        <v>1.1450499999999999</v>
      </c>
      <c r="AB411" s="1">
        <v>1.0828599999999999</v>
      </c>
      <c r="AC411" s="1">
        <v>1.1122300000000001</v>
      </c>
      <c r="AD411" s="1">
        <v>1.2420500000000001</v>
      </c>
      <c r="AE411" s="1">
        <v>1.1125100000000001</v>
      </c>
      <c r="AF411" s="1">
        <v>1.12859</v>
      </c>
      <c r="AG411" s="1">
        <v>1.1142799999999999</v>
      </c>
      <c r="AH411" s="1">
        <v>1.1450499999999999</v>
      </c>
      <c r="AI411" s="1">
        <v>1.0828599999999999</v>
      </c>
      <c r="AJ411" s="1">
        <v>1.1122300000000001</v>
      </c>
      <c r="AL411" s="4"/>
      <c r="AM411" s="4" t="s">
        <v>13</v>
      </c>
      <c r="AN411" s="4" t="s">
        <v>14</v>
      </c>
      <c r="AO411" s="4" t="s">
        <v>15</v>
      </c>
      <c r="AP411" s="4" t="s">
        <v>16</v>
      </c>
      <c r="AQ411" s="4" t="s">
        <v>17</v>
      </c>
      <c r="AR411" s="4" t="s">
        <v>7</v>
      </c>
    </row>
    <row r="412" spans="1:44" ht="14.25" customHeight="1" x14ac:dyDescent="0.35">
      <c r="A412" s="1" t="s">
        <v>14</v>
      </c>
      <c r="B412" s="1" t="s">
        <v>15</v>
      </c>
      <c r="C412" s="1" t="s">
        <v>13</v>
      </c>
      <c r="D412" s="1" t="s">
        <v>13</v>
      </c>
      <c r="E412" s="1" t="s">
        <v>38</v>
      </c>
      <c r="F412" s="1">
        <v>1.17564</v>
      </c>
      <c r="G412" s="1">
        <v>1.1077300000000001</v>
      </c>
      <c r="H412" s="1">
        <v>1.13693</v>
      </c>
      <c r="I412" s="1">
        <v>1.1475500000000001</v>
      </c>
      <c r="J412" s="1">
        <v>1.1296900000000001</v>
      </c>
      <c r="K412" s="1">
        <v>1.1926300000000001</v>
      </c>
      <c r="L412" s="1">
        <v>1.1492</v>
      </c>
      <c r="M412" s="1">
        <v>1.1814100000000001</v>
      </c>
      <c r="N412" s="1">
        <v>1.1077300000000001</v>
      </c>
      <c r="O412" s="1">
        <v>1.13693</v>
      </c>
      <c r="P412" s="1">
        <v>1.1475500000000001</v>
      </c>
      <c r="Q412" s="1">
        <v>1.1296900000000001</v>
      </c>
      <c r="R412" s="1">
        <v>1.1403700000000001</v>
      </c>
      <c r="S412" s="1">
        <v>1.1492</v>
      </c>
      <c r="T412" s="1">
        <v>1.17564</v>
      </c>
      <c r="U412" s="1">
        <v>1.1077300000000001</v>
      </c>
      <c r="V412" s="1">
        <v>1.13693</v>
      </c>
      <c r="W412" s="1">
        <v>1.1475500000000001</v>
      </c>
      <c r="X412" s="1">
        <v>1.1296900000000001</v>
      </c>
      <c r="Y412" s="1">
        <v>1.1403700000000001</v>
      </c>
      <c r="Z412" s="1">
        <v>1.1492</v>
      </c>
      <c r="AA412" s="1">
        <v>1.17564</v>
      </c>
      <c r="AB412" s="1">
        <v>1.1077300000000001</v>
      </c>
      <c r="AC412" s="1">
        <v>1.13693</v>
      </c>
      <c r="AD412" s="1">
        <v>1.2583200000000001</v>
      </c>
      <c r="AE412" s="1">
        <v>1.1296900000000001</v>
      </c>
      <c r="AF412" s="1">
        <v>1.1403700000000001</v>
      </c>
      <c r="AG412" s="1">
        <v>1.1492</v>
      </c>
      <c r="AH412" s="1">
        <v>1.17564</v>
      </c>
      <c r="AI412" s="1">
        <v>1.1077300000000001</v>
      </c>
      <c r="AJ412" s="1">
        <v>1.13693</v>
      </c>
      <c r="AL412" s="4" t="s">
        <v>19</v>
      </c>
      <c r="AM412" s="6" cm="1">
        <f t="array" ref="AM412">IFERROR((SUMPRODUCT(($C$393:$C$416=AM$391)*($F$389:$AJ$389="")*$F$393:$AJ$416)+IF(AM$391="P3",SUMPRODUCT(($F$389:$AJ$389="P3")*$F$393:$AJ$416),0))/(SUMPRODUCT(($C$393:$C$416=AM$391)*($F$389:$AJ$389=""))+IF(AM$391="P3",COUNTIF($F$389:$AJ$389,"P3")*ROWS($C$393:$C$416),0)),"")</f>
        <v>1.0707953571428579</v>
      </c>
      <c r="AN412" s="6" cm="1">
        <f t="array" ref="AN412">IFERROR((SUMPRODUCT(($C$393:$C$416=AN$391)*($F$389:$AJ$389="")*$F$393:$AJ$416)+IF(AN$391="P3",SUMPRODUCT(($F$389:$AJ$389="P3")*$F$393:$AJ$416),0))/(SUMPRODUCT(($C$393:$C$416=AN$391)*($F$389:$AJ$389=""))+IF(AN$391="P3",COUNTIF($F$389:$AJ$389,"P3")*ROWS($C$393:$C$416),0)),"")</f>
        <v>1.1041360714285708</v>
      </c>
      <c r="AO412" s="6" cm="1">
        <f t="array" ref="AO412">IFERROR((SUMPRODUCT(($C$393:$C$416=AO$391)*($F$389:$AJ$389="")*$F$393:$AJ$416)+IF(AO$391="P3",SUMPRODUCT(($F$389:$AJ$389="P3")*$F$393:$AJ$416),0))/(SUMPRODUCT(($C$393:$C$416=AO$391)*($F$389:$AJ$389=""))+IF(AO$391="P3",COUNTIF($F$389:$AJ$389,"P3")*ROWS($C$393:$C$416),0)),"")</f>
        <v>1.1824037990196086</v>
      </c>
      <c r="AP412" s="6" t="str" cm="1">
        <f t="array" ref="AP412">IFERROR((SUMPRODUCT(($C$393:$C$416=AP$391)*($F$389:$AJ$389="")*$F$393:$AJ$416)+IF(AP$391="P3",SUMPRODUCT(($F$389:$AJ$389="P3")*$F$393:$AJ$416),0))/(SUMPRODUCT(($C$393:$C$416=AP$391)*($F$389:$AJ$389=""))+IF(AP$391="P3",COUNTIF($F$389:$AJ$389,"P3")*ROWS($C$393:$C$416),0)),"")</f>
        <v/>
      </c>
      <c r="AQ412" s="6" t="str" cm="1">
        <f t="array" ref="AQ412">IFERROR((SUMPRODUCT(($C$393:$C$416=AQ$391)*($F$389:$AJ$389="")*$F$393:$AJ$416)+IF(AQ$391="P3",SUMPRODUCT(($F$389:$AJ$389="P3")*$F$393:$AJ$416),0))/(SUMPRODUCT(($C$393:$C$416=AQ$391)*($F$389:$AJ$389=""))+IF(AQ$391="P3",COUNTIF($F$389:$AJ$389,"P3")*ROWS($C$393:$C$416),0)),"")</f>
        <v/>
      </c>
      <c r="AR412" s="6" t="str" cm="1">
        <f t="array" ref="AR412">IFERROR((SUMPRODUCT(($C$393:$C$416=AR$391)*($F$389:$AJ$389="")*$F$393:$AJ$416)+IF(AR$391="P3",SUMPRODUCT(($F$389:$AJ$389="P3")*$F$393:$AJ$416),0))/(SUMPRODUCT(($C$393:$C$416=AR$391)*($F$389:$AJ$389=""))+IF(AR$391="P3",COUNTIF($F$389:$AJ$389,"P3")*ROWS($C$393:$C$416),0)),"")</f>
        <v/>
      </c>
    </row>
    <row r="413" spans="1:44" ht="14.25" customHeight="1" x14ac:dyDescent="0.35">
      <c r="A413" s="1" t="s">
        <v>14</v>
      </c>
      <c r="B413" s="1" t="s">
        <v>15</v>
      </c>
      <c r="C413" s="1" t="s">
        <v>13</v>
      </c>
      <c r="D413" s="1" t="s">
        <v>13</v>
      </c>
      <c r="E413" s="1" t="s">
        <v>39</v>
      </c>
      <c r="F413" s="1">
        <v>1.1927000000000001</v>
      </c>
      <c r="G413" s="1">
        <v>1.1416200000000001</v>
      </c>
      <c r="H413" s="1">
        <v>1.1583399999999999</v>
      </c>
      <c r="I413" s="1">
        <v>1.1712</v>
      </c>
      <c r="J413" s="1">
        <v>1.1395999999999999</v>
      </c>
      <c r="K413" s="1">
        <v>1.19333</v>
      </c>
      <c r="L413" s="1">
        <v>1.1775500000000001</v>
      </c>
      <c r="M413" s="1">
        <v>1.18184</v>
      </c>
      <c r="N413" s="1">
        <v>1.1416200000000001</v>
      </c>
      <c r="O413" s="1">
        <v>1.1583399999999999</v>
      </c>
      <c r="P413" s="1">
        <v>1.1712</v>
      </c>
      <c r="Q413" s="1">
        <v>1.1395999999999999</v>
      </c>
      <c r="R413" s="1">
        <v>1.13104</v>
      </c>
      <c r="S413" s="1">
        <v>1.1775500000000001</v>
      </c>
      <c r="T413" s="1">
        <v>1.1927000000000001</v>
      </c>
      <c r="U413" s="1">
        <v>1.1416200000000001</v>
      </c>
      <c r="V413" s="1">
        <v>1.1583399999999999</v>
      </c>
      <c r="W413" s="1">
        <v>1.1712</v>
      </c>
      <c r="X413" s="1">
        <v>1.1395999999999999</v>
      </c>
      <c r="Y413" s="1">
        <v>1.13104</v>
      </c>
      <c r="Z413" s="1">
        <v>1.1775500000000001</v>
      </c>
      <c r="AA413" s="1">
        <v>1.1927000000000001</v>
      </c>
      <c r="AB413" s="1">
        <v>1.1416200000000001</v>
      </c>
      <c r="AC413" s="1">
        <v>1.1583399999999999</v>
      </c>
      <c r="AD413" s="1">
        <v>1.2633399999999999</v>
      </c>
      <c r="AE413" s="1">
        <v>1.1395999999999999</v>
      </c>
      <c r="AF413" s="1">
        <v>1.13104</v>
      </c>
      <c r="AG413" s="1">
        <v>1.1775500000000001</v>
      </c>
      <c r="AH413" s="1">
        <v>1.1927000000000001</v>
      </c>
      <c r="AI413" s="1">
        <v>1.1416200000000001</v>
      </c>
      <c r="AJ413" s="1">
        <v>1.1583399999999999</v>
      </c>
      <c r="AL413" s="4" t="s">
        <v>21</v>
      </c>
      <c r="AM413" s="6" t="str" cm="1">
        <f t="array" ref="AM413">IFERROR((SUMPRODUCT(($B$393:$B$416=AM$391)*($F$390:$AJ$390="")*$F$393:$AJ$416)+IF(AM$391="P6",SUMPRODUCT(($F$390:$AJ$390="P6")*$F$393:$AJ$416),0))/(SUMPRODUCT(($B$393:$B$416=AM$391)*($F$390:$AJ$390=""))+IF(AM$391="P6",COUNTIF($F$390:$AJ$390,"P6")*ROWS($B$393:$B$416),0)),"")</f>
        <v/>
      </c>
      <c r="AN413" s="6" t="str" cm="1">
        <f t="array" ref="AN413">IFERROR((SUMPRODUCT(($B$393:$B$416=AN$391)*($F$390:$AJ$390="")*$F$393:$AJ$416)+IF(AN$391="P6",SUMPRODUCT(($F$390:$AJ$390="P6")*$F$393:$AJ$416),0))/(SUMPRODUCT(($B$393:$B$416=AN$391)*($F$390:$AJ$390=""))+IF(AN$391="P6",COUNTIF($F$390:$AJ$390,"P6")*ROWS($B$393:$B$416),0)),"")</f>
        <v/>
      </c>
      <c r="AO413" s="6" cm="1">
        <f t="array" ref="AO413">IFERROR((SUMPRODUCT(($B$393:$B$416=AO$391)*($F$390:$AJ$390="")*$F$393:$AJ$416)+IF(AO$391="P6",SUMPRODUCT(($F$390:$AJ$390="P6")*$F$393:$AJ$416),0))/(SUMPRODUCT(($B$393:$B$416=AO$391)*($F$390:$AJ$390=""))+IF(AO$391="P6",COUNTIF($F$390:$AJ$390,"P6")*ROWS($B$393:$B$416),0)),"")</f>
        <v>1.0655615873015876</v>
      </c>
      <c r="AP413" s="6" cm="1">
        <f t="array" ref="AP413">IFERROR((SUMPRODUCT(($B$393:$B$416=AP$391)*($F$390:$AJ$390="")*$F$393:$AJ$416)+IF(AP$391="P6",SUMPRODUCT(($F$390:$AJ$390="P6")*$F$393:$AJ$416),0))/(SUMPRODUCT(($B$393:$B$416=AP$391)*($F$390:$AJ$390=""))+IF(AP$391="P6",COUNTIF($F$390:$AJ$390,"P6")*ROWS($B$393:$B$416),0)),"")</f>
        <v>1.1156281632653058</v>
      </c>
      <c r="AQ413" s="6" t="str" cm="1">
        <f t="array" ref="AQ413">IFERROR((SUMPRODUCT(($B$393:$B$416=AQ$391)*($F$390:$AJ$390="")*$F$393:$AJ$416)+IF(AQ$391="P6",SUMPRODUCT(($F$390:$AJ$390="P6")*$F$393:$AJ$416),0))/(SUMPRODUCT(($B$393:$B$416=AQ$391)*($F$390:$AJ$390=""))+IF(AQ$391="P6",COUNTIF($F$390:$AJ$390,"P6")*ROWS($B$393:$B$416),0)),"")</f>
        <v/>
      </c>
      <c r="AR413" s="6" cm="1">
        <f t="array" ref="AR413">IFERROR((SUMPRODUCT(($B$393:$B$416=AR$391)*($F$390:$AJ$390="")*$F$393:$AJ$416)+IF(AR$391="P6",SUMPRODUCT(($F$390:$AJ$390="P6")*$F$393:$AJ$416),0))/(SUMPRODUCT(($B$393:$B$416=AR$391)*($F$390:$AJ$390=""))+IF(AR$391="P6",COUNTIF($F$390:$AJ$390,"P6")*ROWS($B$393:$B$416),0)),"")</f>
        <v>1.1824037990196086</v>
      </c>
    </row>
    <row r="414" spans="1:44" ht="14.25" customHeight="1" x14ac:dyDescent="0.35">
      <c r="A414" s="1" t="s">
        <v>14</v>
      </c>
      <c r="B414" s="1" t="s">
        <v>15</v>
      </c>
      <c r="C414" s="1" t="s">
        <v>13</v>
      </c>
      <c r="D414" s="1" t="s">
        <v>13</v>
      </c>
      <c r="E414" s="1" t="s">
        <v>40</v>
      </c>
      <c r="F414" s="1">
        <v>1.2020299999999999</v>
      </c>
      <c r="G414" s="1">
        <v>1.1740900000000001</v>
      </c>
      <c r="H414" s="1">
        <v>1.1804699999999999</v>
      </c>
      <c r="I414" s="1">
        <v>1.20444</v>
      </c>
      <c r="J414" s="1">
        <v>1.1529799999999999</v>
      </c>
      <c r="K414" s="1">
        <v>1.1854100000000001</v>
      </c>
      <c r="L414" s="1">
        <v>1.20302</v>
      </c>
      <c r="M414" s="1">
        <v>1.18255</v>
      </c>
      <c r="N414" s="1">
        <v>1.1740900000000001</v>
      </c>
      <c r="O414" s="1">
        <v>1.1804699999999999</v>
      </c>
      <c r="P414" s="1">
        <v>1.20444</v>
      </c>
      <c r="Q414" s="1">
        <v>1.1529799999999999</v>
      </c>
      <c r="R414" s="1">
        <v>1.11338</v>
      </c>
      <c r="S414" s="1">
        <v>1.20302</v>
      </c>
      <c r="T414" s="1">
        <v>1.2020299999999999</v>
      </c>
      <c r="U414" s="1">
        <v>1.1740900000000001</v>
      </c>
      <c r="V414" s="1">
        <v>1.1804699999999999</v>
      </c>
      <c r="W414" s="1">
        <v>1.20444</v>
      </c>
      <c r="X414" s="1">
        <v>1.1529799999999999</v>
      </c>
      <c r="Y414" s="1">
        <v>1.11338</v>
      </c>
      <c r="Z414" s="1">
        <v>1.20302</v>
      </c>
      <c r="AA414" s="1">
        <v>1.2020299999999999</v>
      </c>
      <c r="AB414" s="1">
        <v>1.1740900000000001</v>
      </c>
      <c r="AC414" s="1">
        <v>1.1804699999999999</v>
      </c>
      <c r="AD414" s="1">
        <v>1.26112</v>
      </c>
      <c r="AE414" s="1">
        <v>1.1529799999999999</v>
      </c>
      <c r="AF414" s="1">
        <v>1.11338</v>
      </c>
      <c r="AG414" s="1">
        <v>1.20302</v>
      </c>
      <c r="AH414" s="1">
        <v>1.2020299999999999</v>
      </c>
      <c r="AI414" s="1">
        <v>1.1740900000000001</v>
      </c>
      <c r="AJ414" s="1">
        <v>1.1804699999999999</v>
      </c>
      <c r="AL414" s="4" t="s">
        <v>23</v>
      </c>
      <c r="AM414" s="6" t="str" cm="1">
        <f t="array" ref="AM414">IFERROR((SUMPRODUCT(($B$393:$B$416=AM$391)*($F$390:$AJ$390="")*$F$393:$AJ$416)+IF(AM$391="P6",SUMPRODUCT(($F$390:$AJ$390="P6")*$F$393:$AJ$416),0))/(SUMPRODUCT(($B$393:$B$416=AM$391)*($F$390:$AJ$390=""))+IF(AM$391="P6",COUNTIF($F$390:$AJ$390,"P6")*ROWS($B$393:$B$416),0)),"")</f>
        <v/>
      </c>
      <c r="AN414" s="6" t="str" cm="1">
        <f t="array" ref="AN414">IFERROR((SUMPRODUCT(($B$393:$B$416=AN$391)*($F$390:$AJ$390="")*$F$393:$AJ$416)+IF(AN$391="P6",SUMPRODUCT(($F$390:$AJ$390="P6")*$F$393:$AJ$416),0))/(SUMPRODUCT(($B$393:$B$416=AN$391)*($F$390:$AJ$390=""))+IF(AN$391="P6",COUNTIF($F$390:$AJ$390,"P6")*ROWS($B$393:$B$416),0)),"")</f>
        <v/>
      </c>
      <c r="AO414" s="6" cm="1">
        <f t="array" ref="AO414">IFERROR((SUMPRODUCT(($B$393:$B$416=AO$391)*($F$390:$AJ$390="")*$F$393:$AJ$416)+IF(AO$391="P6",SUMPRODUCT(($F$390:$AJ$390="P6")*$F$393:$AJ$416),0))/(SUMPRODUCT(($B$393:$B$416=AO$391)*($F$390:$AJ$390=""))+IF(AO$391="P6",COUNTIF($F$390:$AJ$390,"P6")*ROWS($B$393:$B$416),0)),"")</f>
        <v>1.0655615873015876</v>
      </c>
      <c r="AP414" s="6" cm="1">
        <f t="array" ref="AP414">IFERROR((SUMPRODUCT(($B$393:$B$416=AP$391)*($F$390:$AJ$390="")*$F$393:$AJ$416)+IF(AP$391="P6",SUMPRODUCT(($F$390:$AJ$390="P6")*$F$393:$AJ$416),0))/(SUMPRODUCT(($B$393:$B$416=AP$391)*($F$390:$AJ$390=""))+IF(AP$391="P6",COUNTIF($F$390:$AJ$390,"P6")*ROWS($B$393:$B$416),0)),"")</f>
        <v>1.1156281632653058</v>
      </c>
      <c r="AQ414" s="6" t="str" cm="1">
        <f t="array" ref="AQ414">IFERROR((SUMPRODUCT(($B$393:$B$416=AQ$391)*($F$390:$AJ$390="")*$F$393:$AJ$416)+IF(AQ$391="P6",SUMPRODUCT(($F$390:$AJ$390="P6")*$F$393:$AJ$416),0))/(SUMPRODUCT(($B$393:$B$416=AQ$391)*($F$390:$AJ$390=""))+IF(AQ$391="P6",COUNTIF($F$390:$AJ$390,"P6")*ROWS($B$393:$B$416),0)),"")</f>
        <v/>
      </c>
      <c r="AR414" s="6" cm="1">
        <f t="array" ref="AR414">IFERROR((SUMPRODUCT(($B$393:$B$416=AR$391)*($F$390:$AJ$390="")*$F$393:$AJ$416)+IF(AR$391="P6",SUMPRODUCT(($F$390:$AJ$390="P6")*$F$393:$AJ$416),0))/(SUMPRODUCT(($B$393:$B$416=AR$391)*($F$390:$AJ$390=""))+IF(AR$391="P6",COUNTIF($F$390:$AJ$390,"P6")*ROWS($B$393:$B$416),0)),"")</f>
        <v>1.1824037990196086</v>
      </c>
    </row>
    <row r="415" spans="1:44" ht="14.25" customHeight="1" x14ac:dyDescent="0.35">
      <c r="A415" s="1" t="s">
        <v>15</v>
      </c>
      <c r="B415" s="1" t="s">
        <v>16</v>
      </c>
      <c r="C415" s="1" t="s">
        <v>14</v>
      </c>
      <c r="D415" s="1" t="s">
        <v>14</v>
      </c>
      <c r="E415" s="1" t="s">
        <v>41</v>
      </c>
      <c r="F415" s="1">
        <v>1.23475</v>
      </c>
      <c r="G415" s="1">
        <v>1.22986</v>
      </c>
      <c r="H415" s="1">
        <v>1.22464</v>
      </c>
      <c r="I415" s="1">
        <v>1.25329</v>
      </c>
      <c r="J415" s="1">
        <v>1.18746</v>
      </c>
      <c r="K415" s="1">
        <v>1.2096199999999999</v>
      </c>
      <c r="L415" s="1">
        <v>1.24702</v>
      </c>
      <c r="M415" s="1">
        <v>1.2101599999999999</v>
      </c>
      <c r="N415" s="1">
        <v>1.22986</v>
      </c>
      <c r="O415" s="1">
        <v>1.22464</v>
      </c>
      <c r="P415" s="1">
        <v>1.25329</v>
      </c>
      <c r="Q415" s="1">
        <v>1.18746</v>
      </c>
      <c r="R415" s="1">
        <v>1.13544</v>
      </c>
      <c r="S415" s="1">
        <v>1.24702</v>
      </c>
      <c r="T415" s="1">
        <v>1.23475</v>
      </c>
      <c r="U415" s="1">
        <v>1.22986</v>
      </c>
      <c r="V415" s="1">
        <v>1.22464</v>
      </c>
      <c r="W415" s="1">
        <v>1.25329</v>
      </c>
      <c r="X415" s="1">
        <v>1.18746</v>
      </c>
      <c r="Y415" s="1">
        <v>1.13544</v>
      </c>
      <c r="Z415" s="1">
        <v>1.24702</v>
      </c>
      <c r="AA415" s="1">
        <v>1.23475</v>
      </c>
      <c r="AB415" s="1">
        <v>1.22986</v>
      </c>
      <c r="AC415" s="1">
        <v>1.22464</v>
      </c>
      <c r="AD415" s="1">
        <v>1.27681</v>
      </c>
      <c r="AE415" s="1">
        <v>1.18746</v>
      </c>
      <c r="AF415" s="1">
        <v>1.13544</v>
      </c>
      <c r="AG415" s="1">
        <v>1.24702</v>
      </c>
      <c r="AH415" s="1">
        <v>1.23475</v>
      </c>
      <c r="AI415" s="1">
        <v>1.22986</v>
      </c>
      <c r="AJ415" s="1">
        <v>1.22464</v>
      </c>
      <c r="AL415" s="4" t="s">
        <v>25</v>
      </c>
      <c r="AM415" s="6" t="str" cm="1">
        <f t="array" ref="AM415">IFERROR((SUMPRODUCT(($B$393:$B$416=AM$391)*($F$390:$AJ$390="")*$F$393:$AJ$416)+IF(AM$391="P6",SUMPRODUCT(($F$390:$AJ$390="P6")*$F$393:$AJ$416),0))/(SUMPRODUCT(($B$393:$B$416=AM$391)*($F$390:$AJ$390=""))+IF(AM$391="P6",COUNTIF($F$390:$AJ$390,"P6")*ROWS($B$393:$B$416),0)),"")</f>
        <v/>
      </c>
      <c r="AN415" s="6" t="str" cm="1">
        <f t="array" ref="AN415">IFERROR((SUMPRODUCT(($B$393:$B$416=AN$391)*($F$390:$AJ$390="")*$F$393:$AJ$416)+IF(AN$391="P6",SUMPRODUCT(($F$390:$AJ$390="P6")*$F$393:$AJ$416),0))/(SUMPRODUCT(($B$393:$B$416=AN$391)*($F$390:$AJ$390=""))+IF(AN$391="P6",COUNTIF($F$390:$AJ$390,"P6")*ROWS($B$393:$B$416),0)),"")</f>
        <v/>
      </c>
      <c r="AO415" s="6" cm="1">
        <f t="array" ref="AO415">IFERROR((SUMPRODUCT(($B$393:$B$416=AO$391)*($F$390:$AJ$390="")*$F$393:$AJ$416)+IF(AO$391="P6",SUMPRODUCT(($F$390:$AJ$390="P6")*$F$393:$AJ$416),0))/(SUMPRODUCT(($B$393:$B$416=AO$391)*($F$390:$AJ$390=""))+IF(AO$391="P6",COUNTIF($F$390:$AJ$390,"P6")*ROWS($B$393:$B$416),0)),"")</f>
        <v>1.0655615873015876</v>
      </c>
      <c r="AP415" s="6" cm="1">
        <f t="array" ref="AP415">IFERROR((SUMPRODUCT(($B$393:$B$416=AP$391)*($F$390:$AJ$390="")*$F$393:$AJ$416)+IF(AP$391="P6",SUMPRODUCT(($F$390:$AJ$390="P6")*$F$393:$AJ$416),0))/(SUMPRODUCT(($B$393:$B$416=AP$391)*($F$390:$AJ$390=""))+IF(AP$391="P6",COUNTIF($F$390:$AJ$390,"P6")*ROWS($B$393:$B$416),0)),"")</f>
        <v>1.1156281632653058</v>
      </c>
      <c r="AQ415" s="6" t="str" cm="1">
        <f t="array" ref="AQ415">IFERROR((SUMPRODUCT(($B$393:$B$416=AQ$391)*($F$390:$AJ$390="")*$F$393:$AJ$416)+IF(AQ$391="P6",SUMPRODUCT(($F$390:$AJ$390="P6")*$F$393:$AJ$416),0))/(SUMPRODUCT(($B$393:$B$416=AQ$391)*($F$390:$AJ$390=""))+IF(AQ$391="P6",COUNTIF($F$390:$AJ$390,"P6")*ROWS($B$393:$B$416),0)),"")</f>
        <v/>
      </c>
      <c r="AR415" s="6" cm="1">
        <f t="array" ref="AR415">IFERROR((SUMPRODUCT(($B$393:$B$416=AR$391)*($F$390:$AJ$390="")*$F$393:$AJ$416)+IF(AR$391="P6",SUMPRODUCT(($F$390:$AJ$390="P6")*$F$393:$AJ$416),0))/(SUMPRODUCT(($B$393:$B$416=AR$391)*($F$390:$AJ$390=""))+IF(AR$391="P6",COUNTIF($F$390:$AJ$390,"P6")*ROWS($B$393:$B$416),0)),"")</f>
        <v>1.1824037990196086</v>
      </c>
    </row>
    <row r="416" spans="1:44" ht="14.25" customHeight="1" x14ac:dyDescent="0.35">
      <c r="A416" s="1" t="s">
        <v>15</v>
      </c>
      <c r="B416" s="1" t="s">
        <v>16</v>
      </c>
      <c r="C416" s="1" t="s">
        <v>14</v>
      </c>
      <c r="D416" s="1" t="s">
        <v>14</v>
      </c>
      <c r="E416" s="1" t="s">
        <v>42</v>
      </c>
      <c r="F416" s="1">
        <v>1.2802800000000001</v>
      </c>
      <c r="G416" s="1">
        <v>1.25868</v>
      </c>
      <c r="H416" s="1">
        <v>1.2806299999999999</v>
      </c>
      <c r="I416" s="1">
        <v>1.3015600000000001</v>
      </c>
      <c r="J416" s="1">
        <v>1.22953</v>
      </c>
      <c r="K416" s="1">
        <v>1.24142</v>
      </c>
      <c r="L416" s="1">
        <v>1.2901499999999999</v>
      </c>
      <c r="M416" s="1">
        <v>1.24898</v>
      </c>
      <c r="N416" s="1">
        <v>1.25868</v>
      </c>
      <c r="O416" s="1">
        <v>1.2806299999999999</v>
      </c>
      <c r="P416" s="1">
        <v>1.3015600000000001</v>
      </c>
      <c r="Q416" s="1">
        <v>1.22953</v>
      </c>
      <c r="R416" s="1">
        <v>1.1695899999999999</v>
      </c>
      <c r="S416" s="1">
        <v>1.2901499999999999</v>
      </c>
      <c r="T416" s="1">
        <v>1.2802800000000001</v>
      </c>
      <c r="U416" s="1">
        <v>1.25868</v>
      </c>
      <c r="V416" s="1">
        <v>1.2806299999999999</v>
      </c>
      <c r="W416" s="1">
        <v>1.3015600000000001</v>
      </c>
      <c r="X416" s="1">
        <v>1.22953</v>
      </c>
      <c r="Y416" s="1">
        <v>1.1695899999999999</v>
      </c>
      <c r="Z416" s="1">
        <v>1.2901499999999999</v>
      </c>
      <c r="AA416" s="1">
        <v>1.2802800000000001</v>
      </c>
      <c r="AB416" s="1">
        <v>1.25868</v>
      </c>
      <c r="AC416" s="1">
        <v>1.2806299999999999</v>
      </c>
      <c r="AD416" s="1">
        <v>1.31603</v>
      </c>
      <c r="AE416" s="1">
        <v>1.22953</v>
      </c>
      <c r="AF416" s="1">
        <v>1.1695899999999999</v>
      </c>
      <c r="AG416" s="1">
        <v>1.2901499999999999</v>
      </c>
      <c r="AH416" s="1">
        <v>1.2802800000000001</v>
      </c>
      <c r="AI416" s="1">
        <v>1.25868</v>
      </c>
      <c r="AJ416" s="1">
        <v>1.2806299999999999</v>
      </c>
      <c r="AL416" s="4" t="s">
        <v>27</v>
      </c>
      <c r="AM416" s="6" t="str" cm="1">
        <f t="array" ref="AM416">IFERROR((SUMPRODUCT(($B$393:$B$416=AM$391)*($F$390:$AJ$390="")*$F$393:$AJ$416)+IF(AM$391="P6",SUMPRODUCT(($F$390:$AJ$390="P6")*$F$393:$AJ$416),0))/(SUMPRODUCT(($B$393:$B$416=AM$391)*($F$390:$AJ$390=""))+IF(AM$391="P6",COUNTIF($F$390:$AJ$390,"P6")*ROWS($B$393:$B$416),0)),"")</f>
        <v/>
      </c>
      <c r="AN416" s="6" t="str" cm="1">
        <f t="array" ref="AN416">IFERROR((SUMPRODUCT(($B$393:$B$416=AN$391)*($F$390:$AJ$390="")*$F$393:$AJ$416)+IF(AN$391="P6",SUMPRODUCT(($F$390:$AJ$390="P6")*$F$393:$AJ$416),0))/(SUMPRODUCT(($B$393:$B$416=AN$391)*($F$390:$AJ$390=""))+IF(AN$391="P6",COUNTIF($F$390:$AJ$390,"P6")*ROWS($B$393:$B$416),0)),"")</f>
        <v/>
      </c>
      <c r="AO416" s="6" cm="1">
        <f t="array" ref="AO416">IFERROR((SUMPRODUCT(($B$393:$B$416=AO$391)*($F$390:$AJ$390="")*$F$393:$AJ$416)+IF(AO$391="P6",SUMPRODUCT(($F$390:$AJ$390="P6")*$F$393:$AJ$416),0))/(SUMPRODUCT(($B$393:$B$416=AO$391)*($F$390:$AJ$390=""))+IF(AO$391="P6",COUNTIF($F$390:$AJ$390,"P6")*ROWS($B$393:$B$416),0)),"")</f>
        <v>1.0655615873015876</v>
      </c>
      <c r="AP416" s="6" cm="1">
        <f t="array" ref="AP416">IFERROR((SUMPRODUCT(($B$393:$B$416=AP$391)*($F$390:$AJ$390="")*$F$393:$AJ$416)+IF(AP$391="P6",SUMPRODUCT(($F$390:$AJ$390="P6")*$F$393:$AJ$416),0))/(SUMPRODUCT(($B$393:$B$416=AP$391)*($F$390:$AJ$390=""))+IF(AP$391="P6",COUNTIF($F$390:$AJ$390,"P6")*ROWS($B$393:$B$416),0)),"")</f>
        <v>1.1156281632653058</v>
      </c>
      <c r="AQ416" s="6" t="str" cm="1">
        <f t="array" ref="AQ416">IFERROR((SUMPRODUCT(($B$393:$B$416=AQ$391)*($F$390:$AJ$390="")*$F$393:$AJ$416)+IF(AQ$391="P6",SUMPRODUCT(($F$390:$AJ$390="P6")*$F$393:$AJ$416),0))/(SUMPRODUCT(($B$393:$B$416=AQ$391)*($F$390:$AJ$390=""))+IF(AQ$391="P6",COUNTIF($F$390:$AJ$390,"P6")*ROWS($B$393:$B$416),0)),"")</f>
        <v/>
      </c>
      <c r="AR416" s="6" cm="1">
        <f t="array" ref="AR416">IFERROR((SUMPRODUCT(($B$393:$B$416=AR$391)*($F$390:$AJ$390="")*$F$393:$AJ$416)+IF(AR$391="P6",SUMPRODUCT(($F$390:$AJ$390="P6")*$F$393:$AJ$416),0))/(SUMPRODUCT(($B$393:$B$416=AR$391)*($F$390:$AJ$390=""))+IF(AR$391="P6",COUNTIF($F$390:$AJ$390,"P6")*ROWS($B$393:$B$416),0)),"")</f>
        <v>1.1824037990196086</v>
      </c>
    </row>
    <row r="417" spans="38:44" ht="14.25" customHeight="1" x14ac:dyDescent="0.35">
      <c r="AL417" s="4" t="s">
        <v>29</v>
      </c>
      <c r="AM417" s="6" t="str" cm="1">
        <f t="array" ref="AM417">IFERROR((SUMPRODUCT(($B$393:$B$416=AM$391)*($F$390:$AJ$390="")*$F$393:$AJ$416)+IF(AM$391="P6",SUMPRODUCT(($F$390:$AJ$390="P6")*$F$393:$AJ$416),0))/(SUMPRODUCT(($B$393:$B$416=AM$391)*($F$390:$AJ$390=""))+IF(AM$391="P6",COUNTIF($F$390:$AJ$390,"P6")*ROWS($B$393:$B$416),0)),"")</f>
        <v/>
      </c>
      <c r="AN417" s="6" t="str" cm="1">
        <f t="array" ref="AN417">IFERROR((SUMPRODUCT(($B$393:$B$416=AN$391)*($F$390:$AJ$390="")*$F$393:$AJ$416)+IF(AN$391="P6",SUMPRODUCT(($F$390:$AJ$390="P6")*$F$393:$AJ$416),0))/(SUMPRODUCT(($B$393:$B$416=AN$391)*($F$390:$AJ$390=""))+IF(AN$391="P6",COUNTIF($F$390:$AJ$390,"P6")*ROWS($B$393:$B$416),0)),"")</f>
        <v/>
      </c>
      <c r="AO417" s="6" cm="1">
        <f t="array" ref="AO417">IFERROR((SUMPRODUCT(($B$393:$B$416=AO$391)*($F$390:$AJ$390="")*$F$393:$AJ$416)+IF(AO$391="P6",SUMPRODUCT(($F$390:$AJ$390="P6")*$F$393:$AJ$416),0))/(SUMPRODUCT(($B$393:$B$416=AO$391)*($F$390:$AJ$390=""))+IF(AO$391="P6",COUNTIF($F$390:$AJ$390,"P6")*ROWS($B$393:$B$416),0)),"")</f>
        <v>1.0655615873015876</v>
      </c>
      <c r="AP417" s="6" cm="1">
        <f t="array" ref="AP417">IFERROR((SUMPRODUCT(($B$393:$B$416=AP$391)*($F$390:$AJ$390="")*$F$393:$AJ$416)+IF(AP$391="P6",SUMPRODUCT(($F$390:$AJ$390="P6")*$F$393:$AJ$416),0))/(SUMPRODUCT(($B$393:$B$416=AP$391)*($F$390:$AJ$390=""))+IF(AP$391="P6",COUNTIF($F$390:$AJ$390,"P6")*ROWS($B$393:$B$416),0)),"")</f>
        <v>1.1156281632653058</v>
      </c>
      <c r="AQ417" s="6" t="str" cm="1">
        <f t="array" ref="AQ417">IFERROR((SUMPRODUCT(($B$393:$B$416=AQ$391)*($F$390:$AJ$390="")*$F$393:$AJ$416)+IF(AQ$391="P6",SUMPRODUCT(($F$390:$AJ$390="P6")*$F$393:$AJ$416),0))/(SUMPRODUCT(($B$393:$B$416=AQ$391)*($F$390:$AJ$390=""))+IF(AQ$391="P6",COUNTIF($F$390:$AJ$390,"P6")*ROWS($B$393:$B$416),0)),"")</f>
        <v/>
      </c>
      <c r="AR417" s="6" cm="1">
        <f t="array" ref="AR417">IFERROR((SUMPRODUCT(($B$393:$B$416=AR$391)*($F$390:$AJ$390="")*$F$393:$AJ$416)+IF(AR$391="P6",SUMPRODUCT(($F$390:$AJ$390="P6")*$F$393:$AJ$416),0))/(SUMPRODUCT(($B$393:$B$416=AR$391)*($F$390:$AJ$390=""))+IF(AR$391="P6",COUNTIF($F$390:$AJ$390,"P6")*ROWS($B$393:$B$416),0)),"")</f>
        <v>1.1824037990196086</v>
      </c>
    </row>
  </sheetData>
  <mergeCells count="53">
    <mergeCell ref="AL375:AR375"/>
    <mergeCell ref="A386:AR387"/>
    <mergeCell ref="AL390:AR390"/>
    <mergeCell ref="AL400:AR400"/>
    <mergeCell ref="AL410:AR410"/>
    <mergeCell ref="AL365:AR365"/>
    <mergeCell ref="AL270:AR270"/>
    <mergeCell ref="A281:AR282"/>
    <mergeCell ref="AL285:AR285"/>
    <mergeCell ref="AL295:AR295"/>
    <mergeCell ref="AL305:AR305"/>
    <mergeCell ref="A316:AR317"/>
    <mergeCell ref="AL320:AR320"/>
    <mergeCell ref="AL330:AR330"/>
    <mergeCell ref="AL340:AR340"/>
    <mergeCell ref="A351:AR352"/>
    <mergeCell ref="AL355:AR355"/>
    <mergeCell ref="AL260:AR260"/>
    <mergeCell ref="AL165:AR165"/>
    <mergeCell ref="A176:AR177"/>
    <mergeCell ref="AL180:AR180"/>
    <mergeCell ref="AL190:AR190"/>
    <mergeCell ref="AL200:AR200"/>
    <mergeCell ref="A211:AR212"/>
    <mergeCell ref="AL215:AR215"/>
    <mergeCell ref="AL225:AR225"/>
    <mergeCell ref="AL235:AR235"/>
    <mergeCell ref="A246:AR247"/>
    <mergeCell ref="AL250:AR250"/>
    <mergeCell ref="AL155:AR155"/>
    <mergeCell ref="AL60:AR60"/>
    <mergeCell ref="A71:AR72"/>
    <mergeCell ref="AL75:AR75"/>
    <mergeCell ref="AL85:AR85"/>
    <mergeCell ref="AL95:AR95"/>
    <mergeCell ref="A106:AR107"/>
    <mergeCell ref="AL110:AR110"/>
    <mergeCell ref="AL120:AR120"/>
    <mergeCell ref="AL130:AR130"/>
    <mergeCell ref="A141:AR142"/>
    <mergeCell ref="AL145:AR145"/>
    <mergeCell ref="BC10:BI10"/>
    <mergeCell ref="AL15:AR15"/>
    <mergeCell ref="AL50:AR50"/>
    <mergeCell ref="A1:AR2"/>
    <mergeCell ref="AT1:AW1"/>
    <mergeCell ref="AX1:BB1"/>
    <mergeCell ref="AL5:AR5"/>
    <mergeCell ref="AL25:AR25"/>
    <mergeCell ref="BC26:BI26"/>
    <mergeCell ref="A36:AR37"/>
    <mergeCell ref="AL40:AR40"/>
    <mergeCell ref="BC42:BI42"/>
  </mergeCells>
  <conditionalFormatting sqref="A1 AS1:XFD10 AL3:AR4 A3:AK24 AL5:AL12 AS11:BC11 BJ11:XFD11 AS12:XFD22 AL15:AL22 BB23:BJ26 AS23:BA36 BK23:XFD36 A25:AL35 BB27:BC27 BJ27 BB28:BJ36 A36 AS37:XFD38 AL38:AR39 A38:AK67 BB39:BJ42 AS39:BA52 BK39:XFD52 AL40:AL47 BB43:BC43 BJ43 BB44:BJ52 AL50:AL57 AS53:XFD1048576 AL60:AL67 A68:AL70 A71 AL73:AR74 A73:AK102 AL75:AL82 AL85:AL92 AL95:AL102 A103:AL105 A106 AL108:AR109 A108:AK137 AL110:AL117 AL120:AL127 AL130:AL137 A138:AL140 A141 AL143:AR144 A143:AK172 AL145:AL152 AL155:AL162 AL165:AL172 A173:AL175 A176 AL178:AR179 A178:AK207 AL180:AL187 AL190:AL197 AL200:AL207 A208:AL210 A211 AL213:AR214 A213:AK242 AL215:AL222 AL225:AL232 AL235:AL242 A243:AL245 A246 AL248:AR249 A248:AK277 AL250:AL257 AL260:AL267 AL270:AL277 A278:AL280 A281 AL283:AR284 A283:AK312 AL285:AL292 AL295:AL302 AL305:AL312 A313:AL315 A316 AL318:AR319 A318:AK347 AL320:AL327 AL330:AL337 AL340:AL347 A348:AL350 A351 AL353:AR354 A353:AK382 AL355:AL362 AL365:AL372 AL375:AL382 A383:AL385 A386 AL388:AR389 A388:AK417 AL390:AL397 AL400:AL407 AL410:AL417 A418:AL1048576">
    <cfRule type="cellIs" dxfId="5" priority="149" operator="equal">
      <formula>"P5"</formula>
    </cfRule>
    <cfRule type="cellIs" dxfId="4" priority="148" operator="equal">
      <formula>"P4"</formula>
    </cfRule>
    <cfRule type="cellIs" dxfId="3" priority="147" operator="equal">
      <formula>"P3"</formula>
    </cfRule>
    <cfRule type="cellIs" dxfId="2" priority="146" operator="equal">
      <formula>"P2"</formula>
    </cfRule>
    <cfRule type="cellIs" dxfId="1" priority="145" operator="equal">
      <formula>"P1"</formula>
    </cfRule>
    <cfRule type="cellIs" dxfId="0" priority="150" operator="equal">
      <formula>"P6"</formula>
    </cfRule>
  </conditionalFormatting>
  <conditionalFormatting sqref="AL13:AR14">
    <cfRule type="cellIs" dxfId="149" priority="141" operator="equal">
      <formula>"P3"</formula>
    </cfRule>
    <cfRule type="cellIs" dxfId="148" priority="144" operator="equal">
      <formula>"P6"</formula>
    </cfRule>
    <cfRule type="cellIs" dxfId="147" priority="143" operator="equal">
      <formula>"P5"</formula>
    </cfRule>
    <cfRule type="cellIs" dxfId="146" priority="142" operator="equal">
      <formula>"P4"</formula>
    </cfRule>
    <cfRule type="cellIs" dxfId="145" priority="140" operator="equal">
      <formula>"P2"</formula>
    </cfRule>
    <cfRule type="cellIs" dxfId="144" priority="139" operator="equal">
      <formula>"P1"</formula>
    </cfRule>
  </conditionalFormatting>
  <conditionalFormatting sqref="AL23:AR24">
    <cfRule type="cellIs" dxfId="143" priority="138" operator="equal">
      <formula>"P6"</formula>
    </cfRule>
    <cfRule type="cellIs" dxfId="142" priority="137" operator="equal">
      <formula>"P5"</formula>
    </cfRule>
    <cfRule type="cellIs" dxfId="141" priority="136" operator="equal">
      <formula>"P4"</formula>
    </cfRule>
    <cfRule type="cellIs" dxfId="140" priority="135" operator="equal">
      <formula>"P3"</formula>
    </cfRule>
    <cfRule type="cellIs" dxfId="139" priority="134" operator="equal">
      <formula>"P2"</formula>
    </cfRule>
    <cfRule type="cellIs" dxfId="138" priority="133" operator="equal">
      <formula>"P1"</formula>
    </cfRule>
  </conditionalFormatting>
  <conditionalFormatting sqref="AL48:AR49">
    <cfRule type="cellIs" dxfId="137" priority="132" operator="equal">
      <formula>"P6"</formula>
    </cfRule>
    <cfRule type="cellIs" dxfId="136" priority="131" operator="equal">
      <formula>"P5"</formula>
    </cfRule>
    <cfRule type="cellIs" dxfId="135" priority="130" operator="equal">
      <formula>"P4"</formula>
    </cfRule>
    <cfRule type="cellIs" dxfId="134" priority="129" operator="equal">
      <formula>"P3"</formula>
    </cfRule>
    <cfRule type="cellIs" dxfId="133" priority="128" operator="equal">
      <formula>"P2"</formula>
    </cfRule>
    <cfRule type="cellIs" dxfId="132" priority="127" operator="equal">
      <formula>"P1"</formula>
    </cfRule>
  </conditionalFormatting>
  <conditionalFormatting sqref="AL58:AR59">
    <cfRule type="cellIs" dxfId="131" priority="123" operator="equal">
      <formula>"P3"</formula>
    </cfRule>
    <cfRule type="cellIs" dxfId="130" priority="126" operator="equal">
      <formula>"P6"</formula>
    </cfRule>
    <cfRule type="cellIs" dxfId="129" priority="125" operator="equal">
      <formula>"P5"</formula>
    </cfRule>
    <cfRule type="cellIs" dxfId="128" priority="124" operator="equal">
      <formula>"P4"</formula>
    </cfRule>
    <cfRule type="cellIs" dxfId="127" priority="122" operator="equal">
      <formula>"P2"</formula>
    </cfRule>
    <cfRule type="cellIs" dxfId="126" priority="121" operator="equal">
      <formula>"P1"</formula>
    </cfRule>
  </conditionalFormatting>
  <conditionalFormatting sqref="AL83:AR84">
    <cfRule type="cellIs" dxfId="125" priority="116" operator="equal">
      <formula>"P2"</formula>
    </cfRule>
    <cfRule type="cellIs" dxfId="124" priority="120" operator="equal">
      <formula>"P6"</formula>
    </cfRule>
    <cfRule type="cellIs" dxfId="123" priority="119" operator="equal">
      <formula>"P5"</formula>
    </cfRule>
    <cfRule type="cellIs" dxfId="122" priority="118" operator="equal">
      <formula>"P4"</formula>
    </cfRule>
    <cfRule type="cellIs" dxfId="121" priority="117" operator="equal">
      <formula>"P3"</formula>
    </cfRule>
    <cfRule type="cellIs" dxfId="120" priority="115" operator="equal">
      <formula>"P1"</formula>
    </cfRule>
  </conditionalFormatting>
  <conditionalFormatting sqref="AL93:AR94">
    <cfRule type="cellIs" dxfId="119" priority="114" operator="equal">
      <formula>"P6"</formula>
    </cfRule>
    <cfRule type="cellIs" dxfId="118" priority="113" operator="equal">
      <formula>"P5"</formula>
    </cfRule>
    <cfRule type="cellIs" dxfId="117" priority="112" operator="equal">
      <formula>"P4"</formula>
    </cfRule>
    <cfRule type="cellIs" dxfId="116" priority="111" operator="equal">
      <formula>"P3"</formula>
    </cfRule>
    <cfRule type="cellIs" dxfId="115" priority="110" operator="equal">
      <formula>"P2"</formula>
    </cfRule>
    <cfRule type="cellIs" dxfId="114" priority="109" operator="equal">
      <formula>"P1"</formula>
    </cfRule>
  </conditionalFormatting>
  <conditionalFormatting sqref="AL118:AR119">
    <cfRule type="cellIs" dxfId="113" priority="108" operator="equal">
      <formula>"P6"</formula>
    </cfRule>
    <cfRule type="cellIs" dxfId="112" priority="107" operator="equal">
      <formula>"P5"</formula>
    </cfRule>
    <cfRule type="cellIs" dxfId="111" priority="106" operator="equal">
      <formula>"P4"</formula>
    </cfRule>
    <cfRule type="cellIs" dxfId="110" priority="105" operator="equal">
      <formula>"P3"</formula>
    </cfRule>
    <cfRule type="cellIs" dxfId="109" priority="104" operator="equal">
      <formula>"P2"</formula>
    </cfRule>
    <cfRule type="cellIs" dxfId="108" priority="103" operator="equal">
      <formula>"P1"</formula>
    </cfRule>
  </conditionalFormatting>
  <conditionalFormatting sqref="AL128:AR129">
    <cfRule type="cellIs" dxfId="107" priority="102" operator="equal">
      <formula>"P6"</formula>
    </cfRule>
    <cfRule type="cellIs" dxfId="106" priority="101" operator="equal">
      <formula>"P5"</formula>
    </cfRule>
    <cfRule type="cellIs" dxfId="105" priority="100" operator="equal">
      <formula>"P4"</formula>
    </cfRule>
    <cfRule type="cellIs" dxfId="104" priority="99" operator="equal">
      <formula>"P3"</formula>
    </cfRule>
    <cfRule type="cellIs" dxfId="103" priority="98" operator="equal">
      <formula>"P2"</formula>
    </cfRule>
    <cfRule type="cellIs" dxfId="102" priority="97" operator="equal">
      <formula>"P1"</formula>
    </cfRule>
  </conditionalFormatting>
  <conditionalFormatting sqref="AL153:AR154">
    <cfRule type="cellIs" dxfId="101" priority="96" operator="equal">
      <formula>"P6"</formula>
    </cfRule>
    <cfRule type="cellIs" dxfId="100" priority="95" operator="equal">
      <formula>"P5"</formula>
    </cfRule>
    <cfRule type="cellIs" dxfId="99" priority="93" operator="equal">
      <formula>"P3"</formula>
    </cfRule>
    <cfRule type="cellIs" dxfId="98" priority="94" operator="equal">
      <formula>"P4"</formula>
    </cfRule>
    <cfRule type="cellIs" dxfId="97" priority="92" operator="equal">
      <formula>"P2"</formula>
    </cfRule>
    <cfRule type="cellIs" dxfId="96" priority="91" operator="equal">
      <formula>"P1"</formula>
    </cfRule>
  </conditionalFormatting>
  <conditionalFormatting sqref="AL163:AR164">
    <cfRule type="cellIs" dxfId="95" priority="90" operator="equal">
      <formula>"P6"</formula>
    </cfRule>
    <cfRule type="cellIs" dxfId="94" priority="89" operator="equal">
      <formula>"P5"</formula>
    </cfRule>
    <cfRule type="cellIs" dxfId="93" priority="88" operator="equal">
      <formula>"P4"</formula>
    </cfRule>
    <cfRule type="cellIs" dxfId="92" priority="87" operator="equal">
      <formula>"P3"</formula>
    </cfRule>
    <cfRule type="cellIs" dxfId="91" priority="86" operator="equal">
      <formula>"P2"</formula>
    </cfRule>
    <cfRule type="cellIs" dxfId="90" priority="85" operator="equal">
      <formula>"P1"</formula>
    </cfRule>
  </conditionalFormatting>
  <conditionalFormatting sqref="AL188:AR189">
    <cfRule type="cellIs" dxfId="89" priority="84" operator="equal">
      <formula>"P6"</formula>
    </cfRule>
    <cfRule type="cellIs" dxfId="88" priority="83" operator="equal">
      <formula>"P5"</formula>
    </cfRule>
    <cfRule type="cellIs" dxfId="87" priority="82" operator="equal">
      <formula>"P4"</formula>
    </cfRule>
    <cfRule type="cellIs" dxfId="86" priority="81" operator="equal">
      <formula>"P3"</formula>
    </cfRule>
    <cfRule type="cellIs" dxfId="85" priority="80" operator="equal">
      <formula>"P2"</formula>
    </cfRule>
    <cfRule type="cellIs" dxfId="84" priority="79" operator="equal">
      <formula>"P1"</formula>
    </cfRule>
  </conditionalFormatting>
  <conditionalFormatting sqref="AL198:AR199">
    <cfRule type="cellIs" dxfId="83" priority="73" operator="equal">
      <formula>"P1"</formula>
    </cfRule>
    <cfRule type="cellIs" dxfId="82" priority="74" operator="equal">
      <formula>"P2"</formula>
    </cfRule>
    <cfRule type="cellIs" dxfId="81" priority="75" operator="equal">
      <formula>"P3"</formula>
    </cfRule>
    <cfRule type="cellIs" dxfId="80" priority="76" operator="equal">
      <formula>"P4"</formula>
    </cfRule>
    <cfRule type="cellIs" dxfId="79" priority="77" operator="equal">
      <formula>"P5"</formula>
    </cfRule>
    <cfRule type="cellIs" dxfId="78" priority="78" operator="equal">
      <formula>"P6"</formula>
    </cfRule>
  </conditionalFormatting>
  <conditionalFormatting sqref="AL223:AR224">
    <cfRule type="cellIs" dxfId="77" priority="72" operator="equal">
      <formula>"P6"</formula>
    </cfRule>
    <cfRule type="cellIs" dxfId="76" priority="71" operator="equal">
      <formula>"P5"</formula>
    </cfRule>
    <cfRule type="cellIs" dxfId="75" priority="70" operator="equal">
      <formula>"P4"</formula>
    </cfRule>
    <cfRule type="cellIs" dxfId="74" priority="69" operator="equal">
      <formula>"P3"</formula>
    </cfRule>
    <cfRule type="cellIs" dxfId="73" priority="68" operator="equal">
      <formula>"P2"</formula>
    </cfRule>
    <cfRule type="cellIs" dxfId="72" priority="67" operator="equal">
      <formula>"P1"</formula>
    </cfRule>
  </conditionalFormatting>
  <conditionalFormatting sqref="AL233:AR234">
    <cfRule type="cellIs" dxfId="71" priority="66" operator="equal">
      <formula>"P6"</formula>
    </cfRule>
    <cfRule type="cellIs" dxfId="70" priority="65" operator="equal">
      <formula>"P5"</formula>
    </cfRule>
    <cfRule type="cellIs" dxfId="69" priority="64" operator="equal">
      <formula>"P4"</formula>
    </cfRule>
    <cfRule type="cellIs" dxfId="68" priority="63" operator="equal">
      <formula>"P3"</formula>
    </cfRule>
    <cfRule type="cellIs" dxfId="67" priority="62" operator="equal">
      <formula>"P2"</formula>
    </cfRule>
    <cfRule type="cellIs" dxfId="66" priority="61" operator="equal">
      <formula>"P1"</formula>
    </cfRule>
  </conditionalFormatting>
  <conditionalFormatting sqref="AL258:AR259">
    <cfRule type="cellIs" dxfId="65" priority="60" operator="equal">
      <formula>"P6"</formula>
    </cfRule>
    <cfRule type="cellIs" dxfId="64" priority="59" operator="equal">
      <formula>"P5"</formula>
    </cfRule>
    <cfRule type="cellIs" dxfId="63" priority="57" operator="equal">
      <formula>"P3"</formula>
    </cfRule>
    <cfRule type="cellIs" dxfId="62" priority="58" operator="equal">
      <formula>"P4"</formula>
    </cfRule>
    <cfRule type="cellIs" dxfId="61" priority="56" operator="equal">
      <formula>"P2"</formula>
    </cfRule>
    <cfRule type="cellIs" dxfId="60" priority="55" operator="equal">
      <formula>"P1"</formula>
    </cfRule>
  </conditionalFormatting>
  <conditionalFormatting sqref="AL268:AR269">
    <cfRule type="cellIs" dxfId="59" priority="54" operator="equal">
      <formula>"P6"</formula>
    </cfRule>
    <cfRule type="cellIs" dxfId="58" priority="53" operator="equal">
      <formula>"P5"</formula>
    </cfRule>
    <cfRule type="cellIs" dxfId="57" priority="52" operator="equal">
      <formula>"P4"</formula>
    </cfRule>
    <cfRule type="cellIs" dxfId="56" priority="51" operator="equal">
      <formula>"P3"</formula>
    </cfRule>
    <cfRule type="cellIs" dxfId="55" priority="50" operator="equal">
      <formula>"P2"</formula>
    </cfRule>
    <cfRule type="cellIs" dxfId="54" priority="49" operator="equal">
      <formula>"P1"</formula>
    </cfRule>
  </conditionalFormatting>
  <conditionalFormatting sqref="AL293:AR294">
    <cfRule type="cellIs" dxfId="53" priority="48" operator="equal">
      <formula>"P6"</formula>
    </cfRule>
    <cfRule type="cellIs" dxfId="52" priority="47" operator="equal">
      <formula>"P5"</formula>
    </cfRule>
    <cfRule type="cellIs" dxfId="51" priority="46" operator="equal">
      <formula>"P4"</formula>
    </cfRule>
    <cfRule type="cellIs" dxfId="50" priority="45" operator="equal">
      <formula>"P3"</formula>
    </cfRule>
    <cfRule type="cellIs" dxfId="49" priority="44" operator="equal">
      <formula>"P2"</formula>
    </cfRule>
    <cfRule type="cellIs" dxfId="48" priority="43" operator="equal">
      <formula>"P1"</formula>
    </cfRule>
  </conditionalFormatting>
  <conditionalFormatting sqref="AL303:AR304">
    <cfRule type="cellIs" dxfId="47" priority="42" operator="equal">
      <formula>"P6"</formula>
    </cfRule>
    <cfRule type="cellIs" dxfId="46" priority="41" operator="equal">
      <formula>"P5"</formula>
    </cfRule>
    <cfRule type="cellIs" dxfId="45" priority="40" operator="equal">
      <formula>"P4"</formula>
    </cfRule>
    <cfRule type="cellIs" dxfId="44" priority="39" operator="equal">
      <formula>"P3"</formula>
    </cfRule>
    <cfRule type="cellIs" dxfId="43" priority="38" operator="equal">
      <formula>"P2"</formula>
    </cfRule>
    <cfRule type="cellIs" dxfId="42" priority="37" operator="equal">
      <formula>"P1"</formula>
    </cfRule>
  </conditionalFormatting>
  <conditionalFormatting sqref="AL328:AR329">
    <cfRule type="cellIs" dxfId="41" priority="36" operator="equal">
      <formula>"P6"</formula>
    </cfRule>
    <cfRule type="cellIs" dxfId="40" priority="35" operator="equal">
      <formula>"P5"</formula>
    </cfRule>
    <cfRule type="cellIs" dxfId="39" priority="34" operator="equal">
      <formula>"P4"</formula>
    </cfRule>
    <cfRule type="cellIs" dxfId="38" priority="33" operator="equal">
      <formula>"P3"</formula>
    </cfRule>
    <cfRule type="cellIs" dxfId="37" priority="32" operator="equal">
      <formula>"P2"</formula>
    </cfRule>
    <cfRule type="cellIs" dxfId="36" priority="31" operator="equal">
      <formula>"P1"</formula>
    </cfRule>
  </conditionalFormatting>
  <conditionalFormatting sqref="AL338:AR339">
    <cfRule type="cellIs" dxfId="35" priority="30" operator="equal">
      <formula>"P6"</formula>
    </cfRule>
    <cfRule type="cellIs" dxfId="34" priority="29" operator="equal">
      <formula>"P5"</formula>
    </cfRule>
    <cfRule type="cellIs" dxfId="33" priority="28" operator="equal">
      <formula>"P4"</formula>
    </cfRule>
    <cfRule type="cellIs" dxfId="32" priority="27" operator="equal">
      <formula>"P3"</formula>
    </cfRule>
    <cfRule type="cellIs" dxfId="31" priority="26" operator="equal">
      <formula>"P2"</formula>
    </cfRule>
    <cfRule type="cellIs" dxfId="30" priority="25" operator="equal">
      <formula>"P1"</formula>
    </cfRule>
  </conditionalFormatting>
  <conditionalFormatting sqref="AL363:AR364">
    <cfRule type="cellIs" dxfId="29" priority="24" operator="equal">
      <formula>"P6"</formula>
    </cfRule>
    <cfRule type="cellIs" dxfId="28" priority="23" operator="equal">
      <formula>"P5"</formula>
    </cfRule>
    <cfRule type="cellIs" dxfId="27" priority="22" operator="equal">
      <formula>"P4"</formula>
    </cfRule>
    <cfRule type="cellIs" dxfId="26" priority="21" operator="equal">
      <formula>"P3"</formula>
    </cfRule>
    <cfRule type="cellIs" dxfId="25" priority="20" operator="equal">
      <formula>"P2"</formula>
    </cfRule>
    <cfRule type="cellIs" dxfId="24" priority="19" operator="equal">
      <formula>"P1"</formula>
    </cfRule>
  </conditionalFormatting>
  <conditionalFormatting sqref="AL373:AR374">
    <cfRule type="cellIs" dxfId="23" priority="18" operator="equal">
      <formula>"P6"</formula>
    </cfRule>
    <cfRule type="cellIs" dxfId="22" priority="17" operator="equal">
      <formula>"P5"</formula>
    </cfRule>
    <cfRule type="cellIs" dxfId="21" priority="16" operator="equal">
      <formula>"P4"</formula>
    </cfRule>
    <cfRule type="cellIs" dxfId="20" priority="15" operator="equal">
      <formula>"P3"</formula>
    </cfRule>
    <cfRule type="cellIs" dxfId="19" priority="14" operator="equal">
      <formula>"P2"</formula>
    </cfRule>
    <cfRule type="cellIs" dxfId="18" priority="13" operator="equal">
      <formula>"P1"</formula>
    </cfRule>
  </conditionalFormatting>
  <conditionalFormatting sqref="AL398:AR399">
    <cfRule type="cellIs" dxfId="17" priority="12" operator="equal">
      <formula>"P6"</formula>
    </cfRule>
    <cfRule type="cellIs" dxfId="16" priority="11" operator="equal">
      <formula>"P5"</formula>
    </cfRule>
    <cfRule type="cellIs" dxfId="15" priority="9" operator="equal">
      <formula>"P3"</formula>
    </cfRule>
    <cfRule type="cellIs" dxfId="14" priority="8" operator="equal">
      <formula>"P2"</formula>
    </cfRule>
    <cfRule type="cellIs" dxfId="13" priority="7" operator="equal">
      <formula>"P1"</formula>
    </cfRule>
    <cfRule type="cellIs" dxfId="12" priority="10" operator="equal">
      <formula>"P4"</formula>
    </cfRule>
  </conditionalFormatting>
  <conditionalFormatting sqref="AL408:AR409">
    <cfRule type="cellIs" dxfId="11" priority="1" operator="equal">
      <formula>"P1"</formula>
    </cfRule>
    <cfRule type="cellIs" dxfId="10" priority="6" operator="equal">
      <formula>"P6"</formula>
    </cfRule>
    <cfRule type="cellIs" dxfId="9" priority="5" operator="equal">
      <formula>"P5"</formula>
    </cfRule>
    <cfRule type="cellIs" dxfId="8" priority="4" operator="equal">
      <formula>"P4"</formula>
    </cfRule>
    <cfRule type="cellIs" dxfId="7" priority="3" operator="equal">
      <formula>"P3"</formula>
    </cfRule>
    <cfRule type="cellIs" dxfId="6" priority="2" operator="equal">
      <formula>"P2"</formula>
    </cfRule>
  </conditionalFormatting>
  <hyperlinks>
    <hyperlink ref="AX1" r:id="rId1" display="https://www.esios.ree.es/es/descargas?date_type=datos&amp;start_date=01-04-2026&amp;end_date=30-04-2026" xr:uid="{BA794E43-177C-44A1-AFD0-5C02B3859FD9}"/>
  </hyperlinks>
  <pageMargins left="0.7" right="0.7" top="0.75" bottom="0.75" header="0.3" footer="0.3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KEST_2023</vt:lpstr>
      <vt:lpstr>KEST_2024</vt:lpstr>
      <vt:lpstr>KEST_2025</vt:lpstr>
      <vt:lpstr>KEST_2026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marijose lopez abad</dc:creator>
  <cp:lastModifiedBy>marijose lopez abad</cp:lastModifiedBy>
  <dcterms:created xsi:type="dcterms:W3CDTF">2026-04-20T11:42:22Z</dcterms:created>
  <dcterms:modified xsi:type="dcterms:W3CDTF">2026-07-18T14:18:41Z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2026-04-19T17:40:15Z</dcterms:created>
  <dc:creator>openpyxl</dc:creator>
  <dc:description/>
  <dc:language>en-US</dc:language>
  <cp:lastModifiedBy>marijose lopez abad</cp:lastModifiedBy>
  <dcterms:modified xsi:type="dcterms:W3CDTF">2026-04-20T10:31:43Z</dcterms:modified>
  <cp:revision>0</cp:revision>
  <dc:subject/>
  <dc:title/>
</cp:coreProperties>
</file>