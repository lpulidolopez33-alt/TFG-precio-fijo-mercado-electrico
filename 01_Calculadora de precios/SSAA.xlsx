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a86ca502eb72de09/Desktop/TFG/"/>
    </mc:Choice>
  </mc:AlternateContent>
  <xr:revisionPtr revIDLastSave="384" documentId="8_{799194BE-DE96-4976-85EE-6CD015FC7257}" xr6:coauthVersionLast="47" xr6:coauthVersionMax="47" xr10:uidLastSave="{8FE8A200-5DA4-4A6C-A3FE-1D0C88DC7755}"/>
  <bookViews>
    <workbookView xWindow="-110" yWindow="-110" windowWidth="19420" windowHeight="11500" activeTab="3" xr2:uid="{00000000-000D-0000-FFFF-FFFF00000000}"/>
  </bookViews>
  <sheets>
    <sheet name="DATOS DE 2023 A 2026" sheetId="1" r:id="rId1"/>
    <sheet name="Hoja2" sheetId="7" state="hidden" r:id="rId2"/>
    <sheet name="ESTUDIO SSAA" sheetId="2" r:id="rId3"/>
    <sheet name="OFERTA" sheetId="3" r:id="rId4"/>
    <sheet name="Hoja1" sheetId="6" state="hidden" r:id="rId5"/>
    <sheet name="Hoja4" sheetId="5" state="hidden" r:id="rId6"/>
  </sheets>
  <externalReferences>
    <externalReference r:id="rId7"/>
  </externalReferences>
  <calcPr calcId="191029"/>
  <pivotCaches>
    <pivotCache cacheId="0" r:id="rId8"/>
    <pivotCache cacheId="1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D15" i="3"/>
  <c r="C16" i="3"/>
  <c r="D16" i="3"/>
  <c r="C17" i="3"/>
  <c r="D17" i="3"/>
  <c r="H42" i="2"/>
  <c r="H43" i="2"/>
  <c r="H44" i="2"/>
  <c r="E42" i="2"/>
  <c r="F42" i="2"/>
  <c r="G42" i="2"/>
  <c r="E43" i="2"/>
  <c r="F43" i="2"/>
  <c r="G43" i="2"/>
  <c r="E44" i="2"/>
  <c r="F44" i="2"/>
  <c r="G44" i="2"/>
  <c r="D4" i="3"/>
  <c r="D5" i="3"/>
  <c r="D6" i="3"/>
  <c r="D7" i="3"/>
  <c r="D8" i="3"/>
  <c r="D9" i="3"/>
  <c r="D10" i="3"/>
  <c r="D11" i="3"/>
  <c r="D12" i="3"/>
  <c r="D13" i="3"/>
  <c r="D14" i="3"/>
  <c r="D3" i="3"/>
  <c r="C4" i="3"/>
  <c r="C5" i="3"/>
  <c r="C6" i="3"/>
  <c r="C7" i="3"/>
  <c r="C8" i="3"/>
  <c r="C9" i="3"/>
  <c r="C10" i="3"/>
  <c r="C11" i="3"/>
  <c r="C12" i="3"/>
  <c r="C13" i="3"/>
  <c r="C14" i="3"/>
  <c r="C3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K3" i="2" s="1"/>
  <c r="H34" i="2"/>
  <c r="H35" i="2"/>
  <c r="H36" i="2"/>
  <c r="H37" i="2"/>
  <c r="H38" i="2"/>
  <c r="H39" i="2"/>
  <c r="H40" i="2"/>
  <c r="H41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3" i="2"/>
  <c r="K26" i="2" l="1"/>
  <c r="H17" i="3" s="1"/>
  <c r="L10" i="2"/>
  <c r="L11" i="2"/>
  <c r="E13" i="3" s="1"/>
  <c r="L12" i="2"/>
  <c r="N12" i="2" s="1"/>
  <c r="L13" i="2"/>
  <c r="E3" i="3" s="1"/>
  <c r="G3" i="3" s="1"/>
  <c r="L15" i="2"/>
  <c r="E17" i="3" s="1"/>
  <c r="L16" i="2"/>
  <c r="E6" i="3" s="1"/>
  <c r="G6" i="3" s="1"/>
  <c r="L17" i="2"/>
  <c r="E7" i="3" s="1"/>
  <c r="G7" i="3" s="1"/>
  <c r="L18" i="2"/>
  <c r="E8" i="3" s="1"/>
  <c r="L19" i="2"/>
  <c r="E9" i="3" s="1"/>
  <c r="L20" i="2"/>
  <c r="E10" i="3" s="1"/>
  <c r="K4" i="2"/>
  <c r="K6" i="2" s="1"/>
  <c r="L21" i="2"/>
  <c r="E11" i="3" s="1"/>
  <c r="H15" i="3"/>
  <c r="N10" i="2"/>
  <c r="H7" i="3"/>
  <c r="H50" i="2"/>
  <c r="H53" i="2" s="1"/>
  <c r="G50" i="2"/>
  <c r="H8" i="3"/>
  <c r="H9" i="3"/>
  <c r="H10" i="3"/>
  <c r="H11" i="3"/>
  <c r="H12" i="3"/>
  <c r="H13" i="3"/>
  <c r="H14" i="3"/>
  <c r="H3" i="3"/>
  <c r="H4" i="3"/>
  <c r="H5" i="3"/>
  <c r="H6" i="3"/>
  <c r="E50" i="2"/>
  <c r="E12" i="3"/>
  <c r="F50" i="2"/>
  <c r="L14" i="2"/>
  <c r="E4" i="3" s="1"/>
  <c r="G4" i="3" s="1"/>
  <c r="H16" i="3" l="1"/>
  <c r="E5" i="3"/>
  <c r="G5" i="3" s="1"/>
  <c r="E15" i="3"/>
  <c r="E14" i="3"/>
  <c r="E16" i="3"/>
  <c r="F53" i="2"/>
  <c r="F55" i="2" s="1"/>
  <c r="J5" i="3"/>
  <c r="G9" i="3"/>
  <c r="J9" i="3" s="1"/>
  <c r="G8" i="3"/>
  <c r="J8" i="3" s="1"/>
  <c r="M10" i="2"/>
  <c r="H55" i="2"/>
  <c r="J3" i="3"/>
  <c r="M12" i="2"/>
  <c r="J4" i="3"/>
  <c r="J6" i="3"/>
  <c r="J7" i="3"/>
  <c r="M21" i="2"/>
  <c r="N21" i="2"/>
  <c r="G53" i="2"/>
  <c r="G55" i="2" s="1"/>
  <c r="N19" i="2"/>
  <c r="M19" i="2"/>
  <c r="N14" i="2"/>
  <c r="M14" i="2"/>
  <c r="N18" i="2"/>
  <c r="M18" i="2"/>
  <c r="N17" i="2"/>
  <c r="M17" i="2"/>
  <c r="N11" i="2"/>
  <c r="M11" i="2"/>
  <c r="N15" i="2"/>
  <c r="M15" i="2"/>
  <c r="M16" i="2"/>
  <c r="N16" i="2"/>
  <c r="N13" i="2"/>
  <c r="M13" i="2"/>
  <c r="N20" i="2"/>
  <c r="M20" i="2"/>
  <c r="G13" i="3" l="1"/>
  <c r="J13" i="3" s="1"/>
  <c r="G10" i="3"/>
  <c r="J10" i="3" s="1"/>
  <c r="G11" i="3"/>
  <c r="J11" i="3" s="1"/>
  <c r="G15" i="3" l="1"/>
  <c r="J15" i="3" s="1"/>
  <c r="G12" i="3"/>
  <c r="J12" i="3" s="1"/>
  <c r="K2" i="3" l="1"/>
  <c r="G17" i="3"/>
  <c r="J17" i="3" s="1"/>
  <c r="G14" i="3"/>
  <c r="J14" i="3" s="1"/>
  <c r="G16" i="3"/>
  <c r="J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tc={791F00D8-E2D9-44F7-99C2-0371FBB8E3BE}</author>
  </authors>
  <commentList>
    <comment ref="A2" authorId="0" shapeId="0" xr:uid="{791F00D8-E2D9-44F7-99C2-0371FBB8E3B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Trasponemos datos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tc={3766C87D-06A2-4E11-BA19-3EDCE0ACAB34}</author>
  </authors>
  <commentList>
    <comment ref="A1" authorId="0" shapeId="0" xr:uid="{3766C87D-06A2-4E11-BA19-3EDCE0ACAB3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Trasponemos datos </t>
      </text>
    </comment>
  </commentList>
</comments>
</file>

<file path=xl/sharedStrings.xml><?xml version="1.0" encoding="utf-8"?>
<sst xmlns="http://schemas.openxmlformats.org/spreadsheetml/2006/main" count="159" uniqueCount="102">
  <si>
    <t>PENINSULAR</t>
  </si>
  <si>
    <t>€/MWh</t>
  </si>
  <si>
    <t xml:space="preserve"> </t>
  </si>
  <si>
    <t>ene/23</t>
  </si>
  <si>
    <t>feb/23</t>
  </si>
  <si>
    <t>mar/23</t>
  </si>
  <si>
    <t>abr/23</t>
  </si>
  <si>
    <t>may/23</t>
  </si>
  <si>
    <t>jun/23</t>
  </si>
  <si>
    <t>jul/23</t>
  </si>
  <si>
    <t>ago/23</t>
  </si>
  <si>
    <t>sep/23</t>
  </si>
  <si>
    <t>oct/23</t>
  </si>
  <si>
    <t>nov/23</t>
  </si>
  <si>
    <t>dic/23</t>
  </si>
  <si>
    <t>ene/24</t>
  </si>
  <si>
    <t>feb/24</t>
  </si>
  <si>
    <t>mar/24</t>
  </si>
  <si>
    <t>abr/24</t>
  </si>
  <si>
    <t>may/24</t>
  </si>
  <si>
    <t>jun/24</t>
  </si>
  <si>
    <t>jul/24</t>
  </si>
  <si>
    <t>ago/24</t>
  </si>
  <si>
    <t>sep/24</t>
  </si>
  <si>
    <t>oct/24</t>
  </si>
  <si>
    <t>nov/24</t>
  </si>
  <si>
    <t>dic/24</t>
  </si>
  <si>
    <t>ene/25</t>
  </si>
  <si>
    <t>feb/25</t>
  </si>
  <si>
    <t>mar/25</t>
  </si>
  <si>
    <t>abr/25</t>
  </si>
  <si>
    <t>may/25</t>
  </si>
  <si>
    <t>jun/25</t>
  </si>
  <si>
    <t>jul/25</t>
  </si>
  <si>
    <t>ago/25</t>
  </si>
  <si>
    <t>sep/25</t>
  </si>
  <si>
    <t>oct/25</t>
  </si>
  <si>
    <t>nov/25</t>
  </si>
  <si>
    <t>dic/25</t>
  </si>
  <si>
    <t>ene/26</t>
  </si>
  <si>
    <t>feb/26</t>
  </si>
  <si>
    <t>mar/26</t>
  </si>
  <si>
    <t>Mercado diario</t>
  </si>
  <si>
    <t>Mercado intradiario (subastas MIBEL y continuo)</t>
  </si>
  <si>
    <t>Restricciones técnicas PDBF</t>
  </si>
  <si>
    <t>Banda de regulación secundaria</t>
  </si>
  <si>
    <t>Restricciones técnicas en tiempo real</t>
  </si>
  <si>
    <t>Incumplimiento de energía de balance</t>
  </si>
  <si>
    <t>Coste desvíos</t>
  </si>
  <si>
    <t>Saldo desvíos</t>
  </si>
  <si>
    <t>-</t>
  </si>
  <si>
    <t>Control del factor de potencia</t>
  </si>
  <si>
    <t>Saldo PO 14.6</t>
  </si>
  <si>
    <t>Servicios de ajuste</t>
  </si>
  <si>
    <t>Pagos por capacidad</t>
  </si>
  <si>
    <t>Mecanismo ajuste RD-L 10/2022</t>
  </si>
  <si>
    <t>Precio total (€/MWh)</t>
  </si>
  <si>
    <t>Energía de cierre (MWh)</t>
  </si>
  <si>
    <t>Fecha exportación</t>
  </si>
  <si>
    <t>01/05/2026 - 16:21:58</t>
  </si>
  <si>
    <t>Fuente</t>
  </si>
  <si>
    <t>FECHA</t>
  </si>
  <si>
    <t>AÑO</t>
  </si>
  <si>
    <t>MES</t>
  </si>
  <si>
    <t>SSAA [€/MWh]</t>
  </si>
  <si>
    <t>PROMEDIOS ANUEALES</t>
  </si>
  <si>
    <t>MEDIA ULT 12 MESES</t>
  </si>
  <si>
    <t>MEDIA ULT 24 MESES</t>
  </si>
  <si>
    <t>SSAA BASE</t>
  </si>
  <si>
    <t>ESTACIONABILIDAD</t>
  </si>
  <si>
    <t>ENERO</t>
  </si>
  <si>
    <t>FEBRERO</t>
  </si>
  <si>
    <t>MARZO</t>
  </si>
  <si>
    <t>ABRIL</t>
  </si>
  <si>
    <t>MAYO</t>
  </si>
  <si>
    <t>JUNIO</t>
  </si>
  <si>
    <t>JULIO</t>
  </si>
  <si>
    <t xml:space="preserve">AGOSTO </t>
  </si>
  <si>
    <t>SEPTIEMBRE</t>
  </si>
  <si>
    <t>OCTUBRE</t>
  </si>
  <si>
    <t>NOVIEMBRE</t>
  </si>
  <si>
    <t>DICIEMBRE</t>
  </si>
  <si>
    <t>SSAA BASE [€/MWh]</t>
  </si>
  <si>
    <t>SSAA ESPERADO [€/MWh]</t>
  </si>
  <si>
    <t>SSAA FINAL</t>
  </si>
  <si>
    <t>PRIMA RIESGO SSAA</t>
  </si>
  <si>
    <t>Etiquetas de columna</t>
  </si>
  <si>
    <t>Total general</t>
  </si>
  <si>
    <t>Promedio de SSAA [€/MWh]</t>
  </si>
  <si>
    <t>MESES</t>
  </si>
  <si>
    <t>Este es el valor que meteria en la calculadora</t>
  </si>
  <si>
    <t>Componentes precio energía cierre desglose | Red Eléctrica</t>
  </si>
  <si>
    <t>ULTIMA ACTUALIZACION</t>
  </si>
  <si>
    <t>SISTEMA ELECTRICO</t>
  </si>
  <si>
    <t>MAGNITUDES</t>
  </si>
  <si>
    <t>FECHA DESDE ESTUDIO</t>
  </si>
  <si>
    <t>€ / MWh</t>
  </si>
  <si>
    <t>PRIMA RIESGO [€/MWh]</t>
  </si>
  <si>
    <t>I.ESTACIONALIDAD [€/MWh]</t>
  </si>
  <si>
    <t>PESO EN € / MWh</t>
  </si>
  <si>
    <t>Etiquetas de fila</t>
  </si>
  <si>
    <t xml:space="preserve">TENGO EN CUENTA EL PERCENTIL 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</si>
</sst>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0" xfId="0" applyFont="1" applyFill="1"/>
    <xf numFmtId="164" fontId="0" fillId="0" borderId="0" xfId="1" applyNumberFormat="1" applyFon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2"/>
    <xf numFmtId="0" fontId="2" fillId="7" borderId="0" xfId="0" applyFont="1" applyFill="1" applyAlignment="1">
      <alignment horizontal="left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8" borderId="0" xfId="0" applyFill="1"/>
    <xf numFmtId="0" fontId="2" fillId="7" borderId="0" xfId="0" applyFont="1" applyFill="1"/>
    <xf numFmtId="17" fontId="2" fillId="9" borderId="0" xfId="0" applyNumberFormat="1" applyFont="1" applyFill="1" applyAlignment="1">
      <alignment horizontal="center"/>
    </xf>
    <xf numFmtId="0" fontId="2" fillId="10" borderId="0" xfId="0" applyFont="1" applyFill="1"/>
    <xf numFmtId="0" fontId="0" fillId="0" borderId="0" xfId="0" applyAlignment="1">
      <alignment horizontal="center"/>
    </xf>
    <xf numFmtId="0" fontId="2" fillId="10" borderId="0" xfId="0" applyFont="1" applyFill="1" applyAlignment="1">
      <alignment horizontal="center"/>
    </xf>
    <xf numFmtId="17" fontId="2" fillId="7" borderId="0" xfId="0" applyNumberFormat="1" applyFont="1" applyFill="1" applyAlignment="1">
      <alignment horizontal="center"/>
    </xf>
    <xf numFmtId="17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164" fontId="0" fillId="8" borderId="0" xfId="1" applyNumberFormat="1" applyFont="1" applyFill="1"/>
    <xf numFmtId="0" fontId="4" fillId="3" borderId="0" xfId="0" applyFont="1" applyFill="1"/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2" fillId="7" borderId="4" xfId="0" applyFon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NumberFormat="1"/>
  </cellXfs>
  <cellStyles count="3">
    <cellStyle name="Hipervínculo" xfId="2" builtinId="8"/>
    <cellStyle name="Normal" xfId="0" builtinId="0"/>
    <cellStyle name="Porcentaje" xfId="1" builtinId="5"/>
  </cellStyles>
  <dxfs count="4">
    <dxf>
      <fill>
        <patternFill>
          <bgColor theme="3" tint="0.7999816888943144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3" tint="0.79998168889431442"/>
        </patternFill>
      </fill>
    </dxf>
    <dxf>
      <font>
        <color theme="0"/>
      </font>
      <fill>
        <patternFill>
          <bgColor theme="3" tint="-0.24994659260841701"/>
        </patternFill>
      </fill>
    </dxf>
  </dxfs>
  <tableStyles count="0" defaultTableStyle="TableStyleMedium9" defaultPivotStyle="PivotStyleMedium4"/>
  <colors>
    <mruColors>
      <color rgb="FFCC33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[SSAA.xlsx]Hoja2!TablaDinámica2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Hoja2!$B$5:$B$17</c:f>
              <c:numCache>
                <c:formatCode>General</c:formatCode>
                <c:ptCount val="12"/>
                <c:pt idx="0">
                  <c:v>13.35</c:v>
                </c:pt>
                <c:pt idx="1">
                  <c:v>7.85</c:v>
                </c:pt>
                <c:pt idx="2">
                  <c:v>10.71</c:v>
                </c:pt>
                <c:pt idx="3">
                  <c:v>10.67</c:v>
                </c:pt>
                <c:pt idx="4">
                  <c:v>9.860000000000003</c:v>
                </c:pt>
                <c:pt idx="5">
                  <c:v>8.1599999999999984</c:v>
                </c:pt>
                <c:pt idx="6">
                  <c:v>7.3999999999999986</c:v>
                </c:pt>
                <c:pt idx="7">
                  <c:v>7.6099999999999994</c:v>
                </c:pt>
                <c:pt idx="8">
                  <c:v>8.2999999999999989</c:v>
                </c:pt>
                <c:pt idx="9">
                  <c:v>13.58</c:v>
                </c:pt>
                <c:pt idx="10">
                  <c:v>14.159999999999998</c:v>
                </c:pt>
                <c:pt idx="11">
                  <c:v>10.75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0-43C7-B4DD-922B2D456B01}"/>
            </c:ext>
          </c:extLst>
        </c:ser>
        <c:ser>
          <c:idx val="1"/>
          <c:order val="1"/>
          <c:tx>
            <c:strRef>
              <c:f>Hoja2!$C$3:$C$4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Hoja2!$C$5:$C$17</c:f>
              <c:numCache>
                <c:formatCode>General</c:formatCode>
                <c:ptCount val="12"/>
                <c:pt idx="0">
                  <c:v>8.59</c:v>
                </c:pt>
                <c:pt idx="1">
                  <c:v>9.4699999999999989</c:v>
                </c:pt>
                <c:pt idx="2">
                  <c:v>12.69</c:v>
                </c:pt>
                <c:pt idx="3">
                  <c:v>17.119999999999997</c:v>
                </c:pt>
                <c:pt idx="4">
                  <c:v>14.22</c:v>
                </c:pt>
                <c:pt idx="5">
                  <c:v>11.48</c:v>
                </c:pt>
                <c:pt idx="6">
                  <c:v>8.2000000000000011</c:v>
                </c:pt>
                <c:pt idx="7">
                  <c:v>8.7499999999999982</c:v>
                </c:pt>
                <c:pt idx="8">
                  <c:v>10.870000000000001</c:v>
                </c:pt>
                <c:pt idx="9">
                  <c:v>14.380000000000003</c:v>
                </c:pt>
                <c:pt idx="10">
                  <c:v>12.360000000000001</c:v>
                </c:pt>
                <c:pt idx="11">
                  <c:v>11.34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0-43C7-B4DD-922B2D456B01}"/>
            </c:ext>
          </c:extLst>
        </c:ser>
        <c:ser>
          <c:idx val="2"/>
          <c:order val="2"/>
          <c:tx>
            <c:strRef>
              <c:f>Hoja2!$D$3:$D$4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Hoja2!$A$5:$A$17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Hoja2!$D$5:$D$17</c:f>
              <c:numCache>
                <c:formatCode>General</c:formatCode>
                <c:ptCount val="12"/>
                <c:pt idx="0">
                  <c:v>11.46</c:v>
                </c:pt>
                <c:pt idx="1">
                  <c:v>16.32</c:v>
                </c:pt>
                <c:pt idx="2">
                  <c:v>15.900000000000002</c:v>
                </c:pt>
                <c:pt idx="3">
                  <c:v>17.659999999999997</c:v>
                </c:pt>
                <c:pt idx="4">
                  <c:v>25.619999999999997</c:v>
                </c:pt>
                <c:pt idx="5">
                  <c:v>15.1</c:v>
                </c:pt>
                <c:pt idx="6">
                  <c:v>14.81</c:v>
                </c:pt>
                <c:pt idx="7">
                  <c:v>13.4</c:v>
                </c:pt>
                <c:pt idx="8">
                  <c:v>16.78</c:v>
                </c:pt>
                <c:pt idx="9">
                  <c:v>17.689999999999998</c:v>
                </c:pt>
                <c:pt idx="10">
                  <c:v>16.25</c:v>
                </c:pt>
                <c:pt idx="11">
                  <c:v>13.86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10-43C7-B4DD-922B2D456B01}"/>
            </c:ext>
          </c:extLst>
        </c:ser>
        <c:ser>
          <c:idx val="3"/>
          <c:order val="3"/>
          <c:tx>
            <c:strRef>
              <c:f>Hoja2!$E$3:$E$4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Hoja2!$A$5:$A$17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Hoja2!$E$5:$E$17</c:f>
              <c:numCache>
                <c:formatCode>General</c:formatCode>
                <c:ptCount val="12"/>
                <c:pt idx="0">
                  <c:v>16.190000000000001</c:v>
                </c:pt>
                <c:pt idx="1">
                  <c:v>26.46</c:v>
                </c:pt>
                <c:pt idx="2">
                  <c:v>30.04</c:v>
                </c:pt>
                <c:pt idx="3">
                  <c:v>22.89</c:v>
                </c:pt>
                <c:pt idx="4">
                  <c:v>23.08</c:v>
                </c:pt>
                <c:pt idx="5">
                  <c:v>19.57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10-43C7-B4DD-922B2D456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690271"/>
        <c:axId val="1749386415"/>
      </c:barChart>
      <c:catAx>
        <c:axId val="180969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9386415"/>
        <c:crosses val="autoZero"/>
        <c:auto val="1"/>
        <c:lblAlgn val="ctr"/>
        <c:lblOffset val="100"/>
        <c:noMultiLvlLbl val="0"/>
      </c:catAx>
      <c:valAx>
        <c:axId val="17493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0969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SSAA €/MWh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'ESTUDIO SSAA'!$A$15:$A$41</c:f>
              <c:numCache>
                <c:formatCode>mmm\-yy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'ESTUDIO SSAA'!$B$15:$B$41</c:f>
              <c:numCache>
                <c:formatCode>General</c:formatCode>
                <c:ptCount val="27"/>
                <c:pt idx="0">
                  <c:v>8.59</c:v>
                </c:pt>
                <c:pt idx="1">
                  <c:v>9.4699999999999989</c:v>
                </c:pt>
                <c:pt idx="2">
                  <c:v>12.69</c:v>
                </c:pt>
                <c:pt idx="3">
                  <c:v>17.119999999999997</c:v>
                </c:pt>
                <c:pt idx="4">
                  <c:v>14.22</c:v>
                </c:pt>
                <c:pt idx="5">
                  <c:v>11.48</c:v>
                </c:pt>
                <c:pt idx="6">
                  <c:v>8.2000000000000011</c:v>
                </c:pt>
                <c:pt idx="7">
                  <c:v>8.7499999999999982</c:v>
                </c:pt>
                <c:pt idx="8">
                  <c:v>10.870000000000001</c:v>
                </c:pt>
                <c:pt idx="9">
                  <c:v>14.380000000000003</c:v>
                </c:pt>
                <c:pt idx="10">
                  <c:v>12.360000000000001</c:v>
                </c:pt>
                <c:pt idx="11">
                  <c:v>11.34</c:v>
                </c:pt>
                <c:pt idx="12">
                  <c:v>11.46</c:v>
                </c:pt>
                <c:pt idx="13">
                  <c:v>16.32</c:v>
                </c:pt>
                <c:pt idx="14">
                  <c:v>15.900000000000002</c:v>
                </c:pt>
                <c:pt idx="15">
                  <c:v>17.659999999999997</c:v>
                </c:pt>
                <c:pt idx="16">
                  <c:v>25.619999999999997</c:v>
                </c:pt>
                <c:pt idx="17">
                  <c:v>15.1</c:v>
                </c:pt>
                <c:pt idx="18">
                  <c:v>14.81</c:v>
                </c:pt>
                <c:pt idx="19">
                  <c:v>13.4</c:v>
                </c:pt>
                <c:pt idx="20">
                  <c:v>16.78</c:v>
                </c:pt>
                <c:pt idx="21">
                  <c:v>17.689999999999998</c:v>
                </c:pt>
                <c:pt idx="22">
                  <c:v>16.25</c:v>
                </c:pt>
                <c:pt idx="23">
                  <c:v>13.86</c:v>
                </c:pt>
                <c:pt idx="24">
                  <c:v>16.190000000000001</c:v>
                </c:pt>
                <c:pt idx="25">
                  <c:v>26.46</c:v>
                </c:pt>
                <c:pt idx="26">
                  <c:v>30.04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0-4E44-BB0B-04163284B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06721168"/>
        <c:axId val="533535568"/>
      </c:barChart>
      <c:lineChart>
        <c:grouping val="standard"/>
        <c:varyColors val="0"/>
        <c:ser>
          <c:idx val="1"/>
          <c:order val="1"/>
          <c:tx>
            <c:v>Precio medio SSAA €/MWh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'ESTUDIO SSAA'!$A$15:$A$41</c:f>
              <c:numCache>
                <c:formatCode>mmm\-yy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Hoja1!$C$2:$C$28</c:f>
              <c:numCache>
                <c:formatCode>General</c:formatCode>
                <c:ptCount val="27"/>
                <c:pt idx="0">
                  <c:v>11.622500000000002</c:v>
                </c:pt>
                <c:pt idx="1">
                  <c:v>11.622500000000002</c:v>
                </c:pt>
                <c:pt idx="2">
                  <c:v>11.622500000000002</c:v>
                </c:pt>
                <c:pt idx="3">
                  <c:v>11.622500000000002</c:v>
                </c:pt>
                <c:pt idx="4">
                  <c:v>11.622500000000002</c:v>
                </c:pt>
                <c:pt idx="5">
                  <c:v>11.622500000000002</c:v>
                </c:pt>
                <c:pt idx="6">
                  <c:v>11.622500000000002</c:v>
                </c:pt>
                <c:pt idx="7">
                  <c:v>11.622500000000002</c:v>
                </c:pt>
                <c:pt idx="8">
                  <c:v>11.622500000000002</c:v>
                </c:pt>
                <c:pt idx="9">
                  <c:v>11.622500000000002</c:v>
                </c:pt>
                <c:pt idx="10">
                  <c:v>11.622500000000002</c:v>
                </c:pt>
                <c:pt idx="11">
                  <c:v>11.622500000000002</c:v>
                </c:pt>
                <c:pt idx="12">
                  <c:v>16.237500000000001</c:v>
                </c:pt>
                <c:pt idx="13">
                  <c:v>16.237500000000001</c:v>
                </c:pt>
                <c:pt idx="14">
                  <c:v>16.237500000000001</c:v>
                </c:pt>
                <c:pt idx="15">
                  <c:v>16.237500000000001</c:v>
                </c:pt>
                <c:pt idx="16">
                  <c:v>16.237500000000001</c:v>
                </c:pt>
                <c:pt idx="17">
                  <c:v>16.237500000000001</c:v>
                </c:pt>
                <c:pt idx="18">
                  <c:v>16.237500000000001</c:v>
                </c:pt>
                <c:pt idx="19">
                  <c:v>16.237500000000001</c:v>
                </c:pt>
                <c:pt idx="20">
                  <c:v>16.237500000000001</c:v>
                </c:pt>
                <c:pt idx="21">
                  <c:v>16.237500000000001</c:v>
                </c:pt>
                <c:pt idx="22">
                  <c:v>16.237500000000001</c:v>
                </c:pt>
                <c:pt idx="23">
                  <c:v>16.237500000000001</c:v>
                </c:pt>
                <c:pt idx="24">
                  <c:v>24.23</c:v>
                </c:pt>
                <c:pt idx="25">
                  <c:v>24.23</c:v>
                </c:pt>
                <c:pt idx="26">
                  <c:v>24.23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20-4E44-BB0B-04163284B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6721168"/>
        <c:axId val="533535568"/>
      </c:lineChart>
      <c:dateAx>
        <c:axId val="20067211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3535568"/>
        <c:crosses val="autoZero"/>
        <c:auto val="1"/>
        <c:lblOffset val="100"/>
        <c:baseTimeUnit val="months"/>
      </c:dateAx>
      <c:valAx>
        <c:axId val="5335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€/MWh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672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[SSAA.xlsx]Hoja2!TablaDinámica2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Hoja2!$B$5:$B$17</c:f>
              <c:numCache>
                <c:formatCode>General</c:formatCode>
                <c:ptCount val="12"/>
                <c:pt idx="0">
                  <c:v>13.35</c:v>
                </c:pt>
                <c:pt idx="1">
                  <c:v>7.85</c:v>
                </c:pt>
                <c:pt idx="2">
                  <c:v>10.71</c:v>
                </c:pt>
                <c:pt idx="3">
                  <c:v>10.67</c:v>
                </c:pt>
                <c:pt idx="4">
                  <c:v>9.860000000000003</c:v>
                </c:pt>
                <c:pt idx="5">
                  <c:v>8.1599999999999984</c:v>
                </c:pt>
                <c:pt idx="6">
                  <c:v>7.3999999999999986</c:v>
                </c:pt>
                <c:pt idx="7">
                  <c:v>7.6099999999999994</c:v>
                </c:pt>
                <c:pt idx="8">
                  <c:v>8.2999999999999989</c:v>
                </c:pt>
                <c:pt idx="9">
                  <c:v>13.58</c:v>
                </c:pt>
                <c:pt idx="10">
                  <c:v>14.159999999999998</c:v>
                </c:pt>
                <c:pt idx="11">
                  <c:v>10.75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7-4F86-B997-BEF374923B3E}"/>
            </c:ext>
          </c:extLst>
        </c:ser>
        <c:ser>
          <c:idx val="1"/>
          <c:order val="1"/>
          <c:tx>
            <c:strRef>
              <c:f>Hoja2!$C$3:$C$4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Hoja2!$C$5:$C$17</c:f>
              <c:numCache>
                <c:formatCode>General</c:formatCode>
                <c:ptCount val="12"/>
                <c:pt idx="0">
                  <c:v>8.59</c:v>
                </c:pt>
                <c:pt idx="1">
                  <c:v>9.4699999999999989</c:v>
                </c:pt>
                <c:pt idx="2">
                  <c:v>12.69</c:v>
                </c:pt>
                <c:pt idx="3">
                  <c:v>17.119999999999997</c:v>
                </c:pt>
                <c:pt idx="4">
                  <c:v>14.22</c:v>
                </c:pt>
                <c:pt idx="5">
                  <c:v>11.48</c:v>
                </c:pt>
                <c:pt idx="6">
                  <c:v>8.2000000000000011</c:v>
                </c:pt>
                <c:pt idx="7">
                  <c:v>8.7499999999999982</c:v>
                </c:pt>
                <c:pt idx="8">
                  <c:v>10.870000000000001</c:v>
                </c:pt>
                <c:pt idx="9">
                  <c:v>14.380000000000003</c:v>
                </c:pt>
                <c:pt idx="10">
                  <c:v>12.360000000000001</c:v>
                </c:pt>
                <c:pt idx="11">
                  <c:v>11.34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7-4F86-B997-BEF374923B3E}"/>
            </c:ext>
          </c:extLst>
        </c:ser>
        <c:ser>
          <c:idx val="2"/>
          <c:order val="2"/>
          <c:tx>
            <c:strRef>
              <c:f>Hoja2!$D$3:$D$4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Hoja2!$A$5:$A$17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Hoja2!$D$5:$D$17</c:f>
              <c:numCache>
                <c:formatCode>General</c:formatCode>
                <c:ptCount val="12"/>
                <c:pt idx="0">
                  <c:v>11.46</c:v>
                </c:pt>
                <c:pt idx="1">
                  <c:v>16.32</c:v>
                </c:pt>
                <c:pt idx="2">
                  <c:v>15.900000000000002</c:v>
                </c:pt>
                <c:pt idx="3">
                  <c:v>17.659999999999997</c:v>
                </c:pt>
                <c:pt idx="4">
                  <c:v>25.619999999999997</c:v>
                </c:pt>
                <c:pt idx="5">
                  <c:v>15.1</c:v>
                </c:pt>
                <c:pt idx="6">
                  <c:v>14.81</c:v>
                </c:pt>
                <c:pt idx="7">
                  <c:v>13.4</c:v>
                </c:pt>
                <c:pt idx="8">
                  <c:v>16.78</c:v>
                </c:pt>
                <c:pt idx="9">
                  <c:v>17.689999999999998</c:v>
                </c:pt>
                <c:pt idx="10">
                  <c:v>16.25</c:v>
                </c:pt>
                <c:pt idx="11">
                  <c:v>13.86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D7-4F86-B997-BEF374923B3E}"/>
            </c:ext>
          </c:extLst>
        </c:ser>
        <c:ser>
          <c:idx val="3"/>
          <c:order val="3"/>
          <c:tx>
            <c:strRef>
              <c:f>Hoja2!$E$3:$E$4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Hoja2!$A$5:$A$17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Hoja2!$E$5:$E$17</c:f>
              <c:numCache>
                <c:formatCode>General</c:formatCode>
                <c:ptCount val="12"/>
                <c:pt idx="0">
                  <c:v>16.190000000000001</c:v>
                </c:pt>
                <c:pt idx="1">
                  <c:v>26.46</c:v>
                </c:pt>
                <c:pt idx="2">
                  <c:v>30.04</c:v>
                </c:pt>
                <c:pt idx="3">
                  <c:v>22.89</c:v>
                </c:pt>
                <c:pt idx="4">
                  <c:v>23.08</c:v>
                </c:pt>
                <c:pt idx="5">
                  <c:v>19.57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D7-4F86-B997-BEF374923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690271"/>
        <c:axId val="1749386415"/>
      </c:barChart>
      <c:catAx>
        <c:axId val="180969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9386415"/>
        <c:crosses val="autoZero"/>
        <c:auto val="1"/>
        <c:lblAlgn val="ctr"/>
        <c:lblOffset val="100"/>
        <c:noMultiLvlLbl val="0"/>
      </c:catAx>
      <c:valAx>
        <c:axId val="17493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€/MWh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0969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[SSAA.xlsx]Hoja4!TablaDinámica1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Hoja4!$A$5:$A$17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Hoja4!$B$5:$B$17</c:f>
              <c:numCache>
                <c:formatCode>General</c:formatCode>
                <c:ptCount val="12"/>
                <c:pt idx="0">
                  <c:v>13.35</c:v>
                </c:pt>
                <c:pt idx="1">
                  <c:v>7.85</c:v>
                </c:pt>
                <c:pt idx="2">
                  <c:v>10.71</c:v>
                </c:pt>
                <c:pt idx="3">
                  <c:v>10.67</c:v>
                </c:pt>
                <c:pt idx="4">
                  <c:v>9.860000000000003</c:v>
                </c:pt>
                <c:pt idx="5">
                  <c:v>8.1599999999999984</c:v>
                </c:pt>
                <c:pt idx="6">
                  <c:v>7.3999999999999986</c:v>
                </c:pt>
                <c:pt idx="7">
                  <c:v>7.6099999999999994</c:v>
                </c:pt>
                <c:pt idx="8">
                  <c:v>8.2999999999999989</c:v>
                </c:pt>
                <c:pt idx="9">
                  <c:v>13.58</c:v>
                </c:pt>
                <c:pt idx="10">
                  <c:v>14.159999999999998</c:v>
                </c:pt>
                <c:pt idx="11">
                  <c:v>10.75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D-4EA5-8313-6E7F074ACBF4}"/>
            </c:ext>
          </c:extLst>
        </c:ser>
        <c:ser>
          <c:idx val="1"/>
          <c:order val="1"/>
          <c:tx>
            <c:strRef>
              <c:f>Hoja4!$C$3:$C$4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Hoja4!$A$5:$A$17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Hoja4!$C$5:$C$17</c:f>
              <c:numCache>
                <c:formatCode>General</c:formatCode>
                <c:ptCount val="12"/>
                <c:pt idx="0">
                  <c:v>8.59</c:v>
                </c:pt>
                <c:pt idx="1">
                  <c:v>9.4699999999999989</c:v>
                </c:pt>
                <c:pt idx="2">
                  <c:v>12.69</c:v>
                </c:pt>
                <c:pt idx="3">
                  <c:v>17.119999999999997</c:v>
                </c:pt>
                <c:pt idx="4">
                  <c:v>14.22</c:v>
                </c:pt>
                <c:pt idx="5">
                  <c:v>11.48</c:v>
                </c:pt>
                <c:pt idx="6">
                  <c:v>8.2000000000000011</c:v>
                </c:pt>
                <c:pt idx="7">
                  <c:v>8.7499999999999982</c:v>
                </c:pt>
                <c:pt idx="8">
                  <c:v>10.870000000000001</c:v>
                </c:pt>
                <c:pt idx="9">
                  <c:v>14.380000000000003</c:v>
                </c:pt>
                <c:pt idx="10">
                  <c:v>12.360000000000001</c:v>
                </c:pt>
                <c:pt idx="11">
                  <c:v>11.34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3-44E7-A848-8D32852FB40A}"/>
            </c:ext>
          </c:extLst>
        </c:ser>
        <c:ser>
          <c:idx val="2"/>
          <c:order val="2"/>
          <c:tx>
            <c:strRef>
              <c:f>Hoja4!$D$3:$D$4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Hoja4!$A$5:$A$17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Hoja4!$D$5:$D$17</c:f>
              <c:numCache>
                <c:formatCode>General</c:formatCode>
                <c:ptCount val="12"/>
                <c:pt idx="0">
                  <c:v>11.46</c:v>
                </c:pt>
                <c:pt idx="1">
                  <c:v>16.32</c:v>
                </c:pt>
                <c:pt idx="2">
                  <c:v>15.900000000000002</c:v>
                </c:pt>
                <c:pt idx="3">
                  <c:v>17.659999999999997</c:v>
                </c:pt>
                <c:pt idx="4">
                  <c:v>25.619999999999997</c:v>
                </c:pt>
                <c:pt idx="5">
                  <c:v>15.1</c:v>
                </c:pt>
                <c:pt idx="6">
                  <c:v>14.81</c:v>
                </c:pt>
                <c:pt idx="7">
                  <c:v>13.4</c:v>
                </c:pt>
                <c:pt idx="8">
                  <c:v>16.78</c:v>
                </c:pt>
                <c:pt idx="9">
                  <c:v>17.689999999999998</c:v>
                </c:pt>
                <c:pt idx="10">
                  <c:v>16.25</c:v>
                </c:pt>
                <c:pt idx="11">
                  <c:v>13.86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3-44E7-A848-8D32852FB40A}"/>
            </c:ext>
          </c:extLst>
        </c:ser>
        <c:ser>
          <c:idx val="3"/>
          <c:order val="3"/>
          <c:tx>
            <c:strRef>
              <c:f>Hoja4!$E$3:$E$4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Hoja4!$A$5:$A$17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Hoja4!$E$5:$E$17</c:f>
              <c:numCache>
                <c:formatCode>General</c:formatCode>
                <c:ptCount val="12"/>
                <c:pt idx="0">
                  <c:v>16.190000000000001</c:v>
                </c:pt>
                <c:pt idx="1">
                  <c:v>26.46</c:v>
                </c:pt>
                <c:pt idx="2">
                  <c:v>30.04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23-44E7-A848-8D32852FB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922623"/>
        <c:axId val="2122280336"/>
      </c:barChart>
      <c:catAx>
        <c:axId val="136192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2280336"/>
        <c:crosses val="autoZero"/>
        <c:auto val="1"/>
        <c:lblAlgn val="ctr"/>
        <c:lblOffset val="100"/>
        <c:noMultiLvlLbl val="0"/>
      </c:catAx>
      <c:valAx>
        <c:axId val="21222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192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346927</xdr:colOff>
      <xdr:row>3</xdr:row>
      <xdr:rowOff>22303</xdr:rowOff>
    </xdr:from>
    <xdr:to>
      <xdr:col>9</xdr:col>
      <xdr:colOff>1550330</xdr:colOff>
      <xdr:row>17</xdr:row>
      <xdr:rowOff>55137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520974-1AC6-CE25-8DA0-E208A01DE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538316</xdr:colOff>
      <xdr:row>50</xdr:row>
      <xdr:rowOff>65959</xdr:rowOff>
    </xdr:from>
    <xdr:to>
      <xdr:col>8</xdr:col>
      <xdr:colOff>347816</xdr:colOff>
      <xdr:row>51</xdr:row>
      <xdr:rowOff>116759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6919970-96EB-CBEB-D87E-FF2C13682B75}"/>
            </a:ext>
          </a:extLst>
        </xdr:cNvPr>
        <xdr:cNvSpPr txBox="1"/>
      </xdr:nvSpPr>
      <xdr:spPr>
        <a:xfrm>
          <a:off x="4174203" y="9836765"/>
          <a:ext cx="3209823" cy="24539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Calculo</a:t>
          </a:r>
          <a:r>
            <a:rPr lang="es-ES" sz="1100" baseline="0"/>
            <a:t> cuanta diferencia hay con el año anterior</a:t>
          </a:r>
          <a:endParaRPr lang="es-ES" sz="1100"/>
        </a:p>
      </xdr:txBody>
    </xdr:sp>
    <xdr:clientData/>
  </xdr:twoCellAnchor>
  <xdr:twoCellAnchor>
    <xdr:from>
      <xdr:col>5</xdr:col>
      <xdr:colOff>609600</xdr:colOff>
      <xdr:row>55</xdr:row>
      <xdr:rowOff>76200</xdr:rowOff>
    </xdr:from>
    <xdr:to>
      <xdr:col>7</xdr:col>
      <xdr:colOff>641350</xdr:colOff>
      <xdr:row>58</xdr:row>
      <xdr:rowOff>95250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D2F0201-3B5D-45CA-97FC-0C77A82EC19A}"/>
            </a:ext>
          </a:extLst>
        </xdr:cNvPr>
        <xdr:cNvSpPr txBox="1"/>
      </xdr:nvSpPr>
      <xdr:spPr>
        <a:xfrm>
          <a:off x="5073650" y="9918700"/>
          <a:ext cx="1657350" cy="6096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Trasladado en porcentaje</a:t>
          </a:r>
        </a:p>
        <a:p>
          <a:r>
            <a:rPr lang="es-ES" sz="1100"/>
            <a:t>Cuanto mas que el año pasado </a:t>
          </a:r>
        </a:p>
      </xdr:txBody>
    </xdr:sp>
    <xdr:clientData/>
  </xdr:twoCellAnchor>
  <xdr:twoCellAnchor>
    <xdr:from>
      <xdr:col>13</xdr:col>
      <xdr:colOff>792256</xdr:colOff>
      <xdr:row>28</xdr:row>
      <xdr:rowOff>140664</xdr:rowOff>
    </xdr:from>
    <xdr:to>
      <xdr:col>19</xdr:col>
      <xdr:colOff>495922</xdr:colOff>
      <xdr:row>42</xdr:row>
      <xdr:rowOff>167474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FFF86A9-8617-780C-2C9B-A0104121A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471129</xdr:colOff>
      <xdr:row>29</xdr:row>
      <xdr:rowOff>20485</xdr:rowOff>
    </xdr:from>
    <xdr:to>
      <xdr:col>13</xdr:col>
      <xdr:colOff>167968</xdr:colOff>
      <xdr:row>43</xdr:row>
      <xdr:rowOff>39330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142C3F2-DC11-4BFD-8101-AC24654E9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2</xdr:row>
      <xdr:rowOff>88900</xdr:rowOff>
    </xdr:from>
    <xdr:to>
      <xdr:col>11</xdr:col>
      <xdr:colOff>803275</xdr:colOff>
      <xdr:row>16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3E6ED9-26CE-7EFC-4F37-3301A1308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86ca502eb72de09/Desktop/TFG/Calculadora%20Precios.xlsx" TargetMode="External"/><Relationship Id="rId1" Type="http://schemas.openxmlformats.org/officeDocument/2006/relationships/externalLinkPath" Target="Calculadora%20Prec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BDD"/>
      <sheetName val="Cálculos_península"/>
      <sheetName val="SSAA"/>
      <sheetName val="APUNTAMIENTO 2.0"/>
      <sheetName val="COST_REGULADOS"/>
      <sheetName val="PERDIDAS"/>
      <sheetName val="FNEE_BOE"/>
      <sheetName val="TASA MUNICIPAL_HL"/>
      <sheetName val="FNEE_YO"/>
      <sheetName val="CALEND_PERIODOS"/>
      <sheetName val="FESTIVOS"/>
      <sheetName val="ACTUALIZACION DATOS"/>
      <sheetName val="Plantilla Garantias Camara"/>
    </sheetNames>
    <sheetDataSet>
      <sheetData sheetId="0" refreshError="1"/>
      <sheetData sheetId="1" refreshError="1"/>
      <sheetData sheetId="2">
        <row r="2">
          <cell r="C2">
            <v>46174</v>
          </cell>
        </row>
        <row r="3">
          <cell r="C3">
            <v>46568</v>
          </cell>
        </row>
        <row r="7">
          <cell r="C7">
            <v>0.8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ijose lopez abad" id="{F38D05CA-C782-418E-BA11-81E6AF3E55B1}" userId="a86ca502eb72de09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jose lopez abad" refreshedDate="46143.738733449078" createdVersion="8" refreshedVersion="8" minRefreshableVersion="3" recordCount="39" xr:uid="{708BCAB0-D71D-4013-BA69-FBA227E45A99}">
  <cacheSource type="worksheet">
    <worksheetSource ref="A1:C40" sheet="Hoja3"/>
  </cacheSource>
  <cacheFields count="3">
    <cacheField name="AÑO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SAA [€/MWh]" numFmtId="0">
      <sharedItems containsSemiMixedTypes="0" containsString="0" containsNumber="1" minValue="7.3999999999999986" maxValue="30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jose lopez abad" refreshedDate="46219.665682523148" createdVersion="8" refreshedVersion="8" minRefreshableVersion="3" recordCount="42" xr:uid="{A9160DC1-5DE7-43C8-942F-065449898BF1}">
  <cacheSource type="worksheet">
    <worksheetSource ref="E2:H44" sheet="ESTUDIO SSAA"/>
  </cacheSource>
  <cacheFields count="4">
    <cacheField name="FECHA" numFmtId="17">
      <sharedItems containsSemiMixedTypes="0" containsNonDate="0" containsDate="1" containsString="0" minDate="2023-01-01T00:00:00" maxDate="2026-06-02T00:00:00"/>
    </cacheField>
    <cacheField name="AÑO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SAA [€/MWh]" numFmtId="0">
      <sharedItems containsSemiMixedTypes="0" containsString="0" containsNumber="1" minValue="7.3999999999999986" maxValue="30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n v="13.35"/>
  </r>
  <r>
    <x v="0"/>
    <x v="1"/>
    <n v="7.85"/>
  </r>
  <r>
    <x v="0"/>
    <x v="2"/>
    <n v="10.71"/>
  </r>
  <r>
    <x v="0"/>
    <x v="3"/>
    <n v="10.67"/>
  </r>
  <r>
    <x v="0"/>
    <x v="4"/>
    <n v="9.860000000000003"/>
  </r>
  <r>
    <x v="0"/>
    <x v="5"/>
    <n v="8.1599999999999984"/>
  </r>
  <r>
    <x v="0"/>
    <x v="6"/>
    <n v="7.3999999999999986"/>
  </r>
  <r>
    <x v="0"/>
    <x v="7"/>
    <n v="7.6099999999999994"/>
  </r>
  <r>
    <x v="0"/>
    <x v="8"/>
    <n v="8.2999999999999989"/>
  </r>
  <r>
    <x v="0"/>
    <x v="9"/>
    <n v="13.58"/>
  </r>
  <r>
    <x v="0"/>
    <x v="10"/>
    <n v="14.159999999999998"/>
  </r>
  <r>
    <x v="0"/>
    <x v="11"/>
    <n v="10.75"/>
  </r>
  <r>
    <x v="1"/>
    <x v="0"/>
    <n v="8.59"/>
  </r>
  <r>
    <x v="1"/>
    <x v="1"/>
    <n v="9.4699999999999989"/>
  </r>
  <r>
    <x v="1"/>
    <x v="2"/>
    <n v="12.69"/>
  </r>
  <r>
    <x v="1"/>
    <x v="3"/>
    <n v="17.119999999999997"/>
  </r>
  <r>
    <x v="1"/>
    <x v="4"/>
    <n v="14.22"/>
  </r>
  <r>
    <x v="1"/>
    <x v="5"/>
    <n v="11.48"/>
  </r>
  <r>
    <x v="1"/>
    <x v="6"/>
    <n v="8.2000000000000011"/>
  </r>
  <r>
    <x v="1"/>
    <x v="7"/>
    <n v="8.7499999999999982"/>
  </r>
  <r>
    <x v="1"/>
    <x v="8"/>
    <n v="10.870000000000001"/>
  </r>
  <r>
    <x v="1"/>
    <x v="9"/>
    <n v="14.380000000000003"/>
  </r>
  <r>
    <x v="1"/>
    <x v="10"/>
    <n v="12.360000000000001"/>
  </r>
  <r>
    <x v="1"/>
    <x v="11"/>
    <n v="11.34"/>
  </r>
  <r>
    <x v="2"/>
    <x v="0"/>
    <n v="11.46"/>
  </r>
  <r>
    <x v="2"/>
    <x v="1"/>
    <n v="16.32"/>
  </r>
  <r>
    <x v="2"/>
    <x v="2"/>
    <n v="15.900000000000002"/>
  </r>
  <r>
    <x v="2"/>
    <x v="3"/>
    <n v="17.659999999999997"/>
  </r>
  <r>
    <x v="2"/>
    <x v="4"/>
    <n v="25.619999999999997"/>
  </r>
  <r>
    <x v="2"/>
    <x v="5"/>
    <n v="15.1"/>
  </r>
  <r>
    <x v="2"/>
    <x v="6"/>
    <n v="14.81"/>
  </r>
  <r>
    <x v="2"/>
    <x v="7"/>
    <n v="13.4"/>
  </r>
  <r>
    <x v="2"/>
    <x v="8"/>
    <n v="16.78"/>
  </r>
  <r>
    <x v="2"/>
    <x v="9"/>
    <n v="17.689999999999998"/>
  </r>
  <r>
    <x v="2"/>
    <x v="10"/>
    <n v="16.25"/>
  </r>
  <r>
    <x v="2"/>
    <x v="11"/>
    <n v="13.86"/>
  </r>
  <r>
    <x v="3"/>
    <x v="0"/>
    <n v="16.190000000000001"/>
  </r>
  <r>
    <x v="3"/>
    <x v="1"/>
    <n v="26.46"/>
  </r>
  <r>
    <x v="3"/>
    <x v="2"/>
    <n v="30.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d v="2023-01-01T00:00:00"/>
    <x v="0"/>
    <x v="0"/>
    <n v="13.35"/>
  </r>
  <r>
    <d v="2023-02-01T00:00:00"/>
    <x v="0"/>
    <x v="1"/>
    <n v="7.85"/>
  </r>
  <r>
    <d v="2023-03-01T00:00:00"/>
    <x v="0"/>
    <x v="2"/>
    <n v="10.71"/>
  </r>
  <r>
    <d v="2023-04-01T00:00:00"/>
    <x v="0"/>
    <x v="3"/>
    <n v="10.67"/>
  </r>
  <r>
    <d v="2023-05-01T00:00:00"/>
    <x v="0"/>
    <x v="4"/>
    <n v="9.860000000000003"/>
  </r>
  <r>
    <d v="2023-06-01T00:00:00"/>
    <x v="0"/>
    <x v="5"/>
    <n v="8.1599999999999984"/>
  </r>
  <r>
    <d v="2023-07-01T00:00:00"/>
    <x v="0"/>
    <x v="6"/>
    <n v="7.3999999999999986"/>
  </r>
  <r>
    <d v="2023-08-01T00:00:00"/>
    <x v="0"/>
    <x v="7"/>
    <n v="7.6099999999999994"/>
  </r>
  <r>
    <d v="2023-09-01T00:00:00"/>
    <x v="0"/>
    <x v="8"/>
    <n v="8.2999999999999989"/>
  </r>
  <r>
    <d v="2023-10-01T00:00:00"/>
    <x v="0"/>
    <x v="9"/>
    <n v="13.58"/>
  </r>
  <r>
    <d v="2023-11-01T00:00:00"/>
    <x v="0"/>
    <x v="10"/>
    <n v="14.159999999999998"/>
  </r>
  <r>
    <d v="2023-12-01T00:00:00"/>
    <x v="0"/>
    <x v="11"/>
    <n v="10.75"/>
  </r>
  <r>
    <d v="2024-01-01T00:00:00"/>
    <x v="1"/>
    <x v="0"/>
    <n v="8.59"/>
  </r>
  <r>
    <d v="2024-02-01T00:00:00"/>
    <x v="1"/>
    <x v="1"/>
    <n v="9.4699999999999989"/>
  </r>
  <r>
    <d v="2024-03-01T00:00:00"/>
    <x v="1"/>
    <x v="2"/>
    <n v="12.69"/>
  </r>
  <r>
    <d v="2024-04-01T00:00:00"/>
    <x v="1"/>
    <x v="3"/>
    <n v="17.119999999999997"/>
  </r>
  <r>
    <d v="2024-05-01T00:00:00"/>
    <x v="1"/>
    <x v="4"/>
    <n v="14.22"/>
  </r>
  <r>
    <d v="2024-06-01T00:00:00"/>
    <x v="1"/>
    <x v="5"/>
    <n v="11.48"/>
  </r>
  <r>
    <d v="2024-07-01T00:00:00"/>
    <x v="1"/>
    <x v="6"/>
    <n v="8.2000000000000011"/>
  </r>
  <r>
    <d v="2024-08-01T00:00:00"/>
    <x v="1"/>
    <x v="7"/>
    <n v="8.7499999999999982"/>
  </r>
  <r>
    <d v="2024-09-01T00:00:00"/>
    <x v="1"/>
    <x v="8"/>
    <n v="10.870000000000001"/>
  </r>
  <r>
    <d v="2024-10-01T00:00:00"/>
    <x v="1"/>
    <x v="9"/>
    <n v="14.380000000000003"/>
  </r>
  <r>
    <d v="2024-11-01T00:00:00"/>
    <x v="1"/>
    <x v="10"/>
    <n v="12.360000000000001"/>
  </r>
  <r>
    <d v="2024-12-01T00:00:00"/>
    <x v="1"/>
    <x v="11"/>
    <n v="11.34"/>
  </r>
  <r>
    <d v="2025-01-01T00:00:00"/>
    <x v="2"/>
    <x v="0"/>
    <n v="11.46"/>
  </r>
  <r>
    <d v="2025-02-01T00:00:00"/>
    <x v="2"/>
    <x v="1"/>
    <n v="16.32"/>
  </r>
  <r>
    <d v="2025-03-01T00:00:00"/>
    <x v="2"/>
    <x v="2"/>
    <n v="15.900000000000002"/>
  </r>
  <r>
    <d v="2025-04-01T00:00:00"/>
    <x v="2"/>
    <x v="3"/>
    <n v="17.659999999999997"/>
  </r>
  <r>
    <d v="2025-05-01T00:00:00"/>
    <x v="2"/>
    <x v="4"/>
    <n v="25.619999999999997"/>
  </r>
  <r>
    <d v="2025-06-01T00:00:00"/>
    <x v="2"/>
    <x v="5"/>
    <n v="15.1"/>
  </r>
  <r>
    <d v="2025-07-01T00:00:00"/>
    <x v="2"/>
    <x v="6"/>
    <n v="14.81"/>
  </r>
  <r>
    <d v="2025-08-01T00:00:00"/>
    <x v="2"/>
    <x v="7"/>
    <n v="13.4"/>
  </r>
  <r>
    <d v="2025-09-01T00:00:00"/>
    <x v="2"/>
    <x v="8"/>
    <n v="16.78"/>
  </r>
  <r>
    <d v="2025-10-01T00:00:00"/>
    <x v="2"/>
    <x v="9"/>
    <n v="17.689999999999998"/>
  </r>
  <r>
    <d v="2025-11-01T00:00:00"/>
    <x v="2"/>
    <x v="10"/>
    <n v="16.25"/>
  </r>
  <r>
    <d v="2025-12-01T00:00:00"/>
    <x v="2"/>
    <x v="11"/>
    <n v="13.86"/>
  </r>
  <r>
    <d v="2026-01-01T00:00:00"/>
    <x v="3"/>
    <x v="0"/>
    <n v="16.190000000000001"/>
  </r>
  <r>
    <d v="2026-02-01T00:00:00"/>
    <x v="3"/>
    <x v="1"/>
    <n v="26.46"/>
  </r>
  <r>
    <d v="2026-03-01T00:00:00"/>
    <x v="3"/>
    <x v="2"/>
    <n v="30.04"/>
  </r>
  <r>
    <d v="2026-04-01T00:00:00"/>
    <x v="3"/>
    <x v="3"/>
    <n v="22.89"/>
  </r>
  <r>
    <d v="2026-05-01T00:00:00"/>
    <x v="3"/>
    <x v="4"/>
    <n v="23.08"/>
  </r>
  <r>
    <d v="2026-06-01T00:00:00"/>
    <x v="3"/>
    <x v="5"/>
    <n v="19.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AAD1C-C4FC-4BF8-8E4C-B93ECF7B81C1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F17" firstHeaderRow="1" firstDataRow="2" firstDataCol="1"/>
  <pivotFields count="4">
    <pivotField numFmtId="17"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SSAA [€/MWh]" fld="3" subtotal="average" baseField="2" baseItem="9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0A5AB-196E-4B8F-B74A-4F15018EB77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MESES">
  <location ref="A3:F17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SSAA [€/MWh]" fld="2" subtotal="average" baseField="1" baseItem="0"/>
  </dataFields>
  <chartFormats count="3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5-01T14:35:23.26" personId="{F38D05CA-C782-418E-BA11-81E6AF3E55B1}" id="{791F00D8-E2D9-44F7-99C2-0371FBB8E3BE}">
    <text xml:space="preserve">Trasponemos datos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5-01T14:35:23.26" personId="{F38D05CA-C782-418E-BA11-81E6AF3E55B1}" id="{3766C87D-06A2-4E11-BA19-3EDCE0ACAB34}">
    <text xml:space="preserve">Trasponemos datos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ee.es/es/datos/mercados/componentes-precio-energia-cierre-desglose" TargetMode="External"/><Relationship Id="rId1" Type="http://schemas.openxmlformats.org/officeDocument/2006/relationships/hyperlink" Target="https://www.ree.es/es/datos/mercados/componentes-precio-energia-cierre-desglos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4"/>
  <sheetViews>
    <sheetView topLeftCell="AI4" workbookViewId="0">
      <selection activeCell="AQ16" sqref="AQ16"/>
    </sheetView>
  </sheetViews>
  <sheetFormatPr baseColWidth="10" defaultRowHeight="15.5" x14ac:dyDescent="0.35"/>
  <cols>
    <col min="1" max="1" width="41.25" bestFit="1" customWidth="1"/>
  </cols>
  <sheetData>
    <row r="1" spans="1:43" x14ac:dyDescent="0.35">
      <c r="A1" s="8" t="s">
        <v>92</v>
      </c>
      <c r="B1" s="9">
        <v>46082</v>
      </c>
      <c r="D1" s="8" t="s">
        <v>95</v>
      </c>
      <c r="E1" s="9">
        <v>44927</v>
      </c>
    </row>
    <row r="2" spans="1:43" x14ac:dyDescent="0.35">
      <c r="A2" s="8" t="s">
        <v>93</v>
      </c>
      <c r="B2" s="10" t="s">
        <v>0</v>
      </c>
      <c r="D2" s="7" t="s">
        <v>91</v>
      </c>
    </row>
    <row r="3" spans="1:43" x14ac:dyDescent="0.35">
      <c r="A3" s="8" t="s">
        <v>94</v>
      </c>
      <c r="B3" s="10" t="s">
        <v>1</v>
      </c>
      <c r="E3" s="7"/>
    </row>
    <row r="4" spans="1:43" x14ac:dyDescent="0.35">
      <c r="A4" t="s">
        <v>2</v>
      </c>
    </row>
    <row r="5" spans="1:43" s="11" customFormat="1" x14ac:dyDescent="0.35">
      <c r="A5" s="11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2" t="s">
        <v>11</v>
      </c>
      <c r="K5" s="12" t="s">
        <v>12</v>
      </c>
      <c r="L5" s="12" t="s">
        <v>13</v>
      </c>
      <c r="M5" s="12" t="s">
        <v>14</v>
      </c>
      <c r="N5" s="12" t="s">
        <v>15</v>
      </c>
      <c r="O5" s="12" t="s">
        <v>16</v>
      </c>
      <c r="P5" s="12" t="s">
        <v>17</v>
      </c>
      <c r="Q5" s="12" t="s">
        <v>18</v>
      </c>
      <c r="R5" s="12" t="s">
        <v>19</v>
      </c>
      <c r="S5" s="12" t="s">
        <v>20</v>
      </c>
      <c r="T5" s="12" t="s">
        <v>21</v>
      </c>
      <c r="U5" s="12" t="s">
        <v>22</v>
      </c>
      <c r="V5" s="12" t="s">
        <v>23</v>
      </c>
      <c r="W5" s="12" t="s">
        <v>24</v>
      </c>
      <c r="X5" s="12" t="s">
        <v>25</v>
      </c>
      <c r="Y5" s="12" t="s">
        <v>26</v>
      </c>
      <c r="Z5" s="12" t="s">
        <v>27</v>
      </c>
      <c r="AA5" s="12" t="s">
        <v>28</v>
      </c>
      <c r="AB5" s="12" t="s">
        <v>29</v>
      </c>
      <c r="AC5" s="12" t="s">
        <v>30</v>
      </c>
      <c r="AD5" s="12" t="s">
        <v>31</v>
      </c>
      <c r="AE5" s="12" t="s">
        <v>32</v>
      </c>
      <c r="AF5" s="12" t="s">
        <v>33</v>
      </c>
      <c r="AG5" s="12" t="s">
        <v>34</v>
      </c>
      <c r="AH5" s="12" t="s">
        <v>35</v>
      </c>
      <c r="AI5" s="12" t="s">
        <v>36</v>
      </c>
      <c r="AJ5" s="12" t="s">
        <v>37</v>
      </c>
      <c r="AK5" s="12" t="s">
        <v>38</v>
      </c>
      <c r="AL5" s="12" t="s">
        <v>39</v>
      </c>
      <c r="AM5" s="12" t="s">
        <v>40</v>
      </c>
      <c r="AN5" s="12" t="s">
        <v>41</v>
      </c>
      <c r="AO5" s="13">
        <v>46113</v>
      </c>
      <c r="AP5" s="13">
        <v>46143</v>
      </c>
      <c r="AQ5" s="13">
        <v>46174</v>
      </c>
    </row>
    <row r="6" spans="1:43" x14ac:dyDescent="0.35">
      <c r="A6" s="14" t="s">
        <v>42</v>
      </c>
      <c r="B6" s="14">
        <v>73.17</v>
      </c>
      <c r="C6" s="14">
        <v>135.5</v>
      </c>
      <c r="D6" s="14">
        <v>92.01</v>
      </c>
      <c r="E6" s="14">
        <v>74.31</v>
      </c>
      <c r="F6" s="14">
        <v>74.34</v>
      </c>
      <c r="G6" s="14">
        <v>93.68</v>
      </c>
      <c r="H6" s="14">
        <v>90.93</v>
      </c>
      <c r="I6" s="14">
        <v>96.84</v>
      </c>
      <c r="J6" s="14">
        <v>104</v>
      </c>
      <c r="K6" s="14">
        <v>90.67</v>
      </c>
      <c r="L6" s="14">
        <v>65.98</v>
      </c>
      <c r="M6" s="14">
        <v>74.41</v>
      </c>
      <c r="N6" s="14">
        <v>76.87</v>
      </c>
      <c r="O6" s="14">
        <v>40.770000000000003</v>
      </c>
      <c r="P6" s="14">
        <v>21.36</v>
      </c>
      <c r="Q6" s="14">
        <v>14.1</v>
      </c>
      <c r="R6" s="14">
        <v>30.13</v>
      </c>
      <c r="S6" s="14">
        <v>56.84</v>
      </c>
      <c r="T6" s="14">
        <v>72.63</v>
      </c>
      <c r="U6" s="14">
        <v>91.3</v>
      </c>
      <c r="V6" s="14">
        <v>72.87</v>
      </c>
      <c r="W6" s="14">
        <v>70.12</v>
      </c>
      <c r="X6" s="14">
        <v>106.71</v>
      </c>
      <c r="Y6" s="14">
        <v>113.96</v>
      </c>
      <c r="Z6" s="14">
        <v>100.3</v>
      </c>
      <c r="AA6" s="14">
        <v>110.71</v>
      </c>
      <c r="AB6" s="14">
        <v>55.52</v>
      </c>
      <c r="AC6" s="14">
        <v>27.66</v>
      </c>
      <c r="AD6" s="14">
        <v>17.43</v>
      </c>
      <c r="AE6" s="14">
        <v>72.47</v>
      </c>
      <c r="AF6" s="14">
        <v>70.44</v>
      </c>
      <c r="AG6" s="14">
        <v>67.97</v>
      </c>
      <c r="AH6" s="14">
        <v>60.85</v>
      </c>
      <c r="AI6" s="14">
        <v>76.650000000000006</v>
      </c>
      <c r="AJ6" s="14">
        <v>60.52</v>
      </c>
      <c r="AK6" s="14">
        <v>80.19</v>
      </c>
      <c r="AL6" s="14">
        <v>73.48</v>
      </c>
      <c r="AM6" s="14">
        <v>18.09</v>
      </c>
      <c r="AN6" s="14">
        <v>44.6</v>
      </c>
      <c r="AO6">
        <v>42.95</v>
      </c>
      <c r="AP6">
        <v>54.87</v>
      </c>
      <c r="AQ6">
        <v>69.599999999999994</v>
      </c>
    </row>
    <row r="7" spans="1:43" x14ac:dyDescent="0.35">
      <c r="A7" s="14" t="s">
        <v>43</v>
      </c>
      <c r="B7" s="14">
        <v>-0.08</v>
      </c>
      <c r="C7" s="14">
        <v>-0.08</v>
      </c>
      <c r="D7" s="14">
        <v>-0.17</v>
      </c>
      <c r="E7" s="14">
        <v>-0.27</v>
      </c>
      <c r="F7" s="14">
        <v>-0.11</v>
      </c>
      <c r="G7" s="14">
        <v>-0.05</v>
      </c>
      <c r="H7" s="14">
        <v>-7.0000000000000007E-2</v>
      </c>
      <c r="I7" s="14">
        <v>-0.05</v>
      </c>
      <c r="J7" s="14">
        <v>-0.08</v>
      </c>
      <c r="K7" s="14">
        <v>-0.12</v>
      </c>
      <c r="L7" s="14">
        <v>-7.0000000000000007E-2</v>
      </c>
      <c r="M7" s="14">
        <v>-0.08</v>
      </c>
      <c r="N7" s="14">
        <v>-0.08</v>
      </c>
      <c r="O7" s="14">
        <v>-0.09</v>
      </c>
      <c r="P7" s="14">
        <v>-0.05</v>
      </c>
      <c r="Q7" s="14">
        <v>-0.13</v>
      </c>
      <c r="R7" s="14">
        <v>-0.06</v>
      </c>
      <c r="S7" s="14">
        <v>-0.11</v>
      </c>
      <c r="T7" s="14">
        <v>-7.0000000000000007E-2</v>
      </c>
      <c r="U7" s="14">
        <v>-0.13</v>
      </c>
      <c r="V7" s="14">
        <v>-0.09</v>
      </c>
      <c r="W7" s="14">
        <v>-7.0000000000000007E-2</v>
      </c>
      <c r="X7" s="14">
        <v>-0.09</v>
      </c>
      <c r="Y7" s="14">
        <v>-0.08</v>
      </c>
      <c r="Z7" s="14">
        <v>-0.1</v>
      </c>
      <c r="AA7" s="14">
        <v>-0.1</v>
      </c>
      <c r="AB7" s="14">
        <v>-0.1</v>
      </c>
      <c r="AC7" s="14">
        <v>-0.01</v>
      </c>
      <c r="AD7" s="14">
        <v>-7.0000000000000007E-2</v>
      </c>
      <c r="AE7" s="14">
        <v>-0.13</v>
      </c>
      <c r="AF7" s="14">
        <v>-0.15</v>
      </c>
      <c r="AG7" s="14">
        <v>-0.1</v>
      </c>
      <c r="AH7" s="14">
        <v>-0.14000000000000001</v>
      </c>
      <c r="AI7" s="14">
        <v>-0.21</v>
      </c>
      <c r="AJ7" s="14">
        <v>-0.21</v>
      </c>
      <c r="AK7" s="14">
        <v>-0.2</v>
      </c>
      <c r="AL7" s="14">
        <v>-0.13</v>
      </c>
      <c r="AM7" s="14">
        <v>-0.17</v>
      </c>
      <c r="AN7" s="14">
        <v>-0.14000000000000001</v>
      </c>
      <c r="AO7">
        <v>-0.08</v>
      </c>
      <c r="AP7">
        <v>-0.21</v>
      </c>
      <c r="AQ7">
        <v>-0.12</v>
      </c>
    </row>
    <row r="8" spans="1:43" x14ac:dyDescent="0.35">
      <c r="A8" s="14" t="s">
        <v>44</v>
      </c>
      <c r="B8" s="14">
        <v>5.72</v>
      </c>
      <c r="C8" s="14">
        <v>2.61</v>
      </c>
      <c r="D8" s="14">
        <v>3.51</v>
      </c>
      <c r="E8" s="14">
        <v>5.12</v>
      </c>
      <c r="F8" s="14">
        <v>4.2300000000000004</v>
      </c>
      <c r="G8" s="14">
        <v>2.66</v>
      </c>
      <c r="H8" s="14">
        <v>2.8</v>
      </c>
      <c r="I8" s="14">
        <v>2.72</v>
      </c>
      <c r="J8" s="14">
        <v>2.79</v>
      </c>
      <c r="K8" s="14">
        <v>5.09</v>
      </c>
      <c r="L8" s="14">
        <v>6</v>
      </c>
      <c r="M8" s="14">
        <v>4.03</v>
      </c>
      <c r="N8" s="14">
        <v>2.97</v>
      </c>
      <c r="O8" s="14">
        <v>4.03</v>
      </c>
      <c r="P8" s="14">
        <v>7.11</v>
      </c>
      <c r="Q8" s="14">
        <v>9.52</v>
      </c>
      <c r="R8" s="14">
        <v>8.9700000000000006</v>
      </c>
      <c r="S8" s="14">
        <v>5.53</v>
      </c>
      <c r="T8" s="14">
        <v>3.39</v>
      </c>
      <c r="U8" s="14">
        <v>3.39</v>
      </c>
      <c r="V8" s="14">
        <v>4.45</v>
      </c>
      <c r="W8" s="14">
        <v>4.84</v>
      </c>
      <c r="X8" s="14">
        <v>4.96</v>
      </c>
      <c r="Y8" s="14">
        <v>4.0999999999999996</v>
      </c>
      <c r="Z8" s="14">
        <v>4.2</v>
      </c>
      <c r="AA8" s="14">
        <v>4.0599999999999996</v>
      </c>
      <c r="AB8" s="14">
        <v>6.63</v>
      </c>
      <c r="AC8" s="14">
        <v>11.26</v>
      </c>
      <c r="AD8" s="14">
        <v>21.56</v>
      </c>
      <c r="AE8" s="14">
        <v>9.68</v>
      </c>
      <c r="AF8" s="14">
        <v>8.42</v>
      </c>
      <c r="AG8" s="14">
        <v>8.31</v>
      </c>
      <c r="AH8" s="14">
        <v>10.039999999999999</v>
      </c>
      <c r="AI8" s="14">
        <v>11.08</v>
      </c>
      <c r="AJ8" s="14">
        <v>13.15</v>
      </c>
      <c r="AK8" s="14">
        <v>11.43</v>
      </c>
      <c r="AL8" s="14">
        <v>11.97</v>
      </c>
      <c r="AM8" s="14">
        <v>22.05</v>
      </c>
      <c r="AN8" s="14">
        <v>24.96</v>
      </c>
      <c r="AO8">
        <v>17.5</v>
      </c>
      <c r="AP8">
        <v>16.309999999999999</v>
      </c>
      <c r="AQ8">
        <v>12.74</v>
      </c>
    </row>
    <row r="9" spans="1:43" x14ac:dyDescent="0.35">
      <c r="A9" s="14" t="s">
        <v>45</v>
      </c>
      <c r="B9" s="14">
        <v>2.64</v>
      </c>
      <c r="C9" s="14">
        <v>1.69</v>
      </c>
      <c r="D9" s="14">
        <v>2.99</v>
      </c>
      <c r="E9" s="14">
        <v>3.06</v>
      </c>
      <c r="F9" s="14">
        <v>2.93</v>
      </c>
      <c r="G9" s="14">
        <v>2.04</v>
      </c>
      <c r="H9" s="14">
        <v>2.14</v>
      </c>
      <c r="I9" s="14">
        <v>1.97</v>
      </c>
      <c r="J9" s="14">
        <v>1.73</v>
      </c>
      <c r="K9" s="14">
        <v>2.75</v>
      </c>
      <c r="L9" s="14">
        <v>2.13</v>
      </c>
      <c r="M9" s="14">
        <v>1.91</v>
      </c>
      <c r="N9" s="14">
        <v>1.93</v>
      </c>
      <c r="O9" s="14">
        <v>1.81</v>
      </c>
      <c r="P9" s="14">
        <v>1.72</v>
      </c>
      <c r="Q9" s="14">
        <v>1.57</v>
      </c>
      <c r="R9" s="14">
        <v>1.92</v>
      </c>
      <c r="S9" s="14">
        <v>3.09</v>
      </c>
      <c r="T9" s="14">
        <v>1.69</v>
      </c>
      <c r="U9" s="14">
        <v>1.66</v>
      </c>
      <c r="V9" s="14">
        <v>2.1</v>
      </c>
      <c r="W9" s="14">
        <v>3.07</v>
      </c>
      <c r="X9" s="14">
        <v>3.22</v>
      </c>
      <c r="Y9" s="14">
        <v>3.69</v>
      </c>
      <c r="Z9" s="14">
        <v>3.3</v>
      </c>
      <c r="AA9" s="14">
        <v>3.56</v>
      </c>
      <c r="AB9" s="14">
        <v>2.54</v>
      </c>
      <c r="AC9" s="14">
        <v>1.7</v>
      </c>
      <c r="AD9" s="14">
        <v>1.27</v>
      </c>
      <c r="AE9" s="14">
        <v>1.29</v>
      </c>
      <c r="AF9" s="14">
        <v>1.83</v>
      </c>
      <c r="AG9" s="14">
        <v>2.14</v>
      </c>
      <c r="AH9" s="14">
        <v>2.36</v>
      </c>
      <c r="AI9" s="14">
        <v>2.29</v>
      </c>
      <c r="AJ9" s="14">
        <v>1.78</v>
      </c>
      <c r="AK9" s="14">
        <v>1.26</v>
      </c>
      <c r="AL9" s="14">
        <v>2.91</v>
      </c>
      <c r="AM9" s="14">
        <v>3.06</v>
      </c>
      <c r="AN9" s="14">
        <v>3.16</v>
      </c>
      <c r="AO9">
        <v>3.38</v>
      </c>
      <c r="AP9">
        <v>3.72</v>
      </c>
      <c r="AQ9">
        <v>3.36</v>
      </c>
    </row>
    <row r="10" spans="1:43" x14ac:dyDescent="0.35">
      <c r="A10" s="14" t="s">
        <v>46</v>
      </c>
      <c r="B10" s="14">
        <v>4.6399999999999997</v>
      </c>
      <c r="C10" s="14">
        <v>3.46</v>
      </c>
      <c r="D10" s="14">
        <v>3.65</v>
      </c>
      <c r="E10" s="14">
        <v>2.36</v>
      </c>
      <c r="F10" s="14">
        <v>2.5499999999999998</v>
      </c>
      <c r="G10" s="14">
        <v>3.34</v>
      </c>
      <c r="H10" s="14">
        <v>2.4300000000000002</v>
      </c>
      <c r="I10" s="14">
        <v>2.72</v>
      </c>
      <c r="J10" s="14">
        <v>3.38</v>
      </c>
      <c r="K10" s="14">
        <v>5.38</v>
      </c>
      <c r="L10" s="14">
        <v>5.36</v>
      </c>
      <c r="M10" s="14">
        <v>4.4400000000000004</v>
      </c>
      <c r="N10" s="14">
        <v>3.08</v>
      </c>
      <c r="O10" s="14">
        <v>3.15</v>
      </c>
      <c r="P10" s="14">
        <v>3.41</v>
      </c>
      <c r="Q10" s="14">
        <v>5.35</v>
      </c>
      <c r="R10" s="14">
        <v>3.07</v>
      </c>
      <c r="S10" s="14">
        <v>2.6</v>
      </c>
      <c r="T10" s="14">
        <v>2.79</v>
      </c>
      <c r="U10" s="14">
        <v>3.17</v>
      </c>
      <c r="V10" s="14">
        <v>3.61</v>
      </c>
      <c r="W10" s="14">
        <v>5.5</v>
      </c>
      <c r="X10" s="14">
        <v>4.03</v>
      </c>
      <c r="Y10" s="14">
        <v>3.59</v>
      </c>
      <c r="Z10" s="14">
        <v>3.56</v>
      </c>
      <c r="AA10" s="14">
        <v>7.08</v>
      </c>
      <c r="AB10" s="14">
        <v>5.85</v>
      </c>
      <c r="AC10" s="14">
        <v>4.28</v>
      </c>
      <c r="AD10" s="14">
        <v>2.88</v>
      </c>
      <c r="AE10" s="14">
        <v>4.5199999999999996</v>
      </c>
      <c r="AF10" s="14">
        <v>4.8</v>
      </c>
      <c r="AG10" s="14">
        <v>3.03</v>
      </c>
      <c r="AH10" s="14">
        <v>4.45</v>
      </c>
      <c r="AI10" s="14">
        <v>4.79</v>
      </c>
      <c r="AJ10" s="14">
        <v>1.27</v>
      </c>
      <c r="AK10" s="14">
        <v>1.26</v>
      </c>
      <c r="AL10" s="14">
        <v>1.86</v>
      </c>
      <c r="AM10" s="14">
        <v>1.45</v>
      </c>
      <c r="AN10" s="14">
        <v>1.93</v>
      </c>
      <c r="AO10">
        <v>2.4500000000000002</v>
      </c>
      <c r="AP10">
        <v>3.49</v>
      </c>
      <c r="AQ10">
        <v>4.01</v>
      </c>
    </row>
    <row r="11" spans="1:43" x14ac:dyDescent="0.35">
      <c r="A11" s="14" t="s">
        <v>47</v>
      </c>
      <c r="B11" s="14">
        <v>-0.18</v>
      </c>
      <c r="C11" s="14">
        <v>-0.25</v>
      </c>
      <c r="D11" s="14">
        <v>-0.17</v>
      </c>
      <c r="E11" s="14">
        <v>-0.17</v>
      </c>
      <c r="F11" s="14">
        <v>-0.18</v>
      </c>
      <c r="G11" s="14">
        <v>-0.3</v>
      </c>
      <c r="H11" s="14">
        <v>-0.24</v>
      </c>
      <c r="I11" s="14">
        <v>-0.3</v>
      </c>
      <c r="J11" s="14">
        <v>-0.21</v>
      </c>
      <c r="K11" s="14">
        <v>-0.19</v>
      </c>
      <c r="L11" s="14">
        <v>-0.1</v>
      </c>
      <c r="M11" s="14">
        <v>-0.18</v>
      </c>
      <c r="N11" s="14">
        <v>-0.14000000000000001</v>
      </c>
      <c r="O11" s="14">
        <v>-0.09</v>
      </c>
      <c r="P11" s="14">
        <v>-0.02</v>
      </c>
      <c r="Q11" s="14">
        <v>-0.02</v>
      </c>
      <c r="R11" s="14">
        <v>-0.06</v>
      </c>
      <c r="S11" s="14">
        <v>-0.09</v>
      </c>
      <c r="T11" s="14">
        <v>-7.0000000000000007E-2</v>
      </c>
      <c r="U11" s="14">
        <v>-0.08</v>
      </c>
      <c r="V11" s="14">
        <v>-0.1</v>
      </c>
      <c r="W11" s="14">
        <v>-0.12</v>
      </c>
      <c r="X11" s="14">
        <v>-0.22</v>
      </c>
      <c r="Y11" s="14">
        <v>-0.28000000000000003</v>
      </c>
      <c r="Z11" s="14">
        <v>-0.32</v>
      </c>
      <c r="AA11" s="14">
        <v>-0.46</v>
      </c>
      <c r="AB11" s="14">
        <v>-0.26</v>
      </c>
      <c r="AC11" s="14">
        <v>-0.14000000000000001</v>
      </c>
      <c r="AD11" s="14">
        <v>-0.04</v>
      </c>
      <c r="AE11" s="14">
        <v>-0.12</v>
      </c>
      <c r="AF11" s="14">
        <v>-0.12</v>
      </c>
      <c r="AG11" s="14">
        <v>-0.13</v>
      </c>
      <c r="AH11" s="14">
        <v>-0.15</v>
      </c>
      <c r="AI11" s="14">
        <v>-0.17</v>
      </c>
      <c r="AJ11" s="14">
        <v>-0.09</v>
      </c>
      <c r="AK11" s="14">
        <v>-0.13</v>
      </c>
      <c r="AL11" s="14">
        <v>-0.36</v>
      </c>
      <c r="AM11" s="14">
        <v>-0.16</v>
      </c>
      <c r="AN11" s="14">
        <v>-0.27</v>
      </c>
      <c r="AO11">
        <v>-0.37</v>
      </c>
      <c r="AP11">
        <v>-0.35</v>
      </c>
      <c r="AQ11">
        <v>-0.41</v>
      </c>
    </row>
    <row r="12" spans="1:43" x14ac:dyDescent="0.35">
      <c r="A12" s="14" t="s">
        <v>48</v>
      </c>
      <c r="B12" s="14">
        <v>0.55000000000000004</v>
      </c>
      <c r="C12" s="14">
        <v>0.3</v>
      </c>
      <c r="D12" s="14">
        <v>0.67</v>
      </c>
      <c r="E12" s="14">
        <v>0.57999999999999996</v>
      </c>
      <c r="F12" s="14">
        <v>0.4</v>
      </c>
      <c r="G12" s="14">
        <v>0.56999999999999995</v>
      </c>
      <c r="H12" s="14">
        <v>0.45</v>
      </c>
      <c r="I12" s="14">
        <v>0.73</v>
      </c>
      <c r="J12" s="14">
        <v>0.61</v>
      </c>
      <c r="K12" s="14">
        <v>0.44</v>
      </c>
      <c r="L12" s="14">
        <v>0.38</v>
      </c>
      <c r="M12" s="14">
        <v>0.4</v>
      </c>
      <c r="N12" s="14">
        <v>0.47</v>
      </c>
      <c r="O12" s="14">
        <v>0.37</v>
      </c>
      <c r="P12" s="14">
        <v>0.32</v>
      </c>
      <c r="Q12" s="14">
        <v>0.55000000000000004</v>
      </c>
      <c r="R12" s="14">
        <v>0.4</v>
      </c>
      <c r="S12" s="14">
        <v>0.4</v>
      </c>
      <c r="T12" s="14">
        <v>0.34</v>
      </c>
      <c r="U12" s="14">
        <v>0.44</v>
      </c>
      <c r="V12" s="14">
        <v>0.42</v>
      </c>
      <c r="W12" s="14">
        <v>0.47</v>
      </c>
      <c r="X12" s="14">
        <v>0.34</v>
      </c>
      <c r="Y12" s="14">
        <v>0.4</v>
      </c>
      <c r="Z12" s="14">
        <v>0.69</v>
      </c>
      <c r="AA12" s="14">
        <v>0.54</v>
      </c>
      <c r="AB12" s="14">
        <v>0.54</v>
      </c>
      <c r="AC12" s="14">
        <v>0.52</v>
      </c>
      <c r="AD12" s="14">
        <v>0.32</v>
      </c>
      <c r="AE12" s="14">
        <v>0.44</v>
      </c>
      <c r="AF12" s="14">
        <v>0.51</v>
      </c>
      <c r="AG12" s="14">
        <v>0.39</v>
      </c>
      <c r="AH12" s="14">
        <v>0.46</v>
      </c>
      <c r="AI12" s="14">
        <v>0.26</v>
      </c>
      <c r="AJ12" s="14">
        <v>0.37</v>
      </c>
      <c r="AK12" s="14">
        <v>0.25</v>
      </c>
      <c r="AL12" s="14">
        <v>0.41</v>
      </c>
      <c r="AM12" s="14">
        <v>0.44</v>
      </c>
      <c r="AN12" s="14">
        <v>0.57999999999999996</v>
      </c>
      <c r="AO12">
        <v>0.51</v>
      </c>
      <c r="AP12">
        <v>0.44</v>
      </c>
      <c r="AQ12">
        <v>0.38</v>
      </c>
    </row>
    <row r="13" spans="1:43" x14ac:dyDescent="0.35">
      <c r="A13" s="14" t="s">
        <v>49</v>
      </c>
      <c r="B13" s="14">
        <v>0.02</v>
      </c>
      <c r="C13" s="14">
        <v>0.11</v>
      </c>
      <c r="D13" s="14">
        <v>0.1</v>
      </c>
      <c r="E13" s="14">
        <v>-0.24</v>
      </c>
      <c r="F13" s="14">
        <v>-0.03</v>
      </c>
      <c r="G13" s="14">
        <v>-0.1</v>
      </c>
      <c r="H13" s="14">
        <v>-0.15</v>
      </c>
      <c r="I13" s="14">
        <v>-0.19</v>
      </c>
      <c r="J13" s="14">
        <v>0.02</v>
      </c>
      <c r="K13" s="14">
        <v>0.15</v>
      </c>
      <c r="L13" s="14">
        <v>0.44</v>
      </c>
      <c r="M13" s="14">
        <v>0.2</v>
      </c>
      <c r="N13" s="14">
        <v>0.35</v>
      </c>
      <c r="O13" s="14">
        <v>0.3</v>
      </c>
      <c r="P13" s="14">
        <v>0.25</v>
      </c>
      <c r="Q13" s="14">
        <v>0.24</v>
      </c>
      <c r="R13" s="14" t="s">
        <v>50</v>
      </c>
      <c r="S13" s="14">
        <v>0.02</v>
      </c>
      <c r="T13" s="14">
        <v>0.09</v>
      </c>
      <c r="U13" s="14">
        <v>0.23</v>
      </c>
      <c r="V13" s="14">
        <v>0.47</v>
      </c>
      <c r="W13" s="14">
        <v>0.67</v>
      </c>
      <c r="X13" s="14">
        <v>0.09</v>
      </c>
      <c r="Y13" s="14">
        <v>-0.08</v>
      </c>
      <c r="Z13" s="14">
        <v>0.1</v>
      </c>
      <c r="AA13" s="14">
        <v>1.58</v>
      </c>
      <c r="AB13" s="14">
        <v>0.65</v>
      </c>
      <c r="AC13" s="14">
        <v>0.11</v>
      </c>
      <c r="AD13" s="14">
        <v>-0.3</v>
      </c>
      <c r="AE13" s="14">
        <v>-0.67</v>
      </c>
      <c r="AF13" s="14">
        <v>-0.57999999999999996</v>
      </c>
      <c r="AG13" s="14">
        <v>-0.3</v>
      </c>
      <c r="AH13" s="14">
        <v>-0.33</v>
      </c>
      <c r="AI13" s="14">
        <v>-0.52</v>
      </c>
      <c r="AJ13" s="14">
        <v>-0.25</v>
      </c>
      <c r="AK13" s="14">
        <v>-0.24</v>
      </c>
      <c r="AL13" s="14">
        <v>-0.64</v>
      </c>
      <c r="AM13" s="14">
        <v>-0.33</v>
      </c>
      <c r="AN13" s="14">
        <v>-0.38</v>
      </c>
      <c r="AO13">
        <v>-0.71</v>
      </c>
      <c r="AP13">
        <v>-0.57999999999999996</v>
      </c>
      <c r="AQ13">
        <v>-0.54</v>
      </c>
    </row>
    <row r="14" spans="1:43" x14ac:dyDescent="0.35">
      <c r="A14" s="14" t="s">
        <v>51</v>
      </c>
      <c r="B14" s="14">
        <v>-0.08</v>
      </c>
      <c r="C14" s="14">
        <v>-0.08</v>
      </c>
      <c r="D14" s="14">
        <v>-0.09</v>
      </c>
      <c r="E14" s="14">
        <v>-0.1</v>
      </c>
      <c r="F14" s="14">
        <v>-0.09</v>
      </c>
      <c r="G14" s="14">
        <v>-0.08</v>
      </c>
      <c r="H14" s="14">
        <v>-7.0000000000000007E-2</v>
      </c>
      <c r="I14" s="14">
        <v>-0.08</v>
      </c>
      <c r="J14" s="14">
        <v>-7.0000000000000007E-2</v>
      </c>
      <c r="K14" s="14">
        <v>-0.09</v>
      </c>
      <c r="L14" s="14">
        <v>-0.09</v>
      </c>
      <c r="M14" s="14">
        <v>-0.09</v>
      </c>
      <c r="N14" s="14">
        <v>-0.09</v>
      </c>
      <c r="O14" s="14">
        <v>-0.14000000000000001</v>
      </c>
      <c r="P14" s="14">
        <v>-0.13</v>
      </c>
      <c r="Q14" s="14">
        <v>-0.12</v>
      </c>
      <c r="R14" s="14">
        <v>-0.13</v>
      </c>
      <c r="S14" s="14">
        <v>-0.11</v>
      </c>
      <c r="T14" s="14">
        <v>-0.09</v>
      </c>
      <c r="U14" s="14">
        <v>-0.1</v>
      </c>
      <c r="V14" s="14">
        <v>-0.12</v>
      </c>
      <c r="W14" s="14">
        <v>-0.11</v>
      </c>
      <c r="X14" s="14">
        <v>-0.12</v>
      </c>
      <c r="Y14" s="14">
        <v>-0.11</v>
      </c>
      <c r="Z14" s="14">
        <v>-0.12</v>
      </c>
      <c r="AA14" s="14">
        <v>-0.09</v>
      </c>
      <c r="AB14" s="14">
        <v>-0.1</v>
      </c>
      <c r="AC14" s="14">
        <v>-0.11</v>
      </c>
      <c r="AD14" s="14">
        <v>-0.11</v>
      </c>
      <c r="AE14" s="14">
        <v>-0.09</v>
      </c>
      <c r="AF14" s="14">
        <v>-0.09</v>
      </c>
      <c r="AG14" s="14">
        <v>-0.09</v>
      </c>
      <c r="AH14" s="14">
        <v>-0.1</v>
      </c>
      <c r="AI14" s="14">
        <v>-0.1</v>
      </c>
      <c r="AJ14" s="14">
        <v>-0.02</v>
      </c>
      <c r="AK14" s="14">
        <v>-0.02</v>
      </c>
      <c r="AL14" s="14">
        <v>-0.01</v>
      </c>
      <c r="AM14" s="14">
        <v>-0.1</v>
      </c>
      <c r="AN14" s="14">
        <v>-0.01</v>
      </c>
      <c r="AO14">
        <v>-0.01</v>
      </c>
      <c r="AP14">
        <v>-0.01</v>
      </c>
      <c r="AQ14">
        <v>-0.01</v>
      </c>
    </row>
    <row r="15" spans="1:43" x14ac:dyDescent="0.35">
      <c r="A15" s="14" t="s">
        <v>52</v>
      </c>
      <c r="B15" s="14">
        <v>0.04</v>
      </c>
      <c r="C15" s="14">
        <v>0.01</v>
      </c>
      <c r="D15" s="14">
        <v>0.05</v>
      </c>
      <c r="E15" s="14">
        <v>0.06</v>
      </c>
      <c r="F15" s="14">
        <v>0.05</v>
      </c>
      <c r="G15" s="14">
        <v>0.03</v>
      </c>
      <c r="H15" s="14">
        <v>0.04</v>
      </c>
      <c r="I15" s="14">
        <v>0.04</v>
      </c>
      <c r="J15" s="14">
        <v>0.05</v>
      </c>
      <c r="K15" s="14">
        <v>0.05</v>
      </c>
      <c r="L15" s="14">
        <v>0.04</v>
      </c>
      <c r="M15" s="14">
        <v>0.04</v>
      </c>
      <c r="N15" s="14">
        <v>0.02</v>
      </c>
      <c r="O15" s="14">
        <v>0.04</v>
      </c>
      <c r="P15" s="14">
        <v>0.03</v>
      </c>
      <c r="Q15" s="14">
        <v>0.03</v>
      </c>
      <c r="R15" s="14">
        <v>0.05</v>
      </c>
      <c r="S15" s="14">
        <v>0.04</v>
      </c>
      <c r="T15" s="14">
        <v>0.06</v>
      </c>
      <c r="U15" s="14">
        <v>0.04</v>
      </c>
      <c r="V15" s="14">
        <v>0.04</v>
      </c>
      <c r="W15" s="14">
        <v>0.06</v>
      </c>
      <c r="X15" s="14">
        <v>0.06</v>
      </c>
      <c r="Y15" s="14">
        <v>0.03</v>
      </c>
      <c r="Z15" s="14">
        <v>0.05</v>
      </c>
      <c r="AA15" s="14">
        <v>0.05</v>
      </c>
      <c r="AB15" s="14">
        <v>0.05</v>
      </c>
      <c r="AC15" s="14">
        <v>0.04</v>
      </c>
      <c r="AD15" s="14">
        <v>0.04</v>
      </c>
      <c r="AE15" s="14">
        <v>0.05</v>
      </c>
      <c r="AF15" s="14">
        <v>0.04</v>
      </c>
      <c r="AG15" s="14">
        <v>0.05</v>
      </c>
      <c r="AH15" s="14">
        <v>0.05</v>
      </c>
      <c r="AI15" s="14">
        <v>0.06</v>
      </c>
      <c r="AJ15" s="14">
        <v>0.04</v>
      </c>
      <c r="AK15" s="14">
        <v>0.05</v>
      </c>
      <c r="AL15" s="14">
        <v>0.05</v>
      </c>
      <c r="AM15" s="14">
        <v>0.05</v>
      </c>
      <c r="AN15" s="14">
        <v>7.0000000000000007E-2</v>
      </c>
      <c r="AO15">
        <v>0.14000000000000001</v>
      </c>
      <c r="AP15">
        <v>0.06</v>
      </c>
      <c r="AQ15">
        <v>0.04</v>
      </c>
    </row>
    <row r="16" spans="1:43" x14ac:dyDescent="0.35">
      <c r="A16" s="1" t="s">
        <v>53</v>
      </c>
      <c r="B16" s="1">
        <v>13.35</v>
      </c>
      <c r="C16" s="1">
        <v>7.85</v>
      </c>
      <c r="D16" s="1">
        <v>10.71</v>
      </c>
      <c r="E16" s="1">
        <v>10.67</v>
      </c>
      <c r="F16" s="1">
        <v>9.860000000000003</v>
      </c>
      <c r="G16" s="1">
        <v>8.1599999999999984</v>
      </c>
      <c r="H16" s="1">
        <v>7.3999999999999986</v>
      </c>
      <c r="I16" s="1">
        <v>7.6099999999999994</v>
      </c>
      <c r="J16" s="1">
        <v>8.2999999999999989</v>
      </c>
      <c r="K16" s="1">
        <v>13.58</v>
      </c>
      <c r="L16" s="1">
        <v>14.159999999999998</v>
      </c>
      <c r="M16" s="1">
        <v>10.75</v>
      </c>
      <c r="N16" s="1">
        <v>8.59</v>
      </c>
      <c r="O16" s="1">
        <v>9.4699999999999989</v>
      </c>
      <c r="P16" s="1">
        <v>12.69</v>
      </c>
      <c r="Q16" s="1">
        <v>17.119999999999997</v>
      </c>
      <c r="R16" s="1">
        <v>14.22</v>
      </c>
      <c r="S16" s="1">
        <v>11.48</v>
      </c>
      <c r="T16" s="1">
        <v>8.2000000000000011</v>
      </c>
      <c r="U16" s="1">
        <v>8.7499999999999982</v>
      </c>
      <c r="V16" s="1">
        <v>10.870000000000001</v>
      </c>
      <c r="W16" s="1">
        <v>14.380000000000003</v>
      </c>
      <c r="X16" s="1">
        <v>12.360000000000001</v>
      </c>
      <c r="Y16" s="1">
        <v>11.34</v>
      </c>
      <c r="Z16" s="1">
        <v>11.46</v>
      </c>
      <c r="AA16" s="1">
        <v>16.32</v>
      </c>
      <c r="AB16" s="1">
        <v>15.900000000000002</v>
      </c>
      <c r="AC16" s="1">
        <v>17.659999999999997</v>
      </c>
      <c r="AD16" s="1">
        <v>25.619999999999997</v>
      </c>
      <c r="AE16" s="1">
        <v>15.1</v>
      </c>
      <c r="AF16" s="1">
        <v>14.81</v>
      </c>
      <c r="AG16" s="1">
        <v>13.4</v>
      </c>
      <c r="AH16" s="1">
        <v>16.78</v>
      </c>
      <c r="AI16" s="1">
        <v>17.689999999999998</v>
      </c>
      <c r="AJ16" s="1">
        <v>16.25</v>
      </c>
      <c r="AK16" s="1">
        <v>13.86</v>
      </c>
      <c r="AL16" s="1">
        <v>16.190000000000001</v>
      </c>
      <c r="AM16" s="1">
        <v>26.46</v>
      </c>
      <c r="AN16" s="1">
        <v>30.04</v>
      </c>
      <c r="AO16">
        <v>22.89</v>
      </c>
      <c r="AP16">
        <v>23.08</v>
      </c>
      <c r="AQ16">
        <v>19.57</v>
      </c>
    </row>
    <row r="17" spans="1:43" x14ac:dyDescent="0.35">
      <c r="A17" s="14" t="s">
        <v>54</v>
      </c>
      <c r="B17" s="14">
        <v>0.34</v>
      </c>
      <c r="C17" s="14">
        <v>0.35</v>
      </c>
      <c r="D17" s="14">
        <v>0.24</v>
      </c>
      <c r="E17" s="14">
        <v>0.16</v>
      </c>
      <c r="F17" s="14">
        <v>0.17</v>
      </c>
      <c r="G17" s="14">
        <v>0.19</v>
      </c>
      <c r="H17" s="14">
        <v>0.33</v>
      </c>
      <c r="I17" s="14">
        <v>0.2</v>
      </c>
      <c r="J17" s="14">
        <v>0.19</v>
      </c>
      <c r="K17" s="14">
        <v>0.17</v>
      </c>
      <c r="L17" s="14">
        <v>0.23</v>
      </c>
      <c r="M17" s="14">
        <v>0.3</v>
      </c>
      <c r="N17" s="14">
        <v>0.35</v>
      </c>
      <c r="O17" s="14">
        <v>0.33</v>
      </c>
      <c r="P17" s="14">
        <v>0.19</v>
      </c>
      <c r="Q17" s="14">
        <v>0.16</v>
      </c>
      <c r="R17" s="14">
        <v>0.15</v>
      </c>
      <c r="S17" s="14">
        <v>0.15</v>
      </c>
      <c r="T17" s="14">
        <v>0.31</v>
      </c>
      <c r="U17" s="14">
        <v>0.16</v>
      </c>
      <c r="V17" s="14">
        <v>0.16</v>
      </c>
      <c r="W17" s="14">
        <v>0.16</v>
      </c>
      <c r="X17" s="14">
        <v>0.19</v>
      </c>
      <c r="Y17" s="14">
        <v>0.28000000000000003</v>
      </c>
      <c r="Z17" s="14">
        <v>0.27</v>
      </c>
      <c r="AA17" s="14">
        <v>0.27</v>
      </c>
      <c r="AB17" s="14">
        <v>0.18</v>
      </c>
      <c r="AC17" s="14">
        <v>0.14000000000000001</v>
      </c>
      <c r="AD17" s="14">
        <v>0.13</v>
      </c>
      <c r="AE17" s="14">
        <v>0.15</v>
      </c>
      <c r="AF17" s="14">
        <v>0.28000000000000003</v>
      </c>
      <c r="AG17" s="14">
        <v>0.14000000000000001</v>
      </c>
      <c r="AH17" s="14">
        <v>0.15</v>
      </c>
      <c r="AI17" s="14">
        <v>0.14000000000000001</v>
      </c>
      <c r="AJ17" s="14">
        <v>0.18</v>
      </c>
      <c r="AK17" s="14">
        <v>0.27</v>
      </c>
      <c r="AL17" s="14">
        <v>0.24</v>
      </c>
      <c r="AM17" s="14">
        <v>0.25</v>
      </c>
      <c r="AN17" s="14">
        <v>0.17</v>
      </c>
      <c r="AO17">
        <v>0.13</v>
      </c>
      <c r="AP17">
        <v>0.12</v>
      </c>
      <c r="AQ17">
        <v>0.15</v>
      </c>
    </row>
    <row r="18" spans="1:43" x14ac:dyDescent="0.35">
      <c r="A18" s="14" t="s">
        <v>55</v>
      </c>
      <c r="B18" s="14">
        <v>2.9</v>
      </c>
      <c r="C18" s="14">
        <v>-0.71</v>
      </c>
      <c r="D18" s="14" t="s">
        <v>50</v>
      </c>
      <c r="E18" s="14" t="s">
        <v>50</v>
      </c>
      <c r="F18" s="14" t="s">
        <v>50</v>
      </c>
      <c r="G18" s="14" t="s">
        <v>50</v>
      </c>
      <c r="H18" s="14" t="s">
        <v>50</v>
      </c>
      <c r="I18" s="14" t="s">
        <v>50</v>
      </c>
      <c r="J18" s="14" t="s">
        <v>50</v>
      </c>
      <c r="K18" s="14" t="s">
        <v>50</v>
      </c>
      <c r="L18" s="14" t="s">
        <v>50</v>
      </c>
      <c r="M18" s="14" t="s">
        <v>50</v>
      </c>
      <c r="N18" s="14" t="s">
        <v>50</v>
      </c>
      <c r="O18" s="14" t="s">
        <v>50</v>
      </c>
      <c r="P18" s="14" t="s">
        <v>50</v>
      </c>
      <c r="Q18" s="14" t="s">
        <v>50</v>
      </c>
      <c r="R18" s="14" t="s">
        <v>50</v>
      </c>
      <c r="S18" s="14" t="s">
        <v>50</v>
      </c>
      <c r="T18" s="14" t="s">
        <v>50</v>
      </c>
      <c r="U18" s="14" t="s">
        <v>50</v>
      </c>
      <c r="V18" s="14" t="s">
        <v>50</v>
      </c>
      <c r="W18" s="14" t="s">
        <v>50</v>
      </c>
      <c r="X18" s="14" t="s">
        <v>50</v>
      </c>
      <c r="Y18" s="14" t="s">
        <v>50</v>
      </c>
      <c r="Z18" s="14" t="s">
        <v>50</v>
      </c>
      <c r="AA18" s="14" t="s">
        <v>50</v>
      </c>
      <c r="AB18" s="14" t="s">
        <v>50</v>
      </c>
      <c r="AC18" s="14" t="s">
        <v>50</v>
      </c>
      <c r="AD18" s="14" t="s">
        <v>50</v>
      </c>
      <c r="AE18" s="14" t="s">
        <v>50</v>
      </c>
      <c r="AF18" s="14" t="s">
        <v>50</v>
      </c>
      <c r="AG18" s="14" t="s">
        <v>50</v>
      </c>
      <c r="AH18" s="14" t="s">
        <v>50</v>
      </c>
      <c r="AI18" s="14" t="s">
        <v>50</v>
      </c>
      <c r="AJ18" s="14" t="s">
        <v>50</v>
      </c>
      <c r="AK18" s="14" t="s">
        <v>50</v>
      </c>
      <c r="AL18" s="14" t="s">
        <v>50</v>
      </c>
      <c r="AM18" s="14" t="s">
        <v>50</v>
      </c>
      <c r="AN18" s="14" t="s">
        <v>50</v>
      </c>
      <c r="AO18" s="14" t="s">
        <v>50</v>
      </c>
      <c r="AP18" s="14" t="s">
        <v>50</v>
      </c>
      <c r="AQ18" s="14" t="s">
        <v>50</v>
      </c>
    </row>
    <row r="19" spans="1:43" x14ac:dyDescent="0.35">
      <c r="A19" s="14" t="s">
        <v>56</v>
      </c>
      <c r="B19" s="14">
        <v>89.68</v>
      </c>
      <c r="C19" s="14">
        <v>142.91</v>
      </c>
      <c r="D19" s="14">
        <v>102.79</v>
      </c>
      <c r="E19" s="14">
        <v>84.87</v>
      </c>
      <c r="F19" s="14">
        <v>84.26</v>
      </c>
      <c r="G19" s="14">
        <v>101.98</v>
      </c>
      <c r="H19" s="14">
        <v>98.59</v>
      </c>
      <c r="I19" s="14">
        <v>104.6</v>
      </c>
      <c r="J19" s="14">
        <v>112.41</v>
      </c>
      <c r="K19" s="14">
        <v>104.3</v>
      </c>
      <c r="L19" s="14">
        <v>80.3</v>
      </c>
      <c r="M19" s="14">
        <v>85.38</v>
      </c>
      <c r="N19" s="14">
        <v>85.73</v>
      </c>
      <c r="O19" s="14">
        <v>50.48</v>
      </c>
      <c r="P19" s="14">
        <v>34.19</v>
      </c>
      <c r="Q19" s="14">
        <v>31.25</v>
      </c>
      <c r="R19" s="14">
        <v>44.44</v>
      </c>
      <c r="S19" s="14">
        <v>68.36</v>
      </c>
      <c r="T19" s="14">
        <v>81.069999999999993</v>
      </c>
      <c r="U19" s="14">
        <v>100.08</v>
      </c>
      <c r="V19" s="14">
        <v>83.81</v>
      </c>
      <c r="W19" s="14">
        <v>84.59</v>
      </c>
      <c r="X19" s="14">
        <v>119.17</v>
      </c>
      <c r="Y19" s="14">
        <v>125.5</v>
      </c>
      <c r="Z19" s="14">
        <v>111.93</v>
      </c>
      <c r="AA19" s="14">
        <v>127.2</v>
      </c>
      <c r="AB19" s="14">
        <v>71.5</v>
      </c>
      <c r="AC19" s="14">
        <v>45.45</v>
      </c>
      <c r="AD19" s="14">
        <v>43.11</v>
      </c>
      <c r="AE19" s="14">
        <v>87.59</v>
      </c>
      <c r="AF19" s="14">
        <v>85.38</v>
      </c>
      <c r="AG19" s="14">
        <v>81.41</v>
      </c>
      <c r="AH19" s="14">
        <v>77.64</v>
      </c>
      <c r="AI19" s="14">
        <v>94.27</v>
      </c>
      <c r="AJ19" s="14">
        <v>76.739999999999995</v>
      </c>
      <c r="AK19" s="14">
        <v>94.12</v>
      </c>
      <c r="AL19" s="14">
        <v>87.92</v>
      </c>
      <c r="AM19" s="14">
        <v>42.62</v>
      </c>
      <c r="AN19" s="14">
        <v>72.47</v>
      </c>
      <c r="AO19">
        <v>63.64</v>
      </c>
      <c r="AP19">
        <v>75.64</v>
      </c>
      <c r="AQ19">
        <v>87.06</v>
      </c>
    </row>
    <row r="20" spans="1:43" x14ac:dyDescent="0.35">
      <c r="A20" s="14" t="s">
        <v>57</v>
      </c>
      <c r="B20" s="14">
        <v>20838465.603</v>
      </c>
      <c r="C20" s="14">
        <v>19363777.458000001</v>
      </c>
      <c r="D20" s="14">
        <v>19448081.116999999</v>
      </c>
      <c r="E20" s="14">
        <v>17224210.403999999</v>
      </c>
      <c r="F20" s="14">
        <v>18089875.747000001</v>
      </c>
      <c r="G20" s="14">
        <v>18719511.135000002</v>
      </c>
      <c r="H20" s="14">
        <v>21334063.804000001</v>
      </c>
      <c r="I20" s="14">
        <v>20297954.471000001</v>
      </c>
      <c r="J20" s="14">
        <v>18387219.920000002</v>
      </c>
      <c r="K20" s="14">
        <v>18602666.956999999</v>
      </c>
      <c r="L20" s="14">
        <v>18943383.147999998</v>
      </c>
      <c r="M20" s="14">
        <v>19935831.488000002</v>
      </c>
      <c r="N20" s="14">
        <v>21055819.800999999</v>
      </c>
      <c r="O20" s="14">
        <v>19159503.021000002</v>
      </c>
      <c r="P20" s="14">
        <v>19517614.956</v>
      </c>
      <c r="Q20" s="14">
        <v>18202828.846000001</v>
      </c>
      <c r="R20" s="14">
        <v>18502055.886999998</v>
      </c>
      <c r="S20" s="14">
        <v>18506699.644000001</v>
      </c>
      <c r="T20" s="14">
        <v>21414723.460000001</v>
      </c>
      <c r="U20" s="14">
        <v>20980202.612</v>
      </c>
      <c r="V20" s="14">
        <v>18713237.050999999</v>
      </c>
      <c r="W20" s="14">
        <v>19037627.333999999</v>
      </c>
      <c r="X20" s="14">
        <v>18679360.682</v>
      </c>
      <c r="Y20" s="14">
        <v>20399772.010000002</v>
      </c>
      <c r="Z20" s="14">
        <v>21691798.324999999</v>
      </c>
      <c r="AA20" s="14">
        <v>19242913.862</v>
      </c>
      <c r="AB20" s="14">
        <v>20819390.217</v>
      </c>
      <c r="AC20" s="14">
        <v>17848004.853999998</v>
      </c>
      <c r="AD20" s="14">
        <v>18602738.697999999</v>
      </c>
      <c r="AE20" s="14">
        <v>20730203.096999999</v>
      </c>
      <c r="AF20" s="14">
        <v>22211148.853</v>
      </c>
      <c r="AG20" s="14">
        <v>20983429.715999998</v>
      </c>
      <c r="AH20" s="14">
        <v>19542167.316</v>
      </c>
      <c r="AI20" s="14">
        <v>19196589.440000001</v>
      </c>
      <c r="AJ20" s="14">
        <v>19892075.153000001</v>
      </c>
      <c r="AK20" s="14">
        <v>21396364.585999999</v>
      </c>
      <c r="AL20" s="14">
        <v>22790441.230999999</v>
      </c>
      <c r="AM20" s="14">
        <v>19386375.870000001</v>
      </c>
      <c r="AN20" s="14">
        <v>20284271.482000001</v>
      </c>
      <c r="AO20">
        <v>18283089</v>
      </c>
      <c r="AP20">
        <v>18676014.5</v>
      </c>
      <c r="AQ20">
        <v>20742421.600000001</v>
      </c>
    </row>
    <row r="21" spans="1:43" x14ac:dyDescent="0.35">
      <c r="A21" t="s">
        <v>2</v>
      </c>
    </row>
    <row r="22" spans="1:43" x14ac:dyDescent="0.35">
      <c r="A22" s="15" t="s">
        <v>58</v>
      </c>
      <c r="B22" s="14" t="s">
        <v>59</v>
      </c>
      <c r="C22" s="14"/>
    </row>
    <row r="23" spans="1:43" x14ac:dyDescent="0.35">
      <c r="A23" t="s">
        <v>2</v>
      </c>
    </row>
    <row r="24" spans="1:43" x14ac:dyDescent="0.35">
      <c r="A24" s="15" t="s">
        <v>60</v>
      </c>
      <c r="B24" s="14" t="s">
        <v>91</v>
      </c>
      <c r="C24" s="14"/>
      <c r="D24" s="14"/>
      <c r="E24" s="14"/>
      <c r="F24" s="14"/>
    </row>
  </sheetData>
  <conditionalFormatting sqref="A5:XFD5">
    <cfRule type="cellIs" dxfId="3" priority="4" operator="notEqual">
      <formula>""</formula>
    </cfRule>
  </conditionalFormatting>
  <conditionalFormatting sqref="A6:XFD15 A17:XFD17 A18:AN20 AR18:XFD20 AO18:AQ21">
    <cfRule type="cellIs" dxfId="2" priority="3" operator="notEqual">
      <formula>""</formula>
    </cfRule>
  </conditionalFormatting>
  <conditionalFormatting sqref="A16:XFD16">
    <cfRule type="cellIs" dxfId="1" priority="1" operator="notEqual">
      <formula>""</formula>
    </cfRule>
  </conditionalFormatting>
  <conditionalFormatting sqref="AO16:XFD16">
    <cfRule type="cellIs" dxfId="0" priority="2" operator="notEqual">
      <formula>""</formula>
    </cfRule>
  </conditionalFormatting>
  <hyperlinks>
    <hyperlink ref="D2" r:id="rId1" display="https://www.ree.es/es/datos/mercados/componentes-precio-energia-cierre-desglose" xr:uid="{14185060-9502-4D80-834F-418E4A8D9864}"/>
    <hyperlink ref="B24" r:id="rId2" display="https://www.ree.es/es/datos/mercados/componentes-precio-energia-cierre-desglose" xr:uid="{A24FF894-8544-4C28-A206-854BED34720E}"/>
  </hyperlinks>
  <pageMargins left="0.7" right="0.7" top="0.75" bottom="0.75" header="0.3" footer="0.3"/>
  <ignoredErrors>
    <ignoredError sqref="C1 A4:AN21 B2:C2 J2:AN2 B3:D3 F3:AN3 F1:AN1 A22:AN23 A24 C24:AN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747-79CB-45A1-8E28-FF9C9210B416}">
  <dimension ref="A3:F17"/>
  <sheetViews>
    <sheetView zoomScale="82" workbookViewId="0">
      <selection activeCell="E6" sqref="E6"/>
    </sheetView>
  </sheetViews>
  <sheetFormatPr baseColWidth="10" defaultRowHeight="15.5" x14ac:dyDescent="0.35"/>
  <cols>
    <col min="1" max="1" width="24.6640625" bestFit="1" customWidth="1"/>
    <col min="2" max="2" width="20.75" bestFit="1" customWidth="1"/>
    <col min="3" max="4" width="7.75" bestFit="1" customWidth="1"/>
    <col min="5" max="6" width="11.75" bestFit="1" customWidth="1"/>
    <col min="7" max="7" width="11.9140625" bestFit="1" customWidth="1"/>
    <col min="8" max="8" width="20.4140625" bestFit="1" customWidth="1"/>
    <col min="9" max="9" width="11.9140625" bestFit="1" customWidth="1"/>
    <col min="10" max="10" width="25.1640625" bestFit="1" customWidth="1"/>
    <col min="11" max="11" width="16.6640625" bestFit="1" customWidth="1"/>
  </cols>
  <sheetData>
    <row r="3" spans="1:6" x14ac:dyDescent="0.35">
      <c r="A3" s="5" t="s">
        <v>88</v>
      </c>
      <c r="B3" s="5" t="s">
        <v>86</v>
      </c>
    </row>
    <row r="4" spans="1:6" x14ac:dyDescent="0.35">
      <c r="A4" s="5" t="s">
        <v>100</v>
      </c>
      <c r="B4">
        <v>2023</v>
      </c>
      <c r="C4">
        <v>2024</v>
      </c>
      <c r="D4">
        <v>2025</v>
      </c>
      <c r="E4">
        <v>2026</v>
      </c>
      <c r="F4" t="s">
        <v>87</v>
      </c>
    </row>
    <row r="5" spans="1:6" x14ac:dyDescent="0.35">
      <c r="A5" s="6">
        <v>1</v>
      </c>
      <c r="B5" s="44">
        <v>13.35</v>
      </c>
      <c r="C5" s="44">
        <v>8.59</v>
      </c>
      <c r="D5" s="44">
        <v>11.46</v>
      </c>
      <c r="E5" s="44">
        <v>16.190000000000001</v>
      </c>
      <c r="F5" s="44">
        <v>12.397500000000001</v>
      </c>
    </row>
    <row r="6" spans="1:6" x14ac:dyDescent="0.35">
      <c r="A6" s="6">
        <v>2</v>
      </c>
      <c r="B6" s="44">
        <v>7.85</v>
      </c>
      <c r="C6" s="44">
        <v>9.4699999999999989</v>
      </c>
      <c r="D6" s="44">
        <v>16.32</v>
      </c>
      <c r="E6" s="44">
        <v>26.46</v>
      </c>
      <c r="F6" s="44">
        <v>15.025</v>
      </c>
    </row>
    <row r="7" spans="1:6" x14ac:dyDescent="0.35">
      <c r="A7" s="6">
        <v>3</v>
      </c>
      <c r="B7" s="44">
        <v>10.71</v>
      </c>
      <c r="C7" s="44">
        <v>12.69</v>
      </c>
      <c r="D7" s="44">
        <v>15.900000000000002</v>
      </c>
      <c r="E7" s="44">
        <v>30.04</v>
      </c>
      <c r="F7" s="44">
        <v>17.335000000000001</v>
      </c>
    </row>
    <row r="8" spans="1:6" x14ac:dyDescent="0.35">
      <c r="A8" s="6">
        <v>4</v>
      </c>
      <c r="B8" s="44">
        <v>10.67</v>
      </c>
      <c r="C8" s="44">
        <v>17.119999999999997</v>
      </c>
      <c r="D8" s="44">
        <v>17.659999999999997</v>
      </c>
      <c r="E8" s="44">
        <v>22.89</v>
      </c>
      <c r="F8" s="44">
        <v>17.085000000000001</v>
      </c>
    </row>
    <row r="9" spans="1:6" x14ac:dyDescent="0.35">
      <c r="A9" s="6">
        <v>5</v>
      </c>
      <c r="B9" s="44">
        <v>9.860000000000003</v>
      </c>
      <c r="C9" s="44">
        <v>14.22</v>
      </c>
      <c r="D9" s="44">
        <v>25.619999999999997</v>
      </c>
      <c r="E9" s="44">
        <v>23.08</v>
      </c>
      <c r="F9" s="44">
        <v>18.195</v>
      </c>
    </row>
    <row r="10" spans="1:6" x14ac:dyDescent="0.35">
      <c r="A10" s="6">
        <v>6</v>
      </c>
      <c r="B10" s="44">
        <v>8.1599999999999984</v>
      </c>
      <c r="C10" s="44">
        <v>11.48</v>
      </c>
      <c r="D10" s="44">
        <v>15.1</v>
      </c>
      <c r="E10" s="44">
        <v>19.57</v>
      </c>
      <c r="F10" s="44">
        <v>13.577500000000001</v>
      </c>
    </row>
    <row r="11" spans="1:6" x14ac:dyDescent="0.35">
      <c r="A11" s="6">
        <v>7</v>
      </c>
      <c r="B11" s="44">
        <v>7.3999999999999986</v>
      </c>
      <c r="C11" s="44">
        <v>8.2000000000000011</v>
      </c>
      <c r="D11" s="44">
        <v>14.81</v>
      </c>
      <c r="E11" s="44"/>
      <c r="F11" s="44">
        <v>10.136666666666667</v>
      </c>
    </row>
    <row r="12" spans="1:6" x14ac:dyDescent="0.35">
      <c r="A12" s="6">
        <v>8</v>
      </c>
      <c r="B12" s="44">
        <v>7.6099999999999994</v>
      </c>
      <c r="C12" s="44">
        <v>8.7499999999999982</v>
      </c>
      <c r="D12" s="44">
        <v>13.4</v>
      </c>
      <c r="E12" s="44"/>
      <c r="F12" s="44">
        <v>9.92</v>
      </c>
    </row>
    <row r="13" spans="1:6" x14ac:dyDescent="0.35">
      <c r="A13" s="6">
        <v>9</v>
      </c>
      <c r="B13" s="44">
        <v>8.2999999999999989</v>
      </c>
      <c r="C13" s="44">
        <v>10.870000000000001</v>
      </c>
      <c r="D13" s="44">
        <v>16.78</v>
      </c>
      <c r="E13" s="44"/>
      <c r="F13" s="44">
        <v>11.983333333333334</v>
      </c>
    </row>
    <row r="14" spans="1:6" x14ac:dyDescent="0.35">
      <c r="A14" s="6">
        <v>10</v>
      </c>
      <c r="B14" s="44">
        <v>13.58</v>
      </c>
      <c r="C14" s="44">
        <v>14.380000000000003</v>
      </c>
      <c r="D14" s="44">
        <v>17.689999999999998</v>
      </c>
      <c r="E14" s="44"/>
      <c r="F14" s="44">
        <v>15.216666666666667</v>
      </c>
    </row>
    <row r="15" spans="1:6" x14ac:dyDescent="0.35">
      <c r="A15" s="6">
        <v>11</v>
      </c>
      <c r="B15" s="44">
        <v>14.159999999999998</v>
      </c>
      <c r="C15" s="44">
        <v>12.360000000000001</v>
      </c>
      <c r="D15" s="44">
        <v>16.25</v>
      </c>
      <c r="E15" s="44"/>
      <c r="F15" s="44">
        <v>14.256666666666666</v>
      </c>
    </row>
    <row r="16" spans="1:6" x14ac:dyDescent="0.35">
      <c r="A16" s="6">
        <v>12</v>
      </c>
      <c r="B16" s="44">
        <v>10.75</v>
      </c>
      <c r="C16" s="44">
        <v>11.34</v>
      </c>
      <c r="D16" s="44">
        <v>13.86</v>
      </c>
      <c r="E16" s="44"/>
      <c r="F16" s="44">
        <v>11.983333333333334</v>
      </c>
    </row>
    <row r="17" spans="1:6" x14ac:dyDescent="0.35">
      <c r="A17" s="6" t="s">
        <v>87</v>
      </c>
      <c r="B17" s="44">
        <v>10.199999999999999</v>
      </c>
      <c r="C17" s="44">
        <v>11.622500000000002</v>
      </c>
      <c r="D17" s="44">
        <v>16.237500000000001</v>
      </c>
      <c r="E17" s="44">
        <v>23.03833333333333</v>
      </c>
      <c r="F17" s="44">
        <v>14.165476190476191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204D-887B-46A5-879D-9908CEEA4A4D}">
  <dimension ref="A2:N55"/>
  <sheetViews>
    <sheetView topLeftCell="A6" zoomScale="62" workbookViewId="0">
      <selection activeCell="Q23" sqref="Q23"/>
    </sheetView>
  </sheetViews>
  <sheetFormatPr baseColWidth="10" defaultRowHeight="15.5" x14ac:dyDescent="0.35"/>
  <cols>
    <col min="1" max="1" width="15.9140625" bestFit="1" customWidth="1"/>
    <col min="8" max="8" width="12.83203125" bestFit="1" customWidth="1"/>
    <col min="10" max="10" width="18.4140625" bestFit="1" customWidth="1"/>
    <col min="12" max="12" width="13.1640625" bestFit="1" customWidth="1"/>
    <col min="13" max="13" width="11.1640625" bestFit="1" customWidth="1"/>
  </cols>
  <sheetData>
    <row r="2" spans="1:14" x14ac:dyDescent="0.35">
      <c r="A2" s="17" t="s">
        <v>53</v>
      </c>
      <c r="B2" s="19" t="s">
        <v>96</v>
      </c>
      <c r="E2" s="19" t="s">
        <v>61</v>
      </c>
      <c r="F2" s="19" t="s">
        <v>62</v>
      </c>
      <c r="G2" s="19" t="s">
        <v>63</v>
      </c>
      <c r="H2" s="19" t="s">
        <v>64</v>
      </c>
    </row>
    <row r="3" spans="1:14" x14ac:dyDescent="0.35">
      <c r="A3" s="16">
        <v>44927</v>
      </c>
      <c r="B3" s="10">
        <v>13.35</v>
      </c>
      <c r="E3" s="21">
        <f>A3</f>
        <v>44927</v>
      </c>
      <c r="F3" s="22">
        <f>YEAR(A3)</f>
        <v>2023</v>
      </c>
      <c r="G3" s="22">
        <f>MONTH(A3)</f>
        <v>1</v>
      </c>
      <c r="H3" s="10">
        <f>B3</f>
        <v>13.35</v>
      </c>
      <c r="J3" s="23" t="s">
        <v>66</v>
      </c>
      <c r="K3" s="10">
        <f>AVERAGE(H33:H44)</f>
        <v>19.251666666666665</v>
      </c>
    </row>
    <row r="4" spans="1:14" x14ac:dyDescent="0.35">
      <c r="A4" s="16">
        <v>44958</v>
      </c>
      <c r="B4" s="10">
        <v>7.85</v>
      </c>
      <c r="E4" s="21">
        <f t="shared" ref="E4:E41" si="0">A4</f>
        <v>44958</v>
      </c>
      <c r="F4" s="22">
        <f t="shared" ref="F4:F41" si="1">YEAR(A4)</f>
        <v>2023</v>
      </c>
      <c r="G4" s="22">
        <f t="shared" ref="G4:G41" si="2">MONTH(A4)</f>
        <v>2</v>
      </c>
      <c r="H4" s="10">
        <f t="shared" ref="H4:H44" si="3">B4</f>
        <v>7.85</v>
      </c>
      <c r="J4" s="23" t="s">
        <v>67</v>
      </c>
      <c r="K4" s="10">
        <f>AVERAGE(H21:H44)</f>
        <v>16.624166666666664</v>
      </c>
    </row>
    <row r="5" spans="1:14" x14ac:dyDescent="0.35">
      <c r="A5" s="16">
        <v>44986</v>
      </c>
      <c r="B5" s="10">
        <v>10.71</v>
      </c>
      <c r="E5" s="21">
        <f t="shared" si="0"/>
        <v>44986</v>
      </c>
      <c r="F5" s="22">
        <f t="shared" si="1"/>
        <v>2023</v>
      </c>
      <c r="G5" s="22">
        <f t="shared" si="2"/>
        <v>3</v>
      </c>
      <c r="H5" s="10">
        <f t="shared" si="3"/>
        <v>10.71</v>
      </c>
    </row>
    <row r="6" spans="1:14" x14ac:dyDescent="0.35">
      <c r="A6" s="16">
        <v>45017</v>
      </c>
      <c r="B6" s="10">
        <v>10.67</v>
      </c>
      <c r="E6" s="21">
        <f t="shared" si="0"/>
        <v>45017</v>
      </c>
      <c r="F6" s="22">
        <f t="shared" si="1"/>
        <v>2023</v>
      </c>
      <c r="G6" s="22">
        <f t="shared" si="2"/>
        <v>4</v>
      </c>
      <c r="H6" s="10">
        <f t="shared" si="3"/>
        <v>10.67</v>
      </c>
      <c r="J6" s="23" t="s">
        <v>68</v>
      </c>
      <c r="K6" s="10">
        <f>0.7*K3+K4*0.3</f>
        <v>18.463416666666664</v>
      </c>
    </row>
    <row r="7" spans="1:14" x14ac:dyDescent="0.35">
      <c r="A7" s="16">
        <v>45047</v>
      </c>
      <c r="B7" s="10">
        <v>9.860000000000003</v>
      </c>
      <c r="E7" s="21">
        <f t="shared" si="0"/>
        <v>45047</v>
      </c>
      <c r="F7" s="22">
        <f t="shared" si="1"/>
        <v>2023</v>
      </c>
      <c r="G7" s="22">
        <f t="shared" si="2"/>
        <v>5</v>
      </c>
      <c r="H7" s="10">
        <f t="shared" si="3"/>
        <v>9.860000000000003</v>
      </c>
    </row>
    <row r="8" spans="1:14" ht="16" thickBot="1" x14ac:dyDescent="0.4">
      <c r="A8" s="16">
        <v>45078</v>
      </c>
      <c r="B8" s="10">
        <v>8.1599999999999984</v>
      </c>
      <c r="E8" s="21">
        <f t="shared" si="0"/>
        <v>45078</v>
      </c>
      <c r="F8" s="22">
        <f t="shared" si="1"/>
        <v>2023</v>
      </c>
      <c r="G8" s="22">
        <f t="shared" si="2"/>
        <v>6</v>
      </c>
      <c r="H8" s="10">
        <f t="shared" si="3"/>
        <v>8.1599999999999984</v>
      </c>
    </row>
    <row r="9" spans="1:14" ht="16" thickTop="1" x14ac:dyDescent="0.35">
      <c r="A9" s="16">
        <v>45108</v>
      </c>
      <c r="B9" s="10">
        <v>7.3999999999999986</v>
      </c>
      <c r="E9" s="21">
        <f t="shared" si="0"/>
        <v>45108</v>
      </c>
      <c r="F9" s="22">
        <f t="shared" si="1"/>
        <v>2023</v>
      </c>
      <c r="G9" s="22">
        <f t="shared" si="2"/>
        <v>7</v>
      </c>
      <c r="H9" s="10">
        <f t="shared" si="3"/>
        <v>7.3999999999999986</v>
      </c>
      <c r="J9" s="29" t="s">
        <v>69</v>
      </c>
      <c r="K9" s="40"/>
      <c r="L9" s="43" t="s">
        <v>99</v>
      </c>
      <c r="M9" s="30"/>
      <c r="N9" s="31"/>
    </row>
    <row r="10" spans="1:14" x14ac:dyDescent="0.35">
      <c r="A10" s="16">
        <v>45139</v>
      </c>
      <c r="B10" s="10">
        <v>7.6099999999999994</v>
      </c>
      <c r="E10" s="21">
        <f t="shared" si="0"/>
        <v>45139</v>
      </c>
      <c r="F10" s="22">
        <f t="shared" si="1"/>
        <v>2023</v>
      </c>
      <c r="G10" s="22">
        <f t="shared" si="2"/>
        <v>8</v>
      </c>
      <c r="H10" s="10">
        <f t="shared" si="3"/>
        <v>7.6099999999999994</v>
      </c>
      <c r="J10" s="32" t="s">
        <v>70</v>
      </c>
      <c r="K10" s="41">
        <v>1</v>
      </c>
      <c r="L10" s="33">
        <f>AVERAGEIF($G$3:$G$44,1,$H$3:$H$44)/AVERAGE($H$3:$H$44)</f>
        <v>0.87519119253718802</v>
      </c>
      <c r="M10" s="34">
        <f>IF(L10&lt;1,1-L10,L10-1)</f>
        <v>0.12480880746281198</v>
      </c>
      <c r="N10" s="35" t="str">
        <f>IF(L10&lt;1,"por debajo","por encima")</f>
        <v>por debajo</v>
      </c>
    </row>
    <row r="11" spans="1:14" x14ac:dyDescent="0.35">
      <c r="A11" s="16">
        <v>45170</v>
      </c>
      <c r="B11" s="10">
        <v>8.2999999999999989</v>
      </c>
      <c r="E11" s="21">
        <f t="shared" si="0"/>
        <v>45170</v>
      </c>
      <c r="F11" s="22">
        <f t="shared" si="1"/>
        <v>2023</v>
      </c>
      <c r="G11" s="22">
        <f t="shared" si="2"/>
        <v>9</v>
      </c>
      <c r="H11" s="10">
        <f t="shared" si="3"/>
        <v>8.2999999999999989</v>
      </c>
      <c r="J11" s="32" t="s">
        <v>71</v>
      </c>
      <c r="K11" s="41">
        <v>2</v>
      </c>
      <c r="L11" s="33">
        <f>AVERAGEIF($G$3:$G$44,2,$H$3:$H$44)/AVERAGE($H$4:$H$44)</f>
        <v>1.059190165061898</v>
      </c>
      <c r="M11" s="34">
        <f t="shared" ref="M11:M21" si="4">IF(L11&lt;1,1-L11,L11-1)</f>
        <v>5.9190165061898004E-2</v>
      </c>
      <c r="N11" s="35" t="str">
        <f t="shared" ref="N11:N21" si="5">IF(L11&lt;1,"por debajo","por encima")</f>
        <v>por encima</v>
      </c>
    </row>
    <row r="12" spans="1:14" x14ac:dyDescent="0.35">
      <c r="A12" s="16">
        <v>45200</v>
      </c>
      <c r="B12" s="10">
        <v>13.58</v>
      </c>
      <c r="E12" s="21">
        <f t="shared" si="0"/>
        <v>45200</v>
      </c>
      <c r="F12" s="22">
        <f t="shared" si="1"/>
        <v>2023</v>
      </c>
      <c r="G12" s="22">
        <f t="shared" si="2"/>
        <v>10</v>
      </c>
      <c r="H12" s="10">
        <f t="shared" si="3"/>
        <v>13.58</v>
      </c>
      <c r="J12" s="32" t="s">
        <v>72</v>
      </c>
      <c r="K12" s="41">
        <v>3</v>
      </c>
      <c r="L12" s="33">
        <f>AVERAGEIF($G$3:$G$44,3,$H$3:$H$44)/AVERAGE($H$3:$H$44)</f>
        <v>1.2237498949491554</v>
      </c>
      <c r="M12" s="34">
        <f t="shared" si="4"/>
        <v>0.22374989494915543</v>
      </c>
      <c r="N12" s="35" t="str">
        <f t="shared" si="5"/>
        <v>por encima</v>
      </c>
    </row>
    <row r="13" spans="1:14" x14ac:dyDescent="0.35">
      <c r="A13" s="16">
        <v>45231</v>
      </c>
      <c r="B13" s="10">
        <v>14.159999999999998</v>
      </c>
      <c r="E13" s="21">
        <f t="shared" si="0"/>
        <v>45231</v>
      </c>
      <c r="F13" s="22">
        <f t="shared" si="1"/>
        <v>2023</v>
      </c>
      <c r="G13" s="22">
        <f t="shared" si="2"/>
        <v>11</v>
      </c>
      <c r="H13" s="10">
        <f t="shared" si="3"/>
        <v>14.159999999999998</v>
      </c>
      <c r="J13" s="32" t="s">
        <v>73</v>
      </c>
      <c r="K13" s="41">
        <v>4</v>
      </c>
      <c r="L13" s="33">
        <f>AVERAGEIF($G$3:$G$44,4,$H$3:$H$44)/AVERAGE($H$3:$H$44)</f>
        <v>1.2061013530548785</v>
      </c>
      <c r="M13" s="34">
        <f t="shared" si="4"/>
        <v>0.20610135305487853</v>
      </c>
      <c r="N13" s="35" t="str">
        <f t="shared" si="5"/>
        <v>por encima</v>
      </c>
    </row>
    <row r="14" spans="1:14" x14ac:dyDescent="0.35">
      <c r="A14" s="16">
        <v>45261</v>
      </c>
      <c r="B14" s="10">
        <v>10.75</v>
      </c>
      <c r="E14" s="21">
        <f t="shared" si="0"/>
        <v>45261</v>
      </c>
      <c r="F14" s="22">
        <f t="shared" si="1"/>
        <v>2023</v>
      </c>
      <c r="G14" s="22">
        <f t="shared" si="2"/>
        <v>12</v>
      </c>
      <c r="H14" s="10">
        <f t="shared" si="3"/>
        <v>10.75</v>
      </c>
      <c r="J14" s="32" t="s">
        <v>74</v>
      </c>
      <c r="K14" s="41">
        <v>5</v>
      </c>
      <c r="L14" s="33">
        <f>AVERAGEIF($G$3:$G$41,5,$H$3:$H$41)/AVERAGE($H$3:$H$41)</f>
        <v>1.2204151791617084</v>
      </c>
      <c r="M14" s="34">
        <f t="shared" si="4"/>
        <v>0.22041517916170839</v>
      </c>
      <c r="N14" s="35" t="str">
        <f t="shared" si="5"/>
        <v>por encima</v>
      </c>
    </row>
    <row r="15" spans="1:14" x14ac:dyDescent="0.35">
      <c r="A15" s="16">
        <v>45292</v>
      </c>
      <c r="B15" s="10">
        <v>8.59</v>
      </c>
      <c r="E15" s="21">
        <f t="shared" si="0"/>
        <v>45292</v>
      </c>
      <c r="F15" s="22">
        <f t="shared" si="1"/>
        <v>2024</v>
      </c>
      <c r="G15" s="22">
        <f t="shared" si="2"/>
        <v>1</v>
      </c>
      <c r="H15" s="10">
        <f t="shared" si="3"/>
        <v>8.59</v>
      </c>
      <c r="J15" s="32" t="s">
        <v>75</v>
      </c>
      <c r="K15" s="41">
        <v>6</v>
      </c>
      <c r="L15" s="33">
        <f>AVERAGEIF($G$3:$G$44,6,$H$3:$H$44)/AVERAGE($H$3:$H$44)</f>
        <v>0.95849231027817461</v>
      </c>
      <c r="M15" s="34">
        <f t="shared" si="4"/>
        <v>4.1507689721825392E-2</v>
      </c>
      <c r="N15" s="35" t="str">
        <f t="shared" si="5"/>
        <v>por debajo</v>
      </c>
    </row>
    <row r="16" spans="1:14" x14ac:dyDescent="0.35">
      <c r="A16" s="16">
        <v>45323</v>
      </c>
      <c r="B16" s="10">
        <v>9.4699999999999989</v>
      </c>
      <c r="E16" s="21">
        <f t="shared" si="0"/>
        <v>45323</v>
      </c>
      <c r="F16" s="22">
        <f t="shared" si="1"/>
        <v>2024</v>
      </c>
      <c r="G16" s="22">
        <f t="shared" si="2"/>
        <v>2</v>
      </c>
      <c r="H16" s="10">
        <f t="shared" si="3"/>
        <v>9.4699999999999989</v>
      </c>
      <c r="J16" s="32" t="s">
        <v>76</v>
      </c>
      <c r="K16" s="41">
        <v>7</v>
      </c>
      <c r="L16" s="33">
        <f>AVERAGEIF($G$3:$G$44,7,$H$3:$H$44)/AVERAGE($H$3:$H$44)</f>
        <v>0.71558954533994446</v>
      </c>
      <c r="M16" s="34">
        <f t="shared" si="4"/>
        <v>0.28441045466005554</v>
      </c>
      <c r="N16" s="35" t="str">
        <f t="shared" si="5"/>
        <v>por debajo</v>
      </c>
    </row>
    <row r="17" spans="1:14" x14ac:dyDescent="0.35">
      <c r="A17" s="16">
        <v>45352</v>
      </c>
      <c r="B17" s="10">
        <v>12.69</v>
      </c>
      <c r="E17" s="21">
        <f t="shared" si="0"/>
        <v>45352</v>
      </c>
      <c r="F17" s="22">
        <f t="shared" si="1"/>
        <v>2024</v>
      </c>
      <c r="G17" s="22">
        <f t="shared" si="2"/>
        <v>3</v>
      </c>
      <c r="H17" s="10">
        <f t="shared" si="3"/>
        <v>12.69</v>
      </c>
      <c r="J17" s="32" t="s">
        <v>77</v>
      </c>
      <c r="K17" s="41">
        <v>8</v>
      </c>
      <c r="L17" s="33">
        <f>AVERAGEIF($G$3:$G$44,8,$H$3:$H$44)/AVERAGE($H$3:$H$44)</f>
        <v>0.70029414236490461</v>
      </c>
      <c r="M17" s="34">
        <f t="shared" si="4"/>
        <v>0.29970585763509539</v>
      </c>
      <c r="N17" s="35" t="str">
        <f t="shared" si="5"/>
        <v>por debajo</v>
      </c>
    </row>
    <row r="18" spans="1:14" x14ac:dyDescent="0.35">
      <c r="A18" s="16">
        <v>45383</v>
      </c>
      <c r="B18" s="10">
        <v>17.119999999999997</v>
      </c>
      <c r="E18" s="21">
        <f t="shared" si="0"/>
        <v>45383</v>
      </c>
      <c r="F18" s="22">
        <f t="shared" si="1"/>
        <v>2024</v>
      </c>
      <c r="G18" s="22">
        <f t="shared" si="2"/>
        <v>4</v>
      </c>
      <c r="H18" s="10">
        <f t="shared" si="3"/>
        <v>17.119999999999997</v>
      </c>
      <c r="J18" s="32" t="s">
        <v>78</v>
      </c>
      <c r="K18" s="41">
        <v>9</v>
      </c>
      <c r="L18" s="33">
        <f>AVERAGEIF($G$3:$G$44,9,$H$3:$H$44)/AVERAGE($H$3:$H$44)</f>
        <v>0.84595344146566942</v>
      </c>
      <c r="M18" s="34">
        <f t="shared" si="4"/>
        <v>0.15404655853433058</v>
      </c>
      <c r="N18" s="35" t="str">
        <f t="shared" si="5"/>
        <v>por debajo</v>
      </c>
    </row>
    <row r="19" spans="1:14" x14ac:dyDescent="0.35">
      <c r="A19" s="16">
        <v>45413</v>
      </c>
      <c r="B19" s="10">
        <v>14.22</v>
      </c>
      <c r="E19" s="21">
        <f t="shared" si="0"/>
        <v>45413</v>
      </c>
      <c r="F19" s="22">
        <f t="shared" si="1"/>
        <v>2024</v>
      </c>
      <c r="G19" s="22">
        <f t="shared" si="2"/>
        <v>5</v>
      </c>
      <c r="H19" s="10">
        <f t="shared" si="3"/>
        <v>14.22</v>
      </c>
      <c r="J19" s="32" t="s">
        <v>79</v>
      </c>
      <c r="K19" s="41">
        <v>10</v>
      </c>
      <c r="L19" s="33">
        <f>AVERAGEIF($G$3:$G$44,10,$H$3:$H$44)/AVERAGE($H$3:$H$44)</f>
        <v>1.0742079166316496</v>
      </c>
      <c r="M19" s="34">
        <f t="shared" si="4"/>
        <v>7.4207916631649606E-2</v>
      </c>
      <c r="N19" s="35" t="str">
        <f t="shared" si="5"/>
        <v>por encima</v>
      </c>
    </row>
    <row r="20" spans="1:14" x14ac:dyDescent="0.35">
      <c r="A20" s="16">
        <v>45444</v>
      </c>
      <c r="B20" s="10">
        <v>11.48</v>
      </c>
      <c r="E20" s="21">
        <f t="shared" si="0"/>
        <v>45444</v>
      </c>
      <c r="F20" s="22">
        <f t="shared" si="1"/>
        <v>2024</v>
      </c>
      <c r="G20" s="22">
        <f t="shared" si="2"/>
        <v>6</v>
      </c>
      <c r="H20" s="10">
        <f t="shared" si="3"/>
        <v>11.48</v>
      </c>
      <c r="J20" s="32" t="s">
        <v>80</v>
      </c>
      <c r="K20" s="41">
        <v>11</v>
      </c>
      <c r="L20" s="33">
        <f>AVERAGEIF($G$3:$G$44,11,$H$3:$H$44)/AVERAGE($H$3:$H$44)</f>
        <v>1.0064375157576266</v>
      </c>
      <c r="M20" s="34">
        <f t="shared" si="4"/>
        <v>6.4375157576266329E-3</v>
      </c>
      <c r="N20" s="35" t="str">
        <f t="shared" si="5"/>
        <v>por encima</v>
      </c>
    </row>
    <row r="21" spans="1:14" ht="16" thickBot="1" x14ac:dyDescent="0.4">
      <c r="A21" s="16">
        <v>45474</v>
      </c>
      <c r="B21" s="10">
        <v>8.2000000000000011</v>
      </c>
      <c r="E21" s="21">
        <f t="shared" si="0"/>
        <v>45474</v>
      </c>
      <c r="F21" s="22">
        <f t="shared" si="1"/>
        <v>2024</v>
      </c>
      <c r="G21" s="22">
        <f t="shared" si="2"/>
        <v>7</v>
      </c>
      <c r="H21" s="10">
        <f t="shared" si="3"/>
        <v>8.2000000000000011</v>
      </c>
      <c r="J21" s="36" t="s">
        <v>81</v>
      </c>
      <c r="K21" s="42">
        <v>12</v>
      </c>
      <c r="L21" s="37">
        <f>AVERAGEIF($G$3:$G$44,12,$H$3:$H$44)/AVERAGE($H$3:$H$44)</f>
        <v>0.84595344146566942</v>
      </c>
      <c r="M21" s="38">
        <f t="shared" si="4"/>
        <v>0.15404655853433058</v>
      </c>
      <c r="N21" s="39" t="str">
        <f t="shared" si="5"/>
        <v>por debajo</v>
      </c>
    </row>
    <row r="22" spans="1:14" ht="16" thickTop="1" x14ac:dyDescent="0.35">
      <c r="A22" s="16">
        <v>45505</v>
      </c>
      <c r="B22" s="10">
        <v>8.7499999999999982</v>
      </c>
      <c r="E22" s="21">
        <f t="shared" si="0"/>
        <v>45505</v>
      </c>
      <c r="F22" s="22">
        <f t="shared" si="1"/>
        <v>2024</v>
      </c>
      <c r="G22" s="22">
        <f t="shared" si="2"/>
        <v>8</v>
      </c>
      <c r="H22" s="10">
        <f t="shared" si="3"/>
        <v>8.7499999999999982</v>
      </c>
    </row>
    <row r="23" spans="1:14" x14ac:dyDescent="0.35">
      <c r="A23" s="16">
        <v>45536</v>
      </c>
      <c r="B23" s="10">
        <v>10.870000000000001</v>
      </c>
      <c r="E23" s="21">
        <f t="shared" si="0"/>
        <v>45536</v>
      </c>
      <c r="F23" s="22">
        <f t="shared" si="1"/>
        <v>2024</v>
      </c>
      <c r="G23" s="22">
        <f t="shared" si="2"/>
        <v>9</v>
      </c>
      <c r="H23" s="10">
        <f t="shared" si="3"/>
        <v>10.870000000000001</v>
      </c>
    </row>
    <row r="24" spans="1:14" x14ac:dyDescent="0.35">
      <c r="A24" s="16">
        <v>45566</v>
      </c>
      <c r="B24" s="10">
        <v>14.380000000000003</v>
      </c>
      <c r="E24" s="21">
        <f t="shared" si="0"/>
        <v>45566</v>
      </c>
      <c r="F24" s="22">
        <f t="shared" si="1"/>
        <v>2024</v>
      </c>
      <c r="G24" s="22">
        <f t="shared" si="2"/>
        <v>10</v>
      </c>
      <c r="H24" s="10">
        <f t="shared" si="3"/>
        <v>14.380000000000003</v>
      </c>
    </row>
    <row r="25" spans="1:14" x14ac:dyDescent="0.35">
      <c r="A25" s="16">
        <v>45597</v>
      </c>
      <c r="B25" s="10">
        <v>12.360000000000001</v>
      </c>
      <c r="E25" s="21">
        <f t="shared" si="0"/>
        <v>45597</v>
      </c>
      <c r="F25" s="22">
        <f t="shared" si="1"/>
        <v>2024</v>
      </c>
      <c r="G25" s="22">
        <f t="shared" si="2"/>
        <v>11</v>
      </c>
      <c r="H25" s="10">
        <f t="shared" si="3"/>
        <v>12.360000000000001</v>
      </c>
    </row>
    <row r="26" spans="1:14" x14ac:dyDescent="0.35">
      <c r="A26" s="16">
        <v>45627</v>
      </c>
      <c r="B26" s="10">
        <v>11.34</v>
      </c>
      <c r="E26" s="21">
        <f t="shared" si="0"/>
        <v>45627</v>
      </c>
      <c r="F26" s="22">
        <f t="shared" si="1"/>
        <v>2024</v>
      </c>
      <c r="G26" s="22">
        <f t="shared" si="2"/>
        <v>12</v>
      </c>
      <c r="H26" s="10">
        <f t="shared" si="3"/>
        <v>11.34</v>
      </c>
      <c r="J26" s="15" t="s">
        <v>85</v>
      </c>
      <c r="K26" s="10">
        <f>MAX(0,_xlfn.PERCENTILE.INC(H21:H44,[1]SSAA!$C$7)-AVERAGE(H21:H44))</f>
        <v>4.2738333333333429</v>
      </c>
      <c r="L26" s="14" t="s">
        <v>96</v>
      </c>
    </row>
    <row r="27" spans="1:14" x14ac:dyDescent="0.35">
      <c r="A27" s="16">
        <v>45658</v>
      </c>
      <c r="B27" s="10">
        <v>11.46</v>
      </c>
      <c r="E27" s="21">
        <f t="shared" si="0"/>
        <v>45658</v>
      </c>
      <c r="F27" s="22">
        <f t="shared" si="1"/>
        <v>2025</v>
      </c>
      <c r="G27" s="22">
        <f t="shared" si="2"/>
        <v>1</v>
      </c>
      <c r="H27" s="10">
        <f t="shared" si="3"/>
        <v>11.46</v>
      </c>
      <c r="J27" t="s">
        <v>101</v>
      </c>
    </row>
    <row r="28" spans="1:14" x14ac:dyDescent="0.35">
      <c r="A28" s="16">
        <v>45689</v>
      </c>
      <c r="B28" s="10">
        <v>16.32</v>
      </c>
      <c r="E28" s="21">
        <f t="shared" si="0"/>
        <v>45689</v>
      </c>
      <c r="F28" s="22">
        <f t="shared" si="1"/>
        <v>2025</v>
      </c>
      <c r="G28" s="22">
        <f t="shared" si="2"/>
        <v>2</v>
      </c>
      <c r="H28" s="10">
        <f t="shared" si="3"/>
        <v>16.32</v>
      </c>
    </row>
    <row r="29" spans="1:14" x14ac:dyDescent="0.35">
      <c r="A29" s="16">
        <v>45717</v>
      </c>
      <c r="B29" s="10">
        <v>15.900000000000002</v>
      </c>
      <c r="E29" s="21">
        <f t="shared" si="0"/>
        <v>45717</v>
      </c>
      <c r="F29" s="22">
        <f t="shared" si="1"/>
        <v>2025</v>
      </c>
      <c r="G29" s="22">
        <f t="shared" si="2"/>
        <v>3</v>
      </c>
      <c r="H29" s="10">
        <f t="shared" si="3"/>
        <v>15.900000000000002</v>
      </c>
    </row>
    <row r="30" spans="1:14" x14ac:dyDescent="0.35">
      <c r="A30" s="16">
        <v>45748</v>
      </c>
      <c r="B30" s="10">
        <v>17.659999999999997</v>
      </c>
      <c r="E30" s="21">
        <f t="shared" si="0"/>
        <v>45748</v>
      </c>
      <c r="F30" s="22">
        <f t="shared" si="1"/>
        <v>2025</v>
      </c>
      <c r="G30" s="22">
        <f t="shared" si="2"/>
        <v>4</v>
      </c>
      <c r="H30" s="10">
        <f t="shared" si="3"/>
        <v>17.659999999999997</v>
      </c>
    </row>
    <row r="31" spans="1:14" x14ac:dyDescent="0.35">
      <c r="A31" s="16">
        <v>45778</v>
      </c>
      <c r="B31" s="10">
        <v>25.619999999999997</v>
      </c>
      <c r="E31" s="21">
        <f t="shared" si="0"/>
        <v>45778</v>
      </c>
      <c r="F31" s="22">
        <f t="shared" si="1"/>
        <v>2025</v>
      </c>
      <c r="G31" s="22">
        <f t="shared" si="2"/>
        <v>5</v>
      </c>
      <c r="H31" s="10">
        <f t="shared" si="3"/>
        <v>25.619999999999997</v>
      </c>
    </row>
    <row r="32" spans="1:14" x14ac:dyDescent="0.35">
      <c r="A32" s="16">
        <v>45809</v>
      </c>
      <c r="B32" s="10">
        <v>15.1</v>
      </c>
      <c r="E32" s="21">
        <f t="shared" si="0"/>
        <v>45809</v>
      </c>
      <c r="F32" s="22">
        <f t="shared" si="1"/>
        <v>2025</v>
      </c>
      <c r="G32" s="22">
        <f t="shared" si="2"/>
        <v>6</v>
      </c>
      <c r="H32" s="10">
        <f t="shared" si="3"/>
        <v>15.1</v>
      </c>
    </row>
    <row r="33" spans="1:8" x14ac:dyDescent="0.35">
      <c r="A33" s="16">
        <v>45839</v>
      </c>
      <c r="B33" s="10">
        <v>14.81</v>
      </c>
      <c r="E33" s="21">
        <f t="shared" si="0"/>
        <v>45839</v>
      </c>
      <c r="F33" s="22">
        <f t="shared" si="1"/>
        <v>2025</v>
      </c>
      <c r="G33" s="22">
        <f t="shared" si="2"/>
        <v>7</v>
      </c>
      <c r="H33" s="10">
        <f t="shared" si="3"/>
        <v>14.81</v>
      </c>
    </row>
    <row r="34" spans="1:8" x14ac:dyDescent="0.35">
      <c r="A34" s="16">
        <v>45870</v>
      </c>
      <c r="B34" s="10">
        <v>13.4</v>
      </c>
      <c r="E34" s="21">
        <f t="shared" si="0"/>
        <v>45870</v>
      </c>
      <c r="F34" s="22">
        <f t="shared" si="1"/>
        <v>2025</v>
      </c>
      <c r="G34" s="22">
        <f t="shared" si="2"/>
        <v>8</v>
      </c>
      <c r="H34" s="10">
        <f t="shared" si="3"/>
        <v>13.4</v>
      </c>
    </row>
    <row r="35" spans="1:8" x14ac:dyDescent="0.35">
      <c r="A35" s="16">
        <v>45901</v>
      </c>
      <c r="B35" s="10">
        <v>16.78</v>
      </c>
      <c r="E35" s="21">
        <f t="shared" si="0"/>
        <v>45901</v>
      </c>
      <c r="F35" s="22">
        <f t="shared" si="1"/>
        <v>2025</v>
      </c>
      <c r="G35" s="22">
        <f t="shared" si="2"/>
        <v>9</v>
      </c>
      <c r="H35" s="10">
        <f t="shared" si="3"/>
        <v>16.78</v>
      </c>
    </row>
    <row r="36" spans="1:8" x14ac:dyDescent="0.35">
      <c r="A36" s="16">
        <v>45931</v>
      </c>
      <c r="B36" s="10">
        <v>17.689999999999998</v>
      </c>
      <c r="E36" s="21">
        <f t="shared" si="0"/>
        <v>45931</v>
      </c>
      <c r="F36" s="22">
        <f t="shared" si="1"/>
        <v>2025</v>
      </c>
      <c r="G36" s="22">
        <f t="shared" si="2"/>
        <v>10</v>
      </c>
      <c r="H36" s="10">
        <f t="shared" si="3"/>
        <v>17.689999999999998</v>
      </c>
    </row>
    <row r="37" spans="1:8" x14ac:dyDescent="0.35">
      <c r="A37" s="16">
        <v>45962</v>
      </c>
      <c r="B37" s="10">
        <v>16.25</v>
      </c>
      <c r="E37" s="21">
        <f t="shared" si="0"/>
        <v>45962</v>
      </c>
      <c r="F37" s="22">
        <f t="shared" si="1"/>
        <v>2025</v>
      </c>
      <c r="G37" s="22">
        <f t="shared" si="2"/>
        <v>11</v>
      </c>
      <c r="H37" s="10">
        <f t="shared" si="3"/>
        <v>16.25</v>
      </c>
    </row>
    <row r="38" spans="1:8" x14ac:dyDescent="0.35">
      <c r="A38" s="16">
        <v>45992</v>
      </c>
      <c r="B38" s="10">
        <v>13.86</v>
      </c>
      <c r="E38" s="21">
        <f t="shared" si="0"/>
        <v>45992</v>
      </c>
      <c r="F38" s="22">
        <f t="shared" si="1"/>
        <v>2025</v>
      </c>
      <c r="G38" s="22">
        <f t="shared" si="2"/>
        <v>12</v>
      </c>
      <c r="H38" s="10">
        <f t="shared" si="3"/>
        <v>13.86</v>
      </c>
    </row>
    <row r="39" spans="1:8" x14ac:dyDescent="0.35">
      <c r="A39" s="16">
        <v>46023</v>
      </c>
      <c r="B39" s="10">
        <v>16.190000000000001</v>
      </c>
      <c r="E39" s="21">
        <f t="shared" si="0"/>
        <v>46023</v>
      </c>
      <c r="F39" s="22">
        <f t="shared" si="1"/>
        <v>2026</v>
      </c>
      <c r="G39" s="22">
        <f t="shared" si="2"/>
        <v>1</v>
      </c>
      <c r="H39" s="10">
        <f t="shared" si="3"/>
        <v>16.190000000000001</v>
      </c>
    </row>
    <row r="40" spans="1:8" x14ac:dyDescent="0.35">
      <c r="A40" s="16">
        <v>46054</v>
      </c>
      <c r="B40" s="10">
        <v>26.46</v>
      </c>
      <c r="E40" s="21">
        <f t="shared" si="0"/>
        <v>46054</v>
      </c>
      <c r="F40" s="22">
        <f t="shared" si="1"/>
        <v>2026</v>
      </c>
      <c r="G40" s="22">
        <f t="shared" si="2"/>
        <v>2</v>
      </c>
      <c r="H40" s="10">
        <f t="shared" si="3"/>
        <v>26.46</v>
      </c>
    </row>
    <row r="41" spans="1:8" x14ac:dyDescent="0.35">
      <c r="A41" s="16">
        <v>46082</v>
      </c>
      <c r="B41" s="10">
        <v>30.04</v>
      </c>
      <c r="E41" s="21">
        <f t="shared" si="0"/>
        <v>46082</v>
      </c>
      <c r="F41" s="22">
        <f t="shared" si="1"/>
        <v>2026</v>
      </c>
      <c r="G41" s="22">
        <f t="shared" si="2"/>
        <v>3</v>
      </c>
      <c r="H41" s="10">
        <f t="shared" si="3"/>
        <v>30.04</v>
      </c>
    </row>
    <row r="42" spans="1:8" x14ac:dyDescent="0.35">
      <c r="A42" s="16">
        <v>46113</v>
      </c>
      <c r="B42" s="10">
        <v>22.89</v>
      </c>
      <c r="E42" s="21">
        <f t="shared" ref="E42:E44" si="6">A42</f>
        <v>46113</v>
      </c>
      <c r="F42" s="22">
        <f t="shared" ref="F42:F44" si="7">YEAR(A42)</f>
        <v>2026</v>
      </c>
      <c r="G42" s="22">
        <f t="shared" ref="G42:G44" si="8">MONTH(A42)</f>
        <v>4</v>
      </c>
      <c r="H42" s="10">
        <f t="shared" si="3"/>
        <v>22.89</v>
      </c>
    </row>
    <row r="43" spans="1:8" x14ac:dyDescent="0.35">
      <c r="A43" s="16">
        <v>46143</v>
      </c>
      <c r="B43" s="10">
        <v>23.08</v>
      </c>
      <c r="E43" s="21">
        <f t="shared" si="6"/>
        <v>46143</v>
      </c>
      <c r="F43" s="22">
        <f t="shared" si="7"/>
        <v>2026</v>
      </c>
      <c r="G43" s="22">
        <f t="shared" si="8"/>
        <v>5</v>
      </c>
      <c r="H43" s="10">
        <f t="shared" si="3"/>
        <v>23.08</v>
      </c>
    </row>
    <row r="44" spans="1:8" x14ac:dyDescent="0.35">
      <c r="A44" s="16">
        <v>46174</v>
      </c>
      <c r="B44" s="10">
        <v>19.57</v>
      </c>
      <c r="E44" s="21">
        <f t="shared" si="6"/>
        <v>46174</v>
      </c>
      <c r="F44" s="22">
        <f t="shared" si="7"/>
        <v>2026</v>
      </c>
      <c r="G44" s="22">
        <f t="shared" si="8"/>
        <v>6</v>
      </c>
      <c r="H44" s="10">
        <f t="shared" si="3"/>
        <v>19.57</v>
      </c>
    </row>
    <row r="45" spans="1:8" x14ac:dyDescent="0.35">
      <c r="E45" s="26"/>
      <c r="F45" s="27"/>
      <c r="G45" s="27"/>
      <c r="H45" s="18"/>
    </row>
    <row r="46" spans="1:8" x14ac:dyDescent="0.35">
      <c r="E46" s="26"/>
      <c r="F46" s="27"/>
      <c r="G46" s="27"/>
      <c r="H46" s="18"/>
    </row>
    <row r="48" spans="1:8" x14ac:dyDescent="0.35">
      <c r="E48" s="28" t="s">
        <v>65</v>
      </c>
      <c r="F48" s="28"/>
      <c r="G48" s="28"/>
      <c r="H48" s="28"/>
    </row>
    <row r="49" spans="5:8" x14ac:dyDescent="0.35">
      <c r="E49" s="3">
        <v>2023</v>
      </c>
      <c r="F49" s="3">
        <v>2024</v>
      </c>
      <c r="G49" s="3">
        <v>2025</v>
      </c>
      <c r="H49" s="3">
        <v>2026</v>
      </c>
    </row>
    <row r="50" spans="5:8" x14ac:dyDescent="0.35">
      <c r="E50" s="4">
        <f>AVERAGE(H3:H14)</f>
        <v>10.199999999999999</v>
      </c>
      <c r="F50" s="4">
        <f>AVERAGE(H15:H26)</f>
        <v>11.622500000000002</v>
      </c>
      <c r="G50" s="4">
        <f>AVERAGE(H27:H38)</f>
        <v>16.237500000000001</v>
      </c>
      <c r="H50" s="4">
        <f>AVERAGE(H39:H41)</f>
        <v>24.23</v>
      </c>
    </row>
    <row r="53" spans="5:8" x14ac:dyDescent="0.35">
      <c r="F53">
        <f>F50-E50</f>
        <v>1.422500000000003</v>
      </c>
      <c r="G53">
        <f>G50-F50</f>
        <v>4.6149999999999984</v>
      </c>
      <c r="H53" s="14">
        <f>H50-AVERAGE(H27:H29)</f>
        <v>9.6699999999999982</v>
      </c>
    </row>
    <row r="55" spans="5:8" x14ac:dyDescent="0.35">
      <c r="F55" s="2">
        <f>F53/E50</f>
        <v>0.1394607843137258</v>
      </c>
      <c r="G55" s="2">
        <f>G53/F50</f>
        <v>0.39707463970746376</v>
      </c>
      <c r="H55" s="24">
        <f>H53/G50</f>
        <v>0.59553502694380278</v>
      </c>
    </row>
  </sheetData>
  <mergeCells count="2">
    <mergeCell ref="E48:H48"/>
    <mergeCell ref="J9:K9"/>
  </mergeCells>
  <conditionalFormatting sqref="M10:M21">
    <cfRule type="colorScale" priority="1">
      <colorScale>
        <cfvo type="min"/>
        <cfvo type="percentile" val="50"/>
        <cfvo type="max"/>
        <color rgb="FF33CC33"/>
        <color rgb="FFFFEB84"/>
        <color rgb="FFCC3300"/>
      </colorScale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FAF2-3112-4A33-B126-A3E4A272A39B}">
  <dimension ref="B2:L17"/>
  <sheetViews>
    <sheetView tabSelected="1" zoomScale="95" workbookViewId="0">
      <selection activeCell="K4" sqref="K4"/>
    </sheetView>
  </sheetViews>
  <sheetFormatPr baseColWidth="10" defaultRowHeight="15.5" x14ac:dyDescent="0.35"/>
  <cols>
    <col min="5" max="5" width="24.33203125" bestFit="1" customWidth="1"/>
    <col min="6" max="6" width="17.5" bestFit="1" customWidth="1"/>
    <col min="7" max="7" width="22.1640625" bestFit="1" customWidth="1"/>
    <col min="8" max="8" width="20.75" bestFit="1" customWidth="1"/>
  </cols>
  <sheetData>
    <row r="2" spans="2:12" x14ac:dyDescent="0.35">
      <c r="B2" s="19" t="s">
        <v>61</v>
      </c>
      <c r="C2" s="19" t="s">
        <v>62</v>
      </c>
      <c r="D2" s="19" t="s">
        <v>63</v>
      </c>
      <c r="E2" s="19" t="s">
        <v>98</v>
      </c>
      <c r="F2" s="19" t="s">
        <v>82</v>
      </c>
      <c r="G2" s="19" t="s">
        <v>83</v>
      </c>
      <c r="H2" s="19" t="s">
        <v>97</v>
      </c>
      <c r="J2" s="17" t="s">
        <v>84</v>
      </c>
      <c r="K2" s="25">
        <f>IF(OR([1]SSAA!$C$2="",[1]SSAA!$C$3=""),"",IFERROR(AVERAGEIFS($J$3:$J$17,$B$3:$B$17,"&gt;="&amp;DATE(YEAR([1]SSAA!$C$2),MONTH([1]SSAA!$C$2),1),$B$3:$B$17,"&lt;="&amp;EOMONTH([1]SSAA!$C$3,0)),""))</f>
        <v>22.297065683472379</v>
      </c>
      <c r="L2" t="s">
        <v>90</v>
      </c>
    </row>
    <row r="3" spans="2:12" x14ac:dyDescent="0.35">
      <c r="B3" s="20">
        <v>46113</v>
      </c>
      <c r="C3" s="23">
        <f>YEAR(B3)</f>
        <v>2026</v>
      </c>
      <c r="D3" s="23">
        <f>MONTH(B3)</f>
        <v>4</v>
      </c>
      <c r="E3" s="10">
        <f>VLOOKUP(D3,'ESTUDIO SSAA'!K10:L21,2,FALSE)</f>
        <v>1.2061013530548785</v>
      </c>
      <c r="F3" s="10">
        <v>18.463416666666664</v>
      </c>
      <c r="G3" s="10">
        <f>F3*E3</f>
        <v>22.26875182368266</v>
      </c>
      <c r="H3" s="10">
        <f>'ESTUDIO SSAA'!$K$26</f>
        <v>4.2738333333333429</v>
      </c>
      <c r="J3" s="14">
        <f>G3+H3</f>
        <v>26.542585157016003</v>
      </c>
    </row>
    <row r="4" spans="2:12" x14ac:dyDescent="0.35">
      <c r="B4" s="20">
        <v>46143</v>
      </c>
      <c r="C4" s="23">
        <f t="shared" ref="C4:C14" si="0">YEAR(B4)</f>
        <v>2026</v>
      </c>
      <c r="D4" s="23">
        <f t="shared" ref="D4:D14" si="1">MONTH(B4)</f>
        <v>5</v>
      </c>
      <c r="E4" s="10">
        <f>VLOOKUP(D4,'ESTUDIO SSAA'!K11:L22,2,FALSE)</f>
        <v>1.2204151791617084</v>
      </c>
      <c r="F4" s="10">
        <v>18.463416666666664</v>
      </c>
      <c r="G4" s="10">
        <f t="shared" ref="G4:G14" si="2">F4*E4</f>
        <v>22.533033959187268</v>
      </c>
      <c r="H4" s="10">
        <f>'ESTUDIO SSAA'!$K$26</f>
        <v>4.2738333333333429</v>
      </c>
      <c r="J4" s="14">
        <f t="shared" ref="J4:J17" si="3">G4+H4</f>
        <v>26.806867292520611</v>
      </c>
    </row>
    <row r="5" spans="2:12" x14ac:dyDescent="0.35">
      <c r="B5" s="20">
        <v>46174</v>
      </c>
      <c r="C5" s="23">
        <f t="shared" si="0"/>
        <v>2026</v>
      </c>
      <c r="D5" s="23">
        <f t="shared" si="1"/>
        <v>6</v>
      </c>
      <c r="E5" s="10">
        <f>VLOOKUP(D5,'ESTUDIO SSAA'!K12:L23,2,FALSE)</f>
        <v>0.95849231027817461</v>
      </c>
      <c r="F5" s="10">
        <v>18.463416666666664</v>
      </c>
      <c r="G5" s="10">
        <f t="shared" si="2"/>
        <v>17.697042896461884</v>
      </c>
      <c r="H5" s="10">
        <f>'ESTUDIO SSAA'!$K$26</f>
        <v>4.2738333333333429</v>
      </c>
      <c r="J5" s="14">
        <f t="shared" si="3"/>
        <v>21.970876229795227</v>
      </c>
    </row>
    <row r="6" spans="2:12" x14ac:dyDescent="0.35">
      <c r="B6" s="20">
        <v>46204</v>
      </c>
      <c r="C6" s="23">
        <f t="shared" si="0"/>
        <v>2026</v>
      </c>
      <c r="D6" s="23">
        <f t="shared" si="1"/>
        <v>7</v>
      </c>
      <c r="E6" s="10">
        <f>VLOOKUP(D6,'ESTUDIO SSAA'!K13:L24,2,FALSE)</f>
        <v>0.71558954533994446</v>
      </c>
      <c r="F6" s="10">
        <v>18.463416666666664</v>
      </c>
      <c r="G6" s="10">
        <f t="shared" si="2"/>
        <v>13.21222793792195</v>
      </c>
      <c r="H6" s="10">
        <f>'ESTUDIO SSAA'!$K$26</f>
        <v>4.2738333333333429</v>
      </c>
      <c r="J6" s="14">
        <f t="shared" si="3"/>
        <v>17.486061271255295</v>
      </c>
    </row>
    <row r="7" spans="2:12" x14ac:dyDescent="0.35">
      <c r="B7" s="20">
        <v>46235</v>
      </c>
      <c r="C7" s="23">
        <f t="shared" si="0"/>
        <v>2026</v>
      </c>
      <c r="D7" s="23">
        <f t="shared" si="1"/>
        <v>8</v>
      </c>
      <c r="E7" s="10">
        <f>VLOOKUP(D7,'ESTUDIO SSAA'!K14:L25,2,FALSE)</f>
        <v>0.70029414236490461</v>
      </c>
      <c r="F7" s="10">
        <v>18.463416666666664</v>
      </c>
      <c r="G7" s="10">
        <f t="shared" si="2"/>
        <v>12.929822539709217</v>
      </c>
      <c r="H7" s="10">
        <f>'ESTUDIO SSAA'!$K$26</f>
        <v>4.2738333333333429</v>
      </c>
      <c r="J7" s="14">
        <f t="shared" si="3"/>
        <v>17.20365587304256</v>
      </c>
    </row>
    <row r="8" spans="2:12" x14ac:dyDescent="0.35">
      <c r="B8" s="20">
        <v>46266</v>
      </c>
      <c r="C8" s="23">
        <f t="shared" si="0"/>
        <v>2026</v>
      </c>
      <c r="D8" s="23">
        <f t="shared" si="1"/>
        <v>9</v>
      </c>
      <c r="E8" s="10">
        <f>VLOOKUP(D8,'ESTUDIO SSAA'!K15:L26,2,FALSE)</f>
        <v>0.84595344146566942</v>
      </c>
      <c r="F8" s="10">
        <v>18.463416666666664</v>
      </c>
      <c r="G8" s="10">
        <f t="shared" si="2"/>
        <v>15.619190870381262</v>
      </c>
      <c r="H8" s="10">
        <f>'ESTUDIO SSAA'!$K$26</f>
        <v>4.2738333333333429</v>
      </c>
      <c r="J8" s="14">
        <f t="shared" si="3"/>
        <v>19.893024203714603</v>
      </c>
    </row>
    <row r="9" spans="2:12" x14ac:dyDescent="0.35">
      <c r="B9" s="20">
        <v>46296</v>
      </c>
      <c r="C9" s="23">
        <f t="shared" si="0"/>
        <v>2026</v>
      </c>
      <c r="D9" s="23">
        <f t="shared" si="1"/>
        <v>10</v>
      </c>
      <c r="E9" s="10">
        <f>VLOOKUP(D9,'ESTUDIO SSAA'!K16:L27,2,FALSE)</f>
        <v>1.0742079166316496</v>
      </c>
      <c r="F9" s="10">
        <v>18.463416666666664</v>
      </c>
      <c r="G9" s="10">
        <f t="shared" si="2"/>
        <v>19.833548351402072</v>
      </c>
      <c r="H9" s="10">
        <f>'ESTUDIO SSAA'!$K$26</f>
        <v>4.2738333333333429</v>
      </c>
      <c r="J9" s="14">
        <f t="shared" si="3"/>
        <v>24.107381684735415</v>
      </c>
    </row>
    <row r="10" spans="2:12" x14ac:dyDescent="0.35">
      <c r="B10" s="20">
        <v>46327</v>
      </c>
      <c r="C10" s="23">
        <f t="shared" si="0"/>
        <v>2026</v>
      </c>
      <c r="D10" s="23">
        <f t="shared" si="1"/>
        <v>11</v>
      </c>
      <c r="E10" s="10">
        <f>VLOOKUP(D10,'ESTUDIO SSAA'!K17:L28,2,FALSE)</f>
        <v>1.0064375157576266</v>
      </c>
      <c r="F10" s="10">
        <v>18.463416666666664</v>
      </c>
      <c r="G10" s="10">
        <f t="shared" si="2"/>
        <v>18.582275202397955</v>
      </c>
      <c r="H10" s="10">
        <f>'ESTUDIO SSAA'!$K$26</f>
        <v>4.2738333333333429</v>
      </c>
      <c r="J10" s="14">
        <f t="shared" si="3"/>
        <v>22.856108535731298</v>
      </c>
    </row>
    <row r="11" spans="2:12" x14ac:dyDescent="0.35">
      <c r="B11" s="20">
        <v>46357</v>
      </c>
      <c r="C11" s="23">
        <f t="shared" si="0"/>
        <v>2026</v>
      </c>
      <c r="D11" s="23">
        <f t="shared" si="1"/>
        <v>12</v>
      </c>
      <c r="E11" s="10">
        <f>VLOOKUP(D11,'ESTUDIO SSAA'!K18:L29,2,FALSE)</f>
        <v>0.84595344146566942</v>
      </c>
      <c r="F11" s="10">
        <v>18.463416666666664</v>
      </c>
      <c r="G11" s="10">
        <f t="shared" si="2"/>
        <v>15.619190870381262</v>
      </c>
      <c r="H11" s="10">
        <f>'ESTUDIO SSAA'!$K$26</f>
        <v>4.2738333333333429</v>
      </c>
      <c r="J11" s="14">
        <f t="shared" si="3"/>
        <v>19.893024203714603</v>
      </c>
    </row>
    <row r="12" spans="2:12" x14ac:dyDescent="0.35">
      <c r="B12" s="20">
        <v>46388</v>
      </c>
      <c r="C12" s="23">
        <f t="shared" si="0"/>
        <v>2027</v>
      </c>
      <c r="D12" s="23">
        <f t="shared" si="1"/>
        <v>1</v>
      </c>
      <c r="E12" s="10">
        <f>VLOOKUP(D12,'ESTUDIO SSAA'!K10:L21,2,FALSE)</f>
        <v>0.87519119253718802</v>
      </c>
      <c r="F12" s="10">
        <v>18.463416666666664</v>
      </c>
      <c r="G12" s="10">
        <f t="shared" si="2"/>
        <v>16.15901965081099</v>
      </c>
      <c r="H12" s="10">
        <f>'ESTUDIO SSAA'!$K$26</f>
        <v>4.2738333333333429</v>
      </c>
      <c r="J12" s="14">
        <f t="shared" si="3"/>
        <v>20.432852984144333</v>
      </c>
    </row>
    <row r="13" spans="2:12" x14ac:dyDescent="0.35">
      <c r="B13" s="20">
        <v>46419</v>
      </c>
      <c r="C13" s="23">
        <f t="shared" si="0"/>
        <v>2027</v>
      </c>
      <c r="D13" s="23">
        <f t="shared" si="1"/>
        <v>2</v>
      </c>
      <c r="E13" s="10">
        <f>VLOOKUP(D13,'ESTUDIO SSAA'!K11:L22,2,FALSE)</f>
        <v>1.059190165061898</v>
      </c>
      <c r="F13" s="10">
        <v>18.463416666666664</v>
      </c>
      <c r="G13" s="10">
        <f t="shared" si="2"/>
        <v>19.556269346773263</v>
      </c>
      <c r="H13" s="10">
        <f>'ESTUDIO SSAA'!$K$26</f>
        <v>4.2738333333333429</v>
      </c>
      <c r="J13" s="14">
        <f t="shared" si="3"/>
        <v>23.830102680106606</v>
      </c>
    </row>
    <row r="14" spans="2:12" x14ac:dyDescent="0.35">
      <c r="B14" s="20">
        <v>46447</v>
      </c>
      <c r="C14" s="23">
        <f t="shared" si="0"/>
        <v>2027</v>
      </c>
      <c r="D14" s="23">
        <f t="shared" si="1"/>
        <v>3</v>
      </c>
      <c r="E14" s="10">
        <f>VLOOKUP(D14,'ESTUDIO SSAA'!K12:L23,2,FALSE)</f>
        <v>1.2237498949491554</v>
      </c>
      <c r="F14" s="10">
        <v>18.463416666666664</v>
      </c>
      <c r="G14" s="10">
        <f t="shared" si="2"/>
        <v>22.594604206235815</v>
      </c>
      <c r="H14" s="10">
        <f>'ESTUDIO SSAA'!$K$26</f>
        <v>4.2738333333333429</v>
      </c>
      <c r="J14" s="14">
        <f t="shared" si="3"/>
        <v>26.868437539569157</v>
      </c>
    </row>
    <row r="15" spans="2:12" x14ac:dyDescent="0.35">
      <c r="B15" s="20">
        <v>46478</v>
      </c>
      <c r="C15" s="23">
        <f t="shared" ref="C15:C17" si="4">YEAR(B15)</f>
        <v>2027</v>
      </c>
      <c r="D15" s="23">
        <f t="shared" ref="D15:D17" si="5">MONTH(B15)</f>
        <v>4</v>
      </c>
      <c r="E15" s="10">
        <f>VLOOKUP(D15,'ESTUDIO SSAA'!K13:L24,2,FALSE)</f>
        <v>1.2061013530548785</v>
      </c>
      <c r="F15" s="10">
        <v>18.463416666666664</v>
      </c>
      <c r="G15" s="10">
        <f t="shared" ref="G15:G17" si="6">F15*E15</f>
        <v>22.26875182368266</v>
      </c>
      <c r="H15" s="10">
        <f>'ESTUDIO SSAA'!$K$26</f>
        <v>4.2738333333333429</v>
      </c>
      <c r="J15" s="14">
        <f>G15+H15</f>
        <v>26.542585157016003</v>
      </c>
    </row>
    <row r="16" spans="2:12" x14ac:dyDescent="0.35">
      <c r="B16" s="20">
        <v>46508</v>
      </c>
      <c r="C16" s="23">
        <f t="shared" si="4"/>
        <v>2027</v>
      </c>
      <c r="D16" s="23">
        <f t="shared" si="5"/>
        <v>5</v>
      </c>
      <c r="E16" s="10">
        <f>VLOOKUP(D16,'ESTUDIO SSAA'!K14:L25,2,FALSE)</f>
        <v>1.2204151791617084</v>
      </c>
      <c r="F16" s="10">
        <v>18.463416666666664</v>
      </c>
      <c r="G16" s="10">
        <f t="shared" si="6"/>
        <v>22.533033959187268</v>
      </c>
      <c r="H16" s="10">
        <f>'ESTUDIO SSAA'!$K$26</f>
        <v>4.2738333333333429</v>
      </c>
      <c r="J16" s="14">
        <f t="shared" si="3"/>
        <v>26.806867292520611</v>
      </c>
    </row>
    <row r="17" spans="2:10" x14ac:dyDescent="0.35">
      <c r="B17" s="20">
        <v>46539</v>
      </c>
      <c r="C17" s="23">
        <f t="shared" si="4"/>
        <v>2027</v>
      </c>
      <c r="D17" s="23">
        <f t="shared" si="5"/>
        <v>6</v>
      </c>
      <c r="E17" s="10">
        <f>VLOOKUP(D17,'ESTUDIO SSAA'!K15:L26,2,FALSE)</f>
        <v>0.95849231027817461</v>
      </c>
      <c r="F17" s="10">
        <v>18.463416666666664</v>
      </c>
      <c r="G17" s="10">
        <f t="shared" si="6"/>
        <v>17.697042896461884</v>
      </c>
      <c r="H17" s="10">
        <f>'ESTUDIO SSAA'!$K$26</f>
        <v>4.2738333333333429</v>
      </c>
      <c r="J17" s="14">
        <f t="shared" si="3"/>
        <v>21.970876229795227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87BF-5A50-42D9-9A29-8F6DD9139B4D}">
  <dimension ref="A1:G28"/>
  <sheetViews>
    <sheetView workbookViewId="0">
      <selection activeCell="E21" sqref="E21"/>
    </sheetView>
  </sheetViews>
  <sheetFormatPr baseColWidth="10" defaultRowHeight="15.5" x14ac:dyDescent="0.35"/>
  <sheetData>
    <row r="1" spans="1:7" x14ac:dyDescent="0.35">
      <c r="A1" s="17" t="s">
        <v>53</v>
      </c>
      <c r="B1" s="19" t="s">
        <v>96</v>
      </c>
    </row>
    <row r="2" spans="1:7" x14ac:dyDescent="0.35">
      <c r="A2" s="16">
        <v>45292</v>
      </c>
      <c r="B2" s="10">
        <v>8.59</v>
      </c>
      <c r="C2" s="4">
        <v>11.622500000000002</v>
      </c>
      <c r="D2" s="28" t="s">
        <v>65</v>
      </c>
      <c r="E2" s="28"/>
      <c r="F2" s="28"/>
      <c r="G2" s="28"/>
    </row>
    <row r="3" spans="1:7" x14ac:dyDescent="0.35">
      <c r="A3" s="16">
        <v>45323</v>
      </c>
      <c r="B3" s="10">
        <v>9.4699999999999989</v>
      </c>
      <c r="C3" s="4">
        <v>11.622500000000002</v>
      </c>
      <c r="D3" s="3">
        <v>2023</v>
      </c>
      <c r="E3" s="3">
        <v>2024</v>
      </c>
      <c r="F3" s="3">
        <v>2025</v>
      </c>
      <c r="G3" s="3">
        <v>2026</v>
      </c>
    </row>
    <row r="4" spans="1:7" x14ac:dyDescent="0.35">
      <c r="A4" s="16">
        <v>45352</v>
      </c>
      <c r="B4" s="10">
        <v>12.69</v>
      </c>
      <c r="C4" s="4">
        <v>11.622500000000002</v>
      </c>
      <c r="D4" s="4">
        <v>10.199999999999999</v>
      </c>
      <c r="E4" s="4">
        <v>11.622500000000002</v>
      </c>
      <c r="F4" s="4">
        <v>16.237500000000001</v>
      </c>
      <c r="G4" s="4">
        <v>24.23</v>
      </c>
    </row>
    <row r="5" spans="1:7" x14ac:dyDescent="0.35">
      <c r="A5" s="16">
        <v>45383</v>
      </c>
      <c r="B5" s="10">
        <v>17.119999999999997</v>
      </c>
      <c r="C5" s="4">
        <v>11.622500000000002</v>
      </c>
    </row>
    <row r="6" spans="1:7" x14ac:dyDescent="0.35">
      <c r="A6" s="16">
        <v>45413</v>
      </c>
      <c r="B6" s="10">
        <v>14.22</v>
      </c>
      <c r="C6" s="4">
        <v>11.622500000000002</v>
      </c>
    </row>
    <row r="7" spans="1:7" x14ac:dyDescent="0.35">
      <c r="A7" s="16">
        <v>45444</v>
      </c>
      <c r="B7" s="10">
        <v>11.48</v>
      </c>
      <c r="C7" s="4">
        <v>11.622500000000002</v>
      </c>
    </row>
    <row r="8" spans="1:7" x14ac:dyDescent="0.35">
      <c r="A8" s="16">
        <v>45474</v>
      </c>
      <c r="B8" s="10">
        <v>8.2000000000000011</v>
      </c>
      <c r="C8" s="4">
        <v>11.622500000000002</v>
      </c>
    </row>
    <row r="9" spans="1:7" x14ac:dyDescent="0.35">
      <c r="A9" s="16">
        <v>45505</v>
      </c>
      <c r="B9" s="10">
        <v>8.7499999999999982</v>
      </c>
      <c r="C9" s="4">
        <v>11.622500000000002</v>
      </c>
    </row>
    <row r="10" spans="1:7" x14ac:dyDescent="0.35">
      <c r="A10" s="16">
        <v>45536</v>
      </c>
      <c r="B10" s="10">
        <v>10.870000000000001</v>
      </c>
      <c r="C10" s="4">
        <v>11.622500000000002</v>
      </c>
    </row>
    <row r="11" spans="1:7" x14ac:dyDescent="0.35">
      <c r="A11" s="16">
        <v>45566</v>
      </c>
      <c r="B11" s="10">
        <v>14.380000000000003</v>
      </c>
      <c r="C11" s="4">
        <v>11.622500000000002</v>
      </c>
    </row>
    <row r="12" spans="1:7" x14ac:dyDescent="0.35">
      <c r="A12" s="16">
        <v>45597</v>
      </c>
      <c r="B12" s="10">
        <v>12.360000000000001</v>
      </c>
      <c r="C12" s="4">
        <v>11.622500000000002</v>
      </c>
    </row>
    <row r="13" spans="1:7" x14ac:dyDescent="0.35">
      <c r="A13" s="16">
        <v>45627</v>
      </c>
      <c r="B13" s="10">
        <v>11.34</v>
      </c>
      <c r="C13" s="4">
        <v>11.622500000000002</v>
      </c>
    </row>
    <row r="14" spans="1:7" x14ac:dyDescent="0.35">
      <c r="A14" s="16">
        <v>45658</v>
      </c>
      <c r="B14" s="10">
        <v>11.46</v>
      </c>
      <c r="C14" s="4">
        <v>16.237500000000001</v>
      </c>
    </row>
    <row r="15" spans="1:7" x14ac:dyDescent="0.35">
      <c r="A15" s="16">
        <v>45689</v>
      </c>
      <c r="B15" s="10">
        <v>16.32</v>
      </c>
      <c r="C15" s="4">
        <v>16.237500000000001</v>
      </c>
    </row>
    <row r="16" spans="1:7" x14ac:dyDescent="0.35">
      <c r="A16" s="16">
        <v>45717</v>
      </c>
      <c r="B16" s="10">
        <v>15.900000000000002</v>
      </c>
      <c r="C16" s="4">
        <v>16.237500000000001</v>
      </c>
    </row>
    <row r="17" spans="1:3" x14ac:dyDescent="0.35">
      <c r="A17" s="16">
        <v>45748</v>
      </c>
      <c r="B17" s="10">
        <v>17.659999999999997</v>
      </c>
      <c r="C17" s="4">
        <v>16.237500000000001</v>
      </c>
    </row>
    <row r="18" spans="1:3" x14ac:dyDescent="0.35">
      <c r="A18" s="16">
        <v>45778</v>
      </c>
      <c r="B18" s="10">
        <v>25.619999999999997</v>
      </c>
      <c r="C18" s="4">
        <v>16.237500000000001</v>
      </c>
    </row>
    <row r="19" spans="1:3" x14ac:dyDescent="0.35">
      <c r="A19" s="16">
        <v>45809</v>
      </c>
      <c r="B19" s="10">
        <v>15.1</v>
      </c>
      <c r="C19" s="4">
        <v>16.237500000000001</v>
      </c>
    </row>
    <row r="20" spans="1:3" x14ac:dyDescent="0.35">
      <c r="A20" s="16">
        <v>45839</v>
      </c>
      <c r="B20" s="10">
        <v>14.81</v>
      </c>
      <c r="C20" s="4">
        <v>16.237500000000001</v>
      </c>
    </row>
    <row r="21" spans="1:3" x14ac:dyDescent="0.35">
      <c r="A21" s="16">
        <v>45870</v>
      </c>
      <c r="B21" s="10">
        <v>13.4</v>
      </c>
      <c r="C21" s="4">
        <v>16.237500000000001</v>
      </c>
    </row>
    <row r="22" spans="1:3" x14ac:dyDescent="0.35">
      <c r="A22" s="16">
        <v>45901</v>
      </c>
      <c r="B22" s="10">
        <v>16.78</v>
      </c>
      <c r="C22" s="4">
        <v>16.237500000000001</v>
      </c>
    </row>
    <row r="23" spans="1:3" x14ac:dyDescent="0.35">
      <c r="A23" s="16">
        <v>45931</v>
      </c>
      <c r="B23" s="10">
        <v>17.689999999999998</v>
      </c>
      <c r="C23" s="4">
        <v>16.237500000000001</v>
      </c>
    </row>
    <row r="24" spans="1:3" x14ac:dyDescent="0.35">
      <c r="A24" s="16">
        <v>45962</v>
      </c>
      <c r="B24" s="10">
        <v>16.25</v>
      </c>
      <c r="C24" s="4">
        <v>16.237500000000001</v>
      </c>
    </row>
    <row r="25" spans="1:3" x14ac:dyDescent="0.35">
      <c r="A25" s="16">
        <v>45992</v>
      </c>
      <c r="B25" s="10">
        <v>13.86</v>
      </c>
      <c r="C25" s="4">
        <v>16.237500000000001</v>
      </c>
    </row>
    <row r="26" spans="1:3" x14ac:dyDescent="0.35">
      <c r="A26" s="16">
        <v>46023</v>
      </c>
      <c r="B26" s="10">
        <v>16.190000000000001</v>
      </c>
      <c r="C26" s="4">
        <v>24.23</v>
      </c>
    </row>
    <row r="27" spans="1:3" x14ac:dyDescent="0.35">
      <c r="A27" s="16">
        <v>46054</v>
      </c>
      <c r="B27" s="10">
        <v>26.46</v>
      </c>
      <c r="C27" s="4">
        <v>24.23</v>
      </c>
    </row>
    <row r="28" spans="1:3" x14ac:dyDescent="0.35">
      <c r="A28" s="16">
        <v>46082</v>
      </c>
      <c r="B28" s="10">
        <v>30.04</v>
      </c>
      <c r="C28" s="4">
        <v>24.23</v>
      </c>
    </row>
  </sheetData>
  <mergeCells count="1">
    <mergeCell ref="D2:G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B962-7A89-4A4B-A653-D3AEC6A08100}">
  <dimension ref="A3:F17"/>
  <sheetViews>
    <sheetView zoomScale="74" workbookViewId="0">
      <selection activeCell="A17" sqref="A17"/>
    </sheetView>
  </sheetViews>
  <sheetFormatPr baseColWidth="10" defaultRowHeight="15.5" x14ac:dyDescent="0.35"/>
  <cols>
    <col min="1" max="1" width="24.6640625" bestFit="1" customWidth="1"/>
    <col min="2" max="2" width="20.75" bestFit="1" customWidth="1"/>
    <col min="3" max="4" width="7.75" bestFit="1" customWidth="1"/>
    <col min="5" max="5" width="5.75" bestFit="1" customWidth="1"/>
    <col min="6" max="6" width="11.75" bestFit="1" customWidth="1"/>
    <col min="7" max="7" width="5.75" bestFit="1" customWidth="1"/>
    <col min="8" max="8" width="11.75" bestFit="1" customWidth="1"/>
    <col min="9" max="9" width="4.75" bestFit="1" customWidth="1"/>
    <col min="10" max="14" width="11.75" bestFit="1" customWidth="1"/>
  </cols>
  <sheetData>
    <row r="3" spans="1:6" x14ac:dyDescent="0.35">
      <c r="A3" s="5" t="s">
        <v>88</v>
      </c>
      <c r="B3" s="5" t="s">
        <v>86</v>
      </c>
    </row>
    <row r="4" spans="1:6" x14ac:dyDescent="0.35">
      <c r="A4" s="5" t="s">
        <v>89</v>
      </c>
      <c r="B4">
        <v>2023</v>
      </c>
      <c r="C4">
        <v>2024</v>
      </c>
      <c r="D4">
        <v>2025</v>
      </c>
      <c r="E4">
        <v>2026</v>
      </c>
      <c r="F4" t="s">
        <v>87</v>
      </c>
    </row>
    <row r="5" spans="1:6" x14ac:dyDescent="0.35">
      <c r="A5" s="6">
        <v>1</v>
      </c>
      <c r="B5" s="44">
        <v>13.35</v>
      </c>
      <c r="C5" s="44">
        <v>8.59</v>
      </c>
      <c r="D5" s="44">
        <v>11.46</v>
      </c>
      <c r="E5" s="44">
        <v>16.190000000000001</v>
      </c>
      <c r="F5" s="44">
        <v>12.397500000000001</v>
      </c>
    </row>
    <row r="6" spans="1:6" x14ac:dyDescent="0.35">
      <c r="A6" s="6">
        <v>2</v>
      </c>
      <c r="B6" s="44">
        <v>7.85</v>
      </c>
      <c r="C6" s="44">
        <v>9.4699999999999989</v>
      </c>
      <c r="D6" s="44">
        <v>16.32</v>
      </c>
      <c r="E6" s="44">
        <v>26.46</v>
      </c>
      <c r="F6" s="44">
        <v>15.025</v>
      </c>
    </row>
    <row r="7" spans="1:6" x14ac:dyDescent="0.35">
      <c r="A7" s="6">
        <v>3</v>
      </c>
      <c r="B7" s="44">
        <v>10.71</v>
      </c>
      <c r="C7" s="44">
        <v>12.69</v>
      </c>
      <c r="D7" s="44">
        <v>15.900000000000002</v>
      </c>
      <c r="E7" s="44">
        <v>30.04</v>
      </c>
      <c r="F7" s="44">
        <v>17.335000000000001</v>
      </c>
    </row>
    <row r="8" spans="1:6" x14ac:dyDescent="0.35">
      <c r="A8" s="6">
        <v>4</v>
      </c>
      <c r="B8" s="44">
        <v>10.67</v>
      </c>
      <c r="C8" s="44">
        <v>17.119999999999997</v>
      </c>
      <c r="D8" s="44">
        <v>17.659999999999997</v>
      </c>
      <c r="E8" s="44"/>
      <c r="F8" s="44">
        <v>15.149999999999999</v>
      </c>
    </row>
    <row r="9" spans="1:6" x14ac:dyDescent="0.35">
      <c r="A9" s="6">
        <v>5</v>
      </c>
      <c r="B9" s="44">
        <v>9.860000000000003</v>
      </c>
      <c r="C9" s="44">
        <v>14.22</v>
      </c>
      <c r="D9" s="44">
        <v>25.619999999999997</v>
      </c>
      <c r="E9" s="44"/>
      <c r="F9" s="44">
        <v>16.566666666666666</v>
      </c>
    </row>
    <row r="10" spans="1:6" x14ac:dyDescent="0.35">
      <c r="A10" s="6">
        <v>6</v>
      </c>
      <c r="B10" s="44">
        <v>8.1599999999999984</v>
      </c>
      <c r="C10" s="44">
        <v>11.48</v>
      </c>
      <c r="D10" s="44">
        <v>15.1</v>
      </c>
      <c r="E10" s="44"/>
      <c r="F10" s="44">
        <v>11.58</v>
      </c>
    </row>
    <row r="11" spans="1:6" x14ac:dyDescent="0.35">
      <c r="A11" s="6">
        <v>7</v>
      </c>
      <c r="B11" s="44">
        <v>7.3999999999999986</v>
      </c>
      <c r="C11" s="44">
        <v>8.2000000000000011</v>
      </c>
      <c r="D11" s="44">
        <v>14.81</v>
      </c>
      <c r="E11" s="44"/>
      <c r="F11" s="44">
        <v>10.136666666666667</v>
      </c>
    </row>
    <row r="12" spans="1:6" x14ac:dyDescent="0.35">
      <c r="A12" s="6">
        <v>8</v>
      </c>
      <c r="B12" s="44">
        <v>7.6099999999999994</v>
      </c>
      <c r="C12" s="44">
        <v>8.7499999999999982</v>
      </c>
      <c r="D12" s="44">
        <v>13.4</v>
      </c>
      <c r="E12" s="44"/>
      <c r="F12" s="44">
        <v>9.92</v>
      </c>
    </row>
    <row r="13" spans="1:6" x14ac:dyDescent="0.35">
      <c r="A13" s="6">
        <v>9</v>
      </c>
      <c r="B13" s="44">
        <v>8.2999999999999989</v>
      </c>
      <c r="C13" s="44">
        <v>10.870000000000001</v>
      </c>
      <c r="D13" s="44">
        <v>16.78</v>
      </c>
      <c r="E13" s="44"/>
      <c r="F13" s="44">
        <v>11.983333333333334</v>
      </c>
    </row>
    <row r="14" spans="1:6" x14ac:dyDescent="0.35">
      <c r="A14" s="6">
        <v>10</v>
      </c>
      <c r="B14" s="44">
        <v>13.58</v>
      </c>
      <c r="C14" s="44">
        <v>14.380000000000003</v>
      </c>
      <c r="D14" s="44">
        <v>17.689999999999998</v>
      </c>
      <c r="E14" s="44"/>
      <c r="F14" s="44">
        <v>15.216666666666667</v>
      </c>
    </row>
    <row r="15" spans="1:6" x14ac:dyDescent="0.35">
      <c r="A15" s="6">
        <v>11</v>
      </c>
      <c r="B15" s="44">
        <v>14.159999999999998</v>
      </c>
      <c r="C15" s="44">
        <v>12.360000000000001</v>
      </c>
      <c r="D15" s="44">
        <v>16.25</v>
      </c>
      <c r="E15" s="44"/>
      <c r="F15" s="44">
        <v>14.256666666666666</v>
      </c>
    </row>
    <row r="16" spans="1:6" x14ac:dyDescent="0.35">
      <c r="A16" s="6">
        <v>12</v>
      </c>
      <c r="B16" s="44">
        <v>10.75</v>
      </c>
      <c r="C16" s="44">
        <v>11.34</v>
      </c>
      <c r="D16" s="44">
        <v>13.86</v>
      </c>
      <c r="E16" s="44"/>
      <c r="F16" s="44">
        <v>11.983333333333334</v>
      </c>
    </row>
    <row r="17" spans="1:6" x14ac:dyDescent="0.35">
      <c r="A17" s="6" t="s">
        <v>87</v>
      </c>
      <c r="B17" s="44">
        <v>10.199999999999999</v>
      </c>
      <c r="C17" s="44">
        <v>11.622500000000002</v>
      </c>
      <c r="D17" s="44">
        <v>16.237500000000001</v>
      </c>
      <c r="E17" s="44">
        <v>24.23</v>
      </c>
      <c r="F17" s="44">
        <v>13.574615384615385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DE 2023 A 2026</vt:lpstr>
      <vt:lpstr>Hoja2</vt:lpstr>
      <vt:lpstr>ESTUDIO SSAA</vt:lpstr>
      <vt:lpstr>OFERTA</vt:lpstr>
      <vt:lpstr>Hoja1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marijose lopez abad</cp:lastModifiedBy>
  <dcterms:created xsi:type="dcterms:W3CDTF">2026-05-01T15:26:44Z</dcterms:created>
  <dcterms:modified xsi:type="dcterms:W3CDTF">2026-07-16T16:05:57Z</dcterms:modified>
</cp:coreProperties>
</file>